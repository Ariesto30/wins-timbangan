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ariestotopayung/Library/Mobile Documents/com~apple~CloudDocs/Kantor/_PT WINS Sawit/Produksi/Timbangan/"/>
    </mc:Choice>
  </mc:AlternateContent>
  <xr:revisionPtr revIDLastSave="0" documentId="13_ncr:1_{66260B69-01DE-334E-A01F-37B2B7C07CDF}" xr6:coauthVersionLast="47" xr6:coauthVersionMax="47" xr10:uidLastSave="{00000000-0000-0000-0000-000000000000}"/>
  <bookViews>
    <workbookView xWindow="0" yWindow="0" windowWidth="28800" windowHeight="18000" tabRatio="500" activeTab="3" xr2:uid="{00000000-000D-0000-FFFF-FFFF00000000}"/>
  </bookViews>
  <sheets>
    <sheet name="Pivot" sheetId="38" r:id="rId1"/>
    <sheet name="Dashboard WB" sheetId="1" r:id="rId2"/>
    <sheet name="Analisa CPO" sheetId="40" state="hidden" r:id="rId3"/>
    <sheet name="Database" sheetId="20" r:id="rId4"/>
    <sheet name="Efisiensi Armada" sheetId="35" r:id="rId5"/>
    <sheet name="Harga OAT" sheetId="37" r:id="rId6"/>
    <sheet name="Analisa Ringkas" sheetId="33" r:id="rId7"/>
    <sheet name="Summary Kontrak" sheetId="21" r:id="rId8"/>
    <sheet name="Peta Sulawesi" sheetId="17" state="hidden" r:id="rId9"/>
    <sheet name="Kendaraan" sheetId="5" state="hidden" r:id="rId10"/>
    <sheet name="Timbangan" sheetId="4" state="hidden" r:id="rId11"/>
    <sheet name="_ChartData" sheetId="6" r:id="rId12"/>
    <sheet name="_DB_Data" sheetId="7" r:id="rId13"/>
  </sheets>
  <definedNames>
    <definedName name="_xlnm._FilterDatabase" localSheetId="2" hidden="1">'Analisa CPO'!$A$19:$AR$960</definedName>
    <definedName name="_xlnm._FilterDatabase" localSheetId="4" hidden="1">'Efisiensi Armada'!$B$40:$K$40</definedName>
    <definedName name="DB_BeratKeluar" comment="Kolom DB_BeratKeluar di Database - tahan pergeseran" localSheetId="3">"Database!$M$3:$M$4846"</definedName>
    <definedName name="DB_BeratKeluar" comment="Kolom DB_BeratKeluar di Database - tahan pergeseran" localSheetId="7">"Database!$M$3:$M$4846"</definedName>
    <definedName name="DB_BeratKeluar" comment="Kolom DB_BeratKeluar di Database - tahan pergeseran">#REF!</definedName>
    <definedName name="DB_BeratMasuk" comment="Kolom DB_BeratMasuk di Database - tahan pergeseran" localSheetId="3">"Database!$L$3:$L$4846"</definedName>
    <definedName name="DB_BeratMasuk" comment="Kolom DB_BeratMasuk di Database - tahan pergeseran" localSheetId="7">"Database!$L$3:$L$4846"</definedName>
    <definedName name="DB_BeratMasuk" comment="Kolom DB_BeratMasuk di Database - tahan pergeseran">#REF!</definedName>
    <definedName name="DB_Netto" comment="Kolom DB_Netto di Database - tahan pergeseran" localSheetId="3">"Database!$N$3:$N$4846"</definedName>
    <definedName name="DB_Netto" comment="Kolom DB_Netto di Database - tahan pergeseran" localSheetId="7">"Database!$N$3:$N$4846"</definedName>
    <definedName name="DB_Netto" comment="Kolom DB_Netto di Database - tahan pergeseran">#REF!</definedName>
    <definedName name="DB_Netto2k" comment="Kolom DB_Netto2k di Database - tahan pergeseran" localSheetId="3">"Database!$N$3:$N$2000"</definedName>
    <definedName name="DB_Netto2k" comment="Kolom DB_Netto2k di Database - tahan pergeseran" localSheetId="7">"Database!$N$3:$N$2000"</definedName>
    <definedName name="DB_Netto2k" comment="Kolom DB_Netto2k di Database - tahan pergeseran">#REF!</definedName>
    <definedName name="DB_NoPol" comment="Kolom DB_NoPol di Database - tahan pergeseran" localSheetId="3">"Database!$E$3:$E$4846"</definedName>
    <definedName name="DB_NoPol" comment="Kolom DB_NoPol di Database - tahan pergeseran" localSheetId="7">"Database!$E$3:$E$4846"</definedName>
    <definedName name="DB_NoPol" comment="Kolom DB_NoPol di Database - tahan pergeseran">#REF!</definedName>
    <definedName name="DB_NoPol2k" comment="Kolom DB_NoPol2k di Database - tahan pergeseran" localSheetId="3">"Database!$E$3:$E$2000"</definedName>
    <definedName name="DB_NoPol2k" comment="Kolom DB_NoPol2k di Database - tahan pergeseran" localSheetId="7">"Database!$E$3:$E$2000"</definedName>
    <definedName name="DB_NoPol2k" comment="Kolom DB_NoPol2k di Database - tahan pergeseran">#REF!</definedName>
    <definedName name="DB_Produk" comment="Kolom DB_Produk di Database - tahan pergeseran" localSheetId="3">"Database!$I$3:$I$4846"</definedName>
    <definedName name="DB_Produk" comment="Kolom DB_Produk di Database - tahan pergeseran" localSheetId="7">"Database!$I$3:$I$4846"</definedName>
    <definedName name="DB_Produk" comment="Kolom DB_Produk di Database - tahan pergeseran">#REF!</definedName>
    <definedName name="DB_Produk2k" comment="Kolom DB_Produk2k di Database - tahan pergeseran" localSheetId="3">"Database!$I$3:$I$2000"</definedName>
    <definedName name="DB_Produk2k" comment="Kolom DB_Produk2k di Database - tahan pergeseran" localSheetId="7">"Database!$I$3:$I$2000"</definedName>
    <definedName name="DB_Produk2k" comment="Kolom DB_Produk2k di Database - tahan pergeseran">#REF!</definedName>
    <definedName name="DB_Relasi" comment="Kolom DB_Relasi di Database - tahan pergeseran" localSheetId="3">"Database!$H$3:$H$4846"</definedName>
    <definedName name="DB_Relasi" comment="Kolom DB_Relasi di Database - tahan pergeseran" localSheetId="7">"Database!$H$3:$H$4846"</definedName>
    <definedName name="DB_Relasi" comment="Kolom DB_Relasi di Database - tahan pergeseran">#REF!</definedName>
    <definedName name="DB_Relasi2k" comment="Kolom DB_Relasi2k di Database - tahan pergeseran" localSheetId="3">"Database!$H$3:$H$2000"</definedName>
    <definedName name="DB_Relasi2k" comment="Kolom DB_Relasi2k di Database - tahan pergeseran" localSheetId="7">"Database!$H$3:$H$2000"</definedName>
    <definedName name="DB_Relasi2k" comment="Kolom DB_Relasi2k di Database - tahan pergeseran">#REF!</definedName>
    <definedName name="DB_Tanggal" comment="Kolom DB_Tanggal di Database - tahan pergeseran" localSheetId="3">"Database!$K$3:$K$4846"</definedName>
    <definedName name="DB_Tanggal" comment="Kolom DB_Tanggal di Database - tahan pergeseran" localSheetId="7">"Database!$K$3:$K$4846"</definedName>
    <definedName name="DB_Tanggal" comment="Kolom DB_Tanggal di Database - tahan pergeseran">#REF!</definedName>
    <definedName name="DB_Tanggal2k" comment="Kolom DB_Tanggal2k di Database - tahan pergeseran" localSheetId="3">"Database!$K$3:$K$2000"</definedName>
    <definedName name="DB_Tanggal2k" comment="Kolom DB_Tanggal2k di Database - tahan pergeseran" localSheetId="7">"Database!$K$3:$K$2000"</definedName>
    <definedName name="DB_Tanggal2k" comment="Kolom DB_Tanggal2k di Database - tahan pergeseran">#REF!</definedName>
  </definedNames>
  <calcPr calcId="191029"/>
  <pivotCaches>
    <pivotCache cacheId="0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554" i="20" l="1"/>
  <c r="T1559" i="20"/>
  <c r="T1558" i="20"/>
  <c r="T1557" i="20"/>
  <c r="T1556" i="20"/>
  <c r="T1555" i="20"/>
  <c r="T1572" i="20"/>
  <c r="T1571" i="20"/>
  <c r="T1570" i="20"/>
  <c r="T1569" i="20"/>
  <c r="T1568" i="20"/>
  <c r="T1567" i="20"/>
  <c r="T1566" i="20"/>
  <c r="T1565" i="20"/>
  <c r="T1564" i="20"/>
  <c r="T1563" i="20"/>
  <c r="T1562" i="20"/>
  <c r="T1561" i="20"/>
  <c r="T1560" i="20"/>
  <c r="D1572" i="20"/>
  <c r="D1571" i="20"/>
  <c r="D1570" i="20"/>
  <c r="D1569" i="20"/>
  <c r="D1568" i="20"/>
  <c r="D1567" i="20"/>
  <c r="D1566" i="20"/>
  <c r="D1565" i="20"/>
  <c r="D1564" i="20"/>
  <c r="D1563" i="20"/>
  <c r="D1562" i="20"/>
  <c r="D1561" i="20"/>
  <c r="D1560" i="20"/>
  <c r="F22" i="38"/>
  <c r="F21" i="38"/>
  <c r="F20" i="38"/>
  <c r="F19" i="38"/>
  <c r="F18" i="38"/>
  <c r="F17" i="38"/>
  <c r="F16" i="38"/>
  <c r="F15" i="38"/>
  <c r="I22" i="38"/>
  <c r="I21" i="38"/>
  <c r="I20" i="38"/>
  <c r="I19" i="38"/>
  <c r="I18" i="38"/>
  <c r="I17" i="38"/>
  <c r="I16" i="38"/>
  <c r="I15" i="38"/>
  <c r="H14" i="38"/>
  <c r="I14" i="38" s="1"/>
  <c r="J1559" i="20"/>
  <c r="J1558" i="20"/>
  <c r="J1557" i="20"/>
  <c r="J1556" i="20"/>
  <c r="J1555" i="20"/>
  <c r="J1554" i="20"/>
  <c r="D1559" i="20"/>
  <c r="D1558" i="20"/>
  <c r="D1557" i="20"/>
  <c r="D1556" i="20"/>
  <c r="D1555" i="20"/>
  <c r="D1554" i="20"/>
  <c r="T686" i="20"/>
  <c r="T1553" i="20"/>
  <c r="T1552" i="20"/>
  <c r="T1551" i="20"/>
  <c r="T1550" i="20"/>
  <c r="T1549" i="20"/>
  <c r="T1548" i="20"/>
  <c r="T1547" i="20"/>
  <c r="T1546" i="20"/>
  <c r="T1545" i="20"/>
  <c r="T1544" i="20"/>
  <c r="T1543" i="20"/>
  <c r="T1542" i="20"/>
  <c r="T1541" i="20"/>
  <c r="T1540" i="20"/>
  <c r="T1539" i="20"/>
  <c r="T1538" i="20"/>
  <c r="T1537" i="20"/>
  <c r="T1536" i="20"/>
  <c r="T1535" i="20"/>
  <c r="T1534" i="20"/>
  <c r="T1533" i="20"/>
  <c r="T1532" i="20"/>
  <c r="T1531" i="20"/>
  <c r="T1530" i="20"/>
  <c r="T1529" i="20"/>
  <c r="T1528" i="20"/>
  <c r="T1527" i="20"/>
  <c r="T1526" i="20"/>
  <c r="T1525" i="20"/>
  <c r="T1524" i="20"/>
  <c r="T1523" i="20"/>
  <c r="T1522" i="20"/>
  <c r="T1521" i="20"/>
  <c r="T1520" i="20"/>
  <c r="T1519" i="20"/>
  <c r="T1518" i="20"/>
  <c r="T1517" i="20"/>
  <c r="T1516" i="20"/>
  <c r="T1515" i="20"/>
  <c r="T1514" i="20"/>
  <c r="T1513" i="20"/>
  <c r="T1512" i="20"/>
  <c r="D1553" i="20"/>
  <c r="D1552" i="20"/>
  <c r="D1551" i="20"/>
  <c r="D1550" i="20"/>
  <c r="D1549" i="20"/>
  <c r="D1548" i="20"/>
  <c r="D1547" i="20"/>
  <c r="D1546" i="20"/>
  <c r="D1545" i="20"/>
  <c r="D1544" i="20"/>
  <c r="D1543" i="20"/>
  <c r="D1542" i="20"/>
  <c r="D1541" i="20"/>
  <c r="D1540" i="20"/>
  <c r="D1539" i="20"/>
  <c r="D1538" i="20"/>
  <c r="D1537" i="20"/>
  <c r="D1536" i="20"/>
  <c r="D1535" i="20"/>
  <c r="D1534" i="20"/>
  <c r="D1533" i="20"/>
  <c r="D1532" i="20"/>
  <c r="D1531" i="20"/>
  <c r="D1530" i="20"/>
  <c r="D1529" i="20"/>
  <c r="D1528" i="20"/>
  <c r="D1527" i="20"/>
  <c r="D1526" i="20"/>
  <c r="D1525" i="20"/>
  <c r="D1524" i="20"/>
  <c r="D1523" i="20"/>
  <c r="D1522" i="20"/>
  <c r="D1521" i="20"/>
  <c r="D1520" i="20"/>
  <c r="D1519" i="20"/>
  <c r="D1518" i="20"/>
  <c r="D1517" i="20"/>
  <c r="D1516" i="20"/>
  <c r="D1515" i="20"/>
  <c r="D1514" i="20"/>
  <c r="D1513" i="20"/>
  <c r="D1512" i="20"/>
  <c r="F6" i="6" a="1"/>
  <c r="D1421" i="20"/>
  <c r="T1511" i="20"/>
  <c r="T1510" i="20"/>
  <c r="T1509" i="20"/>
  <c r="T1508" i="20"/>
  <c r="T1507" i="20"/>
  <c r="T1506" i="20"/>
  <c r="T1505" i="20"/>
  <c r="T1504" i="20"/>
  <c r="T1503" i="20"/>
  <c r="T1502" i="20"/>
  <c r="T1501" i="20"/>
  <c r="T1500" i="20"/>
  <c r="T1499" i="20"/>
  <c r="T1498" i="20"/>
  <c r="T1497" i="20"/>
  <c r="T1496" i="20"/>
  <c r="T1495" i="20"/>
  <c r="J1511" i="20"/>
  <c r="J1510" i="20"/>
  <c r="J1509" i="20"/>
  <c r="J1508" i="20"/>
  <c r="J1507" i="20"/>
  <c r="J1506" i="20"/>
  <c r="J1505" i="20"/>
  <c r="J1504" i="20"/>
  <c r="J1503" i="20"/>
  <c r="J1502" i="20"/>
  <c r="J1501" i="20"/>
  <c r="J1500" i="20"/>
  <c r="J1499" i="20"/>
  <c r="J1498" i="20"/>
  <c r="J1497" i="20"/>
  <c r="J1496" i="20"/>
  <c r="J1495" i="20"/>
  <c r="D1511" i="20"/>
  <c r="D1510" i="20"/>
  <c r="D1509" i="20"/>
  <c r="D1508" i="20"/>
  <c r="D1507" i="20"/>
  <c r="D1506" i="20"/>
  <c r="D1505" i="20"/>
  <c r="D1504" i="20"/>
  <c r="D1503" i="20"/>
  <c r="D1502" i="20"/>
  <c r="D1501" i="20"/>
  <c r="D1500" i="20"/>
  <c r="D1499" i="20"/>
  <c r="D1498" i="20"/>
  <c r="D1497" i="20"/>
  <c r="D1496" i="20"/>
  <c r="D1495" i="20"/>
  <c r="Q6" i="7"/>
  <c r="P6" i="7"/>
  <c r="N6" i="7"/>
  <c r="J1494" i="20"/>
  <c r="J1493" i="20"/>
  <c r="J1492" i="20"/>
  <c r="J1491" i="20"/>
  <c r="D1494" i="20"/>
  <c r="D1493" i="20"/>
  <c r="D1492" i="20"/>
  <c r="D1491" i="20"/>
  <c r="J1490" i="20"/>
  <c r="J1489" i="20"/>
  <c r="J1488" i="20"/>
  <c r="J1487" i="20"/>
  <c r="J1486" i="20"/>
  <c r="J1485" i="20"/>
  <c r="J1484" i="20"/>
  <c r="J1483" i="20"/>
  <c r="J1482" i="20"/>
  <c r="J1481" i="20"/>
  <c r="J1480" i="20"/>
  <c r="J1479" i="20"/>
  <c r="J1478" i="20"/>
  <c r="J1477" i="20"/>
  <c r="J1476" i="20"/>
  <c r="J1475" i="20"/>
  <c r="J1474" i="20"/>
  <c r="J1473" i="20"/>
  <c r="J1472" i="20"/>
  <c r="J1471" i="20"/>
  <c r="J1470" i="20"/>
  <c r="J1469" i="20"/>
  <c r="J1468" i="20"/>
  <c r="J1467" i="20"/>
  <c r="J1466" i="20"/>
  <c r="J1465" i="20"/>
  <c r="J1464" i="20"/>
  <c r="J1463" i="20"/>
  <c r="J1462" i="20"/>
  <c r="J1461" i="20"/>
  <c r="J1460" i="20"/>
  <c r="J1459" i="20"/>
  <c r="J1458" i="20"/>
  <c r="J1457" i="20"/>
  <c r="J1456" i="20"/>
  <c r="J1455" i="20"/>
  <c r="J1454" i="20"/>
  <c r="J1453" i="20"/>
  <c r="J1452" i="20"/>
  <c r="J1451" i="20"/>
  <c r="J1450" i="20"/>
  <c r="J1449" i="20"/>
  <c r="J1448" i="20"/>
  <c r="J1447" i="20"/>
  <c r="D1490" i="20"/>
  <c r="D1489" i="20"/>
  <c r="D1488" i="20"/>
  <c r="D1487" i="20"/>
  <c r="D1486" i="20"/>
  <c r="D1485" i="20"/>
  <c r="D1484" i="20"/>
  <c r="D1483" i="20"/>
  <c r="D1482" i="20"/>
  <c r="D1481" i="20"/>
  <c r="D1480" i="20"/>
  <c r="D1479" i="20"/>
  <c r="D1478" i="20"/>
  <c r="D1477" i="20"/>
  <c r="D1476" i="20"/>
  <c r="D1475" i="20"/>
  <c r="D1474" i="20"/>
  <c r="D1473" i="20"/>
  <c r="D1472" i="20"/>
  <c r="D1471" i="20"/>
  <c r="D1470" i="20"/>
  <c r="D1469" i="20"/>
  <c r="D1468" i="20"/>
  <c r="D1467" i="20"/>
  <c r="D1466" i="20"/>
  <c r="D1465" i="20"/>
  <c r="D1464" i="20"/>
  <c r="D1463" i="20"/>
  <c r="D1462" i="20"/>
  <c r="D1461" i="20"/>
  <c r="D1460" i="20"/>
  <c r="D1459" i="20"/>
  <c r="D1458" i="20"/>
  <c r="D1457" i="20"/>
  <c r="D1456" i="20"/>
  <c r="D1455" i="20"/>
  <c r="D1454" i="20"/>
  <c r="D1453" i="20"/>
  <c r="D1452" i="20"/>
  <c r="D1451" i="20"/>
  <c r="D1450" i="20"/>
  <c r="D1449" i="20"/>
  <c r="D1448" i="20"/>
  <c r="D1447" i="20"/>
  <c r="T1446" i="20"/>
  <c r="T1445" i="20"/>
  <c r="T1444" i="20"/>
  <c r="T1443" i="20"/>
  <c r="T1442" i="20"/>
  <c r="T1441" i="20"/>
  <c r="T1440" i="20"/>
  <c r="T1439" i="20"/>
  <c r="T1438" i="20"/>
  <c r="T1437" i="20"/>
  <c r="T1436" i="20"/>
  <c r="T1435" i="20"/>
  <c r="T1434" i="20"/>
  <c r="T1433" i="20"/>
  <c r="J1446" i="20"/>
  <c r="J1445" i="20"/>
  <c r="J1444" i="20"/>
  <c r="J1443" i="20"/>
  <c r="J1442" i="20"/>
  <c r="J1441" i="20"/>
  <c r="J1440" i="20"/>
  <c r="J1439" i="20"/>
  <c r="J1438" i="20"/>
  <c r="J1437" i="20"/>
  <c r="J1436" i="20"/>
  <c r="J1435" i="20"/>
  <c r="J1434" i="20"/>
  <c r="J1433" i="20"/>
  <c r="D1446" i="20"/>
  <c r="D1445" i="20"/>
  <c r="D1444" i="20"/>
  <c r="D1443" i="20"/>
  <c r="D1442" i="20"/>
  <c r="D1441" i="20"/>
  <c r="D1440" i="20"/>
  <c r="D1439" i="20"/>
  <c r="D1438" i="20"/>
  <c r="D1437" i="20"/>
  <c r="D1436" i="20"/>
  <c r="D1435" i="20"/>
  <c r="D1434" i="20"/>
  <c r="D1433" i="20"/>
  <c r="C10" i="40"/>
  <c r="C9" i="40"/>
  <c r="T1432" i="20"/>
  <c r="T1431" i="20"/>
  <c r="T1430" i="20"/>
  <c r="J1432" i="20"/>
  <c r="J1431" i="20"/>
  <c r="J1430" i="20"/>
  <c r="D1432" i="20"/>
  <c r="D1431" i="20"/>
  <c r="D1430" i="20"/>
  <c r="T1429" i="20"/>
  <c r="T1428" i="20"/>
  <c r="T1427" i="20"/>
  <c r="T1426" i="20"/>
  <c r="T1425" i="20"/>
  <c r="T1424" i="20"/>
  <c r="T1423" i="20"/>
  <c r="T1422" i="20"/>
  <c r="T1421" i="20"/>
  <c r="T1420" i="20"/>
  <c r="T1419" i="20"/>
  <c r="T1418" i="20"/>
  <c r="T1417" i="20"/>
  <c r="T1416" i="20"/>
  <c r="T1415" i="20"/>
  <c r="T1414" i="20"/>
  <c r="T1413" i="20"/>
  <c r="T1412" i="20"/>
  <c r="T1411" i="20"/>
  <c r="T1410" i="20"/>
  <c r="T1409" i="20"/>
  <c r="T1408" i="20"/>
  <c r="T1407" i="20"/>
  <c r="T1406" i="20"/>
  <c r="T1405" i="20"/>
  <c r="T1404" i="20"/>
  <c r="T1403" i="20"/>
  <c r="T1402" i="20"/>
  <c r="T1401" i="20"/>
  <c r="T1400" i="20"/>
  <c r="T1399" i="20"/>
  <c r="T1398" i="20"/>
  <c r="T1397" i="20"/>
  <c r="T1396" i="20"/>
  <c r="T1395" i="20"/>
  <c r="T1394" i="20"/>
  <c r="T1393" i="20"/>
  <c r="T1392" i="20"/>
  <c r="T1391" i="20"/>
  <c r="T1390" i="20"/>
  <c r="T1389" i="20"/>
  <c r="T1388" i="20"/>
  <c r="T1387" i="20"/>
  <c r="T1386" i="20"/>
  <c r="T1385" i="20"/>
  <c r="T1384" i="20"/>
  <c r="T1383" i="20"/>
  <c r="T1382" i="20"/>
  <c r="T1381" i="20"/>
  <c r="T1380" i="20"/>
  <c r="T1379" i="20"/>
  <c r="T1378" i="20"/>
  <c r="T1377" i="20"/>
  <c r="T1376" i="20"/>
  <c r="T1375" i="20"/>
  <c r="T1374" i="20"/>
  <c r="T1373" i="20"/>
  <c r="T1372" i="20"/>
  <c r="T1371" i="20"/>
  <c r="T1370" i="20"/>
  <c r="T1369" i="20"/>
  <c r="T1368" i="20"/>
  <c r="T1367" i="20"/>
  <c r="T1366" i="20"/>
  <c r="T1365" i="20"/>
  <c r="T1364" i="20"/>
  <c r="T1363" i="20"/>
  <c r="T1362" i="20"/>
  <c r="T1361" i="20"/>
  <c r="T1360" i="20"/>
  <c r="T1359" i="20"/>
  <c r="T1358" i="20"/>
  <c r="T1357" i="20"/>
  <c r="T1356" i="20"/>
  <c r="T1355" i="20"/>
  <c r="T1354" i="20"/>
  <c r="T1353" i="20"/>
  <c r="T1352" i="20"/>
  <c r="T1351" i="20"/>
  <c r="T1350" i="20"/>
  <c r="T1349" i="20"/>
  <c r="T1348" i="20"/>
  <c r="T1347" i="20"/>
  <c r="T1346" i="20"/>
  <c r="T1345" i="20"/>
  <c r="T1344" i="20"/>
  <c r="T1343" i="20"/>
  <c r="T1342" i="20"/>
  <c r="T1341" i="20"/>
  <c r="T1340" i="20"/>
  <c r="T1339" i="20"/>
  <c r="T1338" i="20"/>
  <c r="T1337" i="20"/>
  <c r="T1336" i="20"/>
  <c r="T1335" i="20"/>
  <c r="T1334" i="20"/>
  <c r="T1333" i="20"/>
  <c r="J1429" i="20"/>
  <c r="J1428" i="20"/>
  <c r="J1427" i="20"/>
  <c r="J1426" i="20"/>
  <c r="J1425" i="20"/>
  <c r="J1424" i="20"/>
  <c r="J1423" i="20"/>
  <c r="J1422" i="20"/>
  <c r="J1421" i="20"/>
  <c r="J1420" i="20"/>
  <c r="J1419" i="20"/>
  <c r="J1418" i="20"/>
  <c r="J1417" i="20"/>
  <c r="J1416" i="20"/>
  <c r="J1415" i="20"/>
  <c r="J1414" i="20"/>
  <c r="J1413" i="20"/>
  <c r="J1412" i="20"/>
  <c r="J1411" i="20"/>
  <c r="J1410" i="20"/>
  <c r="D1429" i="20"/>
  <c r="D1428" i="20"/>
  <c r="D1427" i="20"/>
  <c r="D1426" i="20"/>
  <c r="D1425" i="20"/>
  <c r="D1424" i="20"/>
  <c r="D1423" i="20"/>
  <c r="D1422" i="20"/>
  <c r="D1420" i="20"/>
  <c r="D1419" i="20"/>
  <c r="D1418" i="20"/>
  <c r="D1417" i="20"/>
  <c r="D1416" i="20"/>
  <c r="D1415" i="20"/>
  <c r="D1414" i="20"/>
  <c r="D1413" i="20"/>
  <c r="D1412" i="20"/>
  <c r="D1411" i="20"/>
  <c r="D1410" i="20"/>
  <c r="G24" i="37"/>
  <c r="F24" i="37"/>
  <c r="E24" i="37"/>
  <c r="C24" i="37"/>
  <c r="B24" i="37"/>
  <c r="B13" i="37"/>
  <c r="J1409" i="20"/>
  <c r="J1408" i="20"/>
  <c r="J1407" i="20"/>
  <c r="J1406" i="20"/>
  <c r="J1405" i="20"/>
  <c r="J1404" i="20"/>
  <c r="J1403" i="20"/>
  <c r="J1402" i="20"/>
  <c r="J1401" i="20"/>
  <c r="J1400" i="20"/>
  <c r="J1399" i="20"/>
  <c r="J1398" i="20"/>
  <c r="J1397" i="20"/>
  <c r="J1396" i="20"/>
  <c r="J1395" i="20"/>
  <c r="J1394" i="20"/>
  <c r="J1393" i="20"/>
  <c r="J1392" i="20"/>
  <c r="J1391" i="20"/>
  <c r="J1390" i="20"/>
  <c r="J1389" i="20"/>
  <c r="J1388" i="20"/>
  <c r="J1387" i="20"/>
  <c r="J1386" i="20"/>
  <c r="J1385" i="20"/>
  <c r="J1384" i="20"/>
  <c r="J1383" i="20"/>
  <c r="J1382" i="20"/>
  <c r="J1381" i="20"/>
  <c r="J1380" i="20"/>
  <c r="J1379" i="20"/>
  <c r="J1378" i="20"/>
  <c r="J1377" i="20"/>
  <c r="J1376" i="20"/>
  <c r="J1375" i="20"/>
  <c r="D1409" i="20"/>
  <c r="D1408" i="20"/>
  <c r="D1407" i="20"/>
  <c r="D1406" i="20"/>
  <c r="D1405" i="20"/>
  <c r="D1404" i="20"/>
  <c r="D1403" i="20"/>
  <c r="D1402" i="20"/>
  <c r="D1401" i="20"/>
  <c r="D1400" i="20"/>
  <c r="D1399" i="20"/>
  <c r="D1398" i="20"/>
  <c r="D1397" i="20"/>
  <c r="D1396" i="20"/>
  <c r="D1395" i="20"/>
  <c r="D1394" i="20"/>
  <c r="D1393" i="20"/>
  <c r="D1392" i="20"/>
  <c r="D1391" i="20"/>
  <c r="D1390" i="20"/>
  <c r="D1389" i="20"/>
  <c r="D1388" i="20"/>
  <c r="D1387" i="20"/>
  <c r="D1386" i="20"/>
  <c r="D1385" i="20"/>
  <c r="D1384" i="20"/>
  <c r="D1383" i="20"/>
  <c r="D1382" i="20"/>
  <c r="D1381" i="20"/>
  <c r="D1380" i="20"/>
  <c r="D1379" i="20"/>
  <c r="D1378" i="20"/>
  <c r="D1377" i="20"/>
  <c r="D1376" i="20"/>
  <c r="D1375" i="20"/>
  <c r="J1374" i="20"/>
  <c r="J1373" i="20"/>
  <c r="J1372" i="20"/>
  <c r="J1371" i="20"/>
  <c r="J1370" i="20"/>
  <c r="J1369" i="20"/>
  <c r="J1368" i="20"/>
  <c r="J1367" i="20"/>
  <c r="J1366" i="20"/>
  <c r="J1365" i="20"/>
  <c r="J1364" i="20"/>
  <c r="J1363" i="20"/>
  <c r="J1362" i="20"/>
  <c r="J1361" i="20"/>
  <c r="J1360" i="20"/>
  <c r="J1359" i="20"/>
  <c r="J1358" i="20"/>
  <c r="J1357" i="20"/>
  <c r="J1356" i="20"/>
  <c r="J1355" i="20"/>
  <c r="J1354" i="20"/>
  <c r="J1353" i="20"/>
  <c r="J1352" i="20"/>
  <c r="J1351" i="20"/>
  <c r="J1350" i="20"/>
  <c r="J1349" i="20"/>
  <c r="J1348" i="20"/>
  <c r="J1347" i="20"/>
  <c r="J1346" i="20"/>
  <c r="J1345" i="20"/>
  <c r="J1344" i="20"/>
  <c r="J1343" i="20"/>
  <c r="J1342" i="20"/>
  <c r="J1341" i="20"/>
  <c r="J1340" i="20"/>
  <c r="J1339" i="20"/>
  <c r="J1338" i="20"/>
  <c r="J1337" i="20"/>
  <c r="J1336" i="20"/>
  <c r="J1335" i="20"/>
  <c r="J1334" i="20"/>
  <c r="J1333" i="20"/>
  <c r="D1374" i="20"/>
  <c r="D1373" i="20"/>
  <c r="D1372" i="20"/>
  <c r="D1371" i="20"/>
  <c r="D1370" i="20"/>
  <c r="D1369" i="20"/>
  <c r="D1368" i="20"/>
  <c r="D1367" i="20"/>
  <c r="D1366" i="20"/>
  <c r="D1365" i="20"/>
  <c r="D1364" i="20"/>
  <c r="D1363" i="20"/>
  <c r="D1362" i="20"/>
  <c r="D1361" i="20"/>
  <c r="D1360" i="20"/>
  <c r="D1359" i="20"/>
  <c r="D1358" i="20"/>
  <c r="D1357" i="20"/>
  <c r="D1356" i="20"/>
  <c r="D1355" i="20"/>
  <c r="D1354" i="20"/>
  <c r="D1353" i="20"/>
  <c r="D1352" i="20"/>
  <c r="D1351" i="20"/>
  <c r="D1350" i="20"/>
  <c r="D1349" i="20"/>
  <c r="D1348" i="20"/>
  <c r="D1347" i="20"/>
  <c r="D1346" i="20"/>
  <c r="D1345" i="20"/>
  <c r="D1344" i="20"/>
  <c r="D1343" i="20"/>
  <c r="D1342" i="20"/>
  <c r="D1341" i="20"/>
  <c r="D1340" i="20"/>
  <c r="D1339" i="20"/>
  <c r="D1338" i="20"/>
  <c r="D1337" i="20"/>
  <c r="D1336" i="20"/>
  <c r="D1335" i="20"/>
  <c r="D1334" i="20"/>
  <c r="D1333" i="20"/>
  <c r="T1332" i="20"/>
  <c r="T1331" i="20"/>
  <c r="T1330" i="20"/>
  <c r="T1329" i="20"/>
  <c r="T1328" i="20"/>
  <c r="T1327" i="20"/>
  <c r="T1326" i="20"/>
  <c r="T1325" i="20"/>
  <c r="T1324" i="20"/>
  <c r="T1323" i="20"/>
  <c r="T1322" i="20"/>
  <c r="T1321" i="20"/>
  <c r="T1320" i="20"/>
  <c r="T1319" i="20"/>
  <c r="T1318" i="20"/>
  <c r="T1317" i="20"/>
  <c r="T1316" i="20"/>
  <c r="T1315" i="20"/>
  <c r="T1314" i="20"/>
  <c r="T1313" i="20"/>
  <c r="T1312" i="20"/>
  <c r="T1311" i="20"/>
  <c r="T1310" i="20"/>
  <c r="T1309" i="20"/>
  <c r="T1308" i="20"/>
  <c r="T1307" i="20"/>
  <c r="T1306" i="20"/>
  <c r="T1305" i="20"/>
  <c r="T1304" i="20"/>
  <c r="T1303" i="20"/>
  <c r="T1302" i="20"/>
  <c r="T1301" i="20"/>
  <c r="T1300" i="20"/>
  <c r="T1299" i="20"/>
  <c r="T1298" i="20"/>
  <c r="T1297" i="20"/>
  <c r="T1296" i="20"/>
  <c r="T1295" i="20"/>
  <c r="T1294" i="20"/>
  <c r="T1293" i="20"/>
  <c r="T1292" i="20"/>
  <c r="T1291" i="20"/>
  <c r="T1290" i="20"/>
  <c r="T1289" i="20"/>
  <c r="T1288" i="20"/>
  <c r="T1287" i="20"/>
  <c r="T1286" i="20"/>
  <c r="T1285" i="20"/>
  <c r="T1284" i="20"/>
  <c r="T1283" i="20"/>
  <c r="T1282" i="20"/>
  <c r="T1281" i="20"/>
  <c r="T1280" i="20"/>
  <c r="T1279" i="20"/>
  <c r="T1278" i="20"/>
  <c r="T1277" i="20"/>
  <c r="T1276" i="20"/>
  <c r="T1275" i="20"/>
  <c r="T1274" i="20"/>
  <c r="T1273" i="20"/>
  <c r="T1272" i="20"/>
  <c r="T1271" i="20"/>
  <c r="T1270" i="20"/>
  <c r="T1269" i="20"/>
  <c r="T1268" i="20"/>
  <c r="T1267" i="20"/>
  <c r="T1266" i="20"/>
  <c r="T1265" i="20"/>
  <c r="T1264" i="20"/>
  <c r="T1263" i="20"/>
  <c r="T1262" i="20"/>
  <c r="T1261" i="20"/>
  <c r="T1260" i="20"/>
  <c r="T1259" i="20"/>
  <c r="T1258" i="20"/>
  <c r="T1257" i="20"/>
  <c r="J1332" i="20"/>
  <c r="J1331" i="20"/>
  <c r="J1330" i="20"/>
  <c r="J1329" i="20"/>
  <c r="J1328" i="20"/>
  <c r="J1327" i="20"/>
  <c r="J1326" i="20"/>
  <c r="J1325" i="20"/>
  <c r="J1324" i="20"/>
  <c r="J1323" i="20"/>
  <c r="J1322" i="20"/>
  <c r="J1321" i="20"/>
  <c r="J1320" i="20"/>
  <c r="J1319" i="20"/>
  <c r="J1318" i="20"/>
  <c r="J1317" i="20"/>
  <c r="J1316" i="20"/>
  <c r="J1315" i="20"/>
  <c r="J1314" i="20"/>
  <c r="J1313" i="20"/>
  <c r="J1312" i="20"/>
  <c r="J1311" i="20"/>
  <c r="J1310" i="20"/>
  <c r="J1309" i="20"/>
  <c r="J1308" i="20"/>
  <c r="J1307" i="20"/>
  <c r="J1306" i="20"/>
  <c r="J1305" i="20"/>
  <c r="J1304" i="20"/>
  <c r="J1303" i="20"/>
  <c r="J1302" i="20"/>
  <c r="J1301" i="20"/>
  <c r="J1300" i="20"/>
  <c r="J1299" i="20"/>
  <c r="J1298" i="20"/>
  <c r="J1297" i="20"/>
  <c r="J1296" i="20"/>
  <c r="J1295" i="20"/>
  <c r="J1294" i="20"/>
  <c r="J1293" i="20"/>
  <c r="J1292" i="20"/>
  <c r="J1291" i="20"/>
  <c r="J1290" i="20"/>
  <c r="J1289" i="20"/>
  <c r="J1288" i="20"/>
  <c r="J1287" i="20"/>
  <c r="J1286" i="20"/>
  <c r="J1285" i="20"/>
  <c r="J1284" i="20"/>
  <c r="J1283" i="20"/>
  <c r="J1282" i="20"/>
  <c r="J1281" i="20"/>
  <c r="J1280" i="20"/>
  <c r="J1279" i="20"/>
  <c r="J1278" i="20"/>
  <c r="J1277" i="20"/>
  <c r="J1276" i="20"/>
  <c r="J1275" i="20"/>
  <c r="J1274" i="20"/>
  <c r="J1273" i="20"/>
  <c r="J1272" i="20"/>
  <c r="J1271" i="20"/>
  <c r="J1270" i="20"/>
  <c r="J1269" i="20"/>
  <c r="J1268" i="20"/>
  <c r="J1267" i="20"/>
  <c r="J1266" i="20"/>
  <c r="J1265" i="20"/>
  <c r="J1264" i="20"/>
  <c r="J1263" i="20"/>
  <c r="J1262" i="20"/>
  <c r="J1261" i="20"/>
  <c r="J1260" i="20"/>
  <c r="J1259" i="20"/>
  <c r="J1258" i="20"/>
  <c r="J1257" i="20"/>
  <c r="J1256" i="20"/>
  <c r="J1255" i="20"/>
  <c r="J1254" i="20"/>
  <c r="J1253" i="20"/>
  <c r="J1252" i="20"/>
  <c r="J1251" i="20"/>
  <c r="J1250" i="20"/>
  <c r="J1249" i="20"/>
  <c r="J1248" i="20"/>
  <c r="J1247" i="20"/>
  <c r="J1246" i="20"/>
  <c r="J1245" i="20"/>
  <c r="J1244" i="20"/>
  <c r="J1243" i="20"/>
  <c r="J1242" i="20"/>
  <c r="J1241" i="20"/>
  <c r="J1240" i="20"/>
  <c r="J1239" i="20"/>
  <c r="D1332" i="20"/>
  <c r="D1331" i="20"/>
  <c r="D1330" i="20"/>
  <c r="D1329" i="20"/>
  <c r="D1328" i="20"/>
  <c r="D1327" i="20"/>
  <c r="D1326" i="20"/>
  <c r="D1325" i="20"/>
  <c r="D1324" i="20"/>
  <c r="D1323" i="20"/>
  <c r="D1322" i="20"/>
  <c r="D1321" i="20"/>
  <c r="D1320" i="20"/>
  <c r="D1319" i="20"/>
  <c r="D1318" i="20"/>
  <c r="D1317" i="20"/>
  <c r="D1316" i="20"/>
  <c r="D1315" i="20"/>
  <c r="D1314" i="20"/>
  <c r="D1313" i="20"/>
  <c r="D1312" i="20"/>
  <c r="D1311" i="20"/>
  <c r="D1310" i="20"/>
  <c r="D1309" i="20"/>
  <c r="D1308" i="20"/>
  <c r="D1307" i="20"/>
  <c r="D1306" i="20"/>
  <c r="D1305" i="20"/>
  <c r="D1304" i="20"/>
  <c r="D1303" i="20"/>
  <c r="D1302" i="20"/>
  <c r="D1301" i="20"/>
  <c r="D1300" i="20"/>
  <c r="D1299" i="20"/>
  <c r="D1298" i="20"/>
  <c r="D1297" i="20"/>
  <c r="D1296" i="20"/>
  <c r="D1295" i="20"/>
  <c r="D1294" i="20"/>
  <c r="D1293" i="20"/>
  <c r="D1292" i="20"/>
  <c r="D1291" i="20"/>
  <c r="D1290" i="20"/>
  <c r="D1289" i="20"/>
  <c r="D1288" i="20"/>
  <c r="D1287" i="20"/>
  <c r="D1286" i="20"/>
  <c r="D1285" i="20"/>
  <c r="D1284" i="20"/>
  <c r="D1283" i="20"/>
  <c r="D1282" i="20"/>
  <c r="D1281" i="20"/>
  <c r="D1280" i="20"/>
  <c r="D1279" i="20"/>
  <c r="D1278" i="20"/>
  <c r="D1277" i="20"/>
  <c r="D1276" i="20"/>
  <c r="D1275" i="20"/>
  <c r="D1274" i="20"/>
  <c r="D1273" i="20"/>
  <c r="D1272" i="20"/>
  <c r="D1271" i="20"/>
  <c r="D1270" i="20"/>
  <c r="D1269" i="20"/>
  <c r="D1268" i="20"/>
  <c r="D1267" i="20"/>
  <c r="D1266" i="20"/>
  <c r="D1265" i="20"/>
  <c r="D1264" i="20"/>
  <c r="D1263" i="20"/>
  <c r="D1262" i="20"/>
  <c r="D1261" i="20"/>
  <c r="D1260" i="20"/>
  <c r="D1259" i="20"/>
  <c r="D1258" i="20"/>
  <c r="D1257" i="20"/>
  <c r="D1256" i="20"/>
  <c r="D1255" i="20"/>
  <c r="D1254" i="20"/>
  <c r="D1253" i="20"/>
  <c r="D1252" i="20"/>
  <c r="D1251" i="20"/>
  <c r="D1250" i="20"/>
  <c r="D1249" i="20"/>
  <c r="D1248" i="20"/>
  <c r="D1247" i="20"/>
  <c r="D1246" i="20"/>
  <c r="D1245" i="20"/>
  <c r="D1244" i="20"/>
  <c r="D1243" i="20"/>
  <c r="D1242" i="20"/>
  <c r="D1241" i="20"/>
  <c r="D1240" i="20"/>
  <c r="D1239" i="20"/>
  <c r="T1244" i="20"/>
  <c r="V1239" i="20"/>
  <c r="D992" i="20"/>
  <c r="D990" i="20"/>
  <c r="E13" i="37"/>
  <c r="G23" i="37"/>
  <c r="G22" i="37"/>
  <c r="G21" i="37"/>
  <c r="G20" i="37"/>
  <c r="G19" i="37"/>
  <c r="G18" i="37"/>
  <c r="G17" i="37"/>
  <c r="G16" i="37"/>
  <c r="G15" i="37"/>
  <c r="G14" i="37"/>
  <c r="G13" i="37"/>
  <c r="F23" i="37"/>
  <c r="F22" i="37"/>
  <c r="F21" i="37"/>
  <c r="F20" i="37"/>
  <c r="F19" i="37"/>
  <c r="F18" i="37"/>
  <c r="F17" i="37"/>
  <c r="F16" i="37"/>
  <c r="F15" i="37"/>
  <c r="F14" i="37"/>
  <c r="F13" i="37"/>
  <c r="E23" i="37"/>
  <c r="E22" i="37"/>
  <c r="E21" i="37"/>
  <c r="E20" i="37"/>
  <c r="E19" i="37"/>
  <c r="E18" i="37"/>
  <c r="E17" i="37"/>
  <c r="E16" i="37"/>
  <c r="E15" i="37"/>
  <c r="E14" i="37"/>
  <c r="C23" i="37"/>
  <c r="C22" i="37"/>
  <c r="C21" i="37"/>
  <c r="C20" i="37"/>
  <c r="C19" i="37"/>
  <c r="C18" i="37"/>
  <c r="C17" i="37"/>
  <c r="C16" i="37"/>
  <c r="C15" i="37"/>
  <c r="C14" i="37"/>
  <c r="C13" i="37"/>
  <c r="B23" i="37"/>
  <c r="B22" i="37"/>
  <c r="B21" i="37"/>
  <c r="B20" i="37"/>
  <c r="B19" i="37"/>
  <c r="B18" i="37"/>
  <c r="B17" i="37"/>
  <c r="B16" i="37"/>
  <c r="B15" i="37"/>
  <c r="B14" i="37"/>
  <c r="E6" i="37"/>
  <c r="D8" i="37"/>
  <c r="D7" i="37"/>
  <c r="C8" i="37"/>
  <c r="C7" i="37"/>
  <c r="B8" i="37"/>
  <c r="B7" i="37"/>
  <c r="B34" i="37"/>
  <c r="B33" i="37"/>
  <c r="B31" i="37"/>
  <c r="B30" i="37"/>
  <c r="E6" i="35"/>
  <c r="I41" i="35"/>
  <c r="D6" i="35"/>
  <c r="AR17" i="20"/>
  <c r="AR16" i="20"/>
  <c r="AR15" i="20"/>
  <c r="D24" i="37" s="1"/>
  <c r="AR14" i="20"/>
  <c r="AR13" i="20"/>
  <c r="AR12" i="20"/>
  <c r="AR9" i="20"/>
  <c r="AR8" i="20"/>
  <c r="AR7" i="20"/>
  <c r="AR6" i="20"/>
  <c r="AR4" i="20"/>
  <c r="J1045" i="20"/>
  <c r="J1044" i="20"/>
  <c r="J1043" i="20"/>
  <c r="J1042" i="20"/>
  <c r="J1041" i="20"/>
  <c r="J1040" i="20"/>
  <c r="J1039" i="20"/>
  <c r="J1038" i="20"/>
  <c r="J1037" i="20"/>
  <c r="J1036" i="20"/>
  <c r="J1035" i="20"/>
  <c r="J1034" i="20"/>
  <c r="J1033" i="20"/>
  <c r="J1032" i="20"/>
  <c r="N2" i="20"/>
  <c r="I56" i="35"/>
  <c r="I55" i="35"/>
  <c r="I54" i="35"/>
  <c r="I53" i="35"/>
  <c r="I52" i="35"/>
  <c r="I51" i="35"/>
  <c r="I50" i="35"/>
  <c r="I49" i="35"/>
  <c r="I48" i="35"/>
  <c r="I47" i="35"/>
  <c r="I46" i="35"/>
  <c r="I45" i="35"/>
  <c r="I44" i="35"/>
  <c r="I43" i="35"/>
  <c r="I42" i="35"/>
  <c r="G43" i="33"/>
  <c r="G44" i="33"/>
  <c r="I245" i="33"/>
  <c r="G245" i="33"/>
  <c r="F245" i="33"/>
  <c r="E245" i="33"/>
  <c r="C245" i="33"/>
  <c r="I121" i="33" a="1"/>
  <c r="I120" i="33" a="1"/>
  <c r="I119" i="33" a="1"/>
  <c r="I118" i="33" a="1"/>
  <c r="H121" i="33" a="1"/>
  <c r="H120" i="33" a="1"/>
  <c r="H119" i="33" a="1"/>
  <c r="H118" i="33" a="1"/>
  <c r="F121" i="33" a="1"/>
  <c r="F120" i="33" a="1"/>
  <c r="F119" i="33" a="1"/>
  <c r="F118" i="33" a="1"/>
  <c r="D121" i="33"/>
  <c r="D120" i="33"/>
  <c r="D119" i="33"/>
  <c r="D118" i="33"/>
  <c r="G106" i="33"/>
  <c r="D106" i="33"/>
  <c r="C106" i="33"/>
  <c r="G105" i="33"/>
  <c r="D105" i="33"/>
  <c r="C105" i="33"/>
  <c r="G104" i="33"/>
  <c r="D104" i="33"/>
  <c r="C104" i="33"/>
  <c r="G103" i="33"/>
  <c r="D103" i="33"/>
  <c r="C103" i="33"/>
  <c r="G102" i="33"/>
  <c r="D102" i="33"/>
  <c r="C102" i="33"/>
  <c r="G101" i="33"/>
  <c r="D101" i="33"/>
  <c r="C101" i="33"/>
  <c r="G100" i="33"/>
  <c r="D100" i="33"/>
  <c r="C100" i="33"/>
  <c r="G99" i="33"/>
  <c r="D99" i="33"/>
  <c r="C99" i="33"/>
  <c r="G98" i="33"/>
  <c r="D98" i="33"/>
  <c r="C98" i="33"/>
  <c r="G97" i="33"/>
  <c r="D97" i="33"/>
  <c r="C97" i="33"/>
  <c r="G96" i="33"/>
  <c r="D96" i="33"/>
  <c r="C96" i="33"/>
  <c r="G95" i="33"/>
  <c r="D95" i="33"/>
  <c r="C95" i="33"/>
  <c r="G94" i="33"/>
  <c r="D94" i="33"/>
  <c r="C94" i="33"/>
  <c r="G93" i="33"/>
  <c r="D93" i="33"/>
  <c r="C93" i="33"/>
  <c r="G92" i="33"/>
  <c r="D92" i="33"/>
  <c r="C92" i="33"/>
  <c r="G91" i="33"/>
  <c r="D91" i="33"/>
  <c r="C91" i="33"/>
  <c r="G90" i="33"/>
  <c r="D90" i="33"/>
  <c r="C90" i="33"/>
  <c r="G89" i="33"/>
  <c r="D89" i="33"/>
  <c r="C89" i="33"/>
  <c r="G88" i="33"/>
  <c r="D88" i="33"/>
  <c r="C88" i="33"/>
  <c r="G87" i="33"/>
  <c r="D87" i="33"/>
  <c r="C87" i="33"/>
  <c r="G86" i="33"/>
  <c r="D86" i="33"/>
  <c r="C86" i="33"/>
  <c r="G85" i="33"/>
  <c r="D85" i="33"/>
  <c r="C85" i="33"/>
  <c r="G84" i="33"/>
  <c r="D84" i="33"/>
  <c r="C84" i="33"/>
  <c r="G83" i="33"/>
  <c r="D83" i="33"/>
  <c r="C83" i="33"/>
  <c r="G82" i="33"/>
  <c r="D82" i="33"/>
  <c r="C82" i="33"/>
  <c r="G81" i="33"/>
  <c r="D81" i="33"/>
  <c r="C81" i="33"/>
  <c r="G80" i="33"/>
  <c r="D80" i="33"/>
  <c r="C80" i="33"/>
  <c r="G79" i="33"/>
  <c r="D79" i="33"/>
  <c r="C79" i="33"/>
  <c r="G78" i="33"/>
  <c r="D78" i="33"/>
  <c r="C78" i="33"/>
  <c r="G77" i="33"/>
  <c r="D77" i="33"/>
  <c r="C77" i="33"/>
  <c r="G76" i="33"/>
  <c r="D76" i="33"/>
  <c r="C76" i="33"/>
  <c r="G75" i="33"/>
  <c r="D75" i="33"/>
  <c r="C75" i="33"/>
  <c r="G74" i="33"/>
  <c r="D74" i="33"/>
  <c r="C74" i="33"/>
  <c r="G73" i="33"/>
  <c r="D73" i="33"/>
  <c r="C73" i="33"/>
  <c r="G72" i="33"/>
  <c r="D72" i="33"/>
  <c r="C72" i="33"/>
  <c r="G71" i="33"/>
  <c r="D71" i="33"/>
  <c r="C71" i="33"/>
  <c r="G70" i="33"/>
  <c r="D70" i="33"/>
  <c r="C70" i="33"/>
  <c r="G69" i="33"/>
  <c r="D69" i="33"/>
  <c r="C69" i="33"/>
  <c r="G68" i="33"/>
  <c r="D68" i="33"/>
  <c r="C68" i="33"/>
  <c r="G67" i="33"/>
  <c r="D67" i="33"/>
  <c r="C67" i="33"/>
  <c r="G66" i="33"/>
  <c r="D66" i="33"/>
  <c r="C66" i="33"/>
  <c r="G65" i="33"/>
  <c r="D65" i="33"/>
  <c r="C65" i="33"/>
  <c r="G64" i="33"/>
  <c r="D64" i="33"/>
  <c r="C64" i="33"/>
  <c r="G63" i="33"/>
  <c r="D63" i="33"/>
  <c r="C63" i="33"/>
  <c r="G62" i="33"/>
  <c r="D62" i="33"/>
  <c r="C62" i="33"/>
  <c r="G61" i="33"/>
  <c r="D61" i="33"/>
  <c r="C61" i="33"/>
  <c r="G60" i="33"/>
  <c r="D60" i="33"/>
  <c r="C60" i="33"/>
  <c r="G59" i="33"/>
  <c r="D59" i="33"/>
  <c r="C59" i="33"/>
  <c r="G58" i="33"/>
  <c r="D58" i="33"/>
  <c r="C58" i="33"/>
  <c r="G57" i="33"/>
  <c r="D57" i="33"/>
  <c r="C57" i="33"/>
  <c r="G56" i="33"/>
  <c r="D56" i="33"/>
  <c r="C56" i="33"/>
  <c r="G55" i="33"/>
  <c r="D55" i="33"/>
  <c r="C55" i="33"/>
  <c r="G54" i="33"/>
  <c r="D54" i="33"/>
  <c r="C54" i="33"/>
  <c r="G53" i="33"/>
  <c r="D53" i="33"/>
  <c r="C53" i="33"/>
  <c r="G52" i="33"/>
  <c r="D52" i="33"/>
  <c r="C52" i="33"/>
  <c r="G51" i="33"/>
  <c r="D51" i="33"/>
  <c r="C51" i="33"/>
  <c r="G50" i="33"/>
  <c r="D50" i="33"/>
  <c r="C50" i="33"/>
  <c r="G49" i="33"/>
  <c r="D49" i="33"/>
  <c r="C49" i="33"/>
  <c r="G48" i="33"/>
  <c r="D48" i="33"/>
  <c r="C48" i="33"/>
  <c r="G47" i="33"/>
  <c r="D47" i="33"/>
  <c r="C47" i="33"/>
  <c r="G46" i="33"/>
  <c r="D46" i="33"/>
  <c r="C46" i="33"/>
  <c r="G45" i="33"/>
  <c r="D45" i="33"/>
  <c r="C45" i="33"/>
  <c r="D44" i="33"/>
  <c r="C44" i="33"/>
  <c r="D43" i="33"/>
  <c r="C43" i="33"/>
  <c r="E38" i="33"/>
  <c r="D38" i="33"/>
  <c r="C38" i="33"/>
  <c r="E37" i="33"/>
  <c r="D37" i="33"/>
  <c r="C37" i="33"/>
  <c r="E33" i="33"/>
  <c r="D33" i="33"/>
  <c r="C33" i="33"/>
  <c r="E32" i="33"/>
  <c r="D32" i="33"/>
  <c r="C32" i="33"/>
  <c r="E31" i="33"/>
  <c r="D31" i="33"/>
  <c r="C31" i="33"/>
  <c r="E30" i="33"/>
  <c r="D30" i="33"/>
  <c r="C30" i="33"/>
  <c r="E29" i="33"/>
  <c r="D29" i="33"/>
  <c r="C29" i="33"/>
  <c r="E28" i="33"/>
  <c r="D28" i="33"/>
  <c r="C28" i="33"/>
  <c r="E27" i="33"/>
  <c r="D27" i="33"/>
  <c r="C27" i="33"/>
  <c r="E26" i="33"/>
  <c r="D26" i="33"/>
  <c r="C26" i="33"/>
  <c r="E25" i="33"/>
  <c r="D25" i="33"/>
  <c r="C25" i="33"/>
  <c r="E24" i="33"/>
  <c r="D24" i="33"/>
  <c r="C24" i="33"/>
  <c r="E23" i="33"/>
  <c r="D23" i="33"/>
  <c r="C23" i="33"/>
  <c r="E22" i="33"/>
  <c r="D22" i="33"/>
  <c r="C22" i="33"/>
  <c r="E21" i="33"/>
  <c r="D21" i="33"/>
  <c r="C21" i="33"/>
  <c r="E20" i="33"/>
  <c r="D20" i="33"/>
  <c r="C20" i="33"/>
  <c r="E19" i="33"/>
  <c r="D19" i="33"/>
  <c r="C19" i="33"/>
  <c r="F14" i="33"/>
  <c r="E14" i="33"/>
  <c r="D14" i="33"/>
  <c r="C14" i="33"/>
  <c r="F13" i="33"/>
  <c r="E13" i="33"/>
  <c r="D13" i="33"/>
  <c r="C13" i="33"/>
  <c r="F12" i="33"/>
  <c r="E12" i="33"/>
  <c r="D12" i="33"/>
  <c r="C12" i="33"/>
  <c r="F11" i="33"/>
  <c r="E11" i="33"/>
  <c r="D11" i="33"/>
  <c r="C11" i="33"/>
  <c r="F10" i="33"/>
  <c r="E10" i="33"/>
  <c r="D10" i="33"/>
  <c r="C10" i="33"/>
  <c r="F9" i="33"/>
  <c r="E9" i="33"/>
  <c r="D9" i="33"/>
  <c r="C9" i="33"/>
  <c r="F8" i="33"/>
  <c r="E8" i="33"/>
  <c r="D8" i="33"/>
  <c r="C8" i="33"/>
  <c r="F7" i="33"/>
  <c r="E7" i="33"/>
  <c r="D7" i="33"/>
  <c r="C7" i="33"/>
  <c r="J6" i="33"/>
  <c r="F6" i="33"/>
  <c r="E6" i="33"/>
  <c r="D6" i="33"/>
  <c r="C6" i="33"/>
  <c r="V9" i="20"/>
  <c r="V10" i="20"/>
  <c r="V11" i="20"/>
  <c r="V12" i="20"/>
  <c r="V13" i="20"/>
  <c r="V14" i="20"/>
  <c r="V15" i="20"/>
  <c r="V16" i="20"/>
  <c r="V17" i="20"/>
  <c r="V18" i="20"/>
  <c r="V19" i="20"/>
  <c r="V20" i="20"/>
  <c r="V21" i="20"/>
  <c r="V22" i="20"/>
  <c r="V23" i="20"/>
  <c r="V24" i="20"/>
  <c r="V25" i="20"/>
  <c r="V26" i="20"/>
  <c r="V27" i="20"/>
  <c r="V28" i="20"/>
  <c r="V29" i="20"/>
  <c r="V30" i="20"/>
  <c r="V31" i="20"/>
  <c r="V32" i="20"/>
  <c r="V33" i="20"/>
  <c r="V34" i="20"/>
  <c r="V35" i="20"/>
  <c r="V36" i="20"/>
  <c r="V37" i="20"/>
  <c r="V38" i="20"/>
  <c r="V39" i="20"/>
  <c r="V40" i="20"/>
  <c r="V41" i="20"/>
  <c r="V42" i="20"/>
  <c r="V43" i="20"/>
  <c r="V44" i="20"/>
  <c r="V45" i="20"/>
  <c r="V46" i="20"/>
  <c r="V47" i="20"/>
  <c r="V48" i="20"/>
  <c r="V49" i="20"/>
  <c r="V50" i="20"/>
  <c r="V51" i="20"/>
  <c r="V52" i="20"/>
  <c r="V53" i="20"/>
  <c r="V54" i="20"/>
  <c r="V55" i="20"/>
  <c r="V56" i="20"/>
  <c r="V57" i="20"/>
  <c r="V58" i="20"/>
  <c r="V59" i="20"/>
  <c r="V60" i="20"/>
  <c r="V61" i="20"/>
  <c r="V62" i="20"/>
  <c r="V63" i="20"/>
  <c r="V64" i="20"/>
  <c r="V65" i="20"/>
  <c r="V66" i="20"/>
  <c r="V67" i="20"/>
  <c r="V68" i="20"/>
  <c r="V69" i="20"/>
  <c r="V70" i="20"/>
  <c r="V71" i="20"/>
  <c r="V72" i="20"/>
  <c r="V73" i="20"/>
  <c r="V74" i="20"/>
  <c r="V75" i="20"/>
  <c r="V76" i="20"/>
  <c r="V77" i="20"/>
  <c r="V78" i="20"/>
  <c r="V79" i="20"/>
  <c r="V80" i="20"/>
  <c r="V81" i="20"/>
  <c r="V82" i="20"/>
  <c r="V83" i="20"/>
  <c r="V84" i="20"/>
  <c r="V687" i="20"/>
  <c r="V86" i="20"/>
  <c r="V87" i="20"/>
  <c r="V88" i="20"/>
  <c r="V89" i="20"/>
  <c r="V90" i="20"/>
  <c r="V91" i="20"/>
  <c r="V92" i="20"/>
  <c r="V93" i="20"/>
  <c r="V94" i="20"/>
  <c r="V95" i="20"/>
  <c r="V96" i="20"/>
  <c r="V97" i="20"/>
  <c r="V98" i="20"/>
  <c r="V645" i="20"/>
  <c r="V100" i="20"/>
  <c r="V101" i="20"/>
  <c r="V102" i="20"/>
  <c r="V103" i="20"/>
  <c r="V104" i="20"/>
  <c r="V105" i="20"/>
  <c r="V106" i="20"/>
  <c r="V107" i="20"/>
  <c r="V108" i="20"/>
  <c r="V109" i="20"/>
  <c r="V110" i="20"/>
  <c r="V111" i="20"/>
  <c r="V112" i="20"/>
  <c r="V113" i="20"/>
  <c r="V114" i="20"/>
  <c r="V115" i="20"/>
  <c r="V116" i="20"/>
  <c r="V117" i="20"/>
  <c r="V118" i="20"/>
  <c r="V119" i="20"/>
  <c r="V120" i="20"/>
  <c r="V121" i="20"/>
  <c r="V122" i="20"/>
  <c r="V123" i="20"/>
  <c r="V124" i="20"/>
  <c r="V125" i="20"/>
  <c r="V126" i="20"/>
  <c r="V127" i="20"/>
  <c r="V128" i="20"/>
  <c r="V129" i="20"/>
  <c r="V130" i="20"/>
  <c r="V131" i="20"/>
  <c r="V132" i="20"/>
  <c r="V133" i="20"/>
  <c r="V134" i="20"/>
  <c r="V135" i="20"/>
  <c r="V136" i="20"/>
  <c r="V137" i="20"/>
  <c r="V138" i="20"/>
  <c r="V139" i="20"/>
  <c r="V140" i="20"/>
  <c r="V141" i="20"/>
  <c r="V142" i="20"/>
  <c r="V143" i="20"/>
  <c r="V144" i="20"/>
  <c r="V145" i="20"/>
  <c r="V146" i="20"/>
  <c r="V147" i="20"/>
  <c r="V148" i="20"/>
  <c r="V149" i="20"/>
  <c r="V150" i="20"/>
  <c r="V151" i="20"/>
  <c r="V152" i="20"/>
  <c r="V153" i="20"/>
  <c r="V154" i="20"/>
  <c r="V155" i="20"/>
  <c r="V156" i="20"/>
  <c r="V157" i="20"/>
  <c r="V158" i="20"/>
  <c r="V159" i="20"/>
  <c r="V160" i="20"/>
  <c r="V161" i="20"/>
  <c r="V162" i="20"/>
  <c r="V163" i="20"/>
  <c r="V164" i="20"/>
  <c r="V165" i="20"/>
  <c r="V166" i="20"/>
  <c r="V167" i="20"/>
  <c r="V168" i="20"/>
  <c r="V169" i="20"/>
  <c r="V170" i="20"/>
  <c r="V171" i="20"/>
  <c r="V172" i="20"/>
  <c r="V173" i="20"/>
  <c r="V174" i="20"/>
  <c r="V175" i="20"/>
  <c r="V176" i="20"/>
  <c r="V177" i="20"/>
  <c r="V178" i="20"/>
  <c r="V179" i="20"/>
  <c r="V180" i="20"/>
  <c r="V181" i="20"/>
  <c r="V182" i="20"/>
  <c r="V183" i="20"/>
  <c r="V184" i="20"/>
  <c r="V185" i="20"/>
  <c r="V186" i="20"/>
  <c r="V187" i="20"/>
  <c r="V188" i="20"/>
  <c r="V189" i="20"/>
  <c r="V190" i="20"/>
  <c r="V191" i="20"/>
  <c r="V192" i="20"/>
  <c r="V193" i="20"/>
  <c r="V194" i="20"/>
  <c r="V195" i="20"/>
  <c r="V196" i="20"/>
  <c r="V197" i="20"/>
  <c r="V198" i="20"/>
  <c r="V199" i="20"/>
  <c r="V200" i="20"/>
  <c r="V201" i="20"/>
  <c r="V202" i="20"/>
  <c r="V203" i="20"/>
  <c r="V204" i="20"/>
  <c r="V205" i="20"/>
  <c r="V206" i="20"/>
  <c r="V207" i="20"/>
  <c r="V208" i="20"/>
  <c r="V209" i="20"/>
  <c r="V210" i="20"/>
  <c r="V211" i="20"/>
  <c r="V212" i="20"/>
  <c r="V213" i="20"/>
  <c r="V214" i="20"/>
  <c r="V215" i="20"/>
  <c r="V216" i="20"/>
  <c r="V217" i="20"/>
  <c r="V218" i="20"/>
  <c r="V219" i="20"/>
  <c r="V220" i="20"/>
  <c r="V221" i="20"/>
  <c r="V222" i="20"/>
  <c r="V223" i="20"/>
  <c r="V224" i="20"/>
  <c r="V225" i="20"/>
  <c r="V226" i="20"/>
  <c r="V227" i="20"/>
  <c r="V228" i="20"/>
  <c r="V229" i="20"/>
  <c r="V230" i="20"/>
  <c r="V231" i="20"/>
  <c r="V232" i="20"/>
  <c r="V233" i="20"/>
  <c r="V234" i="20"/>
  <c r="V235" i="20"/>
  <c r="V236" i="20"/>
  <c r="V237" i="20"/>
  <c r="V238" i="20"/>
  <c r="V239" i="20"/>
  <c r="V240" i="20"/>
  <c r="V241" i="20"/>
  <c r="V242" i="20"/>
  <c r="V243" i="20"/>
  <c r="V244" i="20"/>
  <c r="V245" i="20"/>
  <c r="V246" i="20"/>
  <c r="V247" i="20"/>
  <c r="V248" i="20"/>
  <c r="V249" i="20"/>
  <c r="V250" i="20"/>
  <c r="V251" i="20"/>
  <c r="V252" i="20"/>
  <c r="V253" i="20"/>
  <c r="V254" i="20"/>
  <c r="V255" i="20"/>
  <c r="V256" i="20"/>
  <c r="V257" i="20"/>
  <c r="V258" i="20"/>
  <c r="V259" i="20"/>
  <c r="V260" i="20"/>
  <c r="V261" i="20"/>
  <c r="V262" i="20"/>
  <c r="V263" i="20"/>
  <c r="V264" i="20"/>
  <c r="V265" i="20"/>
  <c r="V266" i="20"/>
  <c r="V267" i="20"/>
  <c r="V268" i="20"/>
  <c r="V269" i="20"/>
  <c r="V270" i="20"/>
  <c r="V271" i="20"/>
  <c r="V272" i="20"/>
  <c r="V273" i="20"/>
  <c r="V274" i="20"/>
  <c r="V275" i="20"/>
  <c r="V276" i="20"/>
  <c r="V277" i="20"/>
  <c r="V278" i="20"/>
  <c r="V279" i="20"/>
  <c r="V280" i="20"/>
  <c r="V281" i="20"/>
  <c r="V282" i="20"/>
  <c r="V283" i="20"/>
  <c r="V284" i="20"/>
  <c r="V285" i="20"/>
  <c r="V286" i="20"/>
  <c r="V287" i="20"/>
  <c r="V288" i="20"/>
  <c r="V289" i="20"/>
  <c r="V290" i="20"/>
  <c r="V291" i="20"/>
  <c r="V292" i="20"/>
  <c r="V293" i="20"/>
  <c r="V294" i="20"/>
  <c r="V295" i="20"/>
  <c r="V296" i="20"/>
  <c r="V297" i="20"/>
  <c r="V298" i="20"/>
  <c r="V299" i="20"/>
  <c r="V300" i="20"/>
  <c r="V301" i="20"/>
  <c r="V302" i="20"/>
  <c r="V303" i="20"/>
  <c r="V304" i="20"/>
  <c r="V305" i="20"/>
  <c r="V306" i="20"/>
  <c r="V307" i="20"/>
  <c r="V308" i="20"/>
  <c r="V309" i="20"/>
  <c r="V310" i="20"/>
  <c r="V311" i="20"/>
  <c r="V312" i="20"/>
  <c r="V313" i="20"/>
  <c r="V314" i="20"/>
  <c r="V315" i="20"/>
  <c r="V316" i="20"/>
  <c r="V317" i="20"/>
  <c r="V318" i="20"/>
  <c r="V319" i="20"/>
  <c r="V320" i="20"/>
  <c r="V321" i="20"/>
  <c r="V322" i="20"/>
  <c r="V323" i="20"/>
  <c r="V324" i="20"/>
  <c r="V325" i="20"/>
  <c r="V326" i="20"/>
  <c r="V327" i="20"/>
  <c r="V328" i="20"/>
  <c r="V329" i="20"/>
  <c r="V330" i="20"/>
  <c r="V331" i="20"/>
  <c r="V332" i="20"/>
  <c r="V333" i="20"/>
  <c r="V334" i="20"/>
  <c r="V335" i="20"/>
  <c r="V336" i="20"/>
  <c r="V337" i="20"/>
  <c r="V338" i="20"/>
  <c r="V339" i="20"/>
  <c r="V340" i="20"/>
  <c r="V341" i="20"/>
  <c r="V342" i="20"/>
  <c r="V343" i="20"/>
  <c r="V344" i="20"/>
  <c r="V345" i="20"/>
  <c r="V346" i="20"/>
  <c r="V347" i="20"/>
  <c r="V348" i="20"/>
  <c r="V349" i="20"/>
  <c r="V350" i="20"/>
  <c r="V351" i="20"/>
  <c r="V352" i="20"/>
  <c r="V353" i="20"/>
  <c r="V354" i="20"/>
  <c r="V355" i="20"/>
  <c r="V356" i="20"/>
  <c r="V357" i="20"/>
  <c r="V358" i="20"/>
  <c r="V359" i="20"/>
  <c r="V360" i="20"/>
  <c r="V361" i="20"/>
  <c r="V362" i="20"/>
  <c r="V363" i="20"/>
  <c r="V364" i="20"/>
  <c r="V365" i="20"/>
  <c r="V366" i="20"/>
  <c r="V367" i="20"/>
  <c r="V368" i="20"/>
  <c r="V369" i="20"/>
  <c r="V370" i="20"/>
  <c r="V371" i="20"/>
  <c r="V372" i="20"/>
  <c r="V373" i="20"/>
  <c r="V374" i="20"/>
  <c r="V375" i="20"/>
  <c r="V376" i="20"/>
  <c r="V377" i="20"/>
  <c r="V378" i="20"/>
  <c r="V379" i="20"/>
  <c r="V380" i="20"/>
  <c r="V381" i="20"/>
  <c r="V382" i="20"/>
  <c r="V383" i="20"/>
  <c r="V384" i="20"/>
  <c r="V385" i="20"/>
  <c r="V386" i="20"/>
  <c r="V387" i="20"/>
  <c r="V388" i="20"/>
  <c r="V389" i="20"/>
  <c r="V390" i="20"/>
  <c r="V391" i="20"/>
  <c r="V392" i="20"/>
  <c r="V393" i="20"/>
  <c r="V394" i="20"/>
  <c r="V395" i="20"/>
  <c r="V396" i="20"/>
  <c r="V397" i="20"/>
  <c r="V398" i="20"/>
  <c r="V399" i="20"/>
  <c r="V400" i="20"/>
  <c r="V401" i="20"/>
  <c r="V402" i="20"/>
  <c r="V403" i="20"/>
  <c r="V404" i="20"/>
  <c r="V405" i="20"/>
  <c r="V406" i="20"/>
  <c r="V407" i="20"/>
  <c r="V408" i="20"/>
  <c r="V409" i="20"/>
  <c r="V410" i="20"/>
  <c r="V411" i="20"/>
  <c r="V412" i="20"/>
  <c r="V413" i="20"/>
  <c r="V414" i="20"/>
  <c r="V415" i="20"/>
  <c r="V416" i="20"/>
  <c r="V417" i="20"/>
  <c r="V418" i="20"/>
  <c r="V419" i="20"/>
  <c r="V420" i="20"/>
  <c r="V421" i="20"/>
  <c r="V422" i="20"/>
  <c r="V423" i="20"/>
  <c r="V424" i="20"/>
  <c r="V425" i="20"/>
  <c r="V426" i="20"/>
  <c r="V427" i="20"/>
  <c r="V428" i="20"/>
  <c r="V429" i="20"/>
  <c r="V430" i="20"/>
  <c r="V431" i="20"/>
  <c r="V432" i="20"/>
  <c r="V433" i="20"/>
  <c r="V434" i="20"/>
  <c r="V435" i="20"/>
  <c r="V436" i="20"/>
  <c r="V437" i="20"/>
  <c r="V438" i="20"/>
  <c r="V439" i="20"/>
  <c r="V440" i="20"/>
  <c r="V441" i="20"/>
  <c r="V442" i="20"/>
  <c r="V443" i="20"/>
  <c r="V444" i="20"/>
  <c r="V445" i="20"/>
  <c r="V446" i="20"/>
  <c r="V447" i="20"/>
  <c r="V448" i="20"/>
  <c r="V449" i="20"/>
  <c r="V538" i="20"/>
  <c r="V451" i="20"/>
  <c r="V452" i="20"/>
  <c r="V453" i="20"/>
  <c r="V454" i="20"/>
  <c r="V455" i="20"/>
  <c r="V456" i="20"/>
  <c r="V457" i="20"/>
  <c r="V458" i="20"/>
  <c r="V459" i="20"/>
  <c r="V460" i="20"/>
  <c r="V698" i="20"/>
  <c r="V462" i="20"/>
  <c r="V463" i="20"/>
  <c r="V464" i="20"/>
  <c r="V465" i="20"/>
  <c r="V466" i="20"/>
  <c r="V467" i="20"/>
  <c r="V468" i="20"/>
  <c r="V469" i="20"/>
  <c r="V470" i="20"/>
  <c r="V471" i="20"/>
  <c r="V472" i="20"/>
  <c r="V473" i="20"/>
  <c r="V474" i="20"/>
  <c r="V475" i="20"/>
  <c r="V476" i="20"/>
  <c r="V477" i="20"/>
  <c r="V478" i="20"/>
  <c r="V479" i="20"/>
  <c r="V480" i="20"/>
  <c r="V481" i="20"/>
  <c r="V482" i="20"/>
  <c r="V483" i="20"/>
  <c r="V484" i="20"/>
  <c r="V485" i="20"/>
  <c r="V486" i="20"/>
  <c r="V487" i="20"/>
  <c r="V488" i="20"/>
  <c r="V489" i="20"/>
  <c r="V490" i="20"/>
  <c r="V491" i="20"/>
  <c r="V492" i="20"/>
  <c r="V493" i="20"/>
  <c r="V494" i="20"/>
  <c r="V495" i="20"/>
  <c r="V496" i="20"/>
  <c r="V497" i="20"/>
  <c r="V498" i="20"/>
  <c r="V499" i="20"/>
  <c r="V500" i="20"/>
  <c r="V501" i="20"/>
  <c r="V502" i="20"/>
  <c r="V503" i="20"/>
  <c r="V504" i="20"/>
  <c r="V505" i="20"/>
  <c r="V506" i="20"/>
  <c r="V507" i="20"/>
  <c r="V646" i="20"/>
  <c r="V509" i="20"/>
  <c r="V510" i="20"/>
  <c r="V511" i="20"/>
  <c r="V512" i="20"/>
  <c r="V513" i="20"/>
  <c r="V514" i="20"/>
  <c r="V515" i="20"/>
  <c r="V516" i="20"/>
  <c r="V517" i="20"/>
  <c r="V518" i="20"/>
  <c r="V519" i="20"/>
  <c r="V520" i="20"/>
  <c r="V521" i="20"/>
  <c r="V522" i="20"/>
  <c r="V523" i="20"/>
  <c r="V524" i="20"/>
  <c r="V525" i="20"/>
  <c r="V741" i="20"/>
  <c r="V527" i="20"/>
  <c r="V528" i="20"/>
  <c r="V748" i="20"/>
  <c r="V530" i="20"/>
  <c r="V531" i="20"/>
  <c r="V753" i="20"/>
  <c r="V780" i="20"/>
  <c r="V534" i="20"/>
  <c r="V806" i="20"/>
  <c r="V536" i="20"/>
  <c r="V537" i="20"/>
  <c r="V811" i="20"/>
  <c r="V539" i="20"/>
  <c r="V540" i="20"/>
  <c r="V541" i="20"/>
  <c r="V542" i="20"/>
  <c r="V543" i="20"/>
  <c r="V648" i="20"/>
  <c r="V545" i="20"/>
  <c r="V546" i="20"/>
  <c r="V547" i="20"/>
  <c r="V548" i="20"/>
  <c r="V544" i="20"/>
  <c r="V550" i="20"/>
  <c r="V551" i="20"/>
  <c r="V552" i="20"/>
  <c r="V553" i="20"/>
  <c r="V554" i="20"/>
  <c r="V555" i="20"/>
  <c r="V556" i="20"/>
  <c r="V557" i="20"/>
  <c r="V558" i="20"/>
  <c r="V812" i="20"/>
  <c r="V905" i="20"/>
  <c r="V561" i="20"/>
  <c r="V562" i="20"/>
  <c r="V563" i="20"/>
  <c r="V564" i="20"/>
  <c r="V565" i="20"/>
  <c r="V566" i="20"/>
  <c r="V567" i="20"/>
  <c r="V568" i="20"/>
  <c r="V569" i="20"/>
  <c r="V570" i="20"/>
  <c r="V571" i="20"/>
  <c r="V572" i="20"/>
  <c r="V573" i="20"/>
  <c r="V574" i="20"/>
  <c r="V575" i="20"/>
  <c r="V576" i="20"/>
  <c r="V577" i="20"/>
  <c r="V578" i="20"/>
  <c r="V579" i="20"/>
  <c r="V580" i="20"/>
  <c r="V581" i="20"/>
  <c r="V582" i="20"/>
  <c r="V583" i="20"/>
  <c r="V584" i="20"/>
  <c r="V585" i="20"/>
  <c r="V586" i="20"/>
  <c r="V587" i="20"/>
  <c r="V588" i="20"/>
  <c r="V589" i="20"/>
  <c r="V590" i="20"/>
  <c r="V591" i="20"/>
  <c r="V592" i="20"/>
  <c r="V593" i="20"/>
  <c r="V594" i="20"/>
  <c r="V595" i="20"/>
  <c r="V596" i="20"/>
  <c r="V597" i="20"/>
  <c r="V598" i="20"/>
  <c r="V599" i="20"/>
  <c r="V600" i="20"/>
  <c r="V601" i="20"/>
  <c r="V602" i="20"/>
  <c r="V603" i="20"/>
  <c r="V604" i="20"/>
  <c r="V605" i="20"/>
  <c r="V549" i="20"/>
  <c r="V607" i="20"/>
  <c r="V85" i="20"/>
  <c r="V609" i="20"/>
  <c r="V610" i="20"/>
  <c r="V611" i="20"/>
  <c r="V612" i="20"/>
  <c r="V613" i="20"/>
  <c r="V614" i="20"/>
  <c r="V615" i="20"/>
  <c r="V616" i="20"/>
  <c r="V617" i="20"/>
  <c r="V618" i="20"/>
  <c r="V619" i="20"/>
  <c r="V620" i="20"/>
  <c r="V621" i="20"/>
  <c r="V622" i="20"/>
  <c r="V623" i="20"/>
  <c r="V624" i="20"/>
  <c r="V99" i="20"/>
  <c r="V626" i="20"/>
  <c r="V627" i="20"/>
  <c r="V628" i="20"/>
  <c r="V629" i="20"/>
  <c r="V630" i="20"/>
  <c r="V631" i="20"/>
  <c r="V632" i="20"/>
  <c r="V633" i="20"/>
  <c r="V634" i="20"/>
  <c r="V635" i="20"/>
  <c r="V636" i="20"/>
  <c r="V637" i="20"/>
  <c r="V638" i="20"/>
  <c r="V639" i="20"/>
  <c r="V640" i="20"/>
  <c r="V641" i="20"/>
  <c r="V642" i="20"/>
  <c r="V643" i="20"/>
  <c r="V644" i="20"/>
  <c r="V450" i="20"/>
  <c r="V461" i="20"/>
  <c r="V647" i="20"/>
  <c r="V508" i="20"/>
  <c r="V649" i="20"/>
  <c r="V650" i="20"/>
  <c r="V651" i="20"/>
  <c r="V652" i="20"/>
  <c r="V653" i="20"/>
  <c r="V654" i="20"/>
  <c r="V655" i="20"/>
  <c r="V656" i="20"/>
  <c r="V657" i="20"/>
  <c r="V658" i="20"/>
  <c r="V659" i="20"/>
  <c r="V660" i="20"/>
  <c r="V661" i="20"/>
  <c r="V662" i="20"/>
  <c r="V663" i="20"/>
  <c r="V664" i="20"/>
  <c r="V665" i="20"/>
  <c r="V666" i="20"/>
  <c r="V667" i="20"/>
  <c r="V668" i="20"/>
  <c r="V669" i="20"/>
  <c r="V670" i="20"/>
  <c r="V671" i="20"/>
  <c r="V672" i="20"/>
  <c r="V673" i="20"/>
  <c r="V674" i="20"/>
  <c r="V675" i="20"/>
  <c r="V676" i="20"/>
  <c r="V526" i="20"/>
  <c r="V678" i="20"/>
  <c r="V559" i="20"/>
  <c r="V680" i="20"/>
  <c r="V681" i="20"/>
  <c r="V682" i="20"/>
  <c r="V529" i="20"/>
  <c r="V684" i="20"/>
  <c r="V685" i="20"/>
  <c r="V686" i="20"/>
  <c r="V677" i="20"/>
  <c r="V688" i="20"/>
  <c r="V689" i="20"/>
  <c r="V690" i="20"/>
  <c r="V691" i="20"/>
  <c r="V692" i="20"/>
  <c r="V693" i="20"/>
  <c r="V694" i="20"/>
  <c r="V695" i="20"/>
  <c r="V696" i="20"/>
  <c r="V697" i="20"/>
  <c r="V560" i="20"/>
  <c r="V699" i="20"/>
  <c r="V700" i="20"/>
  <c r="V701" i="20"/>
  <c r="V702" i="20"/>
  <c r="V703" i="20"/>
  <c r="V704" i="20"/>
  <c r="V705" i="20"/>
  <c r="V706" i="20"/>
  <c r="V707" i="20"/>
  <c r="V708" i="20"/>
  <c r="V709" i="20"/>
  <c r="V710" i="20"/>
  <c r="V711" i="20"/>
  <c r="V712" i="20"/>
  <c r="V713" i="20"/>
  <c r="V714" i="20"/>
  <c r="V715" i="20"/>
  <c r="V716" i="20"/>
  <c r="V717" i="20"/>
  <c r="V718" i="20"/>
  <c r="V719" i="20"/>
  <c r="V720" i="20"/>
  <c r="V721" i="20"/>
  <c r="V722" i="20"/>
  <c r="V723" i="20"/>
  <c r="V724" i="20"/>
  <c r="V725" i="20"/>
  <c r="V726" i="20"/>
  <c r="V727" i="20"/>
  <c r="V728" i="20"/>
  <c r="V729" i="20"/>
  <c r="V730" i="20"/>
  <c r="V731" i="20"/>
  <c r="V732" i="20"/>
  <c r="V733" i="20"/>
  <c r="V734" i="20"/>
  <c r="V735" i="20"/>
  <c r="V736" i="20"/>
  <c r="V737" i="20"/>
  <c r="V738" i="20"/>
  <c r="V739" i="20"/>
  <c r="V740" i="20"/>
  <c r="V606" i="20"/>
  <c r="V742" i="20"/>
  <c r="V743" i="20"/>
  <c r="V744" i="20"/>
  <c r="V745" i="20"/>
  <c r="V746" i="20"/>
  <c r="V747" i="20"/>
  <c r="V608" i="20"/>
  <c r="V749" i="20"/>
  <c r="V750" i="20"/>
  <c r="V751" i="20"/>
  <c r="V752" i="20"/>
  <c r="V532" i="20"/>
  <c r="V754" i="20"/>
  <c r="V755" i="20"/>
  <c r="V756" i="20"/>
  <c r="V757" i="20"/>
  <c r="V758" i="20"/>
  <c r="V759" i="20"/>
  <c r="V760" i="20"/>
  <c r="V761" i="20"/>
  <c r="V762" i="20"/>
  <c r="V763" i="20"/>
  <c r="V764" i="20"/>
  <c r="V765" i="20"/>
  <c r="V766" i="20"/>
  <c r="V767" i="20"/>
  <c r="V768" i="20"/>
  <c r="V769" i="20"/>
  <c r="V770" i="20"/>
  <c r="V771" i="20"/>
  <c r="V772" i="20"/>
  <c r="V773" i="20"/>
  <c r="V774" i="20"/>
  <c r="V775" i="20"/>
  <c r="V776" i="20"/>
  <c r="V777" i="20"/>
  <c r="V778" i="20"/>
  <c r="V779" i="20"/>
  <c r="V679" i="20"/>
  <c r="V781" i="20"/>
  <c r="V782" i="20"/>
  <c r="V783" i="20"/>
  <c r="V784" i="20"/>
  <c r="V785" i="20"/>
  <c r="V786" i="20"/>
  <c r="V787" i="20"/>
  <c r="V788" i="20"/>
  <c r="V789" i="20"/>
  <c r="V790" i="20"/>
  <c r="V791" i="20"/>
  <c r="V792" i="20"/>
  <c r="V793" i="20"/>
  <c r="V794" i="20"/>
  <c r="V795" i="20"/>
  <c r="V796" i="20"/>
  <c r="V797" i="20"/>
  <c r="V798" i="20"/>
  <c r="V799" i="20"/>
  <c r="V800" i="20"/>
  <c r="V801" i="20"/>
  <c r="V802" i="20"/>
  <c r="V803" i="20"/>
  <c r="V804" i="20"/>
  <c r="V805" i="20"/>
  <c r="V533" i="20"/>
  <c r="V807" i="20"/>
  <c r="V808" i="20"/>
  <c r="V809" i="20"/>
  <c r="V810" i="20"/>
  <c r="V683" i="20"/>
  <c r="V535" i="20"/>
  <c r="V813" i="20"/>
  <c r="V814" i="20"/>
  <c r="V815" i="20"/>
  <c r="V816" i="20"/>
  <c r="V817" i="20"/>
  <c r="V818" i="20"/>
  <c r="V819" i="20"/>
  <c r="V820" i="20"/>
  <c r="V821" i="20"/>
  <c r="V822" i="20"/>
  <c r="V823" i="20"/>
  <c r="V824" i="20"/>
  <c r="V825" i="20"/>
  <c r="V826" i="20"/>
  <c r="V827" i="20"/>
  <c r="V828" i="20"/>
  <c r="V829" i="20"/>
  <c r="V830" i="20"/>
  <c r="V831" i="20"/>
  <c r="V832" i="20"/>
  <c r="V833" i="20"/>
  <c r="V834" i="20"/>
  <c r="V835" i="20"/>
  <c r="V836" i="20"/>
  <c r="V837" i="20"/>
  <c r="V838" i="20"/>
  <c r="V839" i="20"/>
  <c r="V840" i="20"/>
  <c r="V841" i="20"/>
  <c r="V842" i="20"/>
  <c r="V843" i="20"/>
  <c r="V844" i="20"/>
  <c r="V845" i="20"/>
  <c r="V846" i="20"/>
  <c r="V847" i="20"/>
  <c r="V848" i="20"/>
  <c r="V849" i="20"/>
  <c r="V850" i="20"/>
  <c r="V851" i="20"/>
  <c r="V852" i="20"/>
  <c r="V853" i="20"/>
  <c r="V854" i="20"/>
  <c r="V855" i="20"/>
  <c r="V856" i="20"/>
  <c r="V857" i="20"/>
  <c r="V858" i="20"/>
  <c r="V859" i="20"/>
  <c r="V860" i="20"/>
  <c r="V861" i="20"/>
  <c r="V862" i="20"/>
  <c r="V863" i="20"/>
  <c r="V864" i="20"/>
  <c r="V865" i="20"/>
  <c r="V866" i="20"/>
  <c r="V867" i="20"/>
  <c r="V868" i="20"/>
  <c r="V869" i="20"/>
  <c r="V870" i="20"/>
  <c r="V871" i="20"/>
  <c r="V872" i="20"/>
  <c r="V873" i="20"/>
  <c r="V874" i="20"/>
  <c r="V875" i="20"/>
  <c r="V876" i="20"/>
  <c r="V877" i="20"/>
  <c r="V878" i="20"/>
  <c r="V879" i="20"/>
  <c r="V880" i="20"/>
  <c r="V881" i="20"/>
  <c r="V882" i="20"/>
  <c r="V883" i="20"/>
  <c r="V884" i="20"/>
  <c r="V885" i="20"/>
  <c r="V886" i="20"/>
  <c r="V887" i="20"/>
  <c r="V888" i="20"/>
  <c r="V889" i="20"/>
  <c r="V890" i="20"/>
  <c r="V891" i="20"/>
  <c r="V892" i="20"/>
  <c r="V893" i="20"/>
  <c r="V894" i="20"/>
  <c r="V895" i="20"/>
  <c r="V896" i="20"/>
  <c r="V897" i="20"/>
  <c r="V898" i="20"/>
  <c r="V899" i="20"/>
  <c r="V900" i="20"/>
  <c r="V901" i="20"/>
  <c r="V902" i="20"/>
  <c r="V903" i="20"/>
  <c r="V904" i="20"/>
  <c r="V911" i="20"/>
  <c r="V906" i="20"/>
  <c r="V907" i="20"/>
  <c r="V908" i="20"/>
  <c r="V909" i="20"/>
  <c r="V910" i="20"/>
  <c r="V625" i="20"/>
  <c r="V912" i="20"/>
  <c r="V913" i="20"/>
  <c r="V914" i="20"/>
  <c r="V915" i="20"/>
  <c r="V916" i="20"/>
  <c r="V917" i="20"/>
  <c r="V918" i="20"/>
  <c r="V919" i="20"/>
  <c r="V920" i="20"/>
  <c r="V921" i="20"/>
  <c r="V922" i="20"/>
  <c r="V923" i="20"/>
  <c r="V924" i="20"/>
  <c r="V925" i="20"/>
  <c r="V926" i="20"/>
  <c r="V927" i="20"/>
  <c r="V928" i="20"/>
  <c r="V929" i="20"/>
  <c r="V930" i="20"/>
  <c r="V931" i="20"/>
  <c r="V932" i="20"/>
  <c r="V933" i="20"/>
  <c r="V934" i="20"/>
  <c r="V935" i="20"/>
  <c r="V936" i="20"/>
  <c r="V937" i="20"/>
  <c r="V938" i="20"/>
  <c r="V939" i="20"/>
  <c r="V940" i="20"/>
  <c r="V941" i="20"/>
  <c r="V942" i="20"/>
  <c r="V943" i="20"/>
  <c r="V944" i="20"/>
  <c r="V945" i="20"/>
  <c r="V946" i="20"/>
  <c r="V947" i="20"/>
  <c r="V948" i="20"/>
  <c r="V949" i="20"/>
  <c r="V950" i="20"/>
  <c r="V951" i="20"/>
  <c r="V952" i="20"/>
  <c r="V953" i="20"/>
  <c r="V954" i="20"/>
  <c r="V955" i="20"/>
  <c r="V956" i="20"/>
  <c r="V957" i="20"/>
  <c r="V958" i="20"/>
  <c r="V959" i="20"/>
  <c r="V960" i="20"/>
  <c r="V961" i="20"/>
  <c r="V962" i="20"/>
  <c r="V963" i="20"/>
  <c r="V964" i="20"/>
  <c r="V965" i="20"/>
  <c r="V966" i="20"/>
  <c r="V967" i="20"/>
  <c r="V968" i="20"/>
  <c r="V969" i="20"/>
  <c r="V970" i="20"/>
  <c r="V971" i="20"/>
  <c r="V972" i="20"/>
  <c r="V973" i="20"/>
  <c r="V974" i="20"/>
  <c r="V975" i="20"/>
  <c r="V976" i="20"/>
  <c r="V977" i="20"/>
  <c r="V978" i="20"/>
  <c r="V979" i="20"/>
  <c r="V980" i="20"/>
  <c r="V981" i="20"/>
  <c r="V982" i="20"/>
  <c r="V983" i="20"/>
  <c r="V984" i="20"/>
  <c r="V985" i="20"/>
  <c r="V986" i="20"/>
  <c r="V987" i="20"/>
  <c r="V988" i="20"/>
  <c r="V1019" i="20"/>
  <c r="V1020" i="20"/>
  <c r="V1021" i="20"/>
  <c r="V1022" i="20"/>
  <c r="V1023" i="20"/>
  <c r="V1024" i="20"/>
  <c r="V1025" i="20"/>
  <c r="V1026" i="20"/>
  <c r="V1027" i="20"/>
  <c r="V1028" i="20"/>
  <c r="V1029" i="20"/>
  <c r="V1030" i="20"/>
  <c r="V1031" i="20"/>
  <c r="V1045" i="20"/>
  <c r="V1046" i="20"/>
  <c r="V1047" i="20"/>
  <c r="V1048" i="20"/>
  <c r="V1049" i="20"/>
  <c r="V1050" i="20"/>
  <c r="V1051" i="20"/>
  <c r="V1052" i="20"/>
  <c r="V1053" i="20"/>
  <c r="V1054" i="20"/>
  <c r="V1055" i="20"/>
  <c r="V1056" i="20"/>
  <c r="V1057" i="20"/>
  <c r="V1058" i="20"/>
  <c r="V1059" i="20"/>
  <c r="V1060" i="20"/>
  <c r="V1061" i="20"/>
  <c r="V1062" i="20"/>
  <c r="V1063" i="20"/>
  <c r="V1064" i="20"/>
  <c r="V1065" i="20"/>
  <c r="V1066" i="20"/>
  <c r="V1067" i="20"/>
  <c r="V1068" i="20"/>
  <c r="V1069" i="20"/>
  <c r="V1070" i="20"/>
  <c r="V1071" i="20"/>
  <c r="V1072" i="20"/>
  <c r="V1073" i="20"/>
  <c r="V1074" i="20"/>
  <c r="V1075" i="20"/>
  <c r="V1076" i="20"/>
  <c r="V1077" i="20"/>
  <c r="V1078" i="20"/>
  <c r="V1079" i="20"/>
  <c r="V1080" i="20"/>
  <c r="V1081" i="20"/>
  <c r="V1082" i="20"/>
  <c r="V1083" i="20"/>
  <c r="V1084" i="20"/>
  <c r="V1085" i="20"/>
  <c r="V1086" i="20"/>
  <c r="V1087" i="20"/>
  <c r="V1088" i="20"/>
  <c r="V1089" i="20"/>
  <c r="V1090" i="20"/>
  <c r="V1091" i="20"/>
  <c r="V1092" i="20"/>
  <c r="V1093" i="20"/>
  <c r="V1094" i="20"/>
  <c r="V1095" i="20"/>
  <c r="V1096" i="20"/>
  <c r="V1097" i="20"/>
  <c r="V1098" i="20"/>
  <c r="V1099" i="20"/>
  <c r="V1100" i="20"/>
  <c r="V1101" i="20"/>
  <c r="V1102" i="20"/>
  <c r="V1103" i="20"/>
  <c r="V1104" i="20"/>
  <c r="V1105" i="20"/>
  <c r="V1106" i="20"/>
  <c r="V1107" i="20"/>
  <c r="V1108" i="20"/>
  <c r="V1109" i="20"/>
  <c r="V1110" i="20"/>
  <c r="V1111" i="20"/>
  <c r="V1112" i="20"/>
  <c r="V1113" i="20"/>
  <c r="V1114" i="20"/>
  <c r="V1115" i="20"/>
  <c r="V1116" i="20"/>
  <c r="V1117" i="20"/>
  <c r="V1118" i="20"/>
  <c r="V1119" i="20"/>
  <c r="V1120" i="20"/>
  <c r="V1121" i="20"/>
  <c r="V1122" i="20"/>
  <c r="V1123" i="20"/>
  <c r="V1124" i="20"/>
  <c r="V1125" i="20"/>
  <c r="V1126" i="20"/>
  <c r="V1127" i="20"/>
  <c r="V1128" i="20"/>
  <c r="V1129" i="20"/>
  <c r="V1130" i="20"/>
  <c r="V1131" i="20"/>
  <c r="V1132" i="20"/>
  <c r="V1133" i="20"/>
  <c r="V1134" i="20"/>
  <c r="V1135" i="20"/>
  <c r="V1136" i="20"/>
  <c r="V1137" i="20"/>
  <c r="V1138" i="20"/>
  <c r="V1139" i="20"/>
  <c r="V1140" i="20"/>
  <c r="V1141" i="20"/>
  <c r="V1142" i="20"/>
  <c r="V1143" i="20"/>
  <c r="V1144" i="20"/>
  <c r="V1145" i="20"/>
  <c r="V1146" i="20"/>
  <c r="V1147" i="20"/>
  <c r="V1148" i="20"/>
  <c r="V1149" i="20"/>
  <c r="V1150" i="20"/>
  <c r="V1151" i="20"/>
  <c r="V1152" i="20"/>
  <c r="V1153" i="20"/>
  <c r="V1154" i="20"/>
  <c r="V1155" i="20"/>
  <c r="V1156" i="20"/>
  <c r="V1157" i="20"/>
  <c r="V1158" i="20"/>
  <c r="V1159" i="20"/>
  <c r="V1160" i="20"/>
  <c r="V1161" i="20"/>
  <c r="V1162" i="20"/>
  <c r="V1163" i="20"/>
  <c r="V1164" i="20"/>
  <c r="V1201" i="20"/>
  <c r="V1202" i="20"/>
  <c r="V1203" i="20"/>
  <c r="V1204" i="20"/>
  <c r="V1205" i="20"/>
  <c r="V1206" i="20"/>
  <c r="V1207" i="20"/>
  <c r="V1208" i="20"/>
  <c r="V1209" i="20"/>
  <c r="V1210" i="20"/>
  <c r="V1211" i="20"/>
  <c r="V1212" i="20"/>
  <c r="V1213" i="20"/>
  <c r="V1214" i="20"/>
  <c r="V1215" i="20"/>
  <c r="V1216" i="20"/>
  <c r="V1217" i="20"/>
  <c r="V1218" i="20"/>
  <c r="V1219" i="20"/>
  <c r="V1220" i="20"/>
  <c r="V1221" i="20"/>
  <c r="V1222" i="20"/>
  <c r="V1223" i="20"/>
  <c r="V1224" i="20"/>
  <c r="V1225" i="20"/>
  <c r="V1226" i="20"/>
  <c r="V1227" i="20"/>
  <c r="V1228" i="20"/>
  <c r="V1229" i="20"/>
  <c r="V1230" i="20"/>
  <c r="V1231" i="20"/>
  <c r="V1232" i="20"/>
  <c r="V1240" i="20"/>
  <c r="V1241" i="20"/>
  <c r="V1242" i="20"/>
  <c r="V1243" i="20"/>
  <c r="V1244" i="20"/>
  <c r="V1245" i="20"/>
  <c r="V1246" i="20"/>
  <c r="V1247" i="20"/>
  <c r="V1248" i="20"/>
  <c r="V1249" i="20"/>
  <c r="V1250" i="20"/>
  <c r="V1251" i="20"/>
  <c r="V1252" i="20"/>
  <c r="V1253" i="20"/>
  <c r="V1254" i="20"/>
  <c r="V1255" i="20"/>
  <c r="V1256" i="20"/>
  <c r="T9" i="20"/>
  <c r="T10" i="20"/>
  <c r="T11" i="20"/>
  <c r="T12" i="20"/>
  <c r="T13" i="20"/>
  <c r="T14" i="20"/>
  <c r="T15" i="20"/>
  <c r="T16" i="20"/>
  <c r="T17" i="20"/>
  <c r="T18" i="20"/>
  <c r="T19" i="20"/>
  <c r="T20" i="20"/>
  <c r="T21" i="20"/>
  <c r="T22" i="20"/>
  <c r="T23" i="20"/>
  <c r="T24" i="20"/>
  <c r="T25" i="20"/>
  <c r="T26" i="20"/>
  <c r="T27" i="20"/>
  <c r="T28" i="20"/>
  <c r="T29" i="20"/>
  <c r="T30" i="20"/>
  <c r="T31" i="20"/>
  <c r="T32" i="20"/>
  <c r="T33" i="20"/>
  <c r="T34" i="20"/>
  <c r="T35" i="20"/>
  <c r="T36" i="20"/>
  <c r="T37" i="20"/>
  <c r="T38" i="20"/>
  <c r="T39" i="20"/>
  <c r="T40" i="20"/>
  <c r="T41" i="20"/>
  <c r="T42" i="20"/>
  <c r="T43" i="20"/>
  <c r="T44" i="20"/>
  <c r="T45" i="20"/>
  <c r="T46" i="20"/>
  <c r="T47" i="20"/>
  <c r="T48" i="20"/>
  <c r="T49" i="20"/>
  <c r="T50" i="20"/>
  <c r="T51" i="20"/>
  <c r="T52" i="20"/>
  <c r="T53" i="20"/>
  <c r="T54" i="20"/>
  <c r="T55" i="20"/>
  <c r="T56" i="20"/>
  <c r="T57" i="20"/>
  <c r="T58" i="20"/>
  <c r="T59" i="20"/>
  <c r="T60" i="20"/>
  <c r="T61" i="20"/>
  <c r="T62" i="20"/>
  <c r="T63" i="20"/>
  <c r="T64" i="20"/>
  <c r="T65" i="20"/>
  <c r="T66" i="20"/>
  <c r="T67" i="20"/>
  <c r="T68" i="20"/>
  <c r="T69" i="20"/>
  <c r="T70" i="20"/>
  <c r="T71" i="20"/>
  <c r="T72" i="20"/>
  <c r="T73" i="20"/>
  <c r="T74" i="20"/>
  <c r="T75" i="20"/>
  <c r="T76" i="20"/>
  <c r="T77" i="20"/>
  <c r="T78" i="20"/>
  <c r="T79" i="20"/>
  <c r="T80" i="20"/>
  <c r="T81" i="20"/>
  <c r="T82" i="20"/>
  <c r="T83" i="20"/>
  <c r="T84" i="20"/>
  <c r="T687" i="20"/>
  <c r="T86" i="20"/>
  <c r="T87" i="20"/>
  <c r="T88" i="20"/>
  <c r="T89" i="20"/>
  <c r="T90" i="20"/>
  <c r="T91" i="20"/>
  <c r="T92" i="20"/>
  <c r="T93" i="20"/>
  <c r="T94" i="20"/>
  <c r="T95" i="20"/>
  <c r="T96" i="20"/>
  <c r="T97" i="20"/>
  <c r="T98" i="20"/>
  <c r="T645" i="20"/>
  <c r="T100" i="20"/>
  <c r="T101" i="20"/>
  <c r="T102" i="20"/>
  <c r="T103" i="20"/>
  <c r="T104" i="20"/>
  <c r="T105" i="20"/>
  <c r="T106" i="20"/>
  <c r="T107" i="20"/>
  <c r="T108" i="20"/>
  <c r="T109" i="20"/>
  <c r="T110" i="20"/>
  <c r="T111" i="20"/>
  <c r="T112" i="20"/>
  <c r="T113" i="20"/>
  <c r="T114" i="20"/>
  <c r="T115" i="20"/>
  <c r="T116" i="20"/>
  <c r="T117" i="20"/>
  <c r="T118" i="20"/>
  <c r="T119" i="20"/>
  <c r="T120" i="20"/>
  <c r="T121" i="20"/>
  <c r="T122" i="20"/>
  <c r="T123" i="20"/>
  <c r="T124" i="20"/>
  <c r="T125" i="20"/>
  <c r="T126" i="20"/>
  <c r="T127" i="20"/>
  <c r="T128" i="20"/>
  <c r="T129" i="20"/>
  <c r="T130" i="20"/>
  <c r="T131" i="20"/>
  <c r="T132" i="20"/>
  <c r="T133" i="20"/>
  <c r="T134" i="20"/>
  <c r="T135" i="20"/>
  <c r="T136" i="20"/>
  <c r="T137" i="20"/>
  <c r="T138" i="20"/>
  <c r="T139" i="20"/>
  <c r="T140" i="20"/>
  <c r="T141" i="20"/>
  <c r="T142" i="20"/>
  <c r="T143" i="20"/>
  <c r="T144" i="20"/>
  <c r="T145" i="20"/>
  <c r="T146" i="20"/>
  <c r="T147" i="20"/>
  <c r="T148" i="20"/>
  <c r="T149" i="20"/>
  <c r="T150" i="20"/>
  <c r="T151" i="20"/>
  <c r="T152" i="20"/>
  <c r="T153" i="20"/>
  <c r="T154" i="20"/>
  <c r="T155" i="20"/>
  <c r="T156" i="20"/>
  <c r="T157" i="20"/>
  <c r="T158" i="20"/>
  <c r="T159" i="20"/>
  <c r="T160" i="20"/>
  <c r="T161" i="20"/>
  <c r="T162" i="20"/>
  <c r="T163" i="20"/>
  <c r="T164" i="20"/>
  <c r="T165" i="20"/>
  <c r="T166" i="20"/>
  <c r="T167" i="20"/>
  <c r="T168" i="20"/>
  <c r="T169" i="20"/>
  <c r="T170" i="20"/>
  <c r="T171" i="20"/>
  <c r="T172" i="20"/>
  <c r="T173" i="20"/>
  <c r="T174" i="20"/>
  <c r="T175" i="20"/>
  <c r="T176" i="20"/>
  <c r="T177" i="20"/>
  <c r="T178" i="20"/>
  <c r="T179" i="20"/>
  <c r="T180" i="20"/>
  <c r="T181" i="20"/>
  <c r="T182" i="20"/>
  <c r="T183" i="20"/>
  <c r="T184" i="20"/>
  <c r="T185" i="20"/>
  <c r="T186" i="20"/>
  <c r="T187" i="20"/>
  <c r="T188" i="20"/>
  <c r="T189" i="20"/>
  <c r="T190" i="20"/>
  <c r="T191" i="20"/>
  <c r="T192" i="20"/>
  <c r="T193" i="20"/>
  <c r="T194" i="20"/>
  <c r="T195" i="20"/>
  <c r="T196" i="20"/>
  <c r="T197" i="20"/>
  <c r="T198" i="20"/>
  <c r="T199" i="20"/>
  <c r="T200" i="20"/>
  <c r="T201" i="20"/>
  <c r="T202" i="20"/>
  <c r="T203" i="20"/>
  <c r="T204" i="20"/>
  <c r="T205" i="20"/>
  <c r="T206" i="20"/>
  <c r="T207" i="20"/>
  <c r="T208" i="20"/>
  <c r="T209" i="20"/>
  <c r="T210" i="20"/>
  <c r="T211" i="20"/>
  <c r="T212" i="20"/>
  <c r="T213" i="20"/>
  <c r="T214" i="20"/>
  <c r="T215" i="20"/>
  <c r="T216" i="20"/>
  <c r="T217" i="20"/>
  <c r="T218" i="20"/>
  <c r="T219" i="20"/>
  <c r="T220" i="20"/>
  <c r="T221" i="20"/>
  <c r="T222" i="20"/>
  <c r="T223" i="20"/>
  <c r="T224" i="20"/>
  <c r="T225" i="20"/>
  <c r="T226" i="20"/>
  <c r="T227" i="20"/>
  <c r="T228" i="20"/>
  <c r="T229" i="20"/>
  <c r="T230" i="20"/>
  <c r="T231" i="20"/>
  <c r="T232" i="20"/>
  <c r="T233" i="20"/>
  <c r="T234" i="20"/>
  <c r="T235" i="20"/>
  <c r="T236" i="20"/>
  <c r="T237" i="20"/>
  <c r="T238" i="20"/>
  <c r="T239" i="20"/>
  <c r="T240" i="20"/>
  <c r="T241" i="20"/>
  <c r="T242" i="20"/>
  <c r="T243" i="20"/>
  <c r="T244" i="20"/>
  <c r="T245" i="20"/>
  <c r="T246" i="20"/>
  <c r="T247" i="20"/>
  <c r="T248" i="20"/>
  <c r="T249" i="20"/>
  <c r="T250" i="20"/>
  <c r="T251" i="20"/>
  <c r="T252" i="20"/>
  <c r="T253" i="20"/>
  <c r="T254" i="20"/>
  <c r="T255" i="20"/>
  <c r="T256" i="20"/>
  <c r="T257" i="20"/>
  <c r="T258" i="20"/>
  <c r="T259" i="20"/>
  <c r="T260" i="20"/>
  <c r="T261" i="20"/>
  <c r="T262" i="20"/>
  <c r="T263" i="20"/>
  <c r="T264" i="20"/>
  <c r="T265" i="20"/>
  <c r="T266" i="20"/>
  <c r="T267" i="20"/>
  <c r="T268" i="20"/>
  <c r="T269" i="20"/>
  <c r="T270" i="20"/>
  <c r="T271" i="20"/>
  <c r="T272" i="20"/>
  <c r="T273" i="20"/>
  <c r="T274" i="20"/>
  <c r="T275" i="20"/>
  <c r="T276" i="20"/>
  <c r="T277" i="20"/>
  <c r="T278" i="20"/>
  <c r="T279" i="20"/>
  <c r="T280" i="20"/>
  <c r="T281" i="20"/>
  <c r="T282" i="20"/>
  <c r="T283" i="20"/>
  <c r="T284" i="20"/>
  <c r="T285" i="20"/>
  <c r="T286" i="20"/>
  <c r="T287" i="20"/>
  <c r="T288" i="20"/>
  <c r="T289" i="20"/>
  <c r="T290" i="20"/>
  <c r="T291" i="20"/>
  <c r="T292" i="20"/>
  <c r="T293" i="20"/>
  <c r="T294" i="20"/>
  <c r="T295" i="20"/>
  <c r="T296" i="20"/>
  <c r="T297" i="20"/>
  <c r="T298" i="20"/>
  <c r="T299" i="20"/>
  <c r="T300" i="20"/>
  <c r="T301" i="20"/>
  <c r="T302" i="20"/>
  <c r="T303" i="20"/>
  <c r="T304" i="20"/>
  <c r="T305" i="20"/>
  <c r="T306" i="20"/>
  <c r="T307" i="20"/>
  <c r="T308" i="20"/>
  <c r="T309" i="20"/>
  <c r="T310" i="20"/>
  <c r="T311" i="20"/>
  <c r="T312" i="20"/>
  <c r="T313" i="20"/>
  <c r="T314" i="20"/>
  <c r="T315" i="20"/>
  <c r="T316" i="20"/>
  <c r="T317" i="20"/>
  <c r="T318" i="20"/>
  <c r="T319" i="20"/>
  <c r="T320" i="20"/>
  <c r="T321" i="20"/>
  <c r="T322" i="20"/>
  <c r="T323" i="20"/>
  <c r="T324" i="20"/>
  <c r="T325" i="20"/>
  <c r="T326" i="20"/>
  <c r="T327" i="20"/>
  <c r="T328" i="20"/>
  <c r="T329" i="20"/>
  <c r="T330" i="20"/>
  <c r="T331" i="20"/>
  <c r="T332" i="20"/>
  <c r="T333" i="20"/>
  <c r="T334" i="20"/>
  <c r="T335" i="20"/>
  <c r="T336" i="20"/>
  <c r="T337" i="20"/>
  <c r="T338" i="20"/>
  <c r="T339" i="20"/>
  <c r="T340" i="20"/>
  <c r="T341" i="20"/>
  <c r="T342" i="20"/>
  <c r="T343" i="20"/>
  <c r="T344" i="20"/>
  <c r="T345" i="20"/>
  <c r="T346" i="20"/>
  <c r="T347" i="20"/>
  <c r="T348" i="20"/>
  <c r="T349" i="20"/>
  <c r="T350" i="20"/>
  <c r="T351" i="20"/>
  <c r="T352" i="20"/>
  <c r="T353" i="20"/>
  <c r="T354" i="20"/>
  <c r="T355" i="20"/>
  <c r="T356" i="20"/>
  <c r="T357" i="20"/>
  <c r="T358" i="20"/>
  <c r="T359" i="20"/>
  <c r="T360" i="20"/>
  <c r="T361" i="20"/>
  <c r="T362" i="20"/>
  <c r="T363" i="20"/>
  <c r="T364" i="20"/>
  <c r="T365" i="20"/>
  <c r="T366" i="20"/>
  <c r="T367" i="20"/>
  <c r="T368" i="20"/>
  <c r="T369" i="20"/>
  <c r="T370" i="20"/>
  <c r="T371" i="20"/>
  <c r="T372" i="20"/>
  <c r="T373" i="20"/>
  <c r="T374" i="20"/>
  <c r="T375" i="20"/>
  <c r="T376" i="20"/>
  <c r="T377" i="20"/>
  <c r="T378" i="20"/>
  <c r="T379" i="20"/>
  <c r="T380" i="20"/>
  <c r="T381" i="20"/>
  <c r="T382" i="20"/>
  <c r="T383" i="20"/>
  <c r="T384" i="20"/>
  <c r="T385" i="20"/>
  <c r="T386" i="20"/>
  <c r="T387" i="20"/>
  <c r="T388" i="20"/>
  <c r="T389" i="20"/>
  <c r="T390" i="20"/>
  <c r="T391" i="20"/>
  <c r="T392" i="20"/>
  <c r="T393" i="20"/>
  <c r="T394" i="20"/>
  <c r="T395" i="20"/>
  <c r="T396" i="20"/>
  <c r="T397" i="20"/>
  <c r="T398" i="20"/>
  <c r="T399" i="20"/>
  <c r="T400" i="20"/>
  <c r="T401" i="20"/>
  <c r="T402" i="20"/>
  <c r="T403" i="20"/>
  <c r="T404" i="20"/>
  <c r="T405" i="20"/>
  <c r="T406" i="20"/>
  <c r="T407" i="20"/>
  <c r="T408" i="20"/>
  <c r="T409" i="20"/>
  <c r="T410" i="20"/>
  <c r="T411" i="20"/>
  <c r="T412" i="20"/>
  <c r="T413" i="20"/>
  <c r="T414" i="20"/>
  <c r="T415" i="20"/>
  <c r="T416" i="20"/>
  <c r="T417" i="20"/>
  <c r="T418" i="20"/>
  <c r="T419" i="20"/>
  <c r="T420" i="20"/>
  <c r="T421" i="20"/>
  <c r="T422" i="20"/>
  <c r="T423" i="20"/>
  <c r="T424" i="20"/>
  <c r="T425" i="20"/>
  <c r="T426" i="20"/>
  <c r="T427" i="20"/>
  <c r="T428" i="20"/>
  <c r="T429" i="20"/>
  <c r="T430" i="20"/>
  <c r="T431" i="20"/>
  <c r="T432" i="20"/>
  <c r="T433" i="20"/>
  <c r="T434" i="20"/>
  <c r="T435" i="20"/>
  <c r="T436" i="20"/>
  <c r="T437" i="20"/>
  <c r="T438" i="20"/>
  <c r="T439" i="20"/>
  <c r="T440" i="20"/>
  <c r="T441" i="20"/>
  <c r="T442" i="20"/>
  <c r="T443" i="20"/>
  <c r="T444" i="20"/>
  <c r="T445" i="20"/>
  <c r="T446" i="20"/>
  <c r="T447" i="20"/>
  <c r="T448" i="20"/>
  <c r="T449" i="20"/>
  <c r="T538" i="20"/>
  <c r="T451" i="20"/>
  <c r="T452" i="20"/>
  <c r="T453" i="20"/>
  <c r="T454" i="20"/>
  <c r="T455" i="20"/>
  <c r="T456" i="20"/>
  <c r="T457" i="20"/>
  <c r="T458" i="20"/>
  <c r="T459" i="20"/>
  <c r="T460" i="20"/>
  <c r="T698" i="20"/>
  <c r="T462" i="20"/>
  <c r="T463" i="20"/>
  <c r="T464" i="20"/>
  <c r="T465" i="20"/>
  <c r="T466" i="20"/>
  <c r="T467" i="20"/>
  <c r="T468" i="20"/>
  <c r="T469" i="20"/>
  <c r="T470" i="20"/>
  <c r="T471" i="20"/>
  <c r="T472" i="20"/>
  <c r="T473" i="20"/>
  <c r="T474" i="20"/>
  <c r="T475" i="20"/>
  <c r="T476" i="20"/>
  <c r="T477" i="20"/>
  <c r="T478" i="20"/>
  <c r="T479" i="20"/>
  <c r="T480" i="20"/>
  <c r="T481" i="20"/>
  <c r="T482" i="20"/>
  <c r="T483" i="20"/>
  <c r="T484" i="20"/>
  <c r="T485" i="20"/>
  <c r="T486" i="20"/>
  <c r="T487" i="20"/>
  <c r="T488" i="20"/>
  <c r="T489" i="20"/>
  <c r="T490" i="20"/>
  <c r="T491" i="20"/>
  <c r="T492" i="20"/>
  <c r="T493" i="20"/>
  <c r="T494" i="20"/>
  <c r="T495" i="20"/>
  <c r="T496" i="20"/>
  <c r="T497" i="20"/>
  <c r="T498" i="20"/>
  <c r="T499" i="20"/>
  <c r="T500" i="20"/>
  <c r="T501" i="20"/>
  <c r="T502" i="20"/>
  <c r="T503" i="20"/>
  <c r="T504" i="20"/>
  <c r="T505" i="20"/>
  <c r="T506" i="20"/>
  <c r="T507" i="20"/>
  <c r="T646" i="20"/>
  <c r="T509" i="20"/>
  <c r="T510" i="20"/>
  <c r="T511" i="20"/>
  <c r="T512" i="20"/>
  <c r="T513" i="20"/>
  <c r="T514" i="20"/>
  <c r="T515" i="20"/>
  <c r="T516" i="20"/>
  <c r="T517" i="20"/>
  <c r="T518" i="20"/>
  <c r="T519" i="20"/>
  <c r="T520" i="20"/>
  <c r="T521" i="20"/>
  <c r="T522" i="20"/>
  <c r="T523" i="20"/>
  <c r="T524" i="20"/>
  <c r="T525" i="20"/>
  <c r="T741" i="20"/>
  <c r="T527" i="20"/>
  <c r="T528" i="20"/>
  <c r="T748" i="20"/>
  <c r="T530" i="20"/>
  <c r="T531" i="20"/>
  <c r="T753" i="20"/>
  <c r="T780" i="20"/>
  <c r="T534" i="20"/>
  <c r="T806" i="20"/>
  <c r="T536" i="20"/>
  <c r="T537" i="20"/>
  <c r="T811" i="20"/>
  <c r="T539" i="20"/>
  <c r="T540" i="20"/>
  <c r="T541" i="20"/>
  <c r="T542" i="20"/>
  <c r="T543" i="20"/>
  <c r="T648" i="20"/>
  <c r="T545" i="20"/>
  <c r="T546" i="20"/>
  <c r="T547" i="20"/>
  <c r="T548" i="20"/>
  <c r="T544" i="20"/>
  <c r="T550" i="20"/>
  <c r="T551" i="20"/>
  <c r="T552" i="20"/>
  <c r="T553" i="20"/>
  <c r="T554" i="20"/>
  <c r="T555" i="20"/>
  <c r="T556" i="20"/>
  <c r="T557" i="20"/>
  <c r="T558" i="20"/>
  <c r="T812" i="20"/>
  <c r="T905" i="20"/>
  <c r="T561" i="20"/>
  <c r="T562" i="20"/>
  <c r="T563" i="20"/>
  <c r="T564" i="20"/>
  <c r="T565" i="20"/>
  <c r="T566" i="20"/>
  <c r="T567" i="20"/>
  <c r="T568" i="20"/>
  <c r="T569" i="20"/>
  <c r="T570" i="20"/>
  <c r="T571" i="20"/>
  <c r="T572" i="20"/>
  <c r="T573" i="20"/>
  <c r="T574" i="20"/>
  <c r="T575" i="20"/>
  <c r="T576" i="20"/>
  <c r="T577" i="20"/>
  <c r="T578" i="20"/>
  <c r="T579" i="20"/>
  <c r="T580" i="20"/>
  <c r="T581" i="20"/>
  <c r="T582" i="20"/>
  <c r="T583" i="20"/>
  <c r="T584" i="20"/>
  <c r="T585" i="20"/>
  <c r="T586" i="20"/>
  <c r="T587" i="20"/>
  <c r="T588" i="20"/>
  <c r="T589" i="20"/>
  <c r="T590" i="20"/>
  <c r="T591" i="20"/>
  <c r="T592" i="20"/>
  <c r="T593" i="20"/>
  <c r="T594" i="20"/>
  <c r="T595" i="20"/>
  <c r="T596" i="20"/>
  <c r="T597" i="20"/>
  <c r="T598" i="20"/>
  <c r="T599" i="20"/>
  <c r="T600" i="20"/>
  <c r="T601" i="20"/>
  <c r="T602" i="20"/>
  <c r="T603" i="20"/>
  <c r="T604" i="20"/>
  <c r="T605" i="20"/>
  <c r="T549" i="20"/>
  <c r="T607" i="20"/>
  <c r="T85" i="20"/>
  <c r="T609" i="20"/>
  <c r="T610" i="20"/>
  <c r="T611" i="20"/>
  <c r="T612" i="20"/>
  <c r="T613" i="20"/>
  <c r="T614" i="20"/>
  <c r="T615" i="20"/>
  <c r="T616" i="20"/>
  <c r="T617" i="20"/>
  <c r="T618" i="20"/>
  <c r="T619" i="20"/>
  <c r="T620" i="20"/>
  <c r="T621" i="20"/>
  <c r="T622" i="20"/>
  <c r="T623" i="20"/>
  <c r="T624" i="20"/>
  <c r="T99" i="20"/>
  <c r="T626" i="20"/>
  <c r="T627" i="20"/>
  <c r="T628" i="20"/>
  <c r="T629" i="20"/>
  <c r="T630" i="20"/>
  <c r="T631" i="20"/>
  <c r="T632" i="20"/>
  <c r="T633" i="20"/>
  <c r="T634" i="20"/>
  <c r="T635" i="20"/>
  <c r="T636" i="20"/>
  <c r="T637" i="20"/>
  <c r="T638" i="20"/>
  <c r="T639" i="20"/>
  <c r="T640" i="20"/>
  <c r="T641" i="20"/>
  <c r="T642" i="20"/>
  <c r="T643" i="20"/>
  <c r="T644" i="20"/>
  <c r="T450" i="20"/>
  <c r="T461" i="20"/>
  <c r="T647" i="20"/>
  <c r="T508" i="20"/>
  <c r="T649" i="20"/>
  <c r="T650" i="20"/>
  <c r="T651" i="20"/>
  <c r="T652" i="20"/>
  <c r="T653" i="20"/>
  <c r="T654" i="20"/>
  <c r="T655" i="20"/>
  <c r="T656" i="20"/>
  <c r="T657" i="20"/>
  <c r="T658" i="20"/>
  <c r="T659" i="20"/>
  <c r="T660" i="20"/>
  <c r="T661" i="20"/>
  <c r="T662" i="20"/>
  <c r="T663" i="20"/>
  <c r="T664" i="20"/>
  <c r="T665" i="20"/>
  <c r="T666" i="20"/>
  <c r="T667" i="20"/>
  <c r="T668" i="20"/>
  <c r="T669" i="20"/>
  <c r="T670" i="20"/>
  <c r="T671" i="20"/>
  <c r="T672" i="20"/>
  <c r="T673" i="20"/>
  <c r="T674" i="20"/>
  <c r="T675" i="20"/>
  <c r="T676" i="20"/>
  <c r="T526" i="20"/>
  <c r="T678" i="20"/>
  <c r="T559" i="20"/>
  <c r="T680" i="20"/>
  <c r="T681" i="20"/>
  <c r="T682" i="20"/>
  <c r="T529" i="20"/>
  <c r="T684" i="20"/>
  <c r="T685" i="20"/>
  <c r="T677" i="20"/>
  <c r="T688" i="20"/>
  <c r="T689" i="20"/>
  <c r="T690" i="20"/>
  <c r="T691" i="20"/>
  <c r="T692" i="20"/>
  <c r="T693" i="20"/>
  <c r="T694" i="20"/>
  <c r="T695" i="20"/>
  <c r="T696" i="20"/>
  <c r="T697" i="20"/>
  <c r="T560" i="20"/>
  <c r="T699" i="20"/>
  <c r="T700" i="20"/>
  <c r="T701" i="20"/>
  <c r="T702" i="20"/>
  <c r="T703" i="20"/>
  <c r="T704" i="20"/>
  <c r="T705" i="20"/>
  <c r="T706" i="20"/>
  <c r="T707" i="20"/>
  <c r="T708" i="20"/>
  <c r="T709" i="20"/>
  <c r="T710" i="20"/>
  <c r="T711" i="20"/>
  <c r="T712" i="20"/>
  <c r="T713" i="20"/>
  <c r="T714" i="20"/>
  <c r="T715" i="20"/>
  <c r="T716" i="20"/>
  <c r="T717" i="20"/>
  <c r="T718" i="20"/>
  <c r="T719" i="20"/>
  <c r="T720" i="20"/>
  <c r="T721" i="20"/>
  <c r="T722" i="20"/>
  <c r="T723" i="20"/>
  <c r="T724" i="20"/>
  <c r="T725" i="20"/>
  <c r="T726" i="20"/>
  <c r="T727" i="20"/>
  <c r="T728" i="20"/>
  <c r="T729" i="20"/>
  <c r="T730" i="20"/>
  <c r="T731" i="20"/>
  <c r="T732" i="20"/>
  <c r="T733" i="20"/>
  <c r="T734" i="20"/>
  <c r="T735" i="20"/>
  <c r="T736" i="20"/>
  <c r="T737" i="20"/>
  <c r="T738" i="20"/>
  <c r="T739" i="20"/>
  <c r="T740" i="20"/>
  <c r="T606" i="20"/>
  <c r="T742" i="20"/>
  <c r="T743" i="20"/>
  <c r="T744" i="20"/>
  <c r="T745" i="20"/>
  <c r="T746" i="20"/>
  <c r="T747" i="20"/>
  <c r="T608" i="20"/>
  <c r="T749" i="20"/>
  <c r="T750" i="20"/>
  <c r="T751" i="20"/>
  <c r="T752" i="20"/>
  <c r="T532" i="20"/>
  <c r="T754" i="20"/>
  <c r="T755" i="20"/>
  <c r="T756" i="20"/>
  <c r="T757" i="20"/>
  <c r="T758" i="20"/>
  <c r="T759" i="20"/>
  <c r="T760" i="20"/>
  <c r="T761" i="20"/>
  <c r="T762" i="20"/>
  <c r="T763" i="20"/>
  <c r="T764" i="20"/>
  <c r="T765" i="20"/>
  <c r="T766" i="20"/>
  <c r="T767" i="20"/>
  <c r="T768" i="20"/>
  <c r="T769" i="20"/>
  <c r="T770" i="20"/>
  <c r="T771" i="20"/>
  <c r="T772" i="20"/>
  <c r="T773" i="20"/>
  <c r="T774" i="20"/>
  <c r="T775" i="20"/>
  <c r="T776" i="20"/>
  <c r="T777" i="20"/>
  <c r="T778" i="20"/>
  <c r="T779" i="20"/>
  <c r="T679" i="20"/>
  <c r="T781" i="20"/>
  <c r="T782" i="20"/>
  <c r="T783" i="20"/>
  <c r="T784" i="20"/>
  <c r="T785" i="20"/>
  <c r="T786" i="20"/>
  <c r="T787" i="20"/>
  <c r="T788" i="20"/>
  <c r="T789" i="20"/>
  <c r="T790" i="20"/>
  <c r="T791" i="20"/>
  <c r="T792" i="20"/>
  <c r="T793" i="20"/>
  <c r="T794" i="20"/>
  <c r="T795" i="20"/>
  <c r="T796" i="20"/>
  <c r="T797" i="20"/>
  <c r="T798" i="20"/>
  <c r="T799" i="20"/>
  <c r="T800" i="20"/>
  <c r="T801" i="20"/>
  <c r="T802" i="20"/>
  <c r="T803" i="20"/>
  <c r="T804" i="20"/>
  <c r="T805" i="20"/>
  <c r="T533" i="20"/>
  <c r="T807" i="20"/>
  <c r="T808" i="20"/>
  <c r="T809" i="20"/>
  <c r="T810" i="20"/>
  <c r="T683" i="20"/>
  <c r="T535" i="20"/>
  <c r="T813" i="20"/>
  <c r="T814" i="20"/>
  <c r="T815" i="20"/>
  <c r="T816" i="20"/>
  <c r="T817" i="20"/>
  <c r="T818" i="20"/>
  <c r="T819" i="20"/>
  <c r="T820" i="20"/>
  <c r="T821" i="20"/>
  <c r="T822" i="20"/>
  <c r="T823" i="20"/>
  <c r="T824" i="20"/>
  <c r="T825" i="20"/>
  <c r="T826" i="20"/>
  <c r="T827" i="20"/>
  <c r="T828" i="20"/>
  <c r="T829" i="20"/>
  <c r="T830" i="20"/>
  <c r="T831" i="20"/>
  <c r="T832" i="20"/>
  <c r="T833" i="20"/>
  <c r="T834" i="20"/>
  <c r="T835" i="20"/>
  <c r="T836" i="20"/>
  <c r="T837" i="20"/>
  <c r="T838" i="20"/>
  <c r="T839" i="20"/>
  <c r="T840" i="20"/>
  <c r="T841" i="20"/>
  <c r="T842" i="20"/>
  <c r="T843" i="20"/>
  <c r="T844" i="20"/>
  <c r="T845" i="20"/>
  <c r="T846" i="20"/>
  <c r="T847" i="20"/>
  <c r="T848" i="20"/>
  <c r="T849" i="20"/>
  <c r="T850" i="20"/>
  <c r="T851" i="20"/>
  <c r="T852" i="20"/>
  <c r="T853" i="20"/>
  <c r="T854" i="20"/>
  <c r="T855" i="20"/>
  <c r="T856" i="20"/>
  <c r="T857" i="20"/>
  <c r="T858" i="20"/>
  <c r="T859" i="20"/>
  <c r="T860" i="20"/>
  <c r="T861" i="20"/>
  <c r="T862" i="20"/>
  <c r="T863" i="20"/>
  <c r="T864" i="20"/>
  <c r="T865" i="20"/>
  <c r="T866" i="20"/>
  <c r="T867" i="20"/>
  <c r="T868" i="20"/>
  <c r="T869" i="20"/>
  <c r="T870" i="20"/>
  <c r="T871" i="20"/>
  <c r="T872" i="20"/>
  <c r="T873" i="20"/>
  <c r="T874" i="20"/>
  <c r="T875" i="20"/>
  <c r="T876" i="20"/>
  <c r="T877" i="20"/>
  <c r="T878" i="20"/>
  <c r="T879" i="20"/>
  <c r="T880" i="20"/>
  <c r="T881" i="20"/>
  <c r="T882" i="20"/>
  <c r="T883" i="20"/>
  <c r="T884" i="20"/>
  <c r="T885" i="20"/>
  <c r="T886" i="20"/>
  <c r="T887" i="20"/>
  <c r="T888" i="20"/>
  <c r="T889" i="20"/>
  <c r="T890" i="20"/>
  <c r="T891" i="20"/>
  <c r="T892" i="20"/>
  <c r="T893" i="20"/>
  <c r="T894" i="20"/>
  <c r="T895" i="20"/>
  <c r="T896" i="20"/>
  <c r="T897" i="20"/>
  <c r="T898" i="20"/>
  <c r="T899" i="20"/>
  <c r="T900" i="20"/>
  <c r="T901" i="20"/>
  <c r="T902" i="20"/>
  <c r="T903" i="20"/>
  <c r="T904" i="20"/>
  <c r="T911" i="20"/>
  <c r="T906" i="20"/>
  <c r="T907" i="20"/>
  <c r="T908" i="20"/>
  <c r="T909" i="20"/>
  <c r="T910" i="20"/>
  <c r="T625" i="20"/>
  <c r="T912" i="20"/>
  <c r="T913" i="20"/>
  <c r="T914" i="20"/>
  <c r="T915" i="20"/>
  <c r="T916" i="20"/>
  <c r="T917" i="20"/>
  <c r="T918" i="20"/>
  <c r="T919" i="20"/>
  <c r="T920" i="20"/>
  <c r="T921" i="20"/>
  <c r="T922" i="20"/>
  <c r="T923" i="20"/>
  <c r="T924" i="20"/>
  <c r="T925" i="20"/>
  <c r="T926" i="20"/>
  <c r="T927" i="20"/>
  <c r="T928" i="20"/>
  <c r="T929" i="20"/>
  <c r="T930" i="20"/>
  <c r="T931" i="20"/>
  <c r="T932" i="20"/>
  <c r="T933" i="20"/>
  <c r="T934" i="20"/>
  <c r="T935" i="20"/>
  <c r="T936" i="20"/>
  <c r="T937" i="20"/>
  <c r="T938" i="20"/>
  <c r="T939" i="20"/>
  <c r="T940" i="20"/>
  <c r="T941" i="20"/>
  <c r="T942" i="20"/>
  <c r="T943" i="20"/>
  <c r="T944" i="20"/>
  <c r="T945" i="20"/>
  <c r="T946" i="20"/>
  <c r="T947" i="20"/>
  <c r="T948" i="20"/>
  <c r="T949" i="20"/>
  <c r="T950" i="20"/>
  <c r="T951" i="20"/>
  <c r="T952" i="20"/>
  <c r="T953" i="20"/>
  <c r="T954" i="20"/>
  <c r="T955" i="20"/>
  <c r="T956" i="20"/>
  <c r="T957" i="20"/>
  <c r="T958" i="20"/>
  <c r="T959" i="20"/>
  <c r="T960" i="20"/>
  <c r="T961" i="20"/>
  <c r="T962" i="20"/>
  <c r="T963" i="20"/>
  <c r="T964" i="20"/>
  <c r="T965" i="20"/>
  <c r="T966" i="20"/>
  <c r="T967" i="20"/>
  <c r="T968" i="20"/>
  <c r="T969" i="20"/>
  <c r="T970" i="20"/>
  <c r="T971" i="20"/>
  <c r="T972" i="20"/>
  <c r="T973" i="20"/>
  <c r="T974" i="20"/>
  <c r="T975" i="20"/>
  <c r="T976" i="20"/>
  <c r="T977" i="20"/>
  <c r="T978" i="20"/>
  <c r="T979" i="20"/>
  <c r="T980" i="20"/>
  <c r="T981" i="20"/>
  <c r="T982" i="20"/>
  <c r="T983" i="20"/>
  <c r="T984" i="20"/>
  <c r="T985" i="20"/>
  <c r="T986" i="20"/>
  <c r="T987" i="20"/>
  <c r="T988" i="20"/>
  <c r="T989" i="20"/>
  <c r="T991" i="20"/>
  <c r="T993" i="20"/>
  <c r="T994" i="20"/>
  <c r="T995" i="20"/>
  <c r="T996" i="20"/>
  <c r="T997" i="20"/>
  <c r="T998" i="20"/>
  <c r="T999" i="20"/>
  <c r="T1000" i="20"/>
  <c r="T1001" i="20"/>
  <c r="T1002" i="20"/>
  <c r="T1003" i="20"/>
  <c r="T1004" i="20"/>
  <c r="T1005" i="20"/>
  <c r="T1006" i="20"/>
  <c r="T1007" i="20"/>
  <c r="T1008" i="20"/>
  <c r="T1009" i="20"/>
  <c r="T1010" i="20"/>
  <c r="T1011" i="20"/>
  <c r="T1012" i="20"/>
  <c r="T1013" i="20"/>
  <c r="T1014" i="20"/>
  <c r="T1015" i="20"/>
  <c r="T1016" i="20"/>
  <c r="T1017" i="20"/>
  <c r="T1018" i="20"/>
  <c r="T1019" i="20"/>
  <c r="T1020" i="20"/>
  <c r="T1021" i="20"/>
  <c r="T1022" i="20"/>
  <c r="T1023" i="20"/>
  <c r="T1024" i="20"/>
  <c r="T1025" i="20"/>
  <c r="T1026" i="20"/>
  <c r="T1027" i="20"/>
  <c r="T1028" i="20"/>
  <c r="T1029" i="20"/>
  <c r="T1030" i="20"/>
  <c r="T1031" i="20"/>
  <c r="T1032" i="20"/>
  <c r="T1033" i="20"/>
  <c r="T1034" i="20"/>
  <c r="T1035" i="20"/>
  <c r="T1036" i="20"/>
  <c r="T1037" i="20"/>
  <c r="T1038" i="20"/>
  <c r="T1039" i="20"/>
  <c r="T1040" i="20"/>
  <c r="T1041" i="20"/>
  <c r="T1042" i="20"/>
  <c r="T1043" i="20"/>
  <c r="T1044" i="20"/>
  <c r="T1045" i="20"/>
  <c r="T1046" i="20"/>
  <c r="T1047" i="20"/>
  <c r="T1048" i="20"/>
  <c r="T1049" i="20"/>
  <c r="T1050" i="20"/>
  <c r="T1051" i="20"/>
  <c r="T1052" i="20"/>
  <c r="T1053" i="20"/>
  <c r="T1054" i="20"/>
  <c r="T1055" i="20"/>
  <c r="T1056" i="20"/>
  <c r="T1057" i="20"/>
  <c r="T1058" i="20"/>
  <c r="T1059" i="20"/>
  <c r="T1060" i="20"/>
  <c r="T1061" i="20"/>
  <c r="T1062" i="20"/>
  <c r="T1063" i="20"/>
  <c r="T1064" i="20"/>
  <c r="T1065" i="20"/>
  <c r="T1066" i="20"/>
  <c r="T1067" i="20"/>
  <c r="T1068" i="20"/>
  <c r="T1069" i="20"/>
  <c r="T1070" i="20"/>
  <c r="T1071" i="20"/>
  <c r="T1072" i="20"/>
  <c r="T1073" i="20"/>
  <c r="T1074" i="20"/>
  <c r="T1075" i="20"/>
  <c r="T1076" i="20"/>
  <c r="T1077" i="20"/>
  <c r="T1078" i="20"/>
  <c r="T1079" i="20"/>
  <c r="T1080" i="20"/>
  <c r="T1081" i="20"/>
  <c r="T1082" i="20"/>
  <c r="T1083" i="20"/>
  <c r="T1084" i="20"/>
  <c r="T1085" i="20"/>
  <c r="T1086" i="20"/>
  <c r="T1087" i="20"/>
  <c r="T1088" i="20"/>
  <c r="T1089" i="20"/>
  <c r="T1090" i="20"/>
  <c r="T1091" i="20"/>
  <c r="T1092" i="20"/>
  <c r="T1093" i="20"/>
  <c r="T1094" i="20"/>
  <c r="T1095" i="20"/>
  <c r="T1096" i="20"/>
  <c r="T1097" i="20"/>
  <c r="T1098" i="20"/>
  <c r="T1099" i="20"/>
  <c r="T1100" i="20"/>
  <c r="T1101" i="20"/>
  <c r="T1102" i="20"/>
  <c r="T1103" i="20"/>
  <c r="T1104" i="20"/>
  <c r="T1105" i="20"/>
  <c r="T1106" i="20"/>
  <c r="T1107" i="20"/>
  <c r="T1108" i="20"/>
  <c r="T1109" i="20"/>
  <c r="T1110" i="20"/>
  <c r="T1111" i="20"/>
  <c r="T1112" i="20"/>
  <c r="T1113" i="20"/>
  <c r="T1114" i="20"/>
  <c r="T1115" i="20"/>
  <c r="T1116" i="20"/>
  <c r="T1117" i="20"/>
  <c r="T1118" i="20"/>
  <c r="T1119" i="20"/>
  <c r="T1120" i="20"/>
  <c r="T1121" i="20"/>
  <c r="T1122" i="20"/>
  <c r="T1123" i="20"/>
  <c r="T1124" i="20"/>
  <c r="T1125" i="20"/>
  <c r="T1126" i="20"/>
  <c r="T1127" i="20"/>
  <c r="T1128" i="20"/>
  <c r="T1129" i="20"/>
  <c r="T1130" i="20"/>
  <c r="T1131" i="20"/>
  <c r="T1132" i="20"/>
  <c r="T1133" i="20"/>
  <c r="T1134" i="20"/>
  <c r="T1135" i="20"/>
  <c r="T1136" i="20"/>
  <c r="T1137" i="20"/>
  <c r="T1138" i="20"/>
  <c r="T1139" i="20"/>
  <c r="T1140" i="20"/>
  <c r="T1141" i="20"/>
  <c r="T1142" i="20"/>
  <c r="T1143" i="20"/>
  <c r="T1144" i="20"/>
  <c r="T1145" i="20"/>
  <c r="T1146" i="20"/>
  <c r="T1147" i="20"/>
  <c r="T1148" i="20"/>
  <c r="T1149" i="20"/>
  <c r="T1150" i="20"/>
  <c r="T1151" i="20"/>
  <c r="T1152" i="20"/>
  <c r="T1153" i="20"/>
  <c r="T1154" i="20"/>
  <c r="T1155" i="20"/>
  <c r="T1156" i="20"/>
  <c r="T1157" i="20"/>
  <c r="T1158" i="20"/>
  <c r="T1159" i="20"/>
  <c r="T1160" i="20"/>
  <c r="T1161" i="20"/>
  <c r="T1162" i="20"/>
  <c r="T1163" i="20"/>
  <c r="T1164" i="20"/>
  <c r="T1165" i="20"/>
  <c r="T1166" i="20"/>
  <c r="T1167" i="20"/>
  <c r="T1168" i="20"/>
  <c r="T1169" i="20"/>
  <c r="T1170" i="20"/>
  <c r="T1171" i="20"/>
  <c r="T1172" i="20"/>
  <c r="T1173" i="20"/>
  <c r="T1174" i="20"/>
  <c r="T1175" i="20"/>
  <c r="T1176" i="20"/>
  <c r="T1177" i="20"/>
  <c r="T1178" i="20"/>
  <c r="T1179" i="20"/>
  <c r="T1180" i="20"/>
  <c r="T1181" i="20"/>
  <c r="T1182" i="20"/>
  <c r="T1183" i="20"/>
  <c r="T1184" i="20"/>
  <c r="T1185" i="20"/>
  <c r="T1186" i="20"/>
  <c r="T1187" i="20"/>
  <c r="T1188" i="20"/>
  <c r="T1189" i="20"/>
  <c r="T1190" i="20"/>
  <c r="T1191" i="20"/>
  <c r="T1192" i="20"/>
  <c r="T1193" i="20"/>
  <c r="T1194" i="20"/>
  <c r="T1195" i="20"/>
  <c r="T1196" i="20"/>
  <c r="T1197" i="20"/>
  <c r="T1198" i="20"/>
  <c r="T1199" i="20"/>
  <c r="T1200" i="20"/>
  <c r="T1201" i="20"/>
  <c r="T1202" i="20"/>
  <c r="T1203" i="20"/>
  <c r="T1204" i="20"/>
  <c r="T1205" i="20"/>
  <c r="T1206" i="20"/>
  <c r="T1207" i="20"/>
  <c r="T1208" i="20"/>
  <c r="T1209" i="20"/>
  <c r="T1210" i="20"/>
  <c r="T1211" i="20"/>
  <c r="T1212" i="20"/>
  <c r="T1213" i="20"/>
  <c r="T1214" i="20"/>
  <c r="T1215" i="20"/>
  <c r="T1216" i="20"/>
  <c r="T1217" i="20"/>
  <c r="T1218" i="20"/>
  <c r="T1219" i="20"/>
  <c r="T1220" i="20"/>
  <c r="T1221" i="20"/>
  <c r="T1222" i="20"/>
  <c r="T1223" i="20"/>
  <c r="T1224" i="20"/>
  <c r="T1225" i="20"/>
  <c r="T1226" i="20"/>
  <c r="T1227" i="20"/>
  <c r="T1228" i="20"/>
  <c r="T1229" i="20"/>
  <c r="T1230" i="20"/>
  <c r="T1231" i="20"/>
  <c r="T1232" i="20"/>
  <c r="T1233" i="20"/>
  <c r="T1234" i="20"/>
  <c r="T1235" i="20"/>
  <c r="T1236" i="20"/>
  <c r="T1237" i="20"/>
  <c r="T1238" i="20"/>
  <c r="T1239" i="20"/>
  <c r="T1240" i="20"/>
  <c r="T1241" i="20"/>
  <c r="T1242" i="20"/>
  <c r="T1243" i="20"/>
  <c r="T1245" i="20"/>
  <c r="T1246" i="20"/>
  <c r="T1247" i="20"/>
  <c r="T1248" i="20"/>
  <c r="T1249" i="20"/>
  <c r="T1250" i="20"/>
  <c r="T1251" i="20"/>
  <c r="T1252" i="20"/>
  <c r="T1253" i="20"/>
  <c r="T1254" i="20"/>
  <c r="T1255" i="20"/>
  <c r="T1256" i="20"/>
  <c r="R84" i="21"/>
  <c r="R83" i="21"/>
  <c r="R82" i="21"/>
  <c r="R81" i="21"/>
  <c r="R80" i="21"/>
  <c r="R79" i="21"/>
  <c r="R78" i="21"/>
  <c r="R77" i="21"/>
  <c r="R76" i="21"/>
  <c r="R75" i="21"/>
  <c r="R74" i="21"/>
  <c r="R73" i="21"/>
  <c r="R72" i="21"/>
  <c r="R71" i="21"/>
  <c r="R70" i="21"/>
  <c r="R69" i="21"/>
  <c r="R68" i="21"/>
  <c r="R67" i="21"/>
  <c r="R66" i="21"/>
  <c r="R65" i="21"/>
  <c r="R64" i="21"/>
  <c r="R63" i="21"/>
  <c r="R62" i="21"/>
  <c r="R61" i="21"/>
  <c r="R60" i="21"/>
  <c r="R59" i="21"/>
  <c r="R58" i="21"/>
  <c r="R57" i="21"/>
  <c r="R56" i="21"/>
  <c r="R55" i="21"/>
  <c r="R54" i="21"/>
  <c r="R53" i="21"/>
  <c r="R52" i="21"/>
  <c r="R51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W87" i="21"/>
  <c r="W86" i="21"/>
  <c r="W85" i="21"/>
  <c r="W84" i="21"/>
  <c r="W83" i="21"/>
  <c r="W82" i="21"/>
  <c r="W81" i="21"/>
  <c r="W80" i="21"/>
  <c r="W79" i="21"/>
  <c r="W78" i="21"/>
  <c r="W77" i="21"/>
  <c r="W76" i="21"/>
  <c r="W75" i="21"/>
  <c r="W74" i="21"/>
  <c r="W73" i="21"/>
  <c r="W72" i="21"/>
  <c r="W71" i="21"/>
  <c r="W70" i="21"/>
  <c r="W69" i="21"/>
  <c r="W68" i="21"/>
  <c r="W67" i="21"/>
  <c r="W66" i="21"/>
  <c r="W65" i="21"/>
  <c r="W64" i="21"/>
  <c r="W63" i="21"/>
  <c r="W62" i="21"/>
  <c r="W61" i="21"/>
  <c r="W60" i="21"/>
  <c r="W59" i="21"/>
  <c r="W58" i="21"/>
  <c r="W57" i="21"/>
  <c r="W56" i="21"/>
  <c r="W55" i="21"/>
  <c r="W54" i="21"/>
  <c r="W53" i="21"/>
  <c r="W52" i="21"/>
  <c r="W51" i="21"/>
  <c r="W50" i="21"/>
  <c r="W49" i="21"/>
  <c r="W48" i="21"/>
  <c r="W47" i="21"/>
  <c r="W46" i="21"/>
  <c r="W45" i="21"/>
  <c r="W44" i="21"/>
  <c r="W43" i="21"/>
  <c r="W42" i="21"/>
  <c r="W41" i="21"/>
  <c r="W40" i="21"/>
  <c r="W39" i="21"/>
  <c r="W38" i="21"/>
  <c r="W37" i="21"/>
  <c r="W36" i="21"/>
  <c r="W35" i="21"/>
  <c r="W34" i="21"/>
  <c r="W33" i="21"/>
  <c r="W32" i="21"/>
  <c r="W31" i="21"/>
  <c r="W30" i="21"/>
  <c r="W29" i="21"/>
  <c r="W28" i="21"/>
  <c r="W27" i="21"/>
  <c r="W26" i="21"/>
  <c r="W25" i="21"/>
  <c r="W24" i="21"/>
  <c r="W23" i="21"/>
  <c r="W22" i="21"/>
  <c r="W21" i="21"/>
  <c r="W20" i="21"/>
  <c r="W19" i="21"/>
  <c r="W18" i="21"/>
  <c r="W17" i="21"/>
  <c r="W16" i="21"/>
  <c r="W15" i="21"/>
  <c r="W14" i="21"/>
  <c r="W13" i="21"/>
  <c r="W12" i="21"/>
  <c r="W11" i="21"/>
  <c r="W10" i="21"/>
  <c r="W9" i="21"/>
  <c r="W8" i="21"/>
  <c r="W7" i="21"/>
  <c r="W6" i="21"/>
  <c r="J87" i="21"/>
  <c r="J86" i="21"/>
  <c r="J85" i="21"/>
  <c r="AC10" i="21"/>
  <c r="AC9" i="21"/>
  <c r="AC8" i="21"/>
  <c r="AB10" i="21"/>
  <c r="AB9" i="21"/>
  <c r="AB8" i="21"/>
  <c r="Y67" i="21"/>
  <c r="Y68" i="21"/>
  <c r="Y69" i="21"/>
  <c r="Y70" i="21"/>
  <c r="Y71" i="21"/>
  <c r="Y72" i="21"/>
  <c r="Y73" i="21"/>
  <c r="Y74" i="21"/>
  <c r="Y75" i="21"/>
  <c r="Y76" i="21"/>
  <c r="Y77" i="21"/>
  <c r="Y78" i="21"/>
  <c r="Y79" i="21"/>
  <c r="Y80" i="21"/>
  <c r="Y81" i="21"/>
  <c r="Y82" i="21"/>
  <c r="Y83" i="21"/>
  <c r="Y84" i="21"/>
  <c r="Y85" i="21"/>
  <c r="Y86" i="21"/>
  <c r="Y87" i="21"/>
  <c r="X7" i="21"/>
  <c r="X8" i="21"/>
  <c r="X9" i="21"/>
  <c r="X10" i="21"/>
  <c r="X11" i="21"/>
  <c r="X12" i="21"/>
  <c r="X13" i="21"/>
  <c r="X14" i="21"/>
  <c r="X15" i="21"/>
  <c r="X16" i="21"/>
  <c r="X17" i="21"/>
  <c r="X18" i="21"/>
  <c r="X19" i="21"/>
  <c r="X20" i="21"/>
  <c r="X21" i="21"/>
  <c r="X22" i="21"/>
  <c r="X23" i="21"/>
  <c r="X24" i="21"/>
  <c r="X25" i="21"/>
  <c r="X26" i="21"/>
  <c r="X27" i="21"/>
  <c r="X28" i="21"/>
  <c r="X29" i="21"/>
  <c r="X30" i="21"/>
  <c r="X31" i="21"/>
  <c r="X32" i="21"/>
  <c r="X33" i="21"/>
  <c r="X34" i="21"/>
  <c r="X35" i="21"/>
  <c r="X36" i="21"/>
  <c r="X37" i="21"/>
  <c r="X38" i="21"/>
  <c r="X39" i="21"/>
  <c r="X40" i="21"/>
  <c r="X41" i="21"/>
  <c r="X42" i="21"/>
  <c r="X43" i="21"/>
  <c r="X44" i="21"/>
  <c r="X45" i="21"/>
  <c r="X46" i="21"/>
  <c r="X47" i="21"/>
  <c r="X48" i="21"/>
  <c r="X49" i="21"/>
  <c r="X50" i="21"/>
  <c r="X51" i="21"/>
  <c r="X52" i="21"/>
  <c r="X53" i="21"/>
  <c r="X54" i="21"/>
  <c r="X55" i="21"/>
  <c r="X56" i="21"/>
  <c r="X57" i="21"/>
  <c r="X58" i="21"/>
  <c r="X59" i="21"/>
  <c r="X60" i="21"/>
  <c r="X61" i="21"/>
  <c r="X62" i="21"/>
  <c r="X63" i="21"/>
  <c r="X64" i="21"/>
  <c r="X65" i="21"/>
  <c r="X66" i="21"/>
  <c r="X67" i="21"/>
  <c r="X68" i="21"/>
  <c r="X69" i="21"/>
  <c r="X70" i="21"/>
  <c r="X71" i="21"/>
  <c r="X72" i="21"/>
  <c r="X73" i="21"/>
  <c r="X74" i="21"/>
  <c r="X75" i="21"/>
  <c r="X76" i="21"/>
  <c r="X77" i="21"/>
  <c r="X78" i="21"/>
  <c r="X79" i="21"/>
  <c r="X80" i="21"/>
  <c r="X81" i="21"/>
  <c r="X82" i="21"/>
  <c r="X83" i="21"/>
  <c r="X84" i="21"/>
  <c r="X85" i="21"/>
  <c r="X86" i="21"/>
  <c r="X87" i="21"/>
  <c r="X6" i="21"/>
  <c r="H7" i="21"/>
  <c r="H8" i="21"/>
  <c r="H9" i="21"/>
  <c r="H10" i="21"/>
  <c r="H11" i="21"/>
  <c r="H12" i="21"/>
  <c r="H13" i="21"/>
  <c r="I13" i="21"/>
  <c r="H14" i="21"/>
  <c r="H15" i="21"/>
  <c r="H16" i="21"/>
  <c r="H17" i="21"/>
  <c r="I17" i="21" s="1"/>
  <c r="H18" i="21"/>
  <c r="H19" i="21"/>
  <c r="H20" i="21"/>
  <c r="H21" i="21"/>
  <c r="H22" i="21"/>
  <c r="I22" i="21" s="1"/>
  <c r="H23" i="21"/>
  <c r="H24" i="21"/>
  <c r="H25" i="21"/>
  <c r="H26" i="21"/>
  <c r="H27" i="21"/>
  <c r="H28" i="21"/>
  <c r="I28" i="21"/>
  <c r="J28" i="21" s="1"/>
  <c r="H29" i="21"/>
  <c r="H30" i="21"/>
  <c r="H31" i="21"/>
  <c r="I31" i="21"/>
  <c r="H32" i="21"/>
  <c r="H33" i="21"/>
  <c r="H34" i="21"/>
  <c r="H35" i="21"/>
  <c r="H36" i="21"/>
  <c r="I36" i="21" s="1"/>
  <c r="H37" i="21"/>
  <c r="I37" i="21"/>
  <c r="H38" i="21"/>
  <c r="I38" i="21"/>
  <c r="H39" i="21"/>
  <c r="H40" i="21"/>
  <c r="H41" i="21"/>
  <c r="H42" i="21"/>
  <c r="H43" i="21"/>
  <c r="H44" i="21"/>
  <c r="H45" i="21"/>
  <c r="H46" i="21"/>
  <c r="H47" i="21"/>
  <c r="H48" i="21"/>
  <c r="I48" i="21" s="1"/>
  <c r="H49" i="21"/>
  <c r="H65" i="21"/>
  <c r="H66" i="21"/>
  <c r="I66" i="21" s="1"/>
  <c r="H67" i="21"/>
  <c r="H68" i="21"/>
  <c r="H69" i="21"/>
  <c r="I69" i="21" s="1"/>
  <c r="H70" i="21"/>
  <c r="H71" i="21"/>
  <c r="I71" i="21"/>
  <c r="H72" i="21"/>
  <c r="H73" i="21"/>
  <c r="H74" i="21"/>
  <c r="I74" i="21"/>
  <c r="H75" i="21"/>
  <c r="I75" i="21" s="1"/>
  <c r="H76" i="21"/>
  <c r="H77" i="21"/>
  <c r="H78" i="21"/>
  <c r="H79" i="21"/>
  <c r="H80" i="21"/>
  <c r="J80" i="21"/>
  <c r="H81" i="21"/>
  <c r="J81" i="21"/>
  <c r="H82" i="21"/>
  <c r="J82" i="21"/>
  <c r="H83" i="21"/>
  <c r="J83" i="21"/>
  <c r="H84" i="21"/>
  <c r="J84" i="21"/>
  <c r="H85" i="21"/>
  <c r="H86" i="21"/>
  <c r="H87" i="21"/>
  <c r="M22" i="4" a="1"/>
  <c r="L22" i="4" a="1"/>
  <c r="D24" i="4" a="1"/>
  <c r="E24" i="4" a="1"/>
  <c r="D23" i="4" a="1"/>
  <c r="D11" i="4" a="1"/>
  <c r="D10" i="4" a="1"/>
  <c r="E23" i="4" a="1"/>
  <c r="E22" i="4" a="1"/>
  <c r="D22" i="4" a="1"/>
  <c r="J1238" i="20"/>
  <c r="J1237" i="20"/>
  <c r="J1236" i="20"/>
  <c r="J1235" i="20"/>
  <c r="J1234" i="20"/>
  <c r="J1233" i="20"/>
  <c r="D1238" i="20"/>
  <c r="D1237" i="20"/>
  <c r="D1236" i="20"/>
  <c r="D1235" i="20"/>
  <c r="D1234" i="20"/>
  <c r="D1233" i="20"/>
  <c r="D1232" i="20"/>
  <c r="J1232" i="20"/>
  <c r="J1231" i="20"/>
  <c r="J1230" i="20"/>
  <c r="J1229" i="20"/>
  <c r="J1228" i="20"/>
  <c r="J1227" i="20"/>
  <c r="J1226" i="20"/>
  <c r="J1225" i="20"/>
  <c r="J1224" i="20"/>
  <c r="J1223" i="20"/>
  <c r="J1222" i="20"/>
  <c r="J1221" i="20"/>
  <c r="D1231" i="20"/>
  <c r="D1230" i="20"/>
  <c r="D1229" i="20"/>
  <c r="D1228" i="20"/>
  <c r="D1227" i="20"/>
  <c r="D1226" i="20"/>
  <c r="D1225" i="20"/>
  <c r="D1224" i="20"/>
  <c r="D1223" i="20"/>
  <c r="D1222" i="20"/>
  <c r="D1221" i="20"/>
  <c r="J1220" i="20"/>
  <c r="J1219" i="20"/>
  <c r="J1218" i="20"/>
  <c r="J1217" i="20"/>
  <c r="J1216" i="20"/>
  <c r="J1215" i="20"/>
  <c r="J1214" i="20"/>
  <c r="J1213" i="20"/>
  <c r="J1212" i="20"/>
  <c r="J1211" i="20"/>
  <c r="J1210" i="20"/>
  <c r="J1209" i="20"/>
  <c r="J1208" i="20"/>
  <c r="J1207" i="20"/>
  <c r="J1206" i="20"/>
  <c r="J1205" i="20"/>
  <c r="J1204" i="20"/>
  <c r="J1203" i="20"/>
  <c r="J1202" i="20"/>
  <c r="J1201" i="20"/>
  <c r="D1220" i="20"/>
  <c r="D1219" i="20"/>
  <c r="D1218" i="20"/>
  <c r="D1217" i="20"/>
  <c r="D1216" i="20"/>
  <c r="D1215" i="20"/>
  <c r="D1214" i="20"/>
  <c r="D1213" i="20"/>
  <c r="D1212" i="20"/>
  <c r="D1211" i="20"/>
  <c r="D1210" i="20"/>
  <c r="D1209" i="20"/>
  <c r="D1208" i="20"/>
  <c r="D1207" i="20"/>
  <c r="D1206" i="20"/>
  <c r="D1205" i="20"/>
  <c r="D1204" i="20"/>
  <c r="D1203" i="20"/>
  <c r="D1202" i="20"/>
  <c r="D1201" i="20"/>
  <c r="J1200" i="20"/>
  <c r="J1199" i="20"/>
  <c r="J1198" i="20"/>
  <c r="J1197" i="20"/>
  <c r="J1196" i="20"/>
  <c r="J1195" i="20"/>
  <c r="J1194" i="20"/>
  <c r="J1193" i="20"/>
  <c r="J1192" i="20"/>
  <c r="J1191" i="20"/>
  <c r="J1190" i="20"/>
  <c r="J1189" i="20"/>
  <c r="J1188" i="20"/>
  <c r="J1187" i="20"/>
  <c r="J1186" i="20"/>
  <c r="J1185" i="20"/>
  <c r="J1184" i="20"/>
  <c r="J1183" i="20"/>
  <c r="J1182" i="20"/>
  <c r="J1181" i="20"/>
  <c r="D1200" i="20"/>
  <c r="D1199" i="20"/>
  <c r="D1198" i="20"/>
  <c r="D1197" i="20"/>
  <c r="D1196" i="20"/>
  <c r="D1195" i="20"/>
  <c r="D1194" i="20"/>
  <c r="D1193" i="20"/>
  <c r="D1192" i="20"/>
  <c r="D1191" i="20"/>
  <c r="D1190" i="20"/>
  <c r="D1189" i="20"/>
  <c r="D1188" i="20"/>
  <c r="D1187" i="20"/>
  <c r="D1186" i="20"/>
  <c r="D1185" i="20"/>
  <c r="D1184" i="20"/>
  <c r="D1183" i="20"/>
  <c r="D1182" i="20"/>
  <c r="D1181" i="20"/>
  <c r="J1180" i="20"/>
  <c r="J1179" i="20"/>
  <c r="J1178" i="20"/>
  <c r="J1177" i="20"/>
  <c r="J1176" i="20"/>
  <c r="J1175" i="20"/>
  <c r="J1174" i="20"/>
  <c r="J1173" i="20"/>
  <c r="J1172" i="20"/>
  <c r="J1171" i="20"/>
  <c r="J1170" i="20"/>
  <c r="J1169" i="20"/>
  <c r="J1168" i="20"/>
  <c r="J1167" i="20"/>
  <c r="J1166" i="20"/>
  <c r="J1165" i="20"/>
  <c r="D1180" i="20"/>
  <c r="D1179" i="20"/>
  <c r="D1178" i="20"/>
  <c r="D1177" i="20"/>
  <c r="D1176" i="20"/>
  <c r="D1175" i="20"/>
  <c r="D1174" i="20"/>
  <c r="D1173" i="20"/>
  <c r="D1172" i="20"/>
  <c r="D1171" i="20"/>
  <c r="D1170" i="20"/>
  <c r="D1169" i="20"/>
  <c r="D1168" i="20"/>
  <c r="D1167" i="20"/>
  <c r="D1166" i="20"/>
  <c r="D1165" i="20"/>
  <c r="J1164" i="20"/>
  <c r="D1164" i="20"/>
  <c r="J1163" i="20"/>
  <c r="D1163" i="20"/>
  <c r="J1162" i="20"/>
  <c r="D1162" i="20"/>
  <c r="J1161" i="20"/>
  <c r="D1161" i="20"/>
  <c r="J1160" i="20"/>
  <c r="D1160" i="20"/>
  <c r="J1159" i="20"/>
  <c r="D1159" i="20"/>
  <c r="J1158" i="20"/>
  <c r="D1158" i="20"/>
  <c r="J1157" i="20"/>
  <c r="D1157" i="20"/>
  <c r="J1156" i="20"/>
  <c r="D1156" i="20"/>
  <c r="J1155" i="20"/>
  <c r="D1155" i="20"/>
  <c r="J1154" i="20"/>
  <c r="D1154" i="20"/>
  <c r="J1153" i="20"/>
  <c r="D1153" i="20"/>
  <c r="J1152" i="20"/>
  <c r="D1152" i="20"/>
  <c r="J1151" i="20"/>
  <c r="D1151" i="20"/>
  <c r="J1150" i="20"/>
  <c r="D1150" i="20"/>
  <c r="J1149" i="20"/>
  <c r="D1149" i="20"/>
  <c r="J1148" i="20"/>
  <c r="D1148" i="20"/>
  <c r="J1147" i="20"/>
  <c r="D1147" i="20"/>
  <c r="J1146" i="20"/>
  <c r="D1146" i="20"/>
  <c r="J1145" i="20"/>
  <c r="D1145" i="20"/>
  <c r="J1144" i="20"/>
  <c r="D1144" i="20"/>
  <c r="J1143" i="20"/>
  <c r="D1143" i="20"/>
  <c r="J1142" i="20"/>
  <c r="D1142" i="20"/>
  <c r="J1141" i="20"/>
  <c r="D1141" i="20"/>
  <c r="J1140" i="20"/>
  <c r="D1140" i="20"/>
  <c r="J1139" i="20"/>
  <c r="D1139" i="20"/>
  <c r="J1138" i="20"/>
  <c r="D1138" i="20"/>
  <c r="J1137" i="20"/>
  <c r="D1137" i="20"/>
  <c r="J1136" i="20"/>
  <c r="D1136" i="20"/>
  <c r="J1135" i="20"/>
  <c r="D1135" i="20"/>
  <c r="J1134" i="20"/>
  <c r="D1134" i="20"/>
  <c r="J1133" i="20"/>
  <c r="D1133" i="20"/>
  <c r="J1132" i="20"/>
  <c r="D1132" i="20"/>
  <c r="J1131" i="20"/>
  <c r="D1131" i="20"/>
  <c r="J1130" i="20"/>
  <c r="D1130" i="20"/>
  <c r="J1129" i="20"/>
  <c r="D1129" i="20"/>
  <c r="J1128" i="20"/>
  <c r="D1128" i="20"/>
  <c r="J1127" i="20"/>
  <c r="D1127" i="20"/>
  <c r="J1126" i="20"/>
  <c r="D1126" i="20"/>
  <c r="J1125" i="20"/>
  <c r="D1125" i="20"/>
  <c r="J1124" i="20"/>
  <c r="D1124" i="20"/>
  <c r="J1123" i="20"/>
  <c r="D1123" i="20"/>
  <c r="J1122" i="20"/>
  <c r="D1122" i="20"/>
  <c r="J1121" i="20"/>
  <c r="D1121" i="20"/>
  <c r="J1120" i="20"/>
  <c r="D1120" i="20"/>
  <c r="J1119" i="20"/>
  <c r="D1119" i="20"/>
  <c r="J1118" i="20"/>
  <c r="D1118" i="20"/>
  <c r="J1117" i="20"/>
  <c r="D1117" i="20"/>
  <c r="J1116" i="20"/>
  <c r="D1116" i="20"/>
  <c r="J1115" i="20"/>
  <c r="D1115" i="20"/>
  <c r="J1114" i="20"/>
  <c r="D1114" i="20"/>
  <c r="J1113" i="20"/>
  <c r="D1113" i="20"/>
  <c r="J1112" i="20"/>
  <c r="D1112" i="20"/>
  <c r="J1111" i="20"/>
  <c r="D1111" i="20"/>
  <c r="J1110" i="20"/>
  <c r="D1110" i="20"/>
  <c r="J1109" i="20"/>
  <c r="D1109" i="20"/>
  <c r="J1108" i="20"/>
  <c r="D1108" i="20"/>
  <c r="J1107" i="20"/>
  <c r="D1107" i="20"/>
  <c r="D1106" i="20"/>
  <c r="D1105" i="20"/>
  <c r="D1104" i="20"/>
  <c r="D1103" i="20"/>
  <c r="D1102" i="20"/>
  <c r="D1101" i="20"/>
  <c r="D1100" i="20"/>
  <c r="D1099" i="20"/>
  <c r="D1098" i="20"/>
  <c r="D1097" i="20"/>
  <c r="D1096" i="20"/>
  <c r="D1095" i="20"/>
  <c r="D1094" i="20"/>
  <c r="D1093" i="20"/>
  <c r="D1092" i="20"/>
  <c r="D1091" i="20"/>
  <c r="D1090" i="20"/>
  <c r="D1089" i="20"/>
  <c r="D1088" i="20"/>
  <c r="D1087" i="20"/>
  <c r="D1086" i="20"/>
  <c r="D1085" i="20"/>
  <c r="D1084" i="20"/>
  <c r="D1083" i="20"/>
  <c r="D1082" i="20"/>
  <c r="D1081" i="20"/>
  <c r="D1080" i="20"/>
  <c r="D1079" i="20"/>
  <c r="D1078" i="20"/>
  <c r="D1077" i="20"/>
  <c r="D1076" i="20"/>
  <c r="D1075" i="20"/>
  <c r="D1074" i="20"/>
  <c r="D1073" i="20"/>
  <c r="D1072" i="20"/>
  <c r="D1071" i="20"/>
  <c r="D1070" i="20"/>
  <c r="D1069" i="20"/>
  <c r="D1068" i="20"/>
  <c r="D1067" i="20"/>
  <c r="D1066" i="20"/>
  <c r="D1065" i="20"/>
  <c r="D1064" i="20"/>
  <c r="D1063" i="20"/>
  <c r="D1062" i="20"/>
  <c r="D1061" i="20"/>
  <c r="D1060" i="20"/>
  <c r="D1059" i="20"/>
  <c r="D1058" i="20"/>
  <c r="D1057" i="20"/>
  <c r="D1056" i="20"/>
  <c r="D1055" i="20"/>
  <c r="D1054" i="20"/>
  <c r="D1053" i="20"/>
  <c r="D1052" i="20"/>
  <c r="D1051" i="20"/>
  <c r="D1050" i="20"/>
  <c r="D1049" i="20"/>
  <c r="D1048" i="20"/>
  <c r="D1047" i="20"/>
  <c r="D1046" i="20"/>
  <c r="D1045" i="20"/>
  <c r="D1044" i="20"/>
  <c r="D1043" i="20"/>
  <c r="D1042" i="20"/>
  <c r="D1041" i="20"/>
  <c r="D1040" i="20"/>
  <c r="D1039" i="20"/>
  <c r="D1038" i="20"/>
  <c r="D1037" i="20"/>
  <c r="D1036" i="20"/>
  <c r="D1035" i="20"/>
  <c r="D1034" i="20"/>
  <c r="D1033" i="20"/>
  <c r="D1032" i="20"/>
  <c r="D1031" i="20"/>
  <c r="D1030" i="20"/>
  <c r="D1029" i="20"/>
  <c r="D1028" i="20"/>
  <c r="D1027" i="20"/>
  <c r="D1026" i="20"/>
  <c r="D1025" i="20"/>
  <c r="D1024" i="20"/>
  <c r="D1023" i="20"/>
  <c r="D1022" i="20"/>
  <c r="D1021" i="20"/>
  <c r="D1020" i="20"/>
  <c r="D1019" i="20"/>
  <c r="D1018" i="20"/>
  <c r="D1017" i="20"/>
  <c r="D1016" i="20"/>
  <c r="D1015" i="20"/>
  <c r="D1014" i="20"/>
  <c r="D1013" i="20"/>
  <c r="D1012" i="20"/>
  <c r="D1011" i="20"/>
  <c r="D1010" i="20"/>
  <c r="D1009" i="20"/>
  <c r="D1008" i="20"/>
  <c r="D1007" i="20"/>
  <c r="D1006" i="20"/>
  <c r="D1005" i="20"/>
  <c r="D1004" i="20"/>
  <c r="D1003" i="20"/>
  <c r="D1002" i="20"/>
  <c r="D1001" i="20"/>
  <c r="D1000" i="20"/>
  <c r="D999" i="20"/>
  <c r="D998" i="20"/>
  <c r="D997" i="20"/>
  <c r="D996" i="20"/>
  <c r="D995" i="20"/>
  <c r="D994" i="20"/>
  <c r="D993" i="20"/>
  <c r="D991" i="20"/>
  <c r="D989" i="20"/>
  <c r="D988" i="20"/>
  <c r="D987" i="20"/>
  <c r="D986" i="20"/>
  <c r="D985" i="20"/>
  <c r="D984" i="20"/>
  <c r="D983" i="20"/>
  <c r="D982" i="20"/>
  <c r="D981" i="20"/>
  <c r="D980" i="20"/>
  <c r="D979" i="20"/>
  <c r="D978" i="20"/>
  <c r="D977" i="20"/>
  <c r="D976" i="20"/>
  <c r="D975" i="20"/>
  <c r="D974" i="20"/>
  <c r="D973" i="20"/>
  <c r="D972" i="20"/>
  <c r="D971" i="20"/>
  <c r="D970" i="20"/>
  <c r="D969" i="20"/>
  <c r="D968" i="20"/>
  <c r="D967" i="20"/>
  <c r="D966" i="20"/>
  <c r="D965" i="20"/>
  <c r="D964" i="20"/>
  <c r="D963" i="20"/>
  <c r="D962" i="20"/>
  <c r="D961" i="20"/>
  <c r="D960" i="20"/>
  <c r="D959" i="20"/>
  <c r="D958" i="20"/>
  <c r="D957" i="20"/>
  <c r="D956" i="20"/>
  <c r="D955" i="20"/>
  <c r="D954" i="20"/>
  <c r="D953" i="20"/>
  <c r="D952" i="20"/>
  <c r="D951" i="20"/>
  <c r="D950" i="20"/>
  <c r="D949" i="20"/>
  <c r="D948" i="20"/>
  <c r="D947" i="20"/>
  <c r="D946" i="20"/>
  <c r="D945" i="20"/>
  <c r="D944" i="20"/>
  <c r="D943" i="20"/>
  <c r="D942" i="20"/>
  <c r="D941" i="20"/>
  <c r="D940" i="20"/>
  <c r="D939" i="20"/>
  <c r="D938" i="20"/>
  <c r="D937" i="20"/>
  <c r="D936" i="20"/>
  <c r="D935" i="20"/>
  <c r="D934" i="20"/>
  <c r="D933" i="20"/>
  <c r="D932" i="20"/>
  <c r="D931" i="20"/>
  <c r="D930" i="20"/>
  <c r="D929" i="20"/>
  <c r="D928" i="20"/>
  <c r="D927" i="20"/>
  <c r="D926" i="20"/>
  <c r="D925" i="20"/>
  <c r="D924" i="20"/>
  <c r="D923" i="20"/>
  <c r="D922" i="20"/>
  <c r="D921" i="20"/>
  <c r="D920" i="20"/>
  <c r="D919" i="20"/>
  <c r="D918" i="20"/>
  <c r="D917" i="20"/>
  <c r="D916" i="20"/>
  <c r="D915" i="20"/>
  <c r="D914" i="20"/>
  <c r="D913" i="20"/>
  <c r="D912" i="20"/>
  <c r="D625" i="20"/>
  <c r="D910" i="20"/>
  <c r="D909" i="20"/>
  <c r="D908" i="20"/>
  <c r="D907" i="20"/>
  <c r="D906" i="20"/>
  <c r="D911" i="20"/>
  <c r="D904" i="20"/>
  <c r="D903" i="20"/>
  <c r="D902" i="20"/>
  <c r="D901" i="20"/>
  <c r="D900" i="20"/>
  <c r="D899" i="20"/>
  <c r="D898" i="20"/>
  <c r="D897" i="20"/>
  <c r="D896" i="20"/>
  <c r="D895" i="20"/>
  <c r="D894" i="20"/>
  <c r="D893" i="20"/>
  <c r="D892" i="20"/>
  <c r="D891" i="20"/>
  <c r="D890" i="20"/>
  <c r="D889" i="20"/>
  <c r="D888" i="20"/>
  <c r="D887" i="20"/>
  <c r="D886" i="20"/>
  <c r="D885" i="20"/>
  <c r="D884" i="20"/>
  <c r="D883" i="20"/>
  <c r="D882" i="20"/>
  <c r="D881" i="20"/>
  <c r="D880" i="20"/>
  <c r="D879" i="20"/>
  <c r="D878" i="20"/>
  <c r="D877" i="20"/>
  <c r="D876" i="20"/>
  <c r="D875" i="20"/>
  <c r="D874" i="20"/>
  <c r="D873" i="20"/>
  <c r="D872" i="20"/>
  <c r="D871" i="20"/>
  <c r="D870" i="20"/>
  <c r="D869" i="20"/>
  <c r="D868" i="20"/>
  <c r="D867" i="20"/>
  <c r="D866" i="20"/>
  <c r="D865" i="20"/>
  <c r="D864" i="20"/>
  <c r="D863" i="20"/>
  <c r="D862" i="20"/>
  <c r="D861" i="20"/>
  <c r="D860" i="20"/>
  <c r="D859" i="20"/>
  <c r="D858" i="20"/>
  <c r="D857" i="20"/>
  <c r="D856" i="20"/>
  <c r="D855" i="20"/>
  <c r="D854" i="20"/>
  <c r="D853" i="20"/>
  <c r="D852" i="20"/>
  <c r="D851" i="20"/>
  <c r="D850" i="20"/>
  <c r="D849" i="20"/>
  <c r="D848" i="20"/>
  <c r="D847" i="20"/>
  <c r="D846" i="20"/>
  <c r="D845" i="20"/>
  <c r="D844" i="20"/>
  <c r="D843" i="20"/>
  <c r="D842" i="20"/>
  <c r="D841" i="20"/>
  <c r="D840" i="20"/>
  <c r="D839" i="20"/>
  <c r="D838" i="20"/>
  <c r="D837" i="20"/>
  <c r="D836" i="20"/>
  <c r="D835" i="20"/>
  <c r="D834" i="20"/>
  <c r="D833" i="20"/>
  <c r="D832" i="20"/>
  <c r="D831" i="20"/>
  <c r="D830" i="20"/>
  <c r="D829" i="20"/>
  <c r="D828" i="20"/>
  <c r="D827" i="20"/>
  <c r="D826" i="20"/>
  <c r="D825" i="20"/>
  <c r="D824" i="20"/>
  <c r="D823" i="20"/>
  <c r="D822" i="20"/>
  <c r="D821" i="20"/>
  <c r="D820" i="20"/>
  <c r="D819" i="20"/>
  <c r="D818" i="20"/>
  <c r="D817" i="20"/>
  <c r="D816" i="20"/>
  <c r="D815" i="20"/>
  <c r="D814" i="20"/>
  <c r="D813" i="20"/>
  <c r="D535" i="20"/>
  <c r="D683" i="20"/>
  <c r="D810" i="20"/>
  <c r="D809" i="20"/>
  <c r="D808" i="20"/>
  <c r="D807" i="20"/>
  <c r="D533" i="20"/>
  <c r="D805" i="20"/>
  <c r="D804" i="20"/>
  <c r="D803" i="20"/>
  <c r="D802" i="20"/>
  <c r="D801" i="20"/>
  <c r="D800" i="20"/>
  <c r="D799" i="20"/>
  <c r="D798" i="20"/>
  <c r="D797" i="20"/>
  <c r="D796" i="20"/>
  <c r="D795" i="20"/>
  <c r="D794" i="20"/>
  <c r="D793" i="20"/>
  <c r="D792" i="20"/>
  <c r="D791" i="20"/>
  <c r="D790" i="20"/>
  <c r="D789" i="20"/>
  <c r="D788" i="20"/>
  <c r="D787" i="20"/>
  <c r="D786" i="20"/>
  <c r="D785" i="20"/>
  <c r="D784" i="20"/>
  <c r="D783" i="20"/>
  <c r="D782" i="20"/>
  <c r="D781" i="20"/>
  <c r="D679" i="20"/>
  <c r="D779" i="20"/>
  <c r="D778" i="20"/>
  <c r="D777" i="20"/>
  <c r="D776" i="20"/>
  <c r="D775" i="20"/>
  <c r="D774" i="20"/>
  <c r="D773" i="20"/>
  <c r="D772" i="20"/>
  <c r="D771" i="20"/>
  <c r="D770" i="20"/>
  <c r="D769" i="20"/>
  <c r="D768" i="20"/>
  <c r="D767" i="20"/>
  <c r="D766" i="20"/>
  <c r="D765" i="20"/>
  <c r="D764" i="20"/>
  <c r="D763" i="20"/>
  <c r="D762" i="20"/>
  <c r="D761" i="20"/>
  <c r="D760" i="20"/>
  <c r="D759" i="20"/>
  <c r="D758" i="20"/>
  <c r="D757" i="20"/>
  <c r="D756" i="20"/>
  <c r="D755" i="20"/>
  <c r="D754" i="20"/>
  <c r="D532" i="20"/>
  <c r="D752" i="20"/>
  <c r="D751" i="20"/>
  <c r="D750" i="20"/>
  <c r="D749" i="20"/>
  <c r="D608" i="20"/>
  <c r="D747" i="20"/>
  <c r="D746" i="20"/>
  <c r="D745" i="20"/>
  <c r="D744" i="20"/>
  <c r="D743" i="20"/>
  <c r="D742" i="20"/>
  <c r="D606" i="20"/>
  <c r="D740" i="20"/>
  <c r="D739" i="20"/>
  <c r="D738" i="20"/>
  <c r="D737" i="20"/>
  <c r="D736" i="20"/>
  <c r="D735" i="20"/>
  <c r="D734" i="20"/>
  <c r="D733" i="20"/>
  <c r="D732" i="20"/>
  <c r="D731" i="20"/>
  <c r="D730" i="20"/>
  <c r="D729" i="20"/>
  <c r="D728" i="20"/>
  <c r="D727" i="20"/>
  <c r="D726" i="20"/>
  <c r="D725" i="20"/>
  <c r="D724" i="20"/>
  <c r="D723" i="20"/>
  <c r="D722" i="20"/>
  <c r="D721" i="20"/>
  <c r="D720" i="20"/>
  <c r="D719" i="20"/>
  <c r="D718" i="20"/>
  <c r="D717" i="20"/>
  <c r="D716" i="20"/>
  <c r="D715" i="20"/>
  <c r="D714" i="20"/>
  <c r="D713" i="20"/>
  <c r="D712" i="20"/>
  <c r="D711" i="20"/>
  <c r="D710" i="20"/>
  <c r="D709" i="20"/>
  <c r="D708" i="20"/>
  <c r="D707" i="20"/>
  <c r="D706" i="20"/>
  <c r="D705" i="20"/>
  <c r="D704" i="20"/>
  <c r="D703" i="20"/>
  <c r="D702" i="20"/>
  <c r="D701" i="20"/>
  <c r="D700" i="20"/>
  <c r="D699" i="20"/>
  <c r="D560" i="20"/>
  <c r="D697" i="20"/>
  <c r="D696" i="20"/>
  <c r="D695" i="20"/>
  <c r="D694" i="20"/>
  <c r="D693" i="20"/>
  <c r="D692" i="20"/>
  <c r="D691" i="20"/>
  <c r="D690" i="20"/>
  <c r="D689" i="20"/>
  <c r="D688" i="20"/>
  <c r="D677" i="20"/>
  <c r="D686" i="20"/>
  <c r="D685" i="20"/>
  <c r="D684" i="20"/>
  <c r="D529" i="20"/>
  <c r="D682" i="20"/>
  <c r="D681" i="20"/>
  <c r="D680" i="20"/>
  <c r="D559" i="20"/>
  <c r="D678" i="20"/>
  <c r="D526" i="20"/>
  <c r="D676" i="20"/>
  <c r="D675" i="20"/>
  <c r="D674" i="20"/>
  <c r="D673" i="20"/>
  <c r="D672" i="20"/>
  <c r="D671" i="20"/>
  <c r="D670" i="20"/>
  <c r="D669" i="20"/>
  <c r="D668" i="20"/>
  <c r="D667" i="20"/>
  <c r="D666" i="20"/>
  <c r="D665" i="20"/>
  <c r="D664" i="20"/>
  <c r="D663" i="20"/>
  <c r="D662" i="20"/>
  <c r="D661" i="20"/>
  <c r="D660" i="20"/>
  <c r="D659" i="20"/>
  <c r="D658" i="20"/>
  <c r="D657" i="20"/>
  <c r="D656" i="20"/>
  <c r="D655" i="20"/>
  <c r="D654" i="20"/>
  <c r="D653" i="20"/>
  <c r="D652" i="20"/>
  <c r="D651" i="20"/>
  <c r="D650" i="20"/>
  <c r="D649" i="20"/>
  <c r="D508" i="20"/>
  <c r="D647" i="20"/>
  <c r="D461" i="20"/>
  <c r="D450" i="20"/>
  <c r="D644" i="20"/>
  <c r="D643" i="20"/>
  <c r="D642" i="20"/>
  <c r="D641" i="20"/>
  <c r="D640" i="20"/>
  <c r="D639" i="20"/>
  <c r="D638" i="20"/>
  <c r="D637" i="20"/>
  <c r="D636" i="20"/>
  <c r="D635" i="20"/>
  <c r="D634" i="20"/>
  <c r="D633" i="20"/>
  <c r="D632" i="20"/>
  <c r="D631" i="20"/>
  <c r="D630" i="20"/>
  <c r="D629" i="20"/>
  <c r="D628" i="20"/>
  <c r="D627" i="20"/>
  <c r="D626" i="20"/>
  <c r="D99" i="20"/>
  <c r="D624" i="20"/>
  <c r="D623" i="20"/>
  <c r="D622" i="20"/>
  <c r="D621" i="20"/>
  <c r="D620" i="20"/>
  <c r="D619" i="20"/>
  <c r="D618" i="20"/>
  <c r="D617" i="20"/>
  <c r="D616" i="20"/>
  <c r="D615" i="20"/>
  <c r="D614" i="20"/>
  <c r="D613" i="20"/>
  <c r="D612" i="20"/>
  <c r="D611" i="20"/>
  <c r="D610" i="20"/>
  <c r="D609" i="20"/>
  <c r="D85" i="20"/>
  <c r="D607" i="20"/>
  <c r="D549" i="20"/>
  <c r="D605" i="20"/>
  <c r="D604" i="20"/>
  <c r="D603" i="20"/>
  <c r="D602" i="20"/>
  <c r="D601" i="20"/>
  <c r="D600" i="20"/>
  <c r="D599" i="20"/>
  <c r="D598" i="20"/>
  <c r="D597" i="20"/>
  <c r="D596" i="20"/>
  <c r="D595" i="20"/>
  <c r="D594" i="20"/>
  <c r="D593" i="20"/>
  <c r="D592" i="20"/>
  <c r="D591" i="20"/>
  <c r="D590" i="20"/>
  <c r="D589" i="20"/>
  <c r="D588" i="20"/>
  <c r="D587" i="20"/>
  <c r="D586" i="20"/>
  <c r="D585" i="20"/>
  <c r="D584" i="20"/>
  <c r="D583" i="20"/>
  <c r="D582" i="20"/>
  <c r="D581" i="20"/>
  <c r="D580" i="20"/>
  <c r="D579" i="20"/>
  <c r="D578" i="20"/>
  <c r="D577" i="20"/>
  <c r="D576" i="20"/>
  <c r="D575" i="20"/>
  <c r="D574" i="20"/>
  <c r="D573" i="20"/>
  <c r="D572" i="20"/>
  <c r="D571" i="20"/>
  <c r="D570" i="20"/>
  <c r="D569" i="20"/>
  <c r="D568" i="20"/>
  <c r="D567" i="20"/>
  <c r="D566" i="20"/>
  <c r="D565" i="20"/>
  <c r="D564" i="20"/>
  <c r="D563" i="20"/>
  <c r="D562" i="20"/>
  <c r="D561" i="20"/>
  <c r="D905" i="20"/>
  <c r="D812" i="20"/>
  <c r="D558" i="20"/>
  <c r="D557" i="20"/>
  <c r="D556" i="20"/>
  <c r="D555" i="20"/>
  <c r="D554" i="20"/>
  <c r="D553" i="20"/>
  <c r="D552" i="20"/>
  <c r="D551" i="20"/>
  <c r="D550" i="20"/>
  <c r="D544" i="20"/>
  <c r="D548" i="20"/>
  <c r="D547" i="20"/>
  <c r="D546" i="20"/>
  <c r="D545" i="20"/>
  <c r="D648" i="20"/>
  <c r="D543" i="20"/>
  <c r="D542" i="20"/>
  <c r="D541" i="20"/>
  <c r="D540" i="20"/>
  <c r="D539" i="20"/>
  <c r="D811" i="20"/>
  <c r="D537" i="20"/>
  <c r="D536" i="20"/>
  <c r="D806" i="20"/>
  <c r="D534" i="20"/>
  <c r="D780" i="20"/>
  <c r="D753" i="20"/>
  <c r="D531" i="20"/>
  <c r="D530" i="20"/>
  <c r="D748" i="20"/>
  <c r="D528" i="20"/>
  <c r="D527" i="20"/>
  <c r="D741" i="20"/>
  <c r="D525" i="20"/>
  <c r="D524" i="20"/>
  <c r="D523" i="20"/>
  <c r="D522" i="20"/>
  <c r="D521" i="20"/>
  <c r="D520" i="20"/>
  <c r="D519" i="20"/>
  <c r="D518" i="20"/>
  <c r="D517" i="20"/>
  <c r="D516" i="20"/>
  <c r="D515" i="20"/>
  <c r="D514" i="20"/>
  <c r="D513" i="20"/>
  <c r="D512" i="20"/>
  <c r="D511" i="20"/>
  <c r="D510" i="20"/>
  <c r="D509" i="20"/>
  <c r="D646" i="20"/>
  <c r="D507" i="20"/>
  <c r="D506" i="20"/>
  <c r="D505" i="20"/>
  <c r="D504" i="20"/>
  <c r="D503" i="20"/>
  <c r="D502" i="20"/>
  <c r="D501" i="20"/>
  <c r="D500" i="20"/>
  <c r="D499" i="20"/>
  <c r="D498" i="20"/>
  <c r="D497" i="20"/>
  <c r="D496" i="20"/>
  <c r="D495" i="20"/>
  <c r="D494" i="20"/>
  <c r="D493" i="20"/>
  <c r="D492" i="20"/>
  <c r="D491" i="20"/>
  <c r="D490" i="20"/>
  <c r="D489" i="20"/>
  <c r="D488" i="20"/>
  <c r="D487" i="20"/>
  <c r="D486" i="20"/>
  <c r="D485" i="20"/>
  <c r="D484" i="20"/>
  <c r="D483" i="20"/>
  <c r="D482" i="20"/>
  <c r="D481" i="20"/>
  <c r="D480" i="20"/>
  <c r="D479" i="20"/>
  <c r="D478" i="20"/>
  <c r="D477" i="20"/>
  <c r="D476" i="20"/>
  <c r="D475" i="20"/>
  <c r="D474" i="20"/>
  <c r="D473" i="20"/>
  <c r="D472" i="20"/>
  <c r="D471" i="20"/>
  <c r="D470" i="20"/>
  <c r="D469" i="20"/>
  <c r="D468" i="20"/>
  <c r="D467" i="20"/>
  <c r="D466" i="20"/>
  <c r="D465" i="20"/>
  <c r="D464" i="20"/>
  <c r="D463" i="20"/>
  <c r="D462" i="20"/>
  <c r="D698" i="20"/>
  <c r="D460" i="20"/>
  <c r="D459" i="20"/>
  <c r="D458" i="20"/>
  <c r="D457" i="20"/>
  <c r="D456" i="20"/>
  <c r="D455" i="20"/>
  <c r="D454" i="20"/>
  <c r="D453" i="20"/>
  <c r="D452" i="20"/>
  <c r="D451" i="20"/>
  <c r="D538" i="20"/>
  <c r="D449" i="20"/>
  <c r="D448" i="20"/>
  <c r="D447" i="20"/>
  <c r="D446" i="20"/>
  <c r="D445" i="20"/>
  <c r="D444" i="20"/>
  <c r="D443" i="20"/>
  <c r="D442" i="20"/>
  <c r="D441" i="20"/>
  <c r="D440" i="20"/>
  <c r="D439" i="20"/>
  <c r="D438" i="20"/>
  <c r="D437" i="20"/>
  <c r="D436" i="20"/>
  <c r="D435" i="20"/>
  <c r="D434" i="20"/>
  <c r="D433" i="20"/>
  <c r="D432" i="20"/>
  <c r="D431" i="20"/>
  <c r="D430" i="20"/>
  <c r="D429" i="20"/>
  <c r="D428" i="20"/>
  <c r="D427" i="20"/>
  <c r="D426" i="20"/>
  <c r="D425" i="20"/>
  <c r="D424" i="20"/>
  <c r="D423" i="20"/>
  <c r="D422" i="20"/>
  <c r="D421" i="20"/>
  <c r="D420" i="20"/>
  <c r="D419" i="20"/>
  <c r="D418" i="20"/>
  <c r="D417" i="20"/>
  <c r="D416" i="20"/>
  <c r="D415" i="20"/>
  <c r="D414" i="20"/>
  <c r="D413" i="20"/>
  <c r="D412" i="20"/>
  <c r="D411" i="20"/>
  <c r="D410" i="20"/>
  <c r="D409" i="20"/>
  <c r="D408" i="20"/>
  <c r="D407" i="20"/>
  <c r="D406" i="20"/>
  <c r="D405" i="20"/>
  <c r="D404" i="20"/>
  <c r="D403" i="20"/>
  <c r="D402" i="20"/>
  <c r="D401" i="20"/>
  <c r="D400" i="20"/>
  <c r="D399" i="20"/>
  <c r="D398" i="20"/>
  <c r="D397" i="20"/>
  <c r="D396" i="20"/>
  <c r="D395" i="20"/>
  <c r="D394" i="20"/>
  <c r="D393" i="20"/>
  <c r="D392" i="20"/>
  <c r="D391" i="20"/>
  <c r="D390" i="20"/>
  <c r="D389" i="20"/>
  <c r="D388" i="20"/>
  <c r="D387" i="20"/>
  <c r="D386" i="20"/>
  <c r="D385" i="20"/>
  <c r="D384" i="20"/>
  <c r="D383" i="20"/>
  <c r="D382" i="20"/>
  <c r="D381" i="20"/>
  <c r="D380" i="20"/>
  <c r="D379" i="20"/>
  <c r="D378" i="20"/>
  <c r="D377" i="20"/>
  <c r="D376" i="20"/>
  <c r="D375" i="20"/>
  <c r="D374" i="20"/>
  <c r="D373" i="20"/>
  <c r="D372" i="20"/>
  <c r="D371" i="20"/>
  <c r="D370" i="20"/>
  <c r="D369" i="20"/>
  <c r="D368" i="20"/>
  <c r="D367" i="20"/>
  <c r="D366" i="20"/>
  <c r="D365" i="20"/>
  <c r="D364" i="20"/>
  <c r="D363" i="20"/>
  <c r="D362" i="20"/>
  <c r="D361" i="20"/>
  <c r="D360" i="20"/>
  <c r="D359" i="20"/>
  <c r="D358" i="20"/>
  <c r="D357" i="20"/>
  <c r="D356" i="20"/>
  <c r="D355" i="20"/>
  <c r="D354" i="20"/>
  <c r="D353" i="20"/>
  <c r="D352" i="20"/>
  <c r="D351" i="20"/>
  <c r="D350" i="20"/>
  <c r="D349" i="20"/>
  <c r="D348" i="20"/>
  <c r="D347" i="20"/>
  <c r="D346" i="20"/>
  <c r="D345" i="20"/>
  <c r="D344" i="20"/>
  <c r="D343" i="20"/>
  <c r="D342" i="20"/>
  <c r="D341" i="20"/>
  <c r="D340" i="20"/>
  <c r="D339" i="20"/>
  <c r="D338" i="20"/>
  <c r="D337" i="20"/>
  <c r="D336" i="20"/>
  <c r="D335" i="20"/>
  <c r="D334" i="20"/>
  <c r="D333" i="20"/>
  <c r="D332" i="20"/>
  <c r="D331" i="20"/>
  <c r="D330" i="20"/>
  <c r="D329" i="20"/>
  <c r="D328" i="20"/>
  <c r="D327" i="20"/>
  <c r="D326" i="20"/>
  <c r="D325" i="20"/>
  <c r="D324" i="20"/>
  <c r="D323" i="20"/>
  <c r="D322" i="20"/>
  <c r="D321" i="20"/>
  <c r="D320" i="20"/>
  <c r="D319" i="20"/>
  <c r="D318" i="20"/>
  <c r="D317" i="20"/>
  <c r="D316" i="20"/>
  <c r="D315" i="20"/>
  <c r="D314" i="20"/>
  <c r="D313" i="20"/>
  <c r="D312" i="20"/>
  <c r="D311" i="20"/>
  <c r="D310" i="20"/>
  <c r="D309" i="20"/>
  <c r="D308" i="20"/>
  <c r="D307" i="20"/>
  <c r="D306" i="20"/>
  <c r="D305" i="20"/>
  <c r="D304" i="20"/>
  <c r="D303" i="20"/>
  <c r="D302" i="20"/>
  <c r="D301" i="20"/>
  <c r="D300" i="20"/>
  <c r="D299" i="20"/>
  <c r="D298" i="20"/>
  <c r="D297" i="20"/>
  <c r="D296" i="20"/>
  <c r="D295" i="20"/>
  <c r="D294" i="20"/>
  <c r="D293" i="20"/>
  <c r="D292" i="20"/>
  <c r="D291" i="20"/>
  <c r="D290" i="20"/>
  <c r="D289" i="20"/>
  <c r="D288" i="20"/>
  <c r="D287" i="20"/>
  <c r="D286" i="20"/>
  <c r="D285" i="20"/>
  <c r="D284" i="20"/>
  <c r="D283" i="20"/>
  <c r="D282" i="20"/>
  <c r="D281" i="20"/>
  <c r="D280" i="20"/>
  <c r="D279" i="20"/>
  <c r="D278" i="20"/>
  <c r="D277" i="20"/>
  <c r="D276" i="20"/>
  <c r="D275" i="20"/>
  <c r="D274" i="20"/>
  <c r="D273" i="20"/>
  <c r="D272" i="20"/>
  <c r="D271" i="20"/>
  <c r="D270" i="20"/>
  <c r="D269" i="20"/>
  <c r="D268" i="20"/>
  <c r="D267" i="20"/>
  <c r="D266" i="20"/>
  <c r="D265" i="20"/>
  <c r="D264" i="20"/>
  <c r="D263" i="20"/>
  <c r="D262" i="20"/>
  <c r="D261" i="20"/>
  <c r="D260" i="20"/>
  <c r="D259" i="20"/>
  <c r="D258" i="20"/>
  <c r="D257" i="20"/>
  <c r="D256" i="20"/>
  <c r="D255" i="20"/>
  <c r="D254" i="20"/>
  <c r="D253" i="20"/>
  <c r="D252" i="20"/>
  <c r="D251" i="20"/>
  <c r="D250" i="20"/>
  <c r="D249" i="20"/>
  <c r="D248" i="20"/>
  <c r="D247" i="20"/>
  <c r="D246" i="20"/>
  <c r="D245" i="20"/>
  <c r="D244" i="20"/>
  <c r="D243" i="20"/>
  <c r="D242" i="20"/>
  <c r="D241" i="20"/>
  <c r="D240" i="20"/>
  <c r="D239" i="20"/>
  <c r="D238" i="20"/>
  <c r="D237" i="20"/>
  <c r="D236" i="20"/>
  <c r="D235" i="20"/>
  <c r="D234" i="20"/>
  <c r="D233" i="20"/>
  <c r="D232" i="20"/>
  <c r="D231" i="20"/>
  <c r="D230" i="20"/>
  <c r="D229" i="20"/>
  <c r="D228" i="20"/>
  <c r="D227" i="20"/>
  <c r="D226" i="20"/>
  <c r="D225" i="20"/>
  <c r="D224" i="20"/>
  <c r="D223" i="20"/>
  <c r="D222" i="20"/>
  <c r="D221" i="20"/>
  <c r="D220" i="20"/>
  <c r="D219" i="20"/>
  <c r="D218" i="20"/>
  <c r="D217" i="20"/>
  <c r="D216" i="20"/>
  <c r="D215" i="20"/>
  <c r="D214" i="20"/>
  <c r="D213" i="20"/>
  <c r="D212" i="20"/>
  <c r="D211" i="20"/>
  <c r="D210" i="20"/>
  <c r="D209" i="20"/>
  <c r="D208" i="20"/>
  <c r="D207" i="20"/>
  <c r="D206" i="20"/>
  <c r="D205" i="20"/>
  <c r="D204" i="20"/>
  <c r="D203" i="20"/>
  <c r="D202" i="20"/>
  <c r="D201" i="20"/>
  <c r="D200" i="20"/>
  <c r="D199" i="20"/>
  <c r="D198" i="20"/>
  <c r="D197" i="20"/>
  <c r="D196" i="20"/>
  <c r="D195" i="20"/>
  <c r="D194" i="20"/>
  <c r="D193" i="20"/>
  <c r="D192" i="20"/>
  <c r="D191" i="20"/>
  <c r="D190" i="20"/>
  <c r="D189" i="20"/>
  <c r="D188" i="20"/>
  <c r="D187" i="20"/>
  <c r="D186" i="20"/>
  <c r="D185" i="20"/>
  <c r="D184" i="20"/>
  <c r="D183" i="20"/>
  <c r="D182" i="20"/>
  <c r="D181" i="20"/>
  <c r="D180" i="20"/>
  <c r="D179" i="20"/>
  <c r="D178" i="20"/>
  <c r="D177" i="20"/>
  <c r="D176" i="20"/>
  <c r="D175" i="20"/>
  <c r="D174" i="20"/>
  <c r="D173" i="20"/>
  <c r="D172" i="20"/>
  <c r="D171" i="20"/>
  <c r="D170" i="20"/>
  <c r="D169" i="20"/>
  <c r="D168" i="20"/>
  <c r="D167" i="20"/>
  <c r="D166" i="20"/>
  <c r="D165" i="20"/>
  <c r="D164" i="20"/>
  <c r="D163" i="20"/>
  <c r="D162" i="20"/>
  <c r="D161" i="20"/>
  <c r="D160" i="20"/>
  <c r="D159" i="20"/>
  <c r="D158" i="20"/>
  <c r="D157" i="20"/>
  <c r="D156" i="20"/>
  <c r="D155" i="20"/>
  <c r="D154" i="20"/>
  <c r="D153" i="20"/>
  <c r="D152" i="20"/>
  <c r="D151" i="20"/>
  <c r="D150" i="20"/>
  <c r="D149" i="20"/>
  <c r="D148" i="20"/>
  <c r="D147" i="20"/>
  <c r="D146" i="20"/>
  <c r="D145" i="20"/>
  <c r="D144" i="20"/>
  <c r="D143" i="20"/>
  <c r="D142" i="20"/>
  <c r="D141" i="20"/>
  <c r="D140" i="20"/>
  <c r="D139" i="20"/>
  <c r="D138" i="20"/>
  <c r="D137" i="20"/>
  <c r="D136" i="20"/>
  <c r="D135" i="20"/>
  <c r="D134" i="20"/>
  <c r="D133" i="20"/>
  <c r="D132" i="20"/>
  <c r="D131" i="20"/>
  <c r="D130" i="20"/>
  <c r="D129" i="20"/>
  <c r="D128" i="20"/>
  <c r="D127" i="20"/>
  <c r="D126" i="20"/>
  <c r="D125" i="20"/>
  <c r="D124" i="20"/>
  <c r="D123" i="20"/>
  <c r="D122" i="20"/>
  <c r="D121" i="20"/>
  <c r="D120" i="20"/>
  <c r="D119" i="20"/>
  <c r="D118" i="20"/>
  <c r="D117" i="20"/>
  <c r="D116" i="20"/>
  <c r="D115" i="20"/>
  <c r="D114" i="20"/>
  <c r="D113" i="20"/>
  <c r="D112" i="20"/>
  <c r="D111" i="20"/>
  <c r="D110" i="20"/>
  <c r="D109" i="20"/>
  <c r="D108" i="20"/>
  <c r="D107" i="20"/>
  <c r="D106" i="20"/>
  <c r="D105" i="20"/>
  <c r="D104" i="20"/>
  <c r="D103" i="20"/>
  <c r="D102" i="20"/>
  <c r="D101" i="20"/>
  <c r="D100" i="20"/>
  <c r="D645" i="20"/>
  <c r="D98" i="20"/>
  <c r="D97" i="20"/>
  <c r="D96" i="20"/>
  <c r="D95" i="20"/>
  <c r="D94" i="20"/>
  <c r="D93" i="20"/>
  <c r="D92" i="20"/>
  <c r="D91" i="20"/>
  <c r="D90" i="20"/>
  <c r="D89" i="20"/>
  <c r="D88" i="20"/>
  <c r="D87" i="20"/>
  <c r="D86" i="20"/>
  <c r="D687" i="20"/>
  <c r="D84" i="20"/>
  <c r="D83" i="20"/>
  <c r="D82" i="20"/>
  <c r="D81" i="20"/>
  <c r="D80" i="20"/>
  <c r="D79" i="20"/>
  <c r="D78" i="20"/>
  <c r="D77" i="20"/>
  <c r="D76" i="20"/>
  <c r="D75" i="20"/>
  <c r="D74" i="20"/>
  <c r="D73" i="20"/>
  <c r="D72" i="20"/>
  <c r="D71" i="20"/>
  <c r="D70" i="20"/>
  <c r="D69" i="20"/>
  <c r="D68" i="20"/>
  <c r="D67" i="20"/>
  <c r="D66" i="20"/>
  <c r="D65" i="20"/>
  <c r="D64" i="20"/>
  <c r="D63" i="20"/>
  <c r="D62" i="20"/>
  <c r="D61" i="20"/>
  <c r="D60" i="20"/>
  <c r="D59" i="20"/>
  <c r="D58" i="20"/>
  <c r="D57" i="20"/>
  <c r="D56" i="20"/>
  <c r="D55" i="20"/>
  <c r="D54" i="20"/>
  <c r="D53" i="20"/>
  <c r="D52" i="20"/>
  <c r="D51" i="20"/>
  <c r="D50" i="20"/>
  <c r="D49" i="20"/>
  <c r="D48" i="20"/>
  <c r="D47" i="20"/>
  <c r="D46" i="20"/>
  <c r="D45" i="20"/>
  <c r="D44" i="20"/>
  <c r="D43" i="20"/>
  <c r="D42" i="20"/>
  <c r="D41" i="20"/>
  <c r="D40" i="20"/>
  <c r="D39" i="20"/>
  <c r="D38" i="20"/>
  <c r="D37" i="20"/>
  <c r="D36" i="20"/>
  <c r="D35" i="20"/>
  <c r="D34" i="20"/>
  <c r="D33" i="20"/>
  <c r="D32" i="20"/>
  <c r="D31" i="20"/>
  <c r="D30" i="20"/>
  <c r="D29" i="20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14" i="7"/>
  <c r="D13" i="7"/>
  <c r="D12" i="7"/>
  <c r="J1106" i="20"/>
  <c r="J1105" i="20"/>
  <c r="J1104" i="20"/>
  <c r="J1103" i="20"/>
  <c r="J1102" i="20"/>
  <c r="J1101" i="20"/>
  <c r="J1100" i="20"/>
  <c r="J1099" i="20"/>
  <c r="J1098" i="20"/>
  <c r="J1097" i="20"/>
  <c r="J1096" i="20"/>
  <c r="K3" i="4"/>
  <c r="F3" i="4"/>
  <c r="G41" i="4" a="1"/>
  <c r="G40" i="4" a="1"/>
  <c r="F41" i="4" a="1"/>
  <c r="F40" i="4" a="1"/>
  <c r="E41" i="4" a="1"/>
  <c r="E40" i="4" a="1"/>
  <c r="D41" i="4" a="1"/>
  <c r="D40" i="4" a="1"/>
  <c r="G39" i="4" a="1"/>
  <c r="F39" i="4" a="1"/>
  <c r="E39" i="4" a="1"/>
  <c r="D39" i="4" a="1"/>
  <c r="G38" i="4" a="1"/>
  <c r="F38" i="4" a="1"/>
  <c r="E38" i="4" a="1"/>
  <c r="D38" i="4" a="1"/>
  <c r="M21" i="4" a="1"/>
  <c r="M20" i="4" a="1"/>
  <c r="M19" i="4" a="1"/>
  <c r="L21" i="4" a="1"/>
  <c r="L20" i="4" a="1"/>
  <c r="L19" i="4" a="1"/>
  <c r="L18" i="4" a="1"/>
  <c r="J1095" i="20"/>
  <c r="J1094" i="20"/>
  <c r="J1093" i="20"/>
  <c r="J1092" i="20"/>
  <c r="J1091" i="20"/>
  <c r="J1090" i="20"/>
  <c r="J1089" i="20"/>
  <c r="J1088" i="20"/>
  <c r="J1087" i="20"/>
  <c r="J1086" i="20"/>
  <c r="J1085" i="20"/>
  <c r="J1084" i="20"/>
  <c r="J1083" i="20"/>
  <c r="J1082" i="20"/>
  <c r="J1081" i="20"/>
  <c r="F2" i="5"/>
  <c r="L2" i="5"/>
  <c r="O8" i="5"/>
  <c r="B6" i="4" a="1"/>
  <c r="D6" i="4" a="1"/>
  <c r="J6" i="4"/>
  <c r="L6" i="4"/>
  <c r="E10" i="4" a="1"/>
  <c r="L10" i="4" a="1"/>
  <c r="M10" i="4" a="1"/>
  <c r="E11" i="4" a="1"/>
  <c r="L11" i="4" a="1"/>
  <c r="M11" i="4" a="1"/>
  <c r="D12" i="4" a="1"/>
  <c r="E12" i="4" a="1"/>
  <c r="L12" i="4" a="1"/>
  <c r="M12" i="4" a="1"/>
  <c r="D13" i="4" a="1"/>
  <c r="E13" i="4" a="1"/>
  <c r="L13" i="4" a="1"/>
  <c r="M13" i="4" a="1"/>
  <c r="D14" i="4" a="1"/>
  <c r="E14" i="4" a="1"/>
  <c r="L14" i="4" a="1"/>
  <c r="M14" i="4" a="1"/>
  <c r="D15" i="4" a="1"/>
  <c r="E15" i="4" a="1"/>
  <c r="L15" i="4" a="1"/>
  <c r="M15" i="4" a="1"/>
  <c r="D16" i="4" a="1"/>
  <c r="E16" i="4" a="1"/>
  <c r="L16" i="4" a="1"/>
  <c r="M16" i="4" a="1"/>
  <c r="D17" i="4" a="1"/>
  <c r="E17" i="4" a="1"/>
  <c r="L17" i="4" a="1"/>
  <c r="M17" i="4" a="1"/>
  <c r="D18" i="4" a="1"/>
  <c r="E18" i="4" a="1"/>
  <c r="M18" i="4" a="1"/>
  <c r="D19" i="4" a="1"/>
  <c r="E19" i="4" a="1"/>
  <c r="D20" i="4" a="1"/>
  <c r="E20" i="4" a="1"/>
  <c r="D21" i="4" a="1"/>
  <c r="E21" i="4" a="1"/>
  <c r="D29" i="4" a="1"/>
  <c r="E29" i="4" a="1"/>
  <c r="F29" i="4" a="1"/>
  <c r="G29" i="4" a="1"/>
  <c r="D30" i="4" a="1"/>
  <c r="E30" i="4" a="1"/>
  <c r="F30" i="4" a="1"/>
  <c r="G30" i="4" a="1"/>
  <c r="D31" i="4" a="1"/>
  <c r="E31" i="4" a="1"/>
  <c r="F31" i="4" a="1"/>
  <c r="G31" i="4" a="1"/>
  <c r="D32" i="4" a="1"/>
  <c r="E32" i="4" a="1"/>
  <c r="F32" i="4" a="1"/>
  <c r="G32" i="4" a="1"/>
  <c r="D33" i="4" a="1"/>
  <c r="E33" i="4" a="1"/>
  <c r="F33" i="4" a="1"/>
  <c r="G33" i="4" a="1"/>
  <c r="D34" i="4" a="1"/>
  <c r="E34" i="4" a="1"/>
  <c r="F34" i="4" a="1"/>
  <c r="G34" i="4" a="1"/>
  <c r="D35" i="4" a="1"/>
  <c r="E35" i="4" a="1"/>
  <c r="F35" i="4" a="1"/>
  <c r="G35" i="4" a="1"/>
  <c r="D36" i="4" a="1"/>
  <c r="E36" i="4" a="1"/>
  <c r="F36" i="4" a="1"/>
  <c r="G36" i="4" a="1"/>
  <c r="D37" i="4" a="1"/>
  <c r="E37" i="4" a="1"/>
  <c r="F37" i="4" a="1"/>
  <c r="G37" i="4" a="1"/>
  <c r="A2" i="6"/>
  <c r="A3" i="6"/>
  <c r="A4" i="6"/>
  <c r="A5" i="6"/>
  <c r="A6" i="6"/>
  <c r="A7" i="6"/>
  <c r="A8" i="6"/>
  <c r="A9" i="6"/>
  <c r="A10" i="6"/>
  <c r="B1" i="7"/>
  <c r="C2" i="7"/>
  <c r="D2" i="7"/>
  <c r="N2" i="7"/>
  <c r="P2" i="7"/>
  <c r="Q2" i="7"/>
  <c r="R2" i="7"/>
  <c r="D3" i="7"/>
  <c r="N3" i="7"/>
  <c r="P3" i="7"/>
  <c r="Q3" i="7"/>
  <c r="R3" i="7"/>
  <c r="D4" i="7"/>
  <c r="N4" i="7"/>
  <c r="P4" i="7"/>
  <c r="Q4" i="7"/>
  <c r="R4" i="7"/>
  <c r="D5" i="7"/>
  <c r="N5" i="7"/>
  <c r="P5" i="7"/>
  <c r="Q5" i="7"/>
  <c r="R5" i="7"/>
  <c r="D6" i="7"/>
  <c r="R6" i="7"/>
  <c r="B7" i="7" a="1"/>
  <c r="D7" i="7"/>
  <c r="K7" i="7"/>
  <c r="R7" i="7"/>
  <c r="B8" i="7" a="1"/>
  <c r="D8" i="7"/>
  <c r="K8" i="7"/>
  <c r="R8" i="7"/>
  <c r="B9" i="7" a="1"/>
  <c r="D9" i="7"/>
  <c r="K9" i="7"/>
  <c r="R9" i="7"/>
  <c r="D10" i="7"/>
  <c r="K10" i="7"/>
  <c r="R10" i="7"/>
  <c r="D11" i="7"/>
  <c r="K11" i="7"/>
  <c r="R11" i="7"/>
  <c r="K12" i="7"/>
  <c r="R12" i="7"/>
  <c r="K13" i="7"/>
  <c r="R13" i="7"/>
  <c r="K14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L28" i="7" a="1"/>
  <c r="R28" i="7"/>
  <c r="L29" i="7" a="1"/>
  <c r="R29" i="7"/>
  <c r="L30" i="7" a="1"/>
  <c r="R30" i="7"/>
  <c r="L31" i="7" a="1"/>
  <c r="R31" i="7"/>
  <c r="L32" i="7" a="1"/>
  <c r="L33" i="7" a="1"/>
  <c r="L34" i="7" a="1"/>
  <c r="L35" i="7" a="1"/>
  <c r="L36" i="7" a="1"/>
  <c r="L37" i="7" a="1"/>
  <c r="E4" i="17"/>
  <c r="E5" i="17"/>
  <c r="E6" i="17"/>
  <c r="E7" i="17"/>
  <c r="E8" i="17"/>
  <c r="E9" i="17"/>
  <c r="J1080" i="20"/>
  <c r="J1079" i="20"/>
  <c r="J1078" i="20"/>
  <c r="J1077" i="20"/>
  <c r="J1076" i="20"/>
  <c r="J1075" i="20"/>
  <c r="J1074" i="20"/>
  <c r="J1073" i="20"/>
  <c r="J1072" i="20"/>
  <c r="J1071" i="20"/>
  <c r="J1070" i="20"/>
  <c r="J1069" i="20"/>
  <c r="F8" i="1" a="1"/>
  <c r="D8" i="1" a="1"/>
  <c r="H6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O8" i="1"/>
  <c r="J8" i="1" a="1"/>
  <c r="H8" i="1" a="1"/>
  <c r="M8" i="1"/>
  <c r="J1068" i="20"/>
  <c r="J1067" i="20"/>
  <c r="J1066" i="20"/>
  <c r="J1065" i="20"/>
  <c r="J1064" i="20"/>
  <c r="J1063" i="20"/>
  <c r="J1062" i="20"/>
  <c r="J1061" i="20"/>
  <c r="J1060" i="20"/>
  <c r="J1059" i="20"/>
  <c r="J1058" i="20"/>
  <c r="J1057" i="20"/>
  <c r="J1056" i="20"/>
  <c r="J1055" i="20"/>
  <c r="J1054" i="20"/>
  <c r="J1053" i="20"/>
  <c r="J1052" i="20"/>
  <c r="J1051" i="20"/>
  <c r="J1050" i="20"/>
  <c r="J1049" i="20"/>
  <c r="J1048" i="20"/>
  <c r="J1047" i="20"/>
  <c r="J1046" i="20"/>
  <c r="J1031" i="20"/>
  <c r="J1030" i="20"/>
  <c r="J1029" i="20"/>
  <c r="J1028" i="20"/>
  <c r="J1027" i="20"/>
  <c r="J1026" i="20"/>
  <c r="J1025" i="20"/>
  <c r="J1024" i="20"/>
  <c r="J1023" i="20"/>
  <c r="J1022" i="20"/>
  <c r="J1021" i="20"/>
  <c r="J1020" i="20"/>
  <c r="J1019" i="20"/>
  <c r="J983" i="20"/>
  <c r="J982" i="20"/>
  <c r="J981" i="20"/>
  <c r="J980" i="20"/>
  <c r="J979" i="20"/>
  <c r="J978" i="20"/>
  <c r="J977" i="20"/>
  <c r="J976" i="20"/>
  <c r="J975" i="20"/>
  <c r="J974" i="20"/>
  <c r="J973" i="20"/>
  <c r="J972" i="20"/>
  <c r="J971" i="20"/>
  <c r="J970" i="20"/>
  <c r="J969" i="20"/>
  <c r="J968" i="20"/>
  <c r="J967" i="20"/>
  <c r="J966" i="20"/>
  <c r="J965" i="20"/>
  <c r="J964" i="20"/>
  <c r="J963" i="20"/>
  <c r="J962" i="20"/>
  <c r="J961" i="20"/>
  <c r="J960" i="20"/>
  <c r="J959" i="20"/>
  <c r="J958" i="20"/>
  <c r="J957" i="20"/>
  <c r="J956" i="20"/>
  <c r="J955" i="20"/>
  <c r="J954" i="20"/>
  <c r="J953" i="20"/>
  <c r="J952" i="20"/>
  <c r="J951" i="20"/>
  <c r="J950" i="20"/>
  <c r="J949" i="20"/>
  <c r="J948" i="20"/>
  <c r="J947" i="20"/>
  <c r="J946" i="20"/>
  <c r="J945" i="20"/>
  <c r="J944" i="20"/>
  <c r="J943" i="20"/>
  <c r="J942" i="20"/>
  <c r="J941" i="20"/>
  <c r="J940" i="20"/>
  <c r="J939" i="20"/>
  <c r="J938" i="20"/>
  <c r="J937" i="20"/>
  <c r="J936" i="20"/>
  <c r="J935" i="20"/>
  <c r="J934" i="20"/>
  <c r="J933" i="20"/>
  <c r="J932" i="20"/>
  <c r="J931" i="20"/>
  <c r="J930" i="20"/>
  <c r="J929" i="20"/>
  <c r="J928" i="20"/>
  <c r="J927" i="20"/>
  <c r="J926" i="20"/>
  <c r="J925" i="20"/>
  <c r="J924" i="20"/>
  <c r="J923" i="20"/>
  <c r="J922" i="20"/>
  <c r="J921" i="20"/>
  <c r="J920" i="20"/>
  <c r="J919" i="20"/>
  <c r="J918" i="20"/>
  <c r="J917" i="20"/>
  <c r="J916" i="20"/>
  <c r="J915" i="20"/>
  <c r="J914" i="20"/>
  <c r="J913" i="20"/>
  <c r="J912" i="20"/>
  <c r="J625" i="20"/>
  <c r="J910" i="20"/>
  <c r="J909" i="20"/>
  <c r="J908" i="20"/>
  <c r="J907" i="20"/>
  <c r="J906" i="20"/>
  <c r="J911" i="20"/>
  <c r="J904" i="20"/>
  <c r="J903" i="20"/>
  <c r="J902" i="20"/>
  <c r="J901" i="20"/>
  <c r="J900" i="20"/>
  <c r="J899" i="20"/>
  <c r="J898" i="20"/>
  <c r="J897" i="20"/>
  <c r="J896" i="20"/>
  <c r="J895" i="20"/>
  <c r="J894" i="20"/>
  <c r="J893" i="20"/>
  <c r="J892" i="20"/>
  <c r="J891" i="20"/>
  <c r="J890" i="20"/>
  <c r="J889" i="20"/>
  <c r="J888" i="20"/>
  <c r="J887" i="20"/>
  <c r="J886" i="20"/>
  <c r="J885" i="20"/>
  <c r="J884" i="20"/>
  <c r="J883" i="20"/>
  <c r="J882" i="20"/>
  <c r="J881" i="20"/>
  <c r="J880" i="20"/>
  <c r="J879" i="20"/>
  <c r="J878" i="20"/>
  <c r="J877" i="20"/>
  <c r="J876" i="20"/>
  <c r="J875" i="20"/>
  <c r="J874" i="20"/>
  <c r="J873" i="20"/>
  <c r="J872" i="20"/>
  <c r="J871" i="20"/>
  <c r="J870" i="20"/>
  <c r="J869" i="20"/>
  <c r="J868" i="20"/>
  <c r="J867" i="20"/>
  <c r="J866" i="20"/>
  <c r="J865" i="20"/>
  <c r="J864" i="20"/>
  <c r="J863" i="20"/>
  <c r="J862" i="20"/>
  <c r="J861" i="20"/>
  <c r="J860" i="20"/>
  <c r="J859" i="20"/>
  <c r="J858" i="20"/>
  <c r="J857" i="20"/>
  <c r="J856" i="20"/>
  <c r="J855" i="20"/>
  <c r="J854" i="20"/>
  <c r="J853" i="20"/>
  <c r="J852" i="20"/>
  <c r="J851" i="20"/>
  <c r="J850" i="20"/>
  <c r="J849" i="20"/>
  <c r="J848" i="20"/>
  <c r="J847" i="20"/>
  <c r="J846" i="20"/>
  <c r="J845" i="20"/>
  <c r="J844" i="20"/>
  <c r="J843" i="20"/>
  <c r="J842" i="20"/>
  <c r="J841" i="20"/>
  <c r="J840" i="20"/>
  <c r="J839" i="20"/>
  <c r="J838" i="20"/>
  <c r="J837" i="20"/>
  <c r="J836" i="20"/>
  <c r="J835" i="20"/>
  <c r="J834" i="20"/>
  <c r="J833" i="20"/>
  <c r="J832" i="20"/>
  <c r="J831" i="20"/>
  <c r="J830" i="20"/>
  <c r="J829" i="20"/>
  <c r="J828" i="20"/>
  <c r="J827" i="20"/>
  <c r="J826" i="20"/>
  <c r="J825" i="20"/>
  <c r="J824" i="20"/>
  <c r="J823" i="20"/>
  <c r="J822" i="20"/>
  <c r="J821" i="20"/>
  <c r="J820" i="20"/>
  <c r="J819" i="20"/>
  <c r="J818" i="20"/>
  <c r="J817" i="20"/>
  <c r="J816" i="20"/>
  <c r="J815" i="20"/>
  <c r="J814" i="20"/>
  <c r="J813" i="20"/>
  <c r="J535" i="20"/>
  <c r="J683" i="20"/>
  <c r="J810" i="20"/>
  <c r="J809" i="20"/>
  <c r="J808" i="20"/>
  <c r="J807" i="20"/>
  <c r="J533" i="20"/>
  <c r="J805" i="20"/>
  <c r="J804" i="20"/>
  <c r="J803" i="20"/>
  <c r="J802" i="20"/>
  <c r="J801" i="20"/>
  <c r="J800" i="20"/>
  <c r="J799" i="20"/>
  <c r="J798" i="20"/>
  <c r="J797" i="20"/>
  <c r="J796" i="20"/>
  <c r="J795" i="20"/>
  <c r="J794" i="20"/>
  <c r="J793" i="20"/>
  <c r="J792" i="20"/>
  <c r="J791" i="20"/>
  <c r="J790" i="20"/>
  <c r="J789" i="20"/>
  <c r="J788" i="20"/>
  <c r="J787" i="20"/>
  <c r="J786" i="20"/>
  <c r="J785" i="20"/>
  <c r="J784" i="20"/>
  <c r="J783" i="20"/>
  <c r="J782" i="20"/>
  <c r="J781" i="20"/>
  <c r="J679" i="20"/>
  <c r="J779" i="20"/>
  <c r="J778" i="20"/>
  <c r="J777" i="20"/>
  <c r="J776" i="20"/>
  <c r="J775" i="20"/>
  <c r="J774" i="20"/>
  <c r="J773" i="20"/>
  <c r="J772" i="20"/>
  <c r="J771" i="20"/>
  <c r="J770" i="20"/>
  <c r="J769" i="20"/>
  <c r="J768" i="20"/>
  <c r="J767" i="20"/>
  <c r="J766" i="20"/>
  <c r="J765" i="20"/>
  <c r="J764" i="20"/>
  <c r="J763" i="20"/>
  <c r="J762" i="20"/>
  <c r="J761" i="20"/>
  <c r="J760" i="20"/>
  <c r="J759" i="20"/>
  <c r="J758" i="20"/>
  <c r="J757" i="20"/>
  <c r="J756" i="20"/>
  <c r="J755" i="20"/>
  <c r="J754" i="20"/>
  <c r="J532" i="20"/>
  <c r="J752" i="20"/>
  <c r="J751" i="20"/>
  <c r="J750" i="20"/>
  <c r="J749" i="20"/>
  <c r="J608" i="20"/>
  <c r="J747" i="20"/>
  <c r="J746" i="20"/>
  <c r="J745" i="20"/>
  <c r="J744" i="20"/>
  <c r="J743" i="20"/>
  <c r="J742" i="20"/>
  <c r="J606" i="20"/>
  <c r="J740" i="20"/>
  <c r="J739" i="20"/>
  <c r="J738" i="20"/>
  <c r="J737" i="20"/>
  <c r="J736" i="20"/>
  <c r="J735" i="20"/>
  <c r="J734" i="20"/>
  <c r="J733" i="20"/>
  <c r="J732" i="20"/>
  <c r="J731" i="20"/>
  <c r="J730" i="20"/>
  <c r="J729" i="20"/>
  <c r="J728" i="20"/>
  <c r="J727" i="20"/>
  <c r="J726" i="20"/>
  <c r="J725" i="20"/>
  <c r="J724" i="20"/>
  <c r="J723" i="20"/>
  <c r="J722" i="20"/>
  <c r="J721" i="20"/>
  <c r="J720" i="20"/>
  <c r="J719" i="20"/>
  <c r="J718" i="20"/>
  <c r="J717" i="20"/>
  <c r="J716" i="20"/>
  <c r="J715" i="20"/>
  <c r="J714" i="20"/>
  <c r="J713" i="20"/>
  <c r="J712" i="20"/>
  <c r="J711" i="20"/>
  <c r="J710" i="20"/>
  <c r="J709" i="20"/>
  <c r="J708" i="20"/>
  <c r="J707" i="20"/>
  <c r="J706" i="20"/>
  <c r="J705" i="20"/>
  <c r="J704" i="20"/>
  <c r="J703" i="20"/>
  <c r="J702" i="20"/>
  <c r="J701" i="20"/>
  <c r="J700" i="20"/>
  <c r="J699" i="20"/>
  <c r="J560" i="20"/>
  <c r="J697" i="20"/>
  <c r="J696" i="20"/>
  <c r="J695" i="20"/>
  <c r="J694" i="20"/>
  <c r="J693" i="20"/>
  <c r="J692" i="20"/>
  <c r="J691" i="20"/>
  <c r="J690" i="20"/>
  <c r="J689" i="20"/>
  <c r="J688" i="20"/>
  <c r="J677" i="20"/>
  <c r="J686" i="20"/>
  <c r="J685" i="20"/>
  <c r="J684" i="20"/>
  <c r="J529" i="20"/>
  <c r="J682" i="20"/>
  <c r="J681" i="20"/>
  <c r="J680" i="20"/>
  <c r="J559" i="20"/>
  <c r="J678" i="20"/>
  <c r="J526" i="20"/>
  <c r="J676" i="20"/>
  <c r="J675" i="20"/>
  <c r="J674" i="20"/>
  <c r="J673" i="20"/>
  <c r="J672" i="20"/>
  <c r="J670" i="20"/>
  <c r="J669" i="20"/>
  <c r="J668" i="20"/>
  <c r="J667" i="20"/>
  <c r="J666" i="20"/>
  <c r="J665" i="20"/>
  <c r="J664" i="20"/>
  <c r="J663" i="20"/>
  <c r="J662" i="20"/>
  <c r="J661" i="20"/>
  <c r="J660" i="20"/>
  <c r="J659" i="20"/>
  <c r="J658" i="20"/>
  <c r="J657" i="20"/>
  <c r="J656" i="20"/>
  <c r="J655" i="20"/>
  <c r="J654" i="20"/>
  <c r="J653" i="20"/>
  <c r="J652" i="20"/>
  <c r="J651" i="20"/>
  <c r="J650" i="20"/>
  <c r="J649" i="20"/>
  <c r="J508" i="20"/>
  <c r="J647" i="20"/>
  <c r="J461" i="20"/>
  <c r="J450" i="20"/>
  <c r="J644" i="20"/>
  <c r="J643" i="20"/>
  <c r="J642" i="20"/>
  <c r="J641" i="20"/>
  <c r="J640" i="20"/>
  <c r="J639" i="20"/>
  <c r="J638" i="20"/>
  <c r="J637" i="20"/>
  <c r="J636" i="20"/>
  <c r="J635" i="20"/>
  <c r="J634" i="20"/>
  <c r="J633" i="20"/>
  <c r="J632" i="20"/>
  <c r="J631" i="20"/>
  <c r="J630" i="20"/>
  <c r="J629" i="20"/>
  <c r="J628" i="20"/>
  <c r="J627" i="20"/>
  <c r="J626" i="20"/>
  <c r="J99" i="20"/>
  <c r="J624" i="20"/>
  <c r="J623" i="20"/>
  <c r="J622" i="20"/>
  <c r="J621" i="20"/>
  <c r="J620" i="20"/>
  <c r="J619" i="20"/>
  <c r="J618" i="20"/>
  <c r="J617" i="20"/>
  <c r="J616" i="20"/>
  <c r="J615" i="20"/>
  <c r="J614" i="20"/>
  <c r="J613" i="20"/>
  <c r="J612" i="20"/>
  <c r="J611" i="20"/>
  <c r="J610" i="20"/>
  <c r="J609" i="20"/>
  <c r="J85" i="20"/>
  <c r="J607" i="20"/>
  <c r="J549" i="20"/>
  <c r="J605" i="20"/>
  <c r="J604" i="20"/>
  <c r="J603" i="20"/>
  <c r="J602" i="20"/>
  <c r="J601" i="20"/>
  <c r="J600" i="20"/>
  <c r="J599" i="20"/>
  <c r="J598" i="20"/>
  <c r="J597" i="20"/>
  <c r="J596" i="20"/>
  <c r="J595" i="20"/>
  <c r="J594" i="20"/>
  <c r="J593" i="20"/>
  <c r="J592" i="20"/>
  <c r="J591" i="20"/>
  <c r="J590" i="20"/>
  <c r="J589" i="20"/>
  <c r="J588" i="20"/>
  <c r="J587" i="20"/>
  <c r="J586" i="20"/>
  <c r="J585" i="20"/>
  <c r="J584" i="20"/>
  <c r="J583" i="20"/>
  <c r="J582" i="20"/>
  <c r="J581" i="20"/>
  <c r="J580" i="20"/>
  <c r="J579" i="20"/>
  <c r="J578" i="20"/>
  <c r="J577" i="20"/>
  <c r="J576" i="20"/>
  <c r="J575" i="20"/>
  <c r="J574" i="20"/>
  <c r="J573" i="20"/>
  <c r="J572" i="20"/>
  <c r="J571" i="20"/>
  <c r="J570" i="20"/>
  <c r="J569" i="20"/>
  <c r="J568" i="20"/>
  <c r="J567" i="20"/>
  <c r="J566" i="20"/>
  <c r="J565" i="20"/>
  <c r="J564" i="20"/>
  <c r="J563" i="20"/>
  <c r="J562" i="20"/>
  <c r="J561" i="20"/>
  <c r="J905" i="20"/>
  <c r="J812" i="20"/>
  <c r="J558" i="20"/>
  <c r="J557" i="20"/>
  <c r="J556" i="20"/>
  <c r="J555" i="20"/>
  <c r="J554" i="20"/>
  <c r="J553" i="20"/>
  <c r="J552" i="20"/>
  <c r="J551" i="20"/>
  <c r="J550" i="20"/>
  <c r="J544" i="20"/>
  <c r="J548" i="20"/>
  <c r="J547" i="20"/>
  <c r="J546" i="20"/>
  <c r="J545" i="20"/>
  <c r="J648" i="20"/>
  <c r="J543" i="20"/>
  <c r="J542" i="20"/>
  <c r="J541" i="20"/>
  <c r="J540" i="20"/>
  <c r="J539" i="20"/>
  <c r="J811" i="20"/>
  <c r="J537" i="20"/>
  <c r="J536" i="20"/>
  <c r="J806" i="20"/>
  <c r="J534" i="20"/>
  <c r="J780" i="20"/>
  <c r="J753" i="20"/>
  <c r="J531" i="20"/>
  <c r="J530" i="20"/>
  <c r="J748" i="20"/>
  <c r="J528" i="20"/>
  <c r="J527" i="20"/>
  <c r="J741" i="20"/>
  <c r="J525" i="20"/>
  <c r="J524" i="20"/>
  <c r="J523" i="20"/>
  <c r="J522" i="20"/>
  <c r="J521" i="20"/>
  <c r="J520" i="20"/>
  <c r="J519" i="20"/>
  <c r="J518" i="20"/>
  <c r="J517" i="20"/>
  <c r="J516" i="20"/>
  <c r="J515" i="20"/>
  <c r="J514" i="20"/>
  <c r="J513" i="20"/>
  <c r="J512" i="20"/>
  <c r="J511" i="20"/>
  <c r="J510" i="20"/>
  <c r="J509" i="20"/>
  <c r="J646" i="20"/>
  <c r="J507" i="20"/>
  <c r="J506" i="20"/>
  <c r="J505" i="20"/>
  <c r="J504" i="20"/>
  <c r="J503" i="20"/>
  <c r="J502" i="20"/>
  <c r="J501" i="20"/>
  <c r="J500" i="20"/>
  <c r="J499" i="20"/>
  <c r="J498" i="20"/>
  <c r="J497" i="20"/>
  <c r="J496" i="20"/>
  <c r="J495" i="20"/>
  <c r="J494" i="20"/>
  <c r="J493" i="20"/>
  <c r="J492" i="20"/>
  <c r="J491" i="20"/>
  <c r="J490" i="20"/>
  <c r="J489" i="20"/>
  <c r="J488" i="20"/>
  <c r="J487" i="20"/>
  <c r="J486" i="20"/>
  <c r="J485" i="20"/>
  <c r="J484" i="20"/>
  <c r="J483" i="20"/>
  <c r="J482" i="20"/>
  <c r="J481" i="20"/>
  <c r="J480" i="20"/>
  <c r="J479" i="20"/>
  <c r="J478" i="20"/>
  <c r="J477" i="20"/>
  <c r="J476" i="20"/>
  <c r="J475" i="20"/>
  <c r="J474" i="20"/>
  <c r="J473" i="20"/>
  <c r="J472" i="20"/>
  <c r="J471" i="20"/>
  <c r="J470" i="20"/>
  <c r="J469" i="20"/>
  <c r="J468" i="20"/>
  <c r="J467" i="20"/>
  <c r="J466" i="20"/>
  <c r="J465" i="20"/>
  <c r="J464" i="20"/>
  <c r="J463" i="20"/>
  <c r="J462" i="20"/>
  <c r="J698" i="20"/>
  <c r="J460" i="20"/>
  <c r="J459" i="20"/>
  <c r="J458" i="20"/>
  <c r="J457" i="20"/>
  <c r="J456" i="20"/>
  <c r="J455" i="20"/>
  <c r="J454" i="20"/>
  <c r="J453" i="20"/>
  <c r="J452" i="20"/>
  <c r="J451" i="20"/>
  <c r="J538" i="20"/>
  <c r="J449" i="20"/>
  <c r="J448" i="20"/>
  <c r="J447" i="20"/>
  <c r="J446" i="20"/>
  <c r="J445" i="20"/>
  <c r="J444" i="20"/>
  <c r="J443" i="20"/>
  <c r="J442" i="20"/>
  <c r="J441" i="20"/>
  <c r="J440" i="20"/>
  <c r="J439" i="20"/>
  <c r="J438" i="20"/>
  <c r="J437" i="20"/>
  <c r="J436" i="20"/>
  <c r="J435" i="20"/>
  <c r="J434" i="20"/>
  <c r="J433" i="20"/>
  <c r="J432" i="20"/>
  <c r="J431" i="20"/>
  <c r="J430" i="20"/>
  <c r="J429" i="20"/>
  <c r="J428" i="20"/>
  <c r="J427" i="20"/>
  <c r="J426" i="20"/>
  <c r="J425" i="20"/>
  <c r="J424" i="20"/>
  <c r="J423" i="20"/>
  <c r="J422" i="20"/>
  <c r="J421" i="20"/>
  <c r="J420" i="20"/>
  <c r="J419" i="20"/>
  <c r="J418" i="20"/>
  <c r="J417" i="20"/>
  <c r="J416" i="20"/>
  <c r="J415" i="20"/>
  <c r="J414" i="20"/>
  <c r="J413" i="20"/>
  <c r="J412" i="20"/>
  <c r="J411" i="20"/>
  <c r="J410" i="20"/>
  <c r="J409" i="20"/>
  <c r="J408" i="20"/>
  <c r="J407" i="20"/>
  <c r="J406" i="20"/>
  <c r="J405" i="20"/>
  <c r="J404" i="20"/>
  <c r="J403" i="20"/>
  <c r="J402" i="20"/>
  <c r="J401" i="20"/>
  <c r="J400" i="20"/>
  <c r="J399" i="20"/>
  <c r="J398" i="20"/>
  <c r="J397" i="20"/>
  <c r="J396" i="20"/>
  <c r="J395" i="20"/>
  <c r="J394" i="20"/>
  <c r="J393" i="20"/>
  <c r="J392" i="20"/>
  <c r="J391" i="20"/>
  <c r="J390" i="20"/>
  <c r="J389" i="20"/>
  <c r="J388" i="20"/>
  <c r="J387" i="20"/>
  <c r="J386" i="20"/>
  <c r="J385" i="20"/>
  <c r="J384" i="20"/>
  <c r="J383" i="20"/>
  <c r="J382" i="20"/>
  <c r="J381" i="20"/>
  <c r="J380" i="20"/>
  <c r="J379" i="20"/>
  <c r="J378" i="20"/>
  <c r="J377" i="20"/>
  <c r="J376" i="20"/>
  <c r="J375" i="20"/>
  <c r="J374" i="20"/>
  <c r="J373" i="20"/>
  <c r="J372" i="20"/>
  <c r="J371" i="20"/>
  <c r="J370" i="20"/>
  <c r="J369" i="20"/>
  <c r="J368" i="20"/>
  <c r="J367" i="20"/>
  <c r="J366" i="20"/>
  <c r="J365" i="20"/>
  <c r="J364" i="20"/>
  <c r="J363" i="20"/>
  <c r="J362" i="20"/>
  <c r="J361" i="20"/>
  <c r="J360" i="20"/>
  <c r="J359" i="20"/>
  <c r="J358" i="20"/>
  <c r="J357" i="20"/>
  <c r="J356" i="20"/>
  <c r="J355" i="20"/>
  <c r="J354" i="20"/>
  <c r="J353" i="20"/>
  <c r="J352" i="20"/>
  <c r="J351" i="20"/>
  <c r="J350" i="20"/>
  <c r="J349" i="20"/>
  <c r="J348" i="20"/>
  <c r="J347" i="20"/>
  <c r="J346" i="20"/>
  <c r="J345" i="20"/>
  <c r="J344" i="20"/>
  <c r="J343" i="20"/>
  <c r="J342" i="20"/>
  <c r="J341" i="20"/>
  <c r="J340" i="20"/>
  <c r="J339" i="20"/>
  <c r="J338" i="20"/>
  <c r="J337" i="20"/>
  <c r="J336" i="20"/>
  <c r="J335" i="20"/>
  <c r="J334" i="20"/>
  <c r="J333" i="20"/>
  <c r="J332" i="20"/>
  <c r="J331" i="20"/>
  <c r="J330" i="20"/>
  <c r="J329" i="20"/>
  <c r="J328" i="20"/>
  <c r="J327" i="20"/>
  <c r="J326" i="20"/>
  <c r="J325" i="20"/>
  <c r="J324" i="20"/>
  <c r="J323" i="20"/>
  <c r="J322" i="20"/>
  <c r="J321" i="20"/>
  <c r="J320" i="20"/>
  <c r="J318" i="20"/>
  <c r="J317" i="20"/>
  <c r="J316" i="20"/>
  <c r="J315" i="20"/>
  <c r="J314" i="20"/>
  <c r="J313" i="20"/>
  <c r="J312" i="20"/>
  <c r="J311" i="20"/>
  <c r="J310" i="20"/>
  <c r="J309" i="20"/>
  <c r="J308" i="20"/>
  <c r="J307" i="20"/>
  <c r="J306" i="20"/>
  <c r="J305" i="20"/>
  <c r="J304" i="20"/>
  <c r="J303" i="20"/>
  <c r="J302" i="20"/>
  <c r="J301" i="20"/>
  <c r="J300" i="20"/>
  <c r="J299" i="20"/>
  <c r="J298" i="20"/>
  <c r="J297" i="20"/>
  <c r="J296" i="20"/>
  <c r="J295" i="20"/>
  <c r="J294" i="20"/>
  <c r="J293" i="20"/>
  <c r="J292" i="20"/>
  <c r="J291" i="20"/>
  <c r="J290" i="20"/>
  <c r="J289" i="20"/>
  <c r="J288" i="20"/>
  <c r="J287" i="20"/>
  <c r="J286" i="20"/>
  <c r="J285" i="20"/>
  <c r="J284" i="20"/>
  <c r="J283" i="20"/>
  <c r="J282" i="20"/>
  <c r="J281" i="20"/>
  <c r="J280" i="20"/>
  <c r="J279" i="20"/>
  <c r="J278" i="20"/>
  <c r="J277" i="20"/>
  <c r="J276" i="20"/>
  <c r="J275" i="20"/>
  <c r="J274" i="20"/>
  <c r="J273" i="20"/>
  <c r="J272" i="20"/>
  <c r="J271" i="20"/>
  <c r="J270" i="20"/>
  <c r="J269" i="20"/>
  <c r="J268" i="20"/>
  <c r="J267" i="20"/>
  <c r="J266" i="20"/>
  <c r="J265" i="20"/>
  <c r="J264" i="20"/>
  <c r="J263" i="20"/>
  <c r="J262" i="20"/>
  <c r="J261" i="20"/>
  <c r="J260" i="20"/>
  <c r="J259" i="20"/>
  <c r="J258" i="20"/>
  <c r="J257" i="20"/>
  <c r="J256" i="20"/>
  <c r="J255" i="20"/>
  <c r="J254" i="20"/>
  <c r="J253" i="20"/>
  <c r="J252" i="20"/>
  <c r="J251" i="20"/>
  <c r="J250" i="20"/>
  <c r="J249" i="20"/>
  <c r="J248" i="20"/>
  <c r="J247" i="20"/>
  <c r="J246" i="20"/>
  <c r="J245" i="20"/>
  <c r="J244" i="20"/>
  <c r="J243" i="20"/>
  <c r="J242" i="20"/>
  <c r="J241" i="20"/>
  <c r="J240" i="20"/>
  <c r="J239" i="20"/>
  <c r="J238" i="20"/>
  <c r="J237" i="20"/>
  <c r="J236" i="20"/>
  <c r="J235" i="20"/>
  <c r="J234" i="20"/>
  <c r="J233" i="20"/>
  <c r="J232" i="20"/>
  <c r="J231" i="20"/>
  <c r="J230" i="20"/>
  <c r="J229" i="20"/>
  <c r="J228" i="20"/>
  <c r="J227" i="20"/>
  <c r="J226" i="20"/>
  <c r="J225" i="20"/>
  <c r="J224" i="20"/>
  <c r="J223" i="20"/>
  <c r="J222" i="20"/>
  <c r="J221" i="20"/>
  <c r="J220" i="20"/>
  <c r="J219" i="20"/>
  <c r="J218" i="20"/>
  <c r="J217" i="20"/>
  <c r="J216" i="20"/>
  <c r="J215" i="20"/>
  <c r="J214" i="20"/>
  <c r="J213" i="20"/>
  <c r="J212" i="20"/>
  <c r="J211" i="20"/>
  <c r="J210" i="20"/>
  <c r="J209" i="20"/>
  <c r="J208" i="20"/>
  <c r="J207" i="20"/>
  <c r="J206" i="20"/>
  <c r="J205" i="20"/>
  <c r="J204" i="20"/>
  <c r="J203" i="20"/>
  <c r="J202" i="20"/>
  <c r="J201" i="20"/>
  <c r="J200" i="20"/>
  <c r="J199" i="20"/>
  <c r="J198" i="20"/>
  <c r="J197" i="20"/>
  <c r="J196" i="20"/>
  <c r="J195" i="20"/>
  <c r="J194" i="20"/>
  <c r="J193" i="20"/>
  <c r="J192" i="20"/>
  <c r="J191" i="20"/>
  <c r="J190" i="20"/>
  <c r="J189" i="20"/>
  <c r="J188" i="20"/>
  <c r="J187" i="20"/>
  <c r="J186" i="20"/>
  <c r="J185" i="20"/>
  <c r="J184" i="20"/>
  <c r="J183" i="20"/>
  <c r="J182" i="20"/>
  <c r="J181" i="20"/>
  <c r="J180" i="20"/>
  <c r="J179" i="20"/>
  <c r="J178" i="20"/>
  <c r="J177" i="20"/>
  <c r="J176" i="20"/>
  <c r="J175" i="20"/>
  <c r="J174" i="20"/>
  <c r="J173" i="20"/>
  <c r="J172" i="20"/>
  <c r="J171" i="20"/>
  <c r="J170" i="20"/>
  <c r="J169" i="20"/>
  <c r="J168" i="20"/>
  <c r="J167" i="20"/>
  <c r="J166" i="20"/>
  <c r="J165" i="20"/>
  <c r="J164" i="20"/>
  <c r="J163" i="20"/>
  <c r="J162" i="20"/>
  <c r="J161" i="20"/>
  <c r="J160" i="20"/>
  <c r="J159" i="20"/>
  <c r="J158" i="20"/>
  <c r="J157" i="20"/>
  <c r="J156" i="20"/>
  <c r="J155" i="20"/>
  <c r="J154" i="20"/>
  <c r="J153" i="20"/>
  <c r="J152" i="20"/>
  <c r="J151" i="20"/>
  <c r="J150" i="20"/>
  <c r="J149" i="20"/>
  <c r="J148" i="20"/>
  <c r="J147" i="20"/>
  <c r="J146" i="20"/>
  <c r="J145" i="20"/>
  <c r="J144" i="20"/>
  <c r="J143" i="20"/>
  <c r="J142" i="20"/>
  <c r="J141" i="20"/>
  <c r="J140" i="20"/>
  <c r="J139" i="20"/>
  <c r="J138" i="20"/>
  <c r="J137" i="20"/>
  <c r="J136" i="20"/>
  <c r="J135" i="20"/>
  <c r="J134" i="20"/>
  <c r="J133" i="20"/>
  <c r="J132" i="20"/>
  <c r="J131" i="20"/>
  <c r="J130" i="20"/>
  <c r="J129" i="20"/>
  <c r="J128" i="20"/>
  <c r="J127" i="20"/>
  <c r="J126" i="20"/>
  <c r="J125" i="20"/>
  <c r="J124" i="20"/>
  <c r="J123" i="20"/>
  <c r="J122" i="20"/>
  <c r="J121" i="20"/>
  <c r="J120" i="20"/>
  <c r="J119" i="20"/>
  <c r="J118" i="20"/>
  <c r="J117" i="20"/>
  <c r="J116" i="20"/>
  <c r="J115" i="20"/>
  <c r="J114" i="20"/>
  <c r="J113" i="20"/>
  <c r="J112" i="20"/>
  <c r="J111" i="20"/>
  <c r="J110" i="20"/>
  <c r="J109" i="20"/>
  <c r="J108" i="20"/>
  <c r="J107" i="20"/>
  <c r="J106" i="20"/>
  <c r="J105" i="20"/>
  <c r="J104" i="20"/>
  <c r="J103" i="20"/>
  <c r="J102" i="20"/>
  <c r="J101" i="20"/>
  <c r="J100" i="20"/>
  <c r="J645" i="20"/>
  <c r="J98" i="20"/>
  <c r="J97" i="20"/>
  <c r="J96" i="20"/>
  <c r="J95" i="20"/>
  <c r="J94" i="20"/>
  <c r="J93" i="20"/>
  <c r="J92" i="20"/>
  <c r="J91" i="20"/>
  <c r="J90" i="20"/>
  <c r="J89" i="20"/>
  <c r="J88" i="20"/>
  <c r="J87" i="20"/>
  <c r="J86" i="20"/>
  <c r="J687" i="20"/>
  <c r="J84" i="20"/>
  <c r="J83" i="20"/>
  <c r="J82" i="20"/>
  <c r="J81" i="20"/>
  <c r="J80" i="20"/>
  <c r="J79" i="20"/>
  <c r="J78" i="20"/>
  <c r="J77" i="20"/>
  <c r="J76" i="20"/>
  <c r="J75" i="20"/>
  <c r="J74" i="20"/>
  <c r="J73" i="20"/>
  <c r="J72" i="20"/>
  <c r="J71" i="20"/>
  <c r="J70" i="20"/>
  <c r="J69" i="20"/>
  <c r="J68" i="20"/>
  <c r="J67" i="20"/>
  <c r="J66" i="20"/>
  <c r="J65" i="20"/>
  <c r="J64" i="20"/>
  <c r="J63" i="20"/>
  <c r="J62" i="20"/>
  <c r="J61" i="20"/>
  <c r="J60" i="20"/>
  <c r="J59" i="20"/>
  <c r="J58" i="20"/>
  <c r="J57" i="20"/>
  <c r="J56" i="20"/>
  <c r="J55" i="20"/>
  <c r="J54" i="20"/>
  <c r="J53" i="20"/>
  <c r="J52" i="20"/>
  <c r="J51" i="20"/>
  <c r="J50" i="20"/>
  <c r="J49" i="20"/>
  <c r="J48" i="20"/>
  <c r="J47" i="20"/>
  <c r="J46" i="20"/>
  <c r="J45" i="20"/>
  <c r="J44" i="20"/>
  <c r="J43" i="20"/>
  <c r="J42" i="20"/>
  <c r="J41" i="20"/>
  <c r="J40" i="20"/>
  <c r="J39" i="20"/>
  <c r="J38" i="20"/>
  <c r="J37" i="20"/>
  <c r="J36" i="20"/>
  <c r="J35" i="20"/>
  <c r="J34" i="20"/>
  <c r="J33" i="20"/>
  <c r="J32" i="20"/>
  <c r="J31" i="20"/>
  <c r="J30" i="20"/>
  <c r="J29" i="20"/>
  <c r="J28" i="20"/>
  <c r="J27" i="20"/>
  <c r="J26" i="20"/>
  <c r="J25" i="20"/>
  <c r="J24" i="20"/>
  <c r="J23" i="20"/>
  <c r="J22" i="20"/>
  <c r="J21" i="20"/>
  <c r="J20" i="20"/>
  <c r="J19" i="20"/>
  <c r="J18" i="20"/>
  <c r="J17" i="20"/>
  <c r="J16" i="20"/>
  <c r="J15" i="20"/>
  <c r="J14" i="20"/>
  <c r="J13" i="20"/>
  <c r="J12" i="20"/>
  <c r="J11" i="20"/>
  <c r="J10" i="20"/>
  <c r="J9" i="20"/>
  <c r="G31" i="7" l="1" a="1"/>
  <c r="G30" i="7" a="1"/>
  <c r="F5" i="6" a="1"/>
  <c r="F4" i="6" a="1"/>
  <c r="F3" i="6" a="1"/>
  <c r="F2" i="6" a="1"/>
  <c r="K6" i="7"/>
  <c r="AC6" i="7" s="1"/>
  <c r="K17" i="7"/>
  <c r="J17" i="7"/>
  <c r="B6" i="7" a="1"/>
  <c r="F2" i="7"/>
  <c r="B2" i="6"/>
  <c r="C2" i="6"/>
  <c r="E21" i="35"/>
  <c r="H56" i="35"/>
  <c r="J56" i="35" s="1"/>
  <c r="H45" i="35"/>
  <c r="J45" i="35" s="1"/>
  <c r="H43" i="35"/>
  <c r="J43" i="35" s="1"/>
  <c r="H55" i="35"/>
  <c r="J55" i="35" s="1"/>
  <c r="H51" i="35"/>
  <c r="J51" i="35" s="1"/>
  <c r="H47" i="35"/>
  <c r="J47" i="35" s="1"/>
  <c r="D21" i="35"/>
  <c r="H53" i="35"/>
  <c r="J53" i="35" s="1"/>
  <c r="H50" i="35"/>
  <c r="J50" i="35" s="1"/>
  <c r="H46" i="35"/>
  <c r="J46" i="35" s="1"/>
  <c r="H44" i="35"/>
  <c r="J44" i="35" s="1"/>
  <c r="H42" i="35"/>
  <c r="J42" i="35" s="1"/>
  <c r="I42" i="21"/>
  <c r="J42" i="21" s="1"/>
  <c r="I72" i="21"/>
  <c r="J72" i="21" s="1"/>
  <c r="I79" i="21"/>
  <c r="J79" i="21" s="1"/>
  <c r="I11" i="21"/>
  <c r="J13" i="21"/>
  <c r="J17" i="21"/>
  <c r="I41" i="21"/>
  <c r="I45" i="21"/>
  <c r="I47" i="21"/>
  <c r="J47" i="21" s="1"/>
  <c r="I68" i="21"/>
  <c r="I14" i="21"/>
  <c r="J14" i="21" s="1"/>
  <c r="I21" i="21"/>
  <c r="I25" i="21"/>
  <c r="J25" i="21" s="1"/>
  <c r="I26" i="21"/>
  <c r="I35" i="21"/>
  <c r="J37" i="21"/>
  <c r="I43" i="21"/>
  <c r="J43" i="21" s="1"/>
  <c r="J75" i="21"/>
  <c r="I18" i="21"/>
  <c r="I19" i="21"/>
  <c r="J19" i="21" s="1"/>
  <c r="I20" i="21"/>
  <c r="I30" i="21"/>
  <c r="J31" i="21"/>
  <c r="J35" i="21"/>
  <c r="I39" i="21"/>
  <c r="J39" i="21" s="1"/>
  <c r="I44" i="21"/>
  <c r="J44" i="21" s="1"/>
  <c r="J68" i="21"/>
  <c r="J69" i="21"/>
  <c r="J74" i="21"/>
  <c r="I12" i="21"/>
  <c r="J12" i="21" s="1"/>
  <c r="I73" i="21"/>
  <c r="J73" i="21" s="1"/>
  <c r="J38" i="21"/>
  <c r="J45" i="21"/>
  <c r="I77" i="21"/>
  <c r="B39" i="37"/>
  <c r="D38" i="37"/>
  <c r="C38" i="37"/>
  <c r="B38" i="37"/>
  <c r="C5" i="35"/>
  <c r="B51" i="37"/>
  <c r="D51" i="37"/>
  <c r="C51" i="37"/>
  <c r="D39" i="37"/>
  <c r="C39" i="37"/>
  <c r="D23" i="37"/>
  <c r="D22" i="37"/>
  <c r="D21" i="37"/>
  <c r="D20" i="37"/>
  <c r="D19" i="37"/>
  <c r="D18" i="37"/>
  <c r="D17" i="37"/>
  <c r="D16" i="37"/>
  <c r="D15" i="37"/>
  <c r="D14" i="37"/>
  <c r="D13" i="37"/>
  <c r="B32" i="37"/>
  <c r="C41" i="37" s="1"/>
  <c r="C6" i="35"/>
  <c r="C21" i="35" s="1"/>
  <c r="C22" i="35" s="1"/>
  <c r="F41" i="35"/>
  <c r="E20" i="35"/>
  <c r="D20" i="35"/>
  <c r="C20" i="35"/>
  <c r="E19" i="35"/>
  <c r="D19" i="35"/>
  <c r="C19" i="35"/>
  <c r="E15" i="35"/>
  <c r="D15" i="35"/>
  <c r="C15" i="35"/>
  <c r="E14" i="35"/>
  <c r="D14" i="35"/>
  <c r="C14" i="35"/>
  <c r="E5" i="35"/>
  <c r="D5" i="35"/>
  <c r="H41" i="35"/>
  <c r="J41" i="35" s="1"/>
  <c r="D22" i="35"/>
  <c r="D23" i="35"/>
  <c r="E22" i="35"/>
  <c r="E31" i="35" a="1"/>
  <c r="E30" i="35" a="1"/>
  <c r="D31" i="35" a="1"/>
  <c r="D30" i="35" a="1"/>
  <c r="E23" i="35"/>
  <c r="J11" i="21"/>
  <c r="J20" i="21"/>
  <c r="I29" i="21"/>
  <c r="J29" i="21" s="1"/>
  <c r="I78" i="21"/>
  <c r="J78" i="21" s="1"/>
  <c r="E76" i="35"/>
  <c r="F80" i="35"/>
  <c r="E80" i="35"/>
  <c r="F79" i="35"/>
  <c r="E79" i="35"/>
  <c r="F78" i="35"/>
  <c r="E78" i="35"/>
  <c r="F77" i="35"/>
  <c r="E77" i="35"/>
  <c r="F76" i="35"/>
  <c r="F75" i="35"/>
  <c r="E75" i="35"/>
  <c r="D75" i="35"/>
  <c r="F74" i="35"/>
  <c r="E74" i="35"/>
  <c r="D74" i="35"/>
  <c r="F73" i="35"/>
  <c r="E73" i="35"/>
  <c r="F56" i="35"/>
  <c r="E56" i="35"/>
  <c r="F55" i="35"/>
  <c r="E55" i="35"/>
  <c r="F54" i="35"/>
  <c r="E54" i="35"/>
  <c r="F53" i="35"/>
  <c r="E53" i="35"/>
  <c r="F52" i="35"/>
  <c r="E52" i="35"/>
  <c r="F51" i="35"/>
  <c r="E51" i="35"/>
  <c r="F50" i="35"/>
  <c r="E50" i="35"/>
  <c r="F49" i="35"/>
  <c r="E49" i="35"/>
  <c r="F48" i="35"/>
  <c r="E48" i="35"/>
  <c r="F47" i="35"/>
  <c r="E47" i="35"/>
  <c r="F46" i="35"/>
  <c r="E46" i="35"/>
  <c r="F45" i="35"/>
  <c r="E45" i="35"/>
  <c r="F44" i="35"/>
  <c r="E44" i="35"/>
  <c r="F43" i="35"/>
  <c r="E43" i="35"/>
  <c r="F42" i="35"/>
  <c r="E42" i="35"/>
  <c r="E41" i="35"/>
  <c r="E29" i="35"/>
  <c r="D29" i="35"/>
  <c r="C29" i="35"/>
  <c r="C30" i="35" s="1"/>
  <c r="G113" i="33"/>
  <c r="E113" i="33"/>
  <c r="C113" i="33"/>
  <c r="G112" i="33"/>
  <c r="E112" i="33"/>
  <c r="C112" i="33"/>
  <c r="G111" i="33"/>
  <c r="E111" i="33"/>
  <c r="C111" i="33"/>
  <c r="H245" i="33"/>
  <c r="G121" i="33" s="1"/>
  <c r="F102" i="33"/>
  <c r="E102" i="33"/>
  <c r="F98" i="33"/>
  <c r="E98" i="33"/>
  <c r="F94" i="33"/>
  <c r="E94" i="33"/>
  <c r="F91" i="33"/>
  <c r="E91" i="33"/>
  <c r="F85" i="33"/>
  <c r="E85" i="33"/>
  <c r="F83" i="33"/>
  <c r="E83" i="33"/>
  <c r="F80" i="33"/>
  <c r="E80" i="33"/>
  <c r="F77" i="33"/>
  <c r="E77" i="33"/>
  <c r="F74" i="33"/>
  <c r="E74" i="33"/>
  <c r="F67" i="33"/>
  <c r="E67" i="33"/>
  <c r="F66" i="33"/>
  <c r="E66" i="33"/>
  <c r="F50" i="33"/>
  <c r="E50" i="33"/>
  <c r="F47" i="33"/>
  <c r="E47" i="33"/>
  <c r="F45" i="33"/>
  <c r="E45" i="33"/>
  <c r="F44" i="33"/>
  <c r="E44" i="33"/>
  <c r="F37" i="33"/>
  <c r="F32" i="33"/>
  <c r="F31" i="33"/>
  <c r="F30" i="33"/>
  <c r="F29" i="33"/>
  <c r="F28" i="33"/>
  <c r="F26" i="33"/>
  <c r="F24" i="33"/>
  <c r="F21" i="33"/>
  <c r="H10" i="33"/>
  <c r="G10" i="33"/>
  <c r="H6" i="33"/>
  <c r="G6" i="33"/>
  <c r="G119" i="33" s="1"/>
  <c r="E39" i="33"/>
  <c r="F27" i="33"/>
  <c r="H9" i="33"/>
  <c r="G9" i="33"/>
  <c r="H8" i="33"/>
  <c r="G8" i="33"/>
  <c r="F105" i="33"/>
  <c r="E105" i="33"/>
  <c r="F104" i="33"/>
  <c r="F103" i="33"/>
  <c r="E103" i="33"/>
  <c r="F65" i="33"/>
  <c r="E65" i="33"/>
  <c r="F63" i="33"/>
  <c r="E63" i="33"/>
  <c r="F61" i="33"/>
  <c r="E61" i="33"/>
  <c r="F59" i="33"/>
  <c r="E59" i="33"/>
  <c r="F58" i="33"/>
  <c r="E58" i="33"/>
  <c r="F56" i="33"/>
  <c r="E56" i="33"/>
  <c r="F54" i="33"/>
  <c r="D39" i="33"/>
  <c r="F25" i="33"/>
  <c r="F23" i="33"/>
  <c r="F22" i="33"/>
  <c r="E15" i="33"/>
  <c r="H14" i="33"/>
  <c r="H12" i="33"/>
  <c r="G12" i="33"/>
  <c r="D122" i="33"/>
  <c r="E104" i="33"/>
  <c r="F96" i="33"/>
  <c r="E96" i="33"/>
  <c r="F82" i="33"/>
  <c r="E82" i="33"/>
  <c r="F81" i="33"/>
  <c r="E81" i="33"/>
  <c r="F76" i="33"/>
  <c r="E76" i="33"/>
  <c r="F68" i="33"/>
  <c r="E68" i="33"/>
  <c r="F64" i="33"/>
  <c r="E64" i="33"/>
  <c r="F53" i="33"/>
  <c r="E53" i="33"/>
  <c r="E51" i="33"/>
  <c r="F49" i="33"/>
  <c r="E49" i="33"/>
  <c r="C39" i="33"/>
  <c r="F20" i="33"/>
  <c r="H7" i="33"/>
  <c r="G7" i="33"/>
  <c r="G120" i="33" s="1"/>
  <c r="F87" i="33"/>
  <c r="E87" i="33"/>
  <c r="F75" i="33"/>
  <c r="E75" i="33"/>
  <c r="F73" i="33"/>
  <c r="E73" i="33"/>
  <c r="F71" i="33"/>
  <c r="E71" i="33"/>
  <c r="E54" i="33"/>
  <c r="F51" i="33"/>
  <c r="F38" i="33"/>
  <c r="E34" i="33"/>
  <c r="D34" i="33"/>
  <c r="C34" i="33"/>
  <c r="F33" i="33"/>
  <c r="F19" i="33"/>
  <c r="F15" i="33"/>
  <c r="D15" i="33"/>
  <c r="C15" i="33"/>
  <c r="G14" i="33"/>
  <c r="H13" i="33"/>
  <c r="G13" i="33"/>
  <c r="H11" i="33"/>
  <c r="G11" i="33"/>
  <c r="F93" i="33"/>
  <c r="E93" i="33"/>
  <c r="F69" i="33"/>
  <c r="E69" i="33"/>
  <c r="F62" i="33"/>
  <c r="F57" i="33"/>
  <c r="E57" i="33"/>
  <c r="E55" i="33"/>
  <c r="D107" i="33"/>
  <c r="C107" i="33"/>
  <c r="F100" i="33"/>
  <c r="E100" i="33"/>
  <c r="F99" i="33"/>
  <c r="E99" i="33"/>
  <c r="F95" i="33"/>
  <c r="E95" i="33"/>
  <c r="F92" i="33"/>
  <c r="E92" i="33"/>
  <c r="F89" i="33"/>
  <c r="E89" i="33"/>
  <c r="F79" i="33"/>
  <c r="E79" i="33"/>
  <c r="F72" i="33"/>
  <c r="E72" i="33"/>
  <c r="E62" i="33"/>
  <c r="F55" i="33"/>
  <c r="F52" i="33"/>
  <c r="E52" i="33"/>
  <c r="F46" i="33"/>
  <c r="E46" i="33"/>
  <c r="E43" i="33"/>
  <c r="F106" i="33"/>
  <c r="E106" i="33"/>
  <c r="F101" i="33"/>
  <c r="E101" i="33"/>
  <c r="F97" i="33"/>
  <c r="E97" i="33"/>
  <c r="F90" i="33"/>
  <c r="E90" i="33"/>
  <c r="F88" i="33"/>
  <c r="E88" i="33"/>
  <c r="F86" i="33"/>
  <c r="E86" i="33"/>
  <c r="F84" i="33"/>
  <c r="E84" i="33"/>
  <c r="F78" i="33"/>
  <c r="E78" i="33"/>
  <c r="F70" i="33"/>
  <c r="E70" i="33"/>
  <c r="F60" i="33"/>
  <c r="E60" i="33"/>
  <c r="F48" i="33"/>
  <c r="E48" i="33"/>
  <c r="F43" i="33"/>
  <c r="I9" i="21"/>
  <c r="J9" i="21" s="1"/>
  <c r="I33" i="21"/>
  <c r="J33" i="21" s="1"/>
  <c r="I10" i="21"/>
  <c r="J10" i="21" s="1"/>
  <c r="J71" i="21"/>
  <c r="I8" i="21"/>
  <c r="J41" i="21"/>
  <c r="I24" i="21"/>
  <c r="J8" i="21"/>
  <c r="I7" i="21"/>
  <c r="J22" i="21"/>
  <c r="I16" i="21"/>
  <c r="I27" i="21"/>
  <c r="I34" i="21"/>
  <c r="J34" i="21" s="1"/>
  <c r="J7" i="21"/>
  <c r="I49" i="21"/>
  <c r="J49" i="21" s="1"/>
  <c r="J66" i="21"/>
  <c r="I65" i="21"/>
  <c r="J65" i="21" s="1"/>
  <c r="J26" i="21"/>
  <c r="J48" i="21"/>
  <c r="I70" i="21"/>
  <c r="J70" i="21" s="1"/>
  <c r="J27" i="21"/>
  <c r="I76" i="21"/>
  <c r="J76" i="21" s="1"/>
  <c r="I15" i="21"/>
  <c r="I67" i="21"/>
  <c r="J67" i="21" s="1"/>
  <c r="I23" i="21"/>
  <c r="J15" i="21"/>
  <c r="J23" i="21"/>
  <c r="J21" i="21"/>
  <c r="I40" i="21"/>
  <c r="J40" i="21" s="1"/>
  <c r="S34" i="21"/>
  <c r="T34" i="21"/>
  <c r="U34" i="21"/>
  <c r="V34" i="21" s="1"/>
  <c r="T35" i="21"/>
  <c r="J24" i="21"/>
  <c r="S30" i="21"/>
  <c r="T30" i="21"/>
  <c r="S35" i="21"/>
  <c r="U35" i="21"/>
  <c r="V35" i="21" s="1"/>
  <c r="J36" i="21"/>
  <c r="AD10" i="21"/>
  <c r="AF10" i="21" s="1"/>
  <c r="AD8" i="21"/>
  <c r="AB11" i="21"/>
  <c r="AB16" i="21"/>
  <c r="AD9" i="21"/>
  <c r="AF9" i="21" s="1"/>
  <c r="AC11" i="21"/>
  <c r="AB29" i="21"/>
  <c r="AB28" i="21"/>
  <c r="AB27" i="21"/>
  <c r="S10" i="21"/>
  <c r="U10" i="21"/>
  <c r="V10" i="21" s="1"/>
  <c r="S12" i="21"/>
  <c r="T12" i="21"/>
  <c r="Y12" i="21" s="1"/>
  <c r="S17" i="21"/>
  <c r="T17" i="21"/>
  <c r="Y17" i="21" s="1"/>
  <c r="U17" i="21"/>
  <c r="V17" i="21" s="1"/>
  <c r="S41" i="21"/>
  <c r="T41" i="21"/>
  <c r="Y41" i="21" s="1"/>
  <c r="U41" i="21"/>
  <c r="V41" i="21" s="1"/>
  <c r="S42" i="21"/>
  <c r="T42" i="21"/>
  <c r="Y42" i="21" s="1"/>
  <c r="U42" i="21"/>
  <c r="V42" i="21" s="1"/>
  <c r="S43" i="21"/>
  <c r="T43" i="21"/>
  <c r="Y43" i="21" s="1"/>
  <c r="U43" i="21"/>
  <c r="V43" i="21" s="1"/>
  <c r="T46" i="21"/>
  <c r="Y46" i="21" s="1"/>
  <c r="S22" i="21"/>
  <c r="T22" i="21"/>
  <c r="Y22" i="21" s="1"/>
  <c r="U22" i="21"/>
  <c r="V22" i="21" s="1"/>
  <c r="S23" i="21"/>
  <c r="T23" i="21"/>
  <c r="Y23" i="21" s="1"/>
  <c r="S28" i="21"/>
  <c r="T28" i="21"/>
  <c r="Y28" i="21" s="1"/>
  <c r="U28" i="21"/>
  <c r="V28" i="21" s="1"/>
  <c r="S33" i="21"/>
  <c r="T33" i="21"/>
  <c r="Y33" i="21" s="1"/>
  <c r="S37" i="21"/>
  <c r="T37" i="21"/>
  <c r="Y37" i="21" s="1"/>
  <c r="U37" i="21"/>
  <c r="V37" i="21" s="1"/>
  <c r="S8" i="21"/>
  <c r="S14" i="21"/>
  <c r="U14" i="21"/>
  <c r="V14" i="21" s="1"/>
  <c r="S20" i="21"/>
  <c r="T20" i="21"/>
  <c r="Y20" i="21" s="1"/>
  <c r="S24" i="21"/>
  <c r="T24" i="21"/>
  <c r="Y24" i="21" s="1"/>
  <c r="S27" i="21"/>
  <c r="T27" i="21"/>
  <c r="Y27" i="21" s="1"/>
  <c r="I32" i="21"/>
  <c r="J32" i="21" s="1"/>
  <c r="S39" i="21"/>
  <c r="T39" i="21"/>
  <c r="Y39" i="21" s="1"/>
  <c r="T44" i="21"/>
  <c r="Y44" i="21" s="1"/>
  <c r="S49" i="21"/>
  <c r="T49" i="21"/>
  <c r="Y49" i="21" s="1"/>
  <c r="T8" i="21"/>
  <c r="Y8" i="21" s="1"/>
  <c r="S9" i="21"/>
  <c r="T9" i="21"/>
  <c r="Y9" i="21" s="1"/>
  <c r="T14" i="21"/>
  <c r="Y14" i="21" s="1"/>
  <c r="S15" i="21"/>
  <c r="T15" i="21"/>
  <c r="Y15" i="21" s="1"/>
  <c r="S16" i="21"/>
  <c r="T16" i="21"/>
  <c r="Y16" i="21" s="1"/>
  <c r="S19" i="21"/>
  <c r="T19" i="21"/>
  <c r="Y19" i="21" s="1"/>
  <c r="S26" i="21"/>
  <c r="T26" i="21"/>
  <c r="Y26" i="21" s="1"/>
  <c r="U26" i="21"/>
  <c r="V26" i="21" s="1"/>
  <c r="S31" i="21"/>
  <c r="T31" i="21"/>
  <c r="Y31" i="21" s="1"/>
  <c r="U31" i="21"/>
  <c r="V31" i="21" s="1"/>
  <c r="S32" i="21"/>
  <c r="T32" i="21"/>
  <c r="Y32" i="21" s="1"/>
  <c r="S40" i="21"/>
  <c r="T40" i="21"/>
  <c r="Y40" i="21" s="1"/>
  <c r="S44" i="21"/>
  <c r="S45" i="21"/>
  <c r="T45" i="21"/>
  <c r="Y45" i="21" s="1"/>
  <c r="U45" i="21"/>
  <c r="V45" i="21" s="1"/>
  <c r="S46" i="21"/>
  <c r="S47" i="21"/>
  <c r="T47" i="21"/>
  <c r="Y47" i="21" s="1"/>
  <c r="U47" i="21"/>
  <c r="S48" i="21"/>
  <c r="T48" i="21"/>
  <c r="Y48" i="21" s="1"/>
  <c r="U48" i="21"/>
  <c r="V48" i="21" s="1"/>
  <c r="S7" i="21"/>
  <c r="T7" i="21"/>
  <c r="Y7" i="21" s="1"/>
  <c r="T10" i="21"/>
  <c r="Y10" i="21" s="1"/>
  <c r="S11" i="21"/>
  <c r="T11" i="21"/>
  <c r="Y11" i="21" s="1"/>
  <c r="U11" i="21"/>
  <c r="V11" i="21" s="1"/>
  <c r="S13" i="21"/>
  <c r="T13" i="21"/>
  <c r="Y13" i="21" s="1"/>
  <c r="U13" i="21"/>
  <c r="V13" i="21" s="1"/>
  <c r="S18" i="21"/>
  <c r="T18" i="21"/>
  <c r="Y18" i="21" s="1"/>
  <c r="S21" i="21"/>
  <c r="T21" i="21"/>
  <c r="Y21" i="21" s="1"/>
  <c r="U21" i="21"/>
  <c r="V21" i="21" s="1"/>
  <c r="S25" i="21"/>
  <c r="T25" i="21"/>
  <c r="Y25" i="21" s="1"/>
  <c r="U25" i="21"/>
  <c r="V25" i="21" s="1"/>
  <c r="S29" i="21"/>
  <c r="T29" i="21"/>
  <c r="Y29" i="21" s="1"/>
  <c r="S36" i="21"/>
  <c r="T36" i="21"/>
  <c r="Y36" i="21" s="1"/>
  <c r="U36" i="21"/>
  <c r="V36" i="21" s="1"/>
  <c r="S38" i="21"/>
  <c r="T38" i="21"/>
  <c r="Y38" i="21" s="1"/>
  <c r="U38" i="21"/>
  <c r="V38" i="21" s="1"/>
  <c r="I46" i="21"/>
  <c r="J46" i="21" s="1"/>
  <c r="S69" i="21"/>
  <c r="T69" i="21"/>
  <c r="U69" i="21"/>
  <c r="V69" i="21" s="1"/>
  <c r="S75" i="21"/>
  <c r="T75" i="21"/>
  <c r="U75" i="21"/>
  <c r="V75" i="21" s="1"/>
  <c r="S82" i="21"/>
  <c r="T82" i="21"/>
  <c r="U82" i="21"/>
  <c r="V82" i="21" s="1"/>
  <c r="S72" i="21"/>
  <c r="T72" i="21"/>
  <c r="U72" i="21"/>
  <c r="V72" i="21" s="1"/>
  <c r="S81" i="21"/>
  <c r="T81" i="21"/>
  <c r="U81" i="21"/>
  <c r="V81" i="21" s="1"/>
  <c r="S73" i="21"/>
  <c r="T73" i="21"/>
  <c r="S79" i="21"/>
  <c r="T79" i="21"/>
  <c r="U79" i="21"/>
  <c r="V79" i="21" s="1"/>
  <c r="S84" i="21"/>
  <c r="T84" i="21"/>
  <c r="U84" i="21"/>
  <c r="V84" i="21" s="1"/>
  <c r="S74" i="21"/>
  <c r="T74" i="21"/>
  <c r="U74" i="21"/>
  <c r="V74" i="21" s="1"/>
  <c r="S83" i="21"/>
  <c r="T83" i="21"/>
  <c r="U83" i="21"/>
  <c r="V83" i="21" s="1"/>
  <c r="S68" i="21"/>
  <c r="T68" i="21"/>
  <c r="U68" i="21"/>
  <c r="V68" i="21" s="1"/>
  <c r="S80" i="21"/>
  <c r="T80" i="21"/>
  <c r="U80" i="21"/>
  <c r="V80" i="21" s="1"/>
  <c r="S67" i="21"/>
  <c r="T67" i="21"/>
  <c r="S77" i="21"/>
  <c r="T77" i="21"/>
  <c r="S66" i="21"/>
  <c r="T66" i="21"/>
  <c r="Y66" i="21" s="1"/>
  <c r="U66" i="21"/>
  <c r="V66" i="21" s="1"/>
  <c r="S71" i="21"/>
  <c r="T71" i="21"/>
  <c r="U71" i="21"/>
  <c r="V71" i="21" s="1"/>
  <c r="S76" i="21"/>
  <c r="T76" i="21"/>
  <c r="S65" i="21"/>
  <c r="T65" i="21"/>
  <c r="Y65" i="21" s="1"/>
  <c r="S70" i="21"/>
  <c r="T70" i="21"/>
  <c r="S78" i="21"/>
  <c r="T78" i="21"/>
  <c r="B12" i="6"/>
  <c r="B11" i="6"/>
  <c r="D51" i="5" a="1"/>
  <c r="E51" i="5" a="1"/>
  <c r="F51" i="5" a="1"/>
  <c r="H51" i="5" a="1"/>
  <c r="I51" i="5" a="1"/>
  <c r="J51" i="5" a="1"/>
  <c r="I64" i="21"/>
  <c r="J64" i="21" s="1"/>
  <c r="I63" i="21"/>
  <c r="J63" i="21" s="1"/>
  <c r="I62" i="21"/>
  <c r="J62" i="21" s="1"/>
  <c r="I61" i="21"/>
  <c r="J61" i="21" s="1"/>
  <c r="I60" i="21"/>
  <c r="J60" i="21" s="1"/>
  <c r="I59" i="21"/>
  <c r="J59" i="21" s="1"/>
  <c r="I58" i="21"/>
  <c r="J58" i="21" s="1"/>
  <c r="I57" i="21"/>
  <c r="J57" i="21" s="1"/>
  <c r="I56" i="21"/>
  <c r="J56" i="21" s="1"/>
  <c r="I55" i="21"/>
  <c r="J55" i="21" s="1"/>
  <c r="I54" i="21"/>
  <c r="J54" i="21" s="1"/>
  <c r="I53" i="21"/>
  <c r="J53" i="21" s="1"/>
  <c r="I52" i="21"/>
  <c r="J52" i="21" s="1"/>
  <c r="I51" i="21"/>
  <c r="J51" i="21" s="1"/>
  <c r="I50" i="21"/>
  <c r="J50" i="21" s="1"/>
  <c r="T63" i="21"/>
  <c r="Y63" i="21" s="1"/>
  <c r="S63" i="21"/>
  <c r="T52" i="21"/>
  <c r="Y52" i="21" s="1"/>
  <c r="S52" i="21"/>
  <c r="T58" i="21"/>
  <c r="Y58" i="21" s="1"/>
  <c r="S58" i="21"/>
  <c r="T53" i="21"/>
  <c r="Y53" i="21" s="1"/>
  <c r="S53" i="21"/>
  <c r="T61" i="21"/>
  <c r="Y61" i="21" s="1"/>
  <c r="S61" i="21"/>
  <c r="T51" i="21"/>
  <c r="Y51" i="21" s="1"/>
  <c r="S51" i="21"/>
  <c r="T60" i="21"/>
  <c r="Y60" i="21" s="1"/>
  <c r="S60" i="21"/>
  <c r="T56" i="21"/>
  <c r="Y56" i="21" s="1"/>
  <c r="S56" i="21"/>
  <c r="T62" i="21"/>
  <c r="Y62" i="21" s="1"/>
  <c r="S62" i="21"/>
  <c r="T54" i="21"/>
  <c r="Y54" i="21" s="1"/>
  <c r="S54" i="21"/>
  <c r="T64" i="21"/>
  <c r="Y64" i="21" s="1"/>
  <c r="S64" i="21"/>
  <c r="T57" i="21"/>
  <c r="Y57" i="21" s="1"/>
  <c r="S57" i="21"/>
  <c r="T50" i="21"/>
  <c r="Y50" i="21" s="1"/>
  <c r="S50" i="21"/>
  <c r="T59" i="21"/>
  <c r="Y59" i="21" s="1"/>
  <c r="S59" i="21"/>
  <c r="T55" i="21"/>
  <c r="Y55" i="21" s="1"/>
  <c r="S55" i="21"/>
  <c r="B11" i="7"/>
  <c r="B10" i="7"/>
  <c r="K16" i="7"/>
  <c r="J16" i="7"/>
  <c r="G29" i="7" a="1"/>
  <c r="G28" i="7" a="1"/>
  <c r="G27" i="7" a="1"/>
  <c r="G26" i="7" a="1"/>
  <c r="G25" i="7" a="1"/>
  <c r="G24" i="7" a="1"/>
  <c r="G23" i="7" a="1"/>
  <c r="G22" i="7" a="1"/>
  <c r="G21" i="7" a="1"/>
  <c r="G20" i="7" a="1"/>
  <c r="G19" i="7" a="1"/>
  <c r="G18" i="7" a="1"/>
  <c r="G17" i="7" a="1"/>
  <c r="G16" i="7" a="1"/>
  <c r="K2" i="7"/>
  <c r="J2" i="7"/>
  <c r="J15" i="7"/>
  <c r="J14" i="7"/>
  <c r="J13" i="7"/>
  <c r="J12" i="7"/>
  <c r="J11" i="7"/>
  <c r="J10" i="7"/>
  <c r="J9" i="7"/>
  <c r="J8" i="7"/>
  <c r="J7" i="7"/>
  <c r="J6" i="7"/>
  <c r="J5" i="7"/>
  <c r="J4" i="7"/>
  <c r="K3" i="7"/>
  <c r="K15" i="7"/>
  <c r="I50" i="5" a="1"/>
  <c r="H50" i="5" a="1"/>
  <c r="D50" i="5" a="1"/>
  <c r="J50" i="5" a="1"/>
  <c r="E50" i="5" a="1"/>
  <c r="F50" i="5" a="1"/>
  <c r="F7" i="17"/>
  <c r="F5" i="17"/>
  <c r="F6" i="17"/>
  <c r="G13" i="7"/>
  <c r="G14" i="7"/>
  <c r="B10" i="6"/>
  <c r="G12" i="7"/>
  <c r="G11" i="7"/>
  <c r="G10" i="7"/>
  <c r="F14" i="7"/>
  <c r="F13" i="7"/>
  <c r="F12" i="7"/>
  <c r="F11" i="7"/>
  <c r="F10" i="7"/>
  <c r="F4" i="7"/>
  <c r="F3" i="7"/>
  <c r="K5" i="7"/>
  <c r="H38" i="4" s="1"/>
  <c r="K4" i="7"/>
  <c r="B5" i="7" a="1"/>
  <c r="J3" i="7"/>
  <c r="B4" i="7" a="1"/>
  <c r="B8" i="5" a="1"/>
  <c r="C8" i="5" a="1"/>
  <c r="D8" i="5" a="1"/>
  <c r="E8" i="5" a="1"/>
  <c r="G8" i="5" a="1"/>
  <c r="H8" i="5" a="1"/>
  <c r="I8" i="5" a="1"/>
  <c r="J8" i="5" a="1"/>
  <c r="L8" i="5" a="1"/>
  <c r="M8" i="5" a="1"/>
  <c r="N8" i="5" a="1"/>
  <c r="D13" i="5" a="1"/>
  <c r="E13" i="5" a="1"/>
  <c r="J13" i="5" a="1"/>
  <c r="K13" i="5"/>
  <c r="L13" i="5"/>
  <c r="D14" i="5" a="1"/>
  <c r="E14" i="5" a="1"/>
  <c r="J14" i="5" a="1"/>
  <c r="K14" i="5"/>
  <c r="L14" i="5"/>
  <c r="D15" i="5" a="1"/>
  <c r="E15" i="5" a="1"/>
  <c r="J15" i="5" a="1"/>
  <c r="K15" i="5"/>
  <c r="L15" i="5"/>
  <c r="C21" i="5" a="1"/>
  <c r="E22" i="5" a="1"/>
  <c r="E24" i="5" a="1"/>
  <c r="E25" i="5" a="1"/>
  <c r="C26" i="5" a="1"/>
  <c r="C27" i="5" a="1"/>
  <c r="J27" i="5" a="1"/>
  <c r="I28" i="5" a="1"/>
  <c r="I29" i="5" a="1"/>
  <c r="C31" i="5" a="1"/>
  <c r="J31" i="5" a="1"/>
  <c r="E21" i="5" a="1"/>
  <c r="I22" i="5" a="1"/>
  <c r="D24" i="5" a="1"/>
  <c r="J26" i="5" a="1"/>
  <c r="E28" i="5" a="1"/>
  <c r="H29" i="5" a="1"/>
  <c r="E31" i="5" a="1"/>
  <c r="I41" i="5" a="1"/>
  <c r="I43" i="5" a="1"/>
  <c r="I45" i="5" a="1"/>
  <c r="I46" i="5" a="1"/>
  <c r="H47" i="5" a="1"/>
  <c r="H48" i="5" a="1"/>
  <c r="E49" i="5" a="1"/>
  <c r="F21" i="4" s="1"/>
  <c r="I21" i="5" a="1"/>
  <c r="E23" i="5" a="1"/>
  <c r="H24" i="5" a="1"/>
  <c r="H26" i="5" a="1"/>
  <c r="C28" i="5" a="1"/>
  <c r="C29" i="5" a="1"/>
  <c r="E30" i="5" a="1"/>
  <c r="D31" i="5" a="1"/>
  <c r="D37" i="5" a="1"/>
  <c r="E37" i="5" a="1"/>
  <c r="F37" i="5" a="1"/>
  <c r="H37" i="5" a="1"/>
  <c r="I37" i="5" a="1"/>
  <c r="E38" i="5" a="1"/>
  <c r="I38" i="5" a="1"/>
  <c r="E39" i="5" a="1"/>
  <c r="I39" i="5" a="1"/>
  <c r="E40" i="5" a="1"/>
  <c r="I40" i="5" a="1"/>
  <c r="E41" i="5" a="1"/>
  <c r="J41" i="5" a="1"/>
  <c r="I42" i="5" a="1"/>
  <c r="E43" i="5" a="1"/>
  <c r="E44" i="5" a="1"/>
  <c r="H44" i="5" a="1"/>
  <c r="E45" i="5" a="1"/>
  <c r="E46" i="5" a="1"/>
  <c r="J46" i="5" a="1"/>
  <c r="J47" i="5" a="1"/>
  <c r="J48" i="5" a="1"/>
  <c r="J49" i="5" a="1"/>
  <c r="C22" i="5" a="1"/>
  <c r="C23" i="5" a="1"/>
  <c r="C24" i="5" a="1"/>
  <c r="H25" i="5" a="1"/>
  <c r="E26" i="5" a="1"/>
  <c r="D27" i="5" a="1"/>
  <c r="H28" i="5" a="1"/>
  <c r="C30" i="5" a="1"/>
  <c r="H30" i="5" a="1"/>
  <c r="E42" i="5" a="1"/>
  <c r="D44" i="5" a="1"/>
  <c r="D46" i="5" a="1"/>
  <c r="D48" i="5" a="1"/>
  <c r="H21" i="5" a="1"/>
  <c r="J22" i="5" a="1"/>
  <c r="J23" i="5" a="1"/>
  <c r="C25" i="5" a="1"/>
  <c r="J25" i="5" a="1"/>
  <c r="H27" i="5" a="1"/>
  <c r="J29" i="5" a="1"/>
  <c r="H31" i="5" a="1"/>
  <c r="D45" i="5" a="1"/>
  <c r="F45" i="5" a="1"/>
  <c r="F46" i="5" a="1"/>
  <c r="D47" i="5" a="1"/>
  <c r="I47" i="5" a="1"/>
  <c r="I48" i="5" a="1"/>
  <c r="H49" i="5" a="1"/>
  <c r="D22" i="5" a="1"/>
  <c r="H23" i="5" a="1"/>
  <c r="J24" i="5" a="1"/>
  <c r="I26" i="5" a="1"/>
  <c r="I27" i="5" a="1"/>
  <c r="J28" i="5" a="1"/>
  <c r="D30" i="5" a="1"/>
  <c r="I31" i="5" a="1"/>
  <c r="H42" i="5" a="1"/>
  <c r="D43" i="5" a="1"/>
  <c r="J43" i="5" a="1"/>
  <c r="J44" i="5" a="1"/>
  <c r="F47" i="5" a="1"/>
  <c r="F49" i="5" a="1"/>
  <c r="D21" i="5" a="1"/>
  <c r="H22" i="5" a="1"/>
  <c r="I23" i="5" a="1"/>
  <c r="D25" i="5" a="1"/>
  <c r="D26" i="5" a="1"/>
  <c r="D28" i="5" a="1"/>
  <c r="E29" i="5" a="1"/>
  <c r="J30" i="5" a="1"/>
  <c r="D38" i="5" a="1"/>
  <c r="H38" i="5" a="1"/>
  <c r="D39" i="5" a="1"/>
  <c r="H39" i="5" a="1"/>
  <c r="D40" i="5" a="1"/>
  <c r="H40" i="5" a="1"/>
  <c r="D41" i="5" a="1"/>
  <c r="H41" i="5" a="1"/>
  <c r="F42" i="5" a="1"/>
  <c r="H43" i="5" a="1"/>
  <c r="J45" i="5" a="1"/>
  <c r="F48" i="5" a="1"/>
  <c r="J21" i="5" a="1"/>
  <c r="D23" i="5" a="1"/>
  <c r="I24" i="5" a="1"/>
  <c r="I25" i="5" a="1"/>
  <c r="E27" i="5" a="1"/>
  <c r="D29" i="5" a="1"/>
  <c r="I30" i="5" a="1"/>
  <c r="J37" i="5" a="1"/>
  <c r="F38" i="5" a="1"/>
  <c r="J38" i="5" a="1"/>
  <c r="F39" i="5" a="1"/>
  <c r="J39" i="5" a="1"/>
  <c r="F40" i="5" a="1"/>
  <c r="J40" i="5" a="1"/>
  <c r="F41" i="5" a="1"/>
  <c r="D42" i="5" a="1"/>
  <c r="J42" i="5" a="1"/>
  <c r="F43" i="5" a="1"/>
  <c r="F44" i="5" a="1"/>
  <c r="I44" i="5" a="1"/>
  <c r="H45" i="5" a="1"/>
  <c r="H46" i="5" a="1"/>
  <c r="E47" i="5" a="1"/>
  <c r="E48" i="5" a="1"/>
  <c r="D49" i="5" a="1"/>
  <c r="I49" i="5" a="1"/>
  <c r="B3" i="6"/>
  <c r="B4" i="6"/>
  <c r="B5" i="6"/>
  <c r="B6" i="6"/>
  <c r="B7" i="6"/>
  <c r="B8" i="6"/>
  <c r="B9" i="6"/>
  <c r="L57" i="7" a="1"/>
  <c r="L53" i="7" a="1"/>
  <c r="L55" i="7" a="1"/>
  <c r="L54" i="7" a="1"/>
  <c r="L56" i="7" a="1"/>
  <c r="S3" i="6" a="1"/>
  <c r="S5" i="6" a="1"/>
  <c r="S7" i="6" a="1"/>
  <c r="L38" i="7" a="1"/>
  <c r="L40" i="7" a="1"/>
  <c r="L46" i="7" a="1"/>
  <c r="L41" i="7" a="1"/>
  <c r="L48" i="7" a="1"/>
  <c r="L42" i="7" a="1"/>
  <c r="L49" i="7" a="1"/>
  <c r="L50" i="7" a="1"/>
  <c r="L44" i="7" a="1"/>
  <c r="L52" i="7" a="1"/>
  <c r="L43" i="7" a="1"/>
  <c r="L47" i="7" a="1"/>
  <c r="L51" i="7" a="1"/>
  <c r="S2" i="6" a="1"/>
  <c r="S4" i="6" a="1"/>
  <c r="S6" i="6" a="1"/>
  <c r="S8" i="6" a="1"/>
  <c r="L39" i="7" a="1"/>
  <c r="L45" i="7" a="1"/>
  <c r="S30" i="7"/>
  <c r="T30" i="7"/>
  <c r="S29" i="7"/>
  <c r="T29" i="7"/>
  <c r="S31" i="7"/>
  <c r="T31" i="7"/>
  <c r="G2" i="7"/>
  <c r="F5" i="7"/>
  <c r="G5" i="7"/>
  <c r="G8" i="7"/>
  <c r="S15" i="7"/>
  <c r="T15" i="7"/>
  <c r="S16" i="7"/>
  <c r="T16" i="7"/>
  <c r="S20" i="7"/>
  <c r="T20" i="7"/>
  <c r="S24" i="7"/>
  <c r="T24" i="7"/>
  <c r="S26" i="7"/>
  <c r="T26" i="7"/>
  <c r="T28" i="7"/>
  <c r="S28" i="7"/>
  <c r="S10" i="7"/>
  <c r="T10" i="7"/>
  <c r="S13" i="7"/>
  <c r="T13" i="7"/>
  <c r="S14" i="7"/>
  <c r="T14" i="7"/>
  <c r="S21" i="7"/>
  <c r="T21" i="7"/>
  <c r="S8" i="7"/>
  <c r="T8" i="7"/>
  <c r="S3" i="7"/>
  <c r="T3" i="7"/>
  <c r="G4" i="7"/>
  <c r="S5" i="7"/>
  <c r="T5" i="7"/>
  <c r="F6" i="7"/>
  <c r="F8" i="7"/>
  <c r="F9" i="7"/>
  <c r="G9" i="7"/>
  <c r="S9" i="7"/>
  <c r="T9" i="7"/>
  <c r="S17" i="7"/>
  <c r="T17" i="7"/>
  <c r="S23" i="7"/>
  <c r="T23" i="7"/>
  <c r="S27" i="7"/>
  <c r="T27" i="7"/>
  <c r="S4" i="7"/>
  <c r="T4" i="7"/>
  <c r="G6" i="7"/>
  <c r="S6" i="7"/>
  <c r="T6" i="7"/>
  <c r="S7" i="7"/>
  <c r="T7" i="7"/>
  <c r="S12" i="7"/>
  <c r="T12" i="7"/>
  <c r="S18" i="7"/>
  <c r="T18" i="7"/>
  <c r="S22" i="7"/>
  <c r="T22" i="7"/>
  <c r="S25" i="7"/>
  <c r="T25" i="7"/>
  <c r="S2" i="7"/>
  <c r="T2" i="7"/>
  <c r="G3" i="7"/>
  <c r="F7" i="7"/>
  <c r="G7" i="7"/>
  <c r="S11" i="7"/>
  <c r="T11" i="7"/>
  <c r="S19" i="7"/>
  <c r="T19" i="7"/>
  <c r="F8" i="17"/>
  <c r="F4" i="17"/>
  <c r="F9" i="17"/>
  <c r="I6" i="21"/>
  <c r="J6" i="21" s="1"/>
  <c r="T6" i="21"/>
  <c r="Y6" i="21" s="1"/>
  <c r="S6" i="21"/>
  <c r="H1" i="7" l="1"/>
  <c r="AC2" i="7"/>
  <c r="U2" i="7"/>
  <c r="W16" i="7" s="1" a="1"/>
  <c r="H31" i="7"/>
  <c r="B42" i="37"/>
  <c r="D41" i="37"/>
  <c r="B41" i="37"/>
  <c r="C42" i="37"/>
  <c r="C43" i="37" s="1"/>
  <c r="C49" i="37" s="1"/>
  <c r="L53" i="35"/>
  <c r="G53" i="35"/>
  <c r="L47" i="35"/>
  <c r="G47" i="35"/>
  <c r="L55" i="35"/>
  <c r="G55" i="35"/>
  <c r="L51" i="35"/>
  <c r="G51" i="35"/>
  <c r="L44" i="35"/>
  <c r="G44" i="35"/>
  <c r="Y35" i="21"/>
  <c r="Y30" i="21"/>
  <c r="J30" i="21"/>
  <c r="J18" i="21"/>
  <c r="J77" i="21"/>
  <c r="U30" i="21"/>
  <c r="V30" i="21" s="1"/>
  <c r="U19" i="21"/>
  <c r="V19" i="21" s="1"/>
  <c r="U12" i="21"/>
  <c r="V12" i="21" s="1"/>
  <c r="U20" i="21"/>
  <c r="V20" i="21" s="1"/>
  <c r="U39" i="21"/>
  <c r="V39" i="21" s="1"/>
  <c r="U44" i="21"/>
  <c r="V44" i="21" s="1"/>
  <c r="U18" i="21"/>
  <c r="V18" i="21" s="1"/>
  <c r="U73" i="21"/>
  <c r="V73" i="21" s="1"/>
  <c r="U77" i="21"/>
  <c r="V77" i="21" s="1"/>
  <c r="B43" i="37"/>
  <c r="B49" i="37" s="1"/>
  <c r="D42" i="37"/>
  <c r="D43" i="37" s="1"/>
  <c r="D49" i="37" s="1"/>
  <c r="C32" i="37"/>
  <c r="D40" i="37"/>
  <c r="AE10" i="21"/>
  <c r="B40" i="37"/>
  <c r="C40" i="37"/>
  <c r="L56" i="35"/>
  <c r="G56" i="35"/>
  <c r="L50" i="35"/>
  <c r="G50" i="35"/>
  <c r="L46" i="35"/>
  <c r="G46" i="35"/>
  <c r="Y34" i="21"/>
  <c r="G41" i="35"/>
  <c r="E17" i="35"/>
  <c r="D17" i="35"/>
  <c r="C17" i="35"/>
  <c r="G48" i="35"/>
  <c r="G49" i="35"/>
  <c r="G52" i="35"/>
  <c r="G54" i="35"/>
  <c r="K55" i="35"/>
  <c r="D80" i="35"/>
  <c r="D73" i="35"/>
  <c r="K41" i="35"/>
  <c r="E32" i="35" s="1"/>
  <c r="E33" i="35" s="1"/>
  <c r="D76" i="35"/>
  <c r="D78" i="35"/>
  <c r="D79" i="35"/>
  <c r="D77" i="35"/>
  <c r="C23" i="35"/>
  <c r="H48" i="35"/>
  <c r="J48" i="35" s="1"/>
  <c r="L48" i="35" s="1"/>
  <c r="H49" i="35"/>
  <c r="J49" i="35" s="1"/>
  <c r="L49" i="35" s="1"/>
  <c r="H52" i="35"/>
  <c r="J52" i="35" s="1"/>
  <c r="L52" i="35" s="1"/>
  <c r="H54" i="35"/>
  <c r="J54" i="35" s="1"/>
  <c r="L54" i="35" s="1"/>
  <c r="L45" i="35"/>
  <c r="G45" i="35"/>
  <c r="L43" i="35"/>
  <c r="G43" i="35"/>
  <c r="I122" i="33"/>
  <c r="C31" i="35"/>
  <c r="U29" i="21"/>
  <c r="V29" i="21" s="1"/>
  <c r="U78" i="21"/>
  <c r="V78" i="21" s="1"/>
  <c r="U33" i="21"/>
  <c r="V33" i="21" s="1"/>
  <c r="U9" i="21"/>
  <c r="V9" i="21" s="1"/>
  <c r="L42" i="35"/>
  <c r="G42" i="35"/>
  <c r="L41" i="35"/>
  <c r="C16" i="35"/>
  <c r="E16" i="35"/>
  <c r="D16" i="35"/>
  <c r="F29" i="35"/>
  <c r="H113" i="33"/>
  <c r="H112" i="33"/>
  <c r="I111" i="33"/>
  <c r="D111" i="33"/>
  <c r="D113" i="33"/>
  <c r="H122" i="33"/>
  <c r="H111" i="33"/>
  <c r="E114" i="33"/>
  <c r="C114" i="33"/>
  <c r="I113" i="33"/>
  <c r="F113" i="33"/>
  <c r="I112" i="33"/>
  <c r="F112" i="33"/>
  <c r="D112" i="33"/>
  <c r="F111" i="33"/>
  <c r="F107" i="33"/>
  <c r="K53" i="35"/>
  <c r="K47" i="35"/>
  <c r="K51" i="35"/>
  <c r="K44" i="35"/>
  <c r="K42" i="35"/>
  <c r="K56" i="35"/>
  <c r="K50" i="35"/>
  <c r="K46" i="35"/>
  <c r="K45" i="35"/>
  <c r="K43" i="35"/>
  <c r="G37" i="33"/>
  <c r="H37" i="33"/>
  <c r="F39" i="33"/>
  <c r="G32" i="33"/>
  <c r="H32" i="33"/>
  <c r="G31" i="33"/>
  <c r="H31" i="33"/>
  <c r="G30" i="33"/>
  <c r="H30" i="33"/>
  <c r="G29" i="33"/>
  <c r="H29" i="33"/>
  <c r="G28" i="33"/>
  <c r="H28" i="33"/>
  <c r="G26" i="33"/>
  <c r="H26" i="33"/>
  <c r="G24" i="33"/>
  <c r="H24" i="33"/>
  <c r="G21" i="33"/>
  <c r="H21" i="33"/>
  <c r="I10" i="33"/>
  <c r="J10" i="33"/>
  <c r="I6" i="33"/>
  <c r="H15" i="33"/>
  <c r="G27" i="33"/>
  <c r="H27" i="33"/>
  <c r="I9" i="33"/>
  <c r="J9" i="33"/>
  <c r="I8" i="33"/>
  <c r="J8" i="33"/>
  <c r="G25" i="33"/>
  <c r="H25" i="33"/>
  <c r="G23" i="33"/>
  <c r="H23" i="33"/>
  <c r="G22" i="33"/>
  <c r="H22" i="33"/>
  <c r="J14" i="33"/>
  <c r="I14" i="33"/>
  <c r="I12" i="33"/>
  <c r="J12" i="33"/>
  <c r="F122" i="33"/>
  <c r="G122" i="33" s="1"/>
  <c r="G118" i="33"/>
  <c r="G20" i="33"/>
  <c r="H20" i="33"/>
  <c r="I7" i="33"/>
  <c r="J7" i="33"/>
  <c r="G38" i="33"/>
  <c r="H38" i="33"/>
  <c r="G33" i="33"/>
  <c r="H33" i="33"/>
  <c r="G19" i="33"/>
  <c r="H19" i="33"/>
  <c r="F34" i="33"/>
  <c r="I13" i="33"/>
  <c r="J13" i="33"/>
  <c r="I11" i="33"/>
  <c r="J11" i="33"/>
  <c r="G15" i="33"/>
  <c r="E107" i="33"/>
  <c r="E119" i="33"/>
  <c r="E121" i="33"/>
  <c r="E120" i="33"/>
  <c r="E118" i="33"/>
  <c r="U8" i="21"/>
  <c r="V8" i="21" s="1"/>
  <c r="U24" i="21"/>
  <c r="V24" i="21" s="1"/>
  <c r="U7" i="21"/>
  <c r="V7" i="21" s="1"/>
  <c r="U23" i="21"/>
  <c r="V23" i="21" s="1"/>
  <c r="U16" i="21"/>
  <c r="V16" i="21" s="1"/>
  <c r="J16" i="21"/>
  <c r="U27" i="21"/>
  <c r="V27" i="21" s="1"/>
  <c r="U49" i="21"/>
  <c r="V49" i="21" s="1"/>
  <c r="U67" i="21"/>
  <c r="V67" i="21" s="1"/>
  <c r="U76" i="21"/>
  <c r="V76" i="21" s="1"/>
  <c r="U65" i="21"/>
  <c r="V65" i="21" s="1"/>
  <c r="U70" i="21"/>
  <c r="V70" i="21" s="1"/>
  <c r="U15" i="21"/>
  <c r="V15" i="21" s="1"/>
  <c r="U46" i="21"/>
  <c r="V46" i="21" s="1"/>
  <c r="U40" i="21"/>
  <c r="V40" i="21" s="1"/>
  <c r="AB15" i="21"/>
  <c r="AD11" i="21"/>
  <c r="AF11" i="21" s="1"/>
  <c r="AF8" i="21"/>
  <c r="AE8" i="21"/>
  <c r="AE9" i="21"/>
  <c r="U32" i="21"/>
  <c r="V32" i="21" s="1"/>
  <c r="V47" i="21"/>
  <c r="AC16" i="21"/>
  <c r="AD16" i="21" s="1"/>
  <c r="AB30" i="21"/>
  <c r="U63" i="21"/>
  <c r="V63" i="21" s="1"/>
  <c r="U52" i="21"/>
  <c r="V52" i="21" s="1"/>
  <c r="U58" i="21"/>
  <c r="V58" i="21" s="1"/>
  <c r="U53" i="21"/>
  <c r="V53" i="21" s="1"/>
  <c r="U61" i="21"/>
  <c r="V61" i="21" s="1"/>
  <c r="U51" i="21"/>
  <c r="V51" i="21" s="1"/>
  <c r="U64" i="21"/>
  <c r="V64" i="21" s="1"/>
  <c r="U57" i="21"/>
  <c r="V57" i="21" s="1"/>
  <c r="U59" i="21"/>
  <c r="V59" i="21" s="1"/>
  <c r="N22" i="4"/>
  <c r="O22" i="4"/>
  <c r="U60" i="21"/>
  <c r="V60" i="21" s="1"/>
  <c r="U56" i="21"/>
  <c r="V56" i="21" s="1"/>
  <c r="U62" i="21"/>
  <c r="V62" i="21" s="1"/>
  <c r="U54" i="21"/>
  <c r="V54" i="21" s="1"/>
  <c r="G24" i="4"/>
  <c r="D25" i="4"/>
  <c r="I24" i="4"/>
  <c r="H24" i="4"/>
  <c r="F24" i="4"/>
  <c r="E25" i="4"/>
  <c r="U55" i="21"/>
  <c r="V55" i="21" s="1"/>
  <c r="U50" i="21"/>
  <c r="B14" i="6" s="1"/>
  <c r="N37" i="5"/>
  <c r="G22" i="4"/>
  <c r="G23" i="4"/>
  <c r="F23" i="4"/>
  <c r="I23" i="4"/>
  <c r="H23" i="4"/>
  <c r="F22" i="4"/>
  <c r="H22" i="4"/>
  <c r="I22" i="4"/>
  <c r="AC5" i="7"/>
  <c r="H36" i="4"/>
  <c r="AC4" i="7"/>
  <c r="H40" i="4"/>
  <c r="O38" i="5" a="1"/>
  <c r="O37" i="5" a="1"/>
  <c r="G11" i="4"/>
  <c r="G20" i="4"/>
  <c r="B13" i="6" s="1"/>
  <c r="M37" i="5"/>
  <c r="M38" i="5"/>
  <c r="M39" i="5"/>
  <c r="N14" i="5" s="1"/>
  <c r="M14" i="5"/>
  <c r="N13" i="5" s="1"/>
  <c r="N15" i="5" s="1"/>
  <c r="AC3" i="7"/>
  <c r="H39" i="4"/>
  <c r="F42" i="4"/>
  <c r="G17" i="4"/>
  <c r="O19" i="4"/>
  <c r="N19" i="4"/>
  <c r="O21" i="4"/>
  <c r="N21" i="4"/>
  <c r="O20" i="4"/>
  <c r="N20" i="4"/>
  <c r="L25" i="4"/>
  <c r="L41" i="5"/>
  <c r="I16" i="4"/>
  <c r="F16" i="4"/>
  <c r="I13" i="4"/>
  <c r="F13" i="4"/>
  <c r="L37" i="5"/>
  <c r="K37" i="5"/>
  <c r="G15" i="4"/>
  <c r="G18" i="4"/>
  <c r="G16" i="4"/>
  <c r="G12" i="4"/>
  <c r="G19" i="4"/>
  <c r="G14" i="4"/>
  <c r="G13" i="4"/>
  <c r="I19" i="4"/>
  <c r="F19" i="4"/>
  <c r="L38" i="5"/>
  <c r="K38" i="5"/>
  <c r="I18" i="4"/>
  <c r="F18" i="4"/>
  <c r="N38" i="5"/>
  <c r="N40" i="5"/>
  <c r="M15" i="5"/>
  <c r="M13" i="5"/>
  <c r="G37" i="5"/>
  <c r="G38" i="5"/>
  <c r="I12" i="4"/>
  <c r="H12" i="4"/>
  <c r="F12" i="4"/>
  <c r="M25" i="4"/>
  <c r="N25" i="4" s="1"/>
  <c r="O10" i="4"/>
  <c r="N10" i="4"/>
  <c r="O13" i="4"/>
  <c r="N13" i="4"/>
  <c r="D42" i="4"/>
  <c r="H29" i="4"/>
  <c r="O12" i="4"/>
  <c r="N12" i="4"/>
  <c r="O16" i="4"/>
  <c r="N16" i="4"/>
  <c r="I17" i="4"/>
  <c r="H17" i="4"/>
  <c r="F17" i="4"/>
  <c r="O26" i="4"/>
  <c r="I20" i="4"/>
  <c r="H20" i="4"/>
  <c r="F20" i="4"/>
  <c r="H13" i="4"/>
  <c r="H16" i="4"/>
  <c r="H21" i="4"/>
  <c r="H19" i="4"/>
  <c r="H18" i="4"/>
  <c r="H6" i="4"/>
  <c r="F6" i="4"/>
  <c r="O11" i="4"/>
  <c r="N11" i="4"/>
  <c r="I14" i="4"/>
  <c r="H14" i="4"/>
  <c r="F14" i="4"/>
  <c r="O17" i="4"/>
  <c r="N17" i="4"/>
  <c r="G10" i="4"/>
  <c r="I11" i="4"/>
  <c r="H11" i="4"/>
  <c r="F11" i="4"/>
  <c r="I15" i="4"/>
  <c r="H15" i="4"/>
  <c r="F15" i="4"/>
  <c r="O25" i="4"/>
  <c r="O18" i="4"/>
  <c r="N18" i="4"/>
  <c r="O14" i="4"/>
  <c r="N14" i="4"/>
  <c r="I21" i="4"/>
  <c r="G21" i="4"/>
  <c r="I10" i="4"/>
  <c r="H10" i="4"/>
  <c r="F10" i="4"/>
  <c r="O15" i="4"/>
  <c r="N15" i="4"/>
  <c r="E42" i="4"/>
  <c r="H32" i="4"/>
  <c r="H34" i="4"/>
  <c r="H41" i="4"/>
  <c r="H30" i="4"/>
  <c r="H33" i="4"/>
  <c r="H35" i="4"/>
  <c r="H37" i="4"/>
  <c r="G42" i="4"/>
  <c r="H31" i="4"/>
  <c r="B12" i="7"/>
  <c r="G4" i="1"/>
  <c r="E4" i="1"/>
  <c r="U6" i="21"/>
  <c r="V2" i="7" l="1" a="1"/>
  <c r="V3" i="7" a="1"/>
  <c r="V4" i="7" a="1"/>
  <c r="V6" i="7" a="1"/>
  <c r="V7" i="7" a="1"/>
  <c r="V9" i="7" a="1"/>
  <c r="V10" i="7" a="1"/>
  <c r="V11" i="7" a="1"/>
  <c r="V13" i="7" a="1"/>
  <c r="W2" i="7" a="1"/>
  <c r="W17" i="7" a="1"/>
  <c r="AB14" i="21"/>
  <c r="D32" i="35"/>
  <c r="D33" i="35" s="1"/>
  <c r="D35" i="35" s="1"/>
  <c r="AB23" i="21"/>
  <c r="AB22" i="21"/>
  <c r="C18" i="35"/>
  <c r="AB20" i="21"/>
  <c r="AB21" i="21"/>
  <c r="E18" i="35"/>
  <c r="D18" i="35"/>
  <c r="C32" i="35"/>
  <c r="F30" i="35"/>
  <c r="E122" i="33"/>
  <c r="K49" i="35"/>
  <c r="K54" i="35"/>
  <c r="K52" i="35"/>
  <c r="K48" i="35"/>
  <c r="C24" i="35"/>
  <c r="C25" i="35" s="1"/>
  <c r="E24" i="35"/>
  <c r="E25" i="35" s="1"/>
  <c r="D24" i="35"/>
  <c r="D25" i="35" s="1"/>
  <c r="F31" i="35"/>
  <c r="F114" i="33"/>
  <c r="D114" i="33"/>
  <c r="H39" i="33"/>
  <c r="G39" i="33"/>
  <c r="G34" i="33"/>
  <c r="H34" i="33"/>
  <c r="I15" i="33"/>
  <c r="N51" i="5"/>
  <c r="G50" i="5"/>
  <c r="M45" i="5"/>
  <c r="K51" i="5"/>
  <c r="L51" i="5"/>
  <c r="O51" i="5" a="1"/>
  <c r="G51" i="5"/>
  <c r="M51" i="5"/>
  <c r="AC14" i="21"/>
  <c r="AE11" i="21"/>
  <c r="AC15" i="21"/>
  <c r="AD15" i="21" s="1"/>
  <c r="AC27" i="21"/>
  <c r="AC28" i="21"/>
  <c r="AC29" i="21"/>
  <c r="V50" i="21"/>
  <c r="V6" i="21"/>
  <c r="H26" i="7"/>
  <c r="H23" i="7"/>
  <c r="H17" i="7"/>
  <c r="H18" i="7"/>
  <c r="H20" i="7"/>
  <c r="H21" i="7"/>
  <c r="H22" i="7"/>
  <c r="H24" i="7"/>
  <c r="H25" i="7"/>
  <c r="H27" i="7"/>
  <c r="H28" i="7"/>
  <c r="H19" i="7"/>
  <c r="H29" i="7"/>
  <c r="H16" i="7"/>
  <c r="M50" i="5"/>
  <c r="F25" i="4"/>
  <c r="K50" i="5"/>
  <c r="L50" i="5"/>
  <c r="O50" i="5" a="1"/>
  <c r="N45" i="5"/>
  <c r="N50" i="5"/>
  <c r="H30" i="7"/>
  <c r="V15" i="7" a="1"/>
  <c r="V8" i="7" a="1"/>
  <c r="V5" i="7" a="1"/>
  <c r="V14" i="7" a="1"/>
  <c r="V12" i="7" a="1"/>
  <c r="W9" i="7" a="1"/>
  <c r="W11" i="7" a="1"/>
  <c r="W12" i="7" a="1"/>
  <c r="W10" i="7" a="1"/>
  <c r="W8" i="7" a="1"/>
  <c r="W7" i="7" a="1"/>
  <c r="W6" i="7" a="1"/>
  <c r="W5" i="7" a="1"/>
  <c r="W4" i="7" a="1"/>
  <c r="W3" i="7" a="1"/>
  <c r="W13" i="7" a="1"/>
  <c r="W15" i="7" a="1"/>
  <c r="W14" i="7" a="1"/>
  <c r="M43" i="5"/>
  <c r="N47" i="5"/>
  <c r="M38" i="7"/>
  <c r="M42" i="7"/>
  <c r="M50" i="7"/>
  <c r="D19" i="1"/>
  <c r="M55" i="7"/>
  <c r="M39" i="7"/>
  <c r="M43" i="7"/>
  <c r="M54" i="7"/>
  <c r="K41" i="5"/>
  <c r="N48" i="5"/>
  <c r="M49" i="5"/>
  <c r="F21" i="5"/>
  <c r="F24" i="5"/>
  <c r="F30" i="5"/>
  <c r="F52" i="5"/>
  <c r="L40" i="5"/>
  <c r="M41" i="5"/>
  <c r="L44" i="5"/>
  <c r="K25" i="5"/>
  <c r="C32" i="5"/>
  <c r="F27" i="5"/>
  <c r="F31" i="5"/>
  <c r="F22" i="5"/>
  <c r="E32" i="5"/>
  <c r="F29" i="5"/>
  <c r="N39" i="5"/>
  <c r="K40" i="5"/>
  <c r="K44" i="5"/>
  <c r="L46" i="5"/>
  <c r="K46" i="5"/>
  <c r="L39" i="5"/>
  <c r="K39" i="5"/>
  <c r="M40" i="5"/>
  <c r="N41" i="5"/>
  <c r="L42" i="5"/>
  <c r="M44" i="5"/>
  <c r="G47" i="5"/>
  <c r="K31" i="5"/>
  <c r="K28" i="5"/>
  <c r="K22" i="5"/>
  <c r="K26" i="5"/>
  <c r="M46" i="5"/>
  <c r="N49" i="5"/>
  <c r="N42" i="5"/>
  <c r="G45" i="5"/>
  <c r="G46" i="5"/>
  <c r="N46" i="5"/>
  <c r="G48" i="5"/>
  <c r="K29" i="5"/>
  <c r="G42" i="5"/>
  <c r="G43" i="5"/>
  <c r="G44" i="5"/>
  <c r="M47" i="5"/>
  <c r="E52" i="5"/>
  <c r="O40" i="5" a="1"/>
  <c r="O41" i="5" a="1"/>
  <c r="M41" i="7"/>
  <c r="M47" i="7"/>
  <c r="D32" i="5"/>
  <c r="M49" i="7"/>
  <c r="M48" i="7"/>
  <c r="M44" i="7"/>
  <c r="M53" i="7"/>
  <c r="I32" i="5"/>
  <c r="M57" i="7"/>
  <c r="K27" i="5"/>
  <c r="O45" i="5" a="1"/>
  <c r="O46" i="5" a="1"/>
  <c r="O48" i="5" a="1"/>
  <c r="O47" i="5" a="1"/>
  <c r="H32" i="5"/>
  <c r="K21" i="5"/>
  <c r="F25" i="5"/>
  <c r="L45" i="5"/>
  <c r="K45" i="5"/>
  <c r="L47" i="5"/>
  <c r="K47" i="5"/>
  <c r="K48" i="5"/>
  <c r="F23" i="5"/>
  <c r="F26" i="5"/>
  <c r="L43" i="5"/>
  <c r="K43" i="5"/>
  <c r="L49" i="5"/>
  <c r="K49" i="5"/>
  <c r="F28" i="5"/>
  <c r="G39" i="5"/>
  <c r="D52" i="5"/>
  <c r="H52" i="5"/>
  <c r="I52" i="5"/>
  <c r="J52" i="5"/>
  <c r="K42" i="5"/>
  <c r="K24" i="5"/>
  <c r="K23" i="5"/>
  <c r="J32" i="5"/>
  <c r="K30" i="5"/>
  <c r="G40" i="5"/>
  <c r="G41" i="5"/>
  <c r="M42" i="5"/>
  <c r="E16" i="5"/>
  <c r="D16" i="5"/>
  <c r="O42" i="5" a="1"/>
  <c r="O43" i="5" a="1"/>
  <c r="O44" i="5" a="1"/>
  <c r="O39" i="5" a="1"/>
  <c r="N44" i="5"/>
  <c r="M48" i="5"/>
  <c r="N43" i="5"/>
  <c r="L48" i="5"/>
  <c r="G49" i="5"/>
  <c r="O49" i="5" a="1"/>
  <c r="M56" i="7"/>
  <c r="M51" i="7"/>
  <c r="M45" i="7"/>
  <c r="M46" i="7"/>
  <c r="M40" i="7"/>
  <c r="M52" i="7"/>
  <c r="H42" i="4"/>
  <c r="M32" i="7"/>
  <c r="M30" i="7"/>
  <c r="M35" i="7"/>
  <c r="N28" i="7"/>
  <c r="M29" i="7"/>
  <c r="M37" i="7"/>
  <c r="M31" i="7"/>
  <c r="M33" i="7"/>
  <c r="M28" i="7"/>
  <c r="M36" i="7"/>
  <c r="M34" i="7"/>
  <c r="F4" i="1"/>
  <c r="N10" i="6" l="1"/>
  <c r="M10" i="6"/>
  <c r="AB17" i="21"/>
  <c r="C33" i="35"/>
  <c r="F33" i="35" s="1"/>
  <c r="F32" i="35"/>
  <c r="AB24" i="21"/>
  <c r="D34" i="35"/>
  <c r="E35" i="35"/>
  <c r="E34" i="35"/>
  <c r="AD14" i="21"/>
  <c r="AC17" i="21"/>
  <c r="AC30" i="21"/>
  <c r="M2" i="6"/>
  <c r="M12" i="6"/>
  <c r="M11" i="6"/>
  <c r="M8" i="6"/>
  <c r="M6" i="6"/>
  <c r="N2" i="6"/>
  <c r="N12" i="6"/>
  <c r="N3" i="6"/>
  <c r="N8" i="6"/>
  <c r="M3" i="6"/>
  <c r="M4" i="6"/>
  <c r="N9" i="6"/>
  <c r="N11" i="6"/>
  <c r="N6" i="6"/>
  <c r="M7" i="6"/>
  <c r="N7" i="6"/>
  <c r="M5" i="6"/>
  <c r="N5" i="6"/>
  <c r="N4" i="6"/>
  <c r="M9" i="6"/>
  <c r="O21" i="5"/>
  <c r="M27" i="5"/>
  <c r="M24" i="5"/>
  <c r="M21" i="5"/>
  <c r="M22" i="5"/>
  <c r="O24" i="5"/>
  <c r="O30" i="5"/>
  <c r="N30" i="5"/>
  <c r="N21" i="5"/>
  <c r="M31" i="5"/>
  <c r="N27" i="5"/>
  <c r="O27" i="5"/>
  <c r="N31" i="5"/>
  <c r="O31" i="5"/>
  <c r="N22" i="5"/>
  <c r="O22" i="5"/>
  <c r="O29" i="5"/>
  <c r="N29" i="5"/>
  <c r="M29" i="5"/>
  <c r="M30" i="5"/>
  <c r="K52" i="5"/>
  <c r="N24" i="5"/>
  <c r="G52" i="5"/>
  <c r="M23" i="5"/>
  <c r="M28" i="5"/>
  <c r="N25" i="5"/>
  <c r="N23" i="5"/>
  <c r="O23" i="5"/>
  <c r="O26" i="5"/>
  <c r="N26" i="5"/>
  <c r="O28" i="5"/>
  <c r="N28" i="5"/>
  <c r="K32" i="5"/>
  <c r="F32" i="5"/>
  <c r="M25" i="5"/>
  <c r="M26" i="5"/>
  <c r="O25" i="5"/>
  <c r="F14" i="5"/>
  <c r="G13" i="5"/>
  <c r="G14" i="5"/>
  <c r="G15" i="5"/>
  <c r="F15" i="5"/>
  <c r="F13" i="5"/>
  <c r="P3" i="6"/>
  <c r="Q3" i="6"/>
  <c r="P6" i="6"/>
  <c r="Q6" i="6"/>
  <c r="P5" i="6"/>
  <c r="Q5" i="6"/>
  <c r="P4" i="6"/>
  <c r="Q4" i="6"/>
  <c r="P2" i="6"/>
  <c r="Q2" i="6"/>
  <c r="O28" i="7"/>
  <c r="O31" i="7"/>
  <c r="P31" i="7"/>
  <c r="O29" i="7"/>
  <c r="P29" i="7"/>
  <c r="O30" i="7"/>
  <c r="P30" i="7"/>
  <c r="O32" i="7"/>
  <c r="P32" i="7"/>
  <c r="P28" i="7"/>
  <c r="C34" i="35" l="1"/>
  <c r="C35" i="35"/>
  <c r="AC20" i="21"/>
  <c r="AC21" i="21"/>
  <c r="AC23" i="21"/>
  <c r="AC22" i="21"/>
  <c r="F34" i="35"/>
  <c r="F35" i="35"/>
  <c r="AD17" i="21"/>
  <c r="G16" i="5"/>
  <c r="F16" i="5"/>
  <c r="M32" i="5"/>
  <c r="N32" i="5"/>
  <c r="O32" i="5"/>
  <c r="AC24" i="21" l="1"/>
  <c r="B44" i="37" l="1"/>
  <c r="D44" i="37" l="1"/>
  <c r="D45" i="37" s="1"/>
  <c r="D46" i="37" s="1"/>
  <c r="B45" i="37"/>
  <c r="B46" i="37" s="1"/>
  <c r="C44" i="37"/>
  <c r="C45" i="37" s="1"/>
  <c r="C46" i="37" s="1"/>
  <c r="D48" i="37" l="1"/>
  <c r="D50" i="37"/>
  <c r="D47" i="37"/>
  <c r="B50" i="37"/>
  <c r="B48" i="37"/>
  <c r="B47" i="37"/>
  <c r="C50" i="37"/>
  <c r="C48" i="37"/>
  <c r="C47" i="3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N319" authorId="0" shapeId="0" xr:uid="{216AEA3B-E0A1-D543-B4DC-BF6DE15C5D6D}">
      <text>
        <r>
          <rPr>
            <sz val="10"/>
            <color rgb="FF000000"/>
            <rFont val="Arial"/>
            <family val="2"/>
          </rPr>
          <t xml:space="preserve">Microsoft Office User:
</t>
        </r>
        <r>
          <rPr>
            <sz val="10"/>
            <color rgb="FF000000"/>
            <rFont val="Arial"/>
            <family val="2"/>
          </rPr>
          <t>⚠️</t>
        </r>
        <r>
          <rPr>
            <sz val="10"/>
            <color rgb="FF000000"/>
            <rFont val="Arial"/>
            <family val="2"/>
          </rPr>
          <t xml:space="preserve"> CEK DOKUMEN FISIK: Netto hanya 190 Kg — kemungkinan salah input. Tare (K311=13.710) hampir sama dengan Kotor (J311=13.900)</t>
        </r>
      </text>
    </comment>
    <comment ref="N476" authorId="0" shapeId="0" xr:uid="{B4DAC777-F241-C647-9017-62029B6DE13D}">
      <text>
        <r>
          <rPr>
            <sz val="10"/>
            <color rgb="FF000000"/>
            <rFont val="Arial"/>
            <family val="2"/>
          </rPr>
          <t xml:space="preserve">Microsoft Office User:
</t>
        </r>
        <r>
          <rPr>
            <sz val="10"/>
            <color rgb="FF000000"/>
            <rFont val="Arial"/>
            <family val="2"/>
          </rPr>
          <t>⚠️</t>
        </r>
        <r>
          <rPr>
            <sz val="10"/>
            <color rgb="FF000000"/>
            <rFont val="Arial"/>
            <family val="2"/>
          </rPr>
          <t xml:space="preserve"> CEK DOKUMEN FISIK: Netto hanya 2.190 Kg — sangat kecil untuk truk 6 Roda. Perlu verifikasi ke sumber dokumen asli.</t>
        </r>
      </text>
    </comment>
    <comment ref="N671" authorId="0" shapeId="0" xr:uid="{0985D396-BF7D-F747-91A6-624C7A7D915C}">
      <text>
        <r>
          <rPr>
            <sz val="10"/>
            <color rgb="FF000000"/>
            <rFont val="Arial"/>
            <family val="2"/>
          </rPr>
          <t xml:space="preserve">Microsoft Office User:
</t>
        </r>
        <r>
          <rPr>
            <sz val="10"/>
            <color rgb="FF000000"/>
            <rFont val="Arial"/>
            <family val="2"/>
          </rPr>
          <t>⚠️</t>
        </r>
        <r>
          <rPr>
            <sz val="10"/>
            <color rgb="FF000000"/>
            <rFont val="Arial"/>
            <family val="2"/>
          </rPr>
          <t xml:space="preserve"> CEK DOKUMEN FISIK: Netto hanya 340 Kg — kemungkinan truk kosong atau salah input. Tare (13.130) hampir sama dengan Kotor (13.610).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10" authorId="0" shapeId="0" xr:uid="{F55346B6-D892-4E4C-ADE0-09ED7AF9B60F}">
      <text>
        <r>
          <rPr>
            <b/>
            <sz val="10"/>
            <color rgb="FF000000"/>
            <rFont val="Tahoma"/>
            <family val="2"/>
          </rPr>
          <t>Fixed: criteria_range1 changed from $K$ (Tanggal) to $I$ (Produk) for non-Semua filter</t>
        </r>
      </text>
    </comment>
    <comment ref="B11" authorId="0" shapeId="0" xr:uid="{2421CB3A-CE0A-3942-B41F-3CDBBC4687F3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Fixed: criteria_range1 changed from $K$ (Tanggal) to $I$ (Produk) for non-Semua filter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<sst xmlns="http://schemas.openxmlformats.org/spreadsheetml/2006/main" count="37926" uniqueCount="3255">
  <si>
    <t>DASHBOARD TIMBANGAN</t>
  </si>
  <si>
    <t>Total Berat Netto</t>
  </si>
  <si>
    <t>Year Filter</t>
  </si>
  <si>
    <t>RBDPL</t>
  </si>
  <si>
    <t>TOTAL RITASI</t>
  </si>
  <si>
    <t>TOTAL NETTO (Kg)</t>
  </si>
  <si>
    <t>TOTAL NETTO (Ton)</t>
  </si>
  <si>
    <t>RATA-RATA/TRIP (Kg)</t>
  </si>
  <si>
    <t>MAKS NETTO/TRIP</t>
  </si>
  <si>
    <t>MIN NETTO/TRIP</t>
  </si>
  <si>
    <t>Trip</t>
  </si>
  <si>
    <t>(Kg)</t>
  </si>
  <si>
    <t>(Ton)</t>
  </si>
  <si>
    <t>(Kg/Trip)</t>
  </si>
  <si>
    <t>Jumlah</t>
  </si>
  <si>
    <t>No. Seri</t>
  </si>
  <si>
    <t>No Seri Relasi</t>
  </si>
  <si>
    <t>No. Polisi</t>
  </si>
  <si>
    <t>Nama Relasi</t>
  </si>
  <si>
    <t>No Kontrak</t>
  </si>
  <si>
    <t>Produk</t>
  </si>
  <si>
    <t>Truck</t>
  </si>
  <si>
    <t>Tanggal Masuk</t>
  </si>
  <si>
    <t>Berat
Masuk</t>
  </si>
  <si>
    <t>Berat
Keluar</t>
  </si>
  <si>
    <t>Berat
Netto PT WINS</t>
  </si>
  <si>
    <t>Jam
Masuk</t>
  </si>
  <si>
    <t>Jam
Keluar</t>
  </si>
  <si>
    <t>Penimbang</t>
  </si>
  <si>
    <t>Driver</t>
  </si>
  <si>
    <t>Distance (Km)</t>
  </si>
  <si>
    <t>Transportir</t>
  </si>
  <si>
    <t xml:space="preserve">Lokasi pengiriman </t>
  </si>
  <si>
    <t>Column3</t>
  </si>
  <si>
    <t>Relasi</t>
  </si>
  <si>
    <t>Lokasi</t>
  </si>
  <si>
    <t>Kode</t>
  </si>
  <si>
    <t>Kode Suffix</t>
  </si>
  <si>
    <t>000003</t>
  </si>
  <si>
    <t>DP 8951 GB</t>
  </si>
  <si>
    <t>PT. MADINRA INTI SAWIT</t>
  </si>
  <si>
    <t>CPO</t>
  </si>
  <si>
    <t>samsira</t>
  </si>
  <si>
    <t>PT JAS MULIA</t>
  </si>
  <si>
    <t>Makassar</t>
  </si>
  <si>
    <t>CV WIL/CV Lingkar</t>
  </si>
  <si>
    <t>B 1918 SXX</t>
  </si>
  <si>
    <t>Waldi</t>
  </si>
  <si>
    <t>Mercy</t>
  </si>
  <si>
    <t>PT. JAS MULIA</t>
  </si>
  <si>
    <t>JAS</t>
  </si>
  <si>
    <t>MIS</t>
  </si>
  <si>
    <t>000004</t>
  </si>
  <si>
    <t>DP 8821 GL</t>
  </si>
  <si>
    <t>PT KASMAR MATANO PERSADA</t>
  </si>
  <si>
    <t>Palu</t>
  </si>
  <si>
    <t>DD 8711 XX</t>
  </si>
  <si>
    <t>Roni Rakan</t>
  </si>
  <si>
    <t>BE</t>
  </si>
  <si>
    <t>PT. KASMAR MATANO PERSADA</t>
  </si>
  <si>
    <t>KMP</t>
  </si>
  <si>
    <t>PT. WIJAYA NUSANTARA ENERGI</t>
  </si>
  <si>
    <t>WNE</t>
  </si>
  <si>
    <t>000005</t>
  </si>
  <si>
    <t>DD 8578 SK</t>
  </si>
  <si>
    <t>PT WIJAYA NUSANTARA ENERGI</t>
  </si>
  <si>
    <t>B-40</t>
  </si>
  <si>
    <t>PT MADINRA INTI SAWIT</t>
  </si>
  <si>
    <t>Bone Bone</t>
  </si>
  <si>
    <t>CV WIL</t>
  </si>
  <si>
    <t>BM 8315 QO</t>
  </si>
  <si>
    <t>Iqbal</t>
  </si>
  <si>
    <t>Howo</t>
  </si>
  <si>
    <t>DP 8036 GK</t>
  </si>
  <si>
    <t>PT PERKEBUNAN NUSANTARA</t>
  </si>
  <si>
    <t>Masamba</t>
  </si>
  <si>
    <t>DD 9236 XX</t>
  </si>
  <si>
    <t>Ibrahim</t>
  </si>
  <si>
    <t>PT. PERKEBUNAN NUSANTARA</t>
  </si>
  <si>
    <t>PN</t>
  </si>
  <si>
    <t>000006</t>
  </si>
  <si>
    <t>PT BUKIT JEJER LESTARI</t>
  </si>
  <si>
    <t>Pomala</t>
  </si>
  <si>
    <t>CV Lingkar</t>
  </si>
  <si>
    <t>BH 8459 MY</t>
  </si>
  <si>
    <t>Hamsal</t>
  </si>
  <si>
    <t>PT. BUKIT JEJER LESTARI</t>
  </si>
  <si>
    <t>BJL</t>
  </si>
  <si>
    <t>Burau</t>
  </si>
  <si>
    <t>WNE 01</t>
  </si>
  <si>
    <t>000007</t>
  </si>
  <si>
    <t>DD 8173 UY</t>
  </si>
  <si>
    <t>PT WISAN PETRO ENERGI</t>
  </si>
  <si>
    <t>WNE 02</t>
  </si>
  <si>
    <t>PT. WISAN PETRO ENERGI</t>
  </si>
  <si>
    <t>WPE</t>
  </si>
  <si>
    <t>PT MADU LINGGA RAHARJA</t>
  </si>
  <si>
    <t>WNE 03</t>
  </si>
  <si>
    <t>PT. MADU LINGGA RAHARJA</t>
  </si>
  <si>
    <t>MLR</t>
  </si>
  <si>
    <t>000008</t>
  </si>
  <si>
    <t>CV HALILINTAR SAKTI ABADI</t>
  </si>
  <si>
    <t>WNE 05</t>
  </si>
  <si>
    <t>CV. HALILINTAR SAKTI ABADI</t>
  </si>
  <si>
    <t>HSA</t>
  </si>
  <si>
    <t>CV SURYA CAHAYA MAS</t>
  </si>
  <si>
    <t>WNE 06</t>
  </si>
  <si>
    <t>CV. SURYA CAHAYA MAS</t>
  </si>
  <si>
    <t>SCM</t>
  </si>
  <si>
    <t>000009</t>
  </si>
  <si>
    <t>CV DUTA ABADI</t>
  </si>
  <si>
    <t>CV. DUTA ABADI</t>
  </si>
  <si>
    <t>DA</t>
  </si>
  <si>
    <t>000010</t>
  </si>
  <si>
    <t>PT WIJAYA INTI NUSANTARA</t>
  </si>
  <si>
    <t>PT. WIJAYA INTI NUSANTARA</t>
  </si>
  <si>
    <t>WIN</t>
  </si>
  <si>
    <t>000011</t>
  </si>
  <si>
    <t>000012</t>
  </si>
  <si>
    <t>000013</t>
  </si>
  <si>
    <t>000014</t>
  </si>
  <si>
    <t>000015</t>
  </si>
  <si>
    <t>000016</t>
  </si>
  <si>
    <t>000017</t>
  </si>
  <si>
    <t>000018</t>
  </si>
  <si>
    <t>000019</t>
  </si>
  <si>
    <t>000020</t>
  </si>
  <si>
    <t>000021</t>
  </si>
  <si>
    <t>000022</t>
  </si>
  <si>
    <t>000023</t>
  </si>
  <si>
    <t>000024</t>
  </si>
  <si>
    <t>000025</t>
  </si>
  <si>
    <t>000026</t>
  </si>
  <si>
    <t>000027</t>
  </si>
  <si>
    <t>000028</t>
  </si>
  <si>
    <t>000029</t>
  </si>
  <si>
    <t>000030</t>
  </si>
  <si>
    <t>Datu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</si>
  <si>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</si>
  <si>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</si>
  <si>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</si>
  <si>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</si>
  <si>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</si>
  <si>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</si>
  <si>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</si>
  <si>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</si>
  <si>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</si>
  <si>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DP 8935 UA</t>
  </si>
  <si>
    <t>000040</t>
  </si>
  <si>
    <t>DP 9826 GA</t>
  </si>
  <si>
    <t>000041</t>
  </si>
  <si>
    <t>DP 8004 GJ</t>
  </si>
  <si>
    <t>000042</t>
  </si>
  <si>
    <t>DN 8492 CU</t>
  </si>
  <si>
    <t>000043</t>
  </si>
  <si>
    <t>DP 8994 GH</t>
  </si>
  <si>
    <t>DP 8076 TE</t>
  </si>
  <si>
    <t>000044</t>
  </si>
  <si>
    <t>DP 8928 GM</t>
  </si>
  <si>
    <t>000045</t>
  </si>
  <si>
    <t>DP 8862 GG</t>
  </si>
  <si>
    <t>000046</t>
  </si>
  <si>
    <t>000047</t>
  </si>
  <si>
    <t>DP 8662 GH</t>
  </si>
  <si>
    <t>000048</t>
  </si>
  <si>
    <t>000049</t>
  </si>
  <si>
    <t>DP 8762 GH</t>
  </si>
  <si>
    <t>000050</t>
  </si>
  <si>
    <t>000051</t>
  </si>
  <si>
    <t>DP 8798 GH</t>
  </si>
  <si>
    <t>000052</t>
  </si>
  <si>
    <t>DP 9846 GA</t>
  </si>
  <si>
    <t>000053</t>
  </si>
  <si>
    <t>DD 8671 YD</t>
  </si>
  <si>
    <t>DP 8953 DK</t>
  </si>
  <si>
    <t>EXTERNAL</t>
  </si>
  <si>
    <t>000054</t>
  </si>
  <si>
    <t>DN 8813 EB</t>
  </si>
  <si>
    <t>000055</t>
  </si>
  <si>
    <t>DP 8606 GE</t>
  </si>
  <si>
    <t>000056</t>
  </si>
  <si>
    <t>DD 8574 YE</t>
  </si>
  <si>
    <t>000057</t>
  </si>
  <si>
    <t>DP 9859 GA</t>
  </si>
  <si>
    <t>DP 8674 GC</t>
  </si>
  <si>
    <t>000058</t>
  </si>
  <si>
    <t>DP 8446 GC</t>
  </si>
  <si>
    <t>000059</t>
  </si>
  <si>
    <t>DP 8817 GB</t>
  </si>
  <si>
    <t>000060</t>
  </si>
  <si>
    <t>000061</t>
  </si>
  <si>
    <t>DP 8926 GA</t>
  </si>
  <si>
    <t>000062</t>
  </si>
  <si>
    <t>000063</t>
  </si>
  <si>
    <t>DP 9821 GA</t>
  </si>
  <si>
    <t>000064</t>
  </si>
  <si>
    <t>000065</t>
  </si>
  <si>
    <t>000066</t>
  </si>
  <si>
    <t>000067</t>
  </si>
  <si>
    <t>000068</t>
  </si>
  <si>
    <t>000069</t>
  </si>
  <si>
    <t>000070</t>
  </si>
  <si>
    <t>000071</t>
  </si>
  <si>
    <t>000072</t>
  </si>
  <si>
    <t>000073</t>
  </si>
  <si>
    <t>DP 8110 GK</t>
  </si>
  <si>
    <t>000074</t>
  </si>
  <si>
    <t>000075</t>
  </si>
  <si>
    <t>000076</t>
  </si>
  <si>
    <t>000077</t>
  </si>
  <si>
    <t xml:space="preserve">DP 8821 GL </t>
  </si>
  <si>
    <t>DD 8532 ML</t>
  </si>
  <si>
    <t>000078</t>
  </si>
  <si>
    <t>000079</t>
  </si>
  <si>
    <t>DD 8862 GG</t>
  </si>
  <si>
    <t>DD 8574 HG</t>
  </si>
  <si>
    <t>000080</t>
  </si>
  <si>
    <t>000081</t>
  </si>
  <si>
    <t>000082</t>
  </si>
  <si>
    <t xml:space="preserve">DN 8813 EB </t>
  </si>
  <si>
    <t>DP 8594 GN</t>
  </si>
  <si>
    <t>000083</t>
  </si>
  <si>
    <t>000084</t>
  </si>
  <si>
    <t>000085</t>
  </si>
  <si>
    <t>DP 8906 GB</t>
  </si>
  <si>
    <t>000086</t>
  </si>
  <si>
    <t>000087</t>
  </si>
  <si>
    <t>000088</t>
  </si>
  <si>
    <t>000089</t>
  </si>
  <si>
    <t>000090</t>
  </si>
  <si>
    <t>000091</t>
  </si>
  <si>
    <t>000092</t>
  </si>
  <si>
    <t>DD 8406 RN</t>
  </si>
  <si>
    <t>000093</t>
  </si>
  <si>
    <t xml:space="preserve">DP 8953 DK  </t>
  </si>
  <si>
    <t>000094</t>
  </si>
  <si>
    <t>DC 8459 XL</t>
  </si>
  <si>
    <t>000095</t>
  </si>
  <si>
    <t>000096</t>
  </si>
  <si>
    <t>000097</t>
  </si>
  <si>
    <t>000098</t>
  </si>
  <si>
    <t>000099</t>
  </si>
  <si>
    <t>000100</t>
  </si>
  <si>
    <t>000101</t>
  </si>
  <si>
    <t>000102</t>
  </si>
  <si>
    <t>000103</t>
  </si>
  <si>
    <t>000104</t>
  </si>
  <si>
    <t>000105</t>
  </si>
  <si>
    <t>000106</t>
  </si>
  <si>
    <t>000107</t>
  </si>
  <si>
    <t>000108</t>
  </si>
  <si>
    <t>000109</t>
  </si>
  <si>
    <t>000110</t>
  </si>
  <si>
    <t>000111</t>
  </si>
  <si>
    <t>000112</t>
  </si>
  <si>
    <t>000113</t>
  </si>
  <si>
    <t>000114</t>
  </si>
  <si>
    <t>000115</t>
  </si>
  <si>
    <t>000116</t>
  </si>
  <si>
    <t>000117</t>
  </si>
  <si>
    <t>000118</t>
  </si>
  <si>
    <t>000119</t>
  </si>
  <si>
    <t>000120</t>
  </si>
  <si>
    <t>000121</t>
  </si>
  <si>
    <t>000122</t>
  </si>
  <si>
    <t>000123</t>
  </si>
  <si>
    <t>000124</t>
  </si>
  <si>
    <t>000125</t>
  </si>
  <si>
    <t>000126</t>
  </si>
  <si>
    <t>000127</t>
  </si>
  <si>
    <t>000128</t>
  </si>
  <si>
    <t>000129</t>
  </si>
  <si>
    <t>000130</t>
  </si>
  <si>
    <t>000131</t>
  </si>
  <si>
    <t>000132</t>
  </si>
  <si>
    <t>000133</t>
  </si>
  <si>
    <t>000134</t>
  </si>
  <si>
    <t>000135</t>
  </si>
  <si>
    <t>000136</t>
  </si>
  <si>
    <t>000137</t>
  </si>
  <si>
    <t>000138</t>
  </si>
  <si>
    <t>000139</t>
  </si>
  <si>
    <t>000140</t>
  </si>
  <si>
    <t>000141</t>
  </si>
  <si>
    <t>000142</t>
  </si>
  <si>
    <t>000143</t>
  </si>
  <si>
    <t>000144</t>
  </si>
  <si>
    <t>000145</t>
  </si>
  <si>
    <t>000146</t>
  </si>
  <si>
    <t>000147</t>
  </si>
  <si>
    <t>000148</t>
  </si>
  <si>
    <t>000149</t>
  </si>
  <si>
    <t>000150</t>
  </si>
  <si>
    <t>000151</t>
  </si>
  <si>
    <t>000152</t>
  </si>
  <si>
    <t>000153</t>
  </si>
  <si>
    <t>000154</t>
  </si>
  <si>
    <t>000155</t>
  </si>
  <si>
    <t>000156</t>
  </si>
  <si>
    <t>000157</t>
  </si>
  <si>
    <t>000158</t>
  </si>
  <si>
    <t>000159</t>
  </si>
  <si>
    <t>000160</t>
  </si>
  <si>
    <t>000161</t>
  </si>
  <si>
    <t>000162</t>
  </si>
  <si>
    <t>000163</t>
  </si>
  <si>
    <t>000164</t>
  </si>
  <si>
    <t>000165</t>
  </si>
  <si>
    <t>000166</t>
  </si>
  <si>
    <t>000167</t>
  </si>
  <si>
    <t>000168</t>
  </si>
  <si>
    <t>000169</t>
  </si>
  <si>
    <t>000170</t>
  </si>
  <si>
    <t>000171</t>
  </si>
  <si>
    <t>000172</t>
  </si>
  <si>
    <t>000173</t>
  </si>
  <si>
    <t>000174</t>
  </si>
  <si>
    <t>000175</t>
  </si>
  <si>
    <t>000176</t>
  </si>
  <si>
    <t>000177</t>
  </si>
  <si>
    <t>000178</t>
  </si>
  <si>
    <t>000179</t>
  </si>
  <si>
    <t>000180</t>
  </si>
  <si>
    <t>000181</t>
  </si>
  <si>
    <t>000182</t>
  </si>
  <si>
    <t>000183</t>
  </si>
  <si>
    <t>000184</t>
  </si>
  <si>
    <t>000185</t>
  </si>
  <si>
    <t>000186</t>
  </si>
  <si>
    <t>000187</t>
  </si>
  <si>
    <t>000188</t>
  </si>
  <si>
    <t>000189</t>
  </si>
  <si>
    <t>000190</t>
  </si>
  <si>
    <t>000191</t>
  </si>
  <si>
    <t xml:space="preserve">DP 8662 GH </t>
  </si>
  <si>
    <t>000192</t>
  </si>
  <si>
    <t>000193</t>
  </si>
  <si>
    <t>000194</t>
  </si>
  <si>
    <t>000195</t>
  </si>
  <si>
    <t>000196</t>
  </si>
  <si>
    <t>000197</t>
  </si>
  <si>
    <t>000198</t>
  </si>
  <si>
    <t>000199</t>
  </si>
  <si>
    <t>000200</t>
  </si>
  <si>
    <t>000201</t>
  </si>
  <si>
    <t>000202</t>
  </si>
  <si>
    <t>000203</t>
  </si>
  <si>
    <t>000204</t>
  </si>
  <si>
    <t>000205</t>
  </si>
  <si>
    <t>000206</t>
  </si>
  <si>
    <t>000207</t>
  </si>
  <si>
    <t>000208</t>
  </si>
  <si>
    <t>000209</t>
  </si>
  <si>
    <t>000210</t>
  </si>
  <si>
    <t>000211</t>
  </si>
  <si>
    <t>000212</t>
  </si>
  <si>
    <t>000213</t>
  </si>
  <si>
    <t>000214</t>
  </si>
  <si>
    <t>000215</t>
  </si>
  <si>
    <t>000216</t>
  </si>
  <si>
    <t>000217</t>
  </si>
  <si>
    <t>000218</t>
  </si>
  <si>
    <t>000219</t>
  </si>
  <si>
    <t>000220</t>
  </si>
  <si>
    <t>000221</t>
  </si>
  <si>
    <t>000222</t>
  </si>
  <si>
    <t>000223</t>
  </si>
  <si>
    <t>000224</t>
  </si>
  <si>
    <t>000225</t>
  </si>
  <si>
    <t>000226</t>
  </si>
  <si>
    <t>000227</t>
  </si>
  <si>
    <t>000228</t>
  </si>
  <si>
    <t>000229</t>
  </si>
  <si>
    <t>000230</t>
  </si>
  <si>
    <t>000231</t>
  </si>
  <si>
    <t>000232</t>
  </si>
  <si>
    <t>000233</t>
  </si>
  <si>
    <t>000234</t>
  </si>
  <si>
    <t>000235</t>
  </si>
  <si>
    <t>000236</t>
  </si>
  <si>
    <t>000237</t>
  </si>
  <si>
    <t>000238</t>
  </si>
  <si>
    <t>000239</t>
  </si>
  <si>
    <t>000240</t>
  </si>
  <si>
    <t>000241</t>
  </si>
  <si>
    <t>000242</t>
  </si>
  <si>
    <t>000243</t>
  </si>
  <si>
    <t>000244</t>
  </si>
  <si>
    <t>000245</t>
  </si>
  <si>
    <t>000246</t>
  </si>
  <si>
    <t>000247</t>
  </si>
  <si>
    <t>000248</t>
  </si>
  <si>
    <t>000249</t>
  </si>
  <si>
    <t>000250</t>
  </si>
  <si>
    <t>000251</t>
  </si>
  <si>
    <t>000252</t>
  </si>
  <si>
    <t>000253</t>
  </si>
  <si>
    <t>000254</t>
  </si>
  <si>
    <t>000255</t>
  </si>
  <si>
    <t>000256</t>
  </si>
  <si>
    <t>000257</t>
  </si>
  <si>
    <t>000258</t>
  </si>
  <si>
    <t>000259</t>
  </si>
  <si>
    <t>000260</t>
  </si>
  <si>
    <t>000261</t>
  </si>
  <si>
    <t>000262</t>
  </si>
  <si>
    <t>000263</t>
  </si>
  <si>
    <t>000264</t>
  </si>
  <si>
    <t>000265</t>
  </si>
  <si>
    <t>000266</t>
  </si>
  <si>
    <t>000268</t>
  </si>
  <si>
    <t>000269</t>
  </si>
  <si>
    <t>000270</t>
  </si>
  <si>
    <t>000271</t>
  </si>
  <si>
    <t>000272</t>
  </si>
  <si>
    <t>000273</t>
  </si>
  <si>
    <t>000274</t>
  </si>
  <si>
    <t>000275</t>
  </si>
  <si>
    <t>000276</t>
  </si>
  <si>
    <t>000277</t>
  </si>
  <si>
    <t>000278</t>
  </si>
  <si>
    <t>000279</t>
  </si>
  <si>
    <t>000280</t>
  </si>
  <si>
    <t>000281</t>
  </si>
  <si>
    <t>000282</t>
  </si>
  <si>
    <t>000283</t>
  </si>
  <si>
    <t>000284</t>
  </si>
  <si>
    <t>000285</t>
  </si>
  <si>
    <t>000286</t>
  </si>
  <si>
    <t>000287</t>
  </si>
  <si>
    <t>000288</t>
  </si>
  <si>
    <t>000289</t>
  </si>
  <si>
    <t>000290</t>
  </si>
  <si>
    <t>000291</t>
  </si>
  <si>
    <t>000292</t>
  </si>
  <si>
    <t>000293</t>
  </si>
  <si>
    <t>000294</t>
  </si>
  <si>
    <t>000295</t>
  </si>
  <si>
    <t>000296</t>
  </si>
  <si>
    <t>000297</t>
  </si>
  <si>
    <t>000298</t>
  </si>
  <si>
    <t>000299</t>
  </si>
  <si>
    <t>000300</t>
  </si>
  <si>
    <t>000301</t>
  </si>
  <si>
    <t>000302</t>
  </si>
  <si>
    <t>000303</t>
  </si>
  <si>
    <t>000304</t>
  </si>
  <si>
    <t>000305</t>
  </si>
  <si>
    <t>000306</t>
  </si>
  <si>
    <t>000307</t>
  </si>
  <si>
    <t>000308</t>
  </si>
  <si>
    <t>000309</t>
  </si>
  <si>
    <t>000310</t>
  </si>
  <si>
    <t>000311</t>
  </si>
  <si>
    <t>000312</t>
  </si>
  <si>
    <t>000313</t>
  </si>
  <si>
    <t>000314</t>
  </si>
  <si>
    <t>000315</t>
  </si>
  <si>
    <t>000316</t>
  </si>
  <si>
    <t>000317</t>
  </si>
  <si>
    <t>000318</t>
  </si>
  <si>
    <t>000319</t>
  </si>
  <si>
    <t>000320</t>
  </si>
  <si>
    <t>000321</t>
  </si>
  <si>
    <t>000322</t>
  </si>
  <si>
    <t>000323</t>
  </si>
  <si>
    <t>000324</t>
  </si>
  <si>
    <t>000325</t>
  </si>
  <si>
    <t>000326</t>
  </si>
  <si>
    <t>000327</t>
  </si>
  <si>
    <t>000328</t>
  </si>
  <si>
    <t>000329</t>
  </si>
  <si>
    <t>000330</t>
  </si>
  <si>
    <t>DD 8983 UC</t>
  </si>
  <si>
    <t>000331</t>
  </si>
  <si>
    <t>000332</t>
  </si>
  <si>
    <t>000333</t>
  </si>
  <si>
    <t>000334</t>
  </si>
  <si>
    <t>000335</t>
  </si>
  <si>
    <t>000336</t>
  </si>
  <si>
    <t>000337</t>
  </si>
  <si>
    <t>000338</t>
  </si>
  <si>
    <t>000339</t>
  </si>
  <si>
    <t>000340</t>
  </si>
  <si>
    <t>000341</t>
  </si>
  <si>
    <t>000342</t>
  </si>
  <si>
    <t>000343</t>
  </si>
  <si>
    <t>000344</t>
  </si>
  <si>
    <t>000345</t>
  </si>
  <si>
    <t>000346</t>
  </si>
  <si>
    <t>000347</t>
  </si>
  <si>
    <t>000348</t>
  </si>
  <si>
    <t>000349</t>
  </si>
  <si>
    <t>000350</t>
  </si>
  <si>
    <t>000351</t>
  </si>
  <si>
    <t>000352</t>
  </si>
  <si>
    <t>000353</t>
  </si>
  <si>
    <t>000354</t>
  </si>
  <si>
    <t>000355</t>
  </si>
  <si>
    <t>000356</t>
  </si>
  <si>
    <t>000357</t>
  </si>
  <si>
    <t>000358</t>
  </si>
  <si>
    <t>000359</t>
  </si>
  <si>
    <t>000360</t>
  </si>
  <si>
    <t>000361</t>
  </si>
  <si>
    <t>000362</t>
  </si>
  <si>
    <t>000363</t>
  </si>
  <si>
    <t>000364</t>
  </si>
  <si>
    <t>000365</t>
  </si>
  <si>
    <t>000366</t>
  </si>
  <si>
    <t>000367</t>
  </si>
  <si>
    <t>000368</t>
  </si>
  <si>
    <t>000369</t>
  </si>
  <si>
    <t>DP 8746 GC</t>
  </si>
  <si>
    <t>000370</t>
  </si>
  <si>
    <t>000371</t>
  </si>
  <si>
    <t>000372</t>
  </si>
  <si>
    <t>000373</t>
  </si>
  <si>
    <t>000374</t>
  </si>
  <si>
    <t>000375</t>
  </si>
  <si>
    <t>000376</t>
  </si>
  <si>
    <t>000377</t>
  </si>
  <si>
    <t>000378</t>
  </si>
  <si>
    <t>000379</t>
  </si>
  <si>
    <t>000380</t>
  </si>
  <si>
    <t>000381</t>
  </si>
  <si>
    <t>000382</t>
  </si>
  <si>
    <t>000383</t>
  </si>
  <si>
    <t>000384</t>
  </si>
  <si>
    <t>000385</t>
  </si>
  <si>
    <t>000386</t>
  </si>
  <si>
    <t>000387</t>
  </si>
  <si>
    <t>000388</t>
  </si>
  <si>
    <t>000389</t>
  </si>
  <si>
    <t>000390</t>
  </si>
  <si>
    <t>000391</t>
  </si>
  <si>
    <t>000392</t>
  </si>
  <si>
    <t>000393</t>
  </si>
  <si>
    <t>000394</t>
  </si>
  <si>
    <t>000395</t>
  </si>
  <si>
    <t>000396</t>
  </si>
  <si>
    <t>000397</t>
  </si>
  <si>
    <t>000398</t>
  </si>
  <si>
    <t>000399</t>
  </si>
  <si>
    <t>000400</t>
  </si>
  <si>
    <t>000401</t>
  </si>
  <si>
    <t>000402</t>
  </si>
  <si>
    <t>000403</t>
  </si>
  <si>
    <t>000404</t>
  </si>
  <si>
    <t>000405</t>
  </si>
  <si>
    <t>000406</t>
  </si>
  <si>
    <t>000407</t>
  </si>
  <si>
    <t>000408</t>
  </si>
  <si>
    <t>000409</t>
  </si>
  <si>
    <t>000410</t>
  </si>
  <si>
    <t>000411</t>
  </si>
  <si>
    <t>000412</t>
  </si>
  <si>
    <t>000413</t>
  </si>
  <si>
    <t>000414</t>
  </si>
  <si>
    <t>000415</t>
  </si>
  <si>
    <t>000416</t>
  </si>
  <si>
    <t>000417</t>
  </si>
  <si>
    <t>000418</t>
  </si>
  <si>
    <t>000419</t>
  </si>
  <si>
    <t>000420</t>
  </si>
  <si>
    <t>DP 8983 UC</t>
  </si>
  <si>
    <t>000421</t>
  </si>
  <si>
    <t>000422</t>
  </si>
  <si>
    <t>000423</t>
  </si>
  <si>
    <t xml:space="preserve">DP 8994 GH </t>
  </si>
  <si>
    <t>000424</t>
  </si>
  <si>
    <t>000425</t>
  </si>
  <si>
    <t>000426</t>
  </si>
  <si>
    <t>000427</t>
  </si>
  <si>
    <t>000428</t>
  </si>
  <si>
    <t>000429</t>
  </si>
  <si>
    <t>000430</t>
  </si>
  <si>
    <t>000431</t>
  </si>
  <si>
    <t>DD 8570 RP</t>
  </si>
  <si>
    <t>000432</t>
  </si>
  <si>
    <t>000433</t>
  </si>
  <si>
    <t>000434</t>
  </si>
  <si>
    <t>000435</t>
  </si>
  <si>
    <t>000436</t>
  </si>
  <si>
    <t>000437</t>
  </si>
  <si>
    <t>000438</t>
  </si>
  <si>
    <t>000439</t>
  </si>
  <si>
    <t>000440</t>
  </si>
  <si>
    <t>000441</t>
  </si>
  <si>
    <t>000442</t>
  </si>
  <si>
    <t>000443</t>
  </si>
  <si>
    <t>000444</t>
  </si>
  <si>
    <t>000445</t>
  </si>
  <si>
    <t>000446</t>
  </si>
  <si>
    <t>000447</t>
  </si>
  <si>
    <t>000448</t>
  </si>
  <si>
    <t>DD 8429 RE</t>
  </si>
  <si>
    <t>000449</t>
  </si>
  <si>
    <t>000450</t>
  </si>
  <si>
    <t>000452</t>
  </si>
  <si>
    <t>000453</t>
  </si>
  <si>
    <t>000454</t>
  </si>
  <si>
    <t>000455</t>
  </si>
  <si>
    <t>000456</t>
  </si>
  <si>
    <t>000457</t>
  </si>
  <si>
    <t>000458</t>
  </si>
  <si>
    <t>000459</t>
  </si>
  <si>
    <t>000460</t>
  </si>
  <si>
    <t>000461</t>
  </si>
  <si>
    <t>000462</t>
  </si>
  <si>
    <t>000463</t>
  </si>
  <si>
    <t>000464</t>
  </si>
  <si>
    <t>000465</t>
  </si>
  <si>
    <t>000466</t>
  </si>
  <si>
    <t>000467</t>
  </si>
  <si>
    <t>000468</t>
  </si>
  <si>
    <t>000470</t>
  </si>
  <si>
    <t>000471</t>
  </si>
  <si>
    <t>000472</t>
  </si>
  <si>
    <t>000473</t>
  </si>
  <si>
    <t>000474</t>
  </si>
  <si>
    <t>000475</t>
  </si>
  <si>
    <t>000476</t>
  </si>
  <si>
    <t>000477</t>
  </si>
  <si>
    <t>000478</t>
  </si>
  <si>
    <t>000479</t>
  </si>
  <si>
    <t>000480</t>
  </si>
  <si>
    <t>000481</t>
  </si>
  <si>
    <t>000482</t>
  </si>
  <si>
    <t>000483</t>
  </si>
  <si>
    <t>000484</t>
  </si>
  <si>
    <t>000485</t>
  </si>
  <si>
    <t>000486</t>
  </si>
  <si>
    <t>000487</t>
  </si>
  <si>
    <t>000488</t>
  </si>
  <si>
    <t>DD 8709 SQ</t>
  </si>
  <si>
    <t>000489</t>
  </si>
  <si>
    <t xml:space="preserve">DD 8902 SK </t>
  </si>
  <si>
    <t>000490</t>
  </si>
  <si>
    <t>000491</t>
  </si>
  <si>
    <t>000492</t>
  </si>
  <si>
    <t>000493</t>
  </si>
  <si>
    <t>000494</t>
  </si>
  <si>
    <t>000495</t>
  </si>
  <si>
    <t>000496</t>
  </si>
  <si>
    <t>000497</t>
  </si>
  <si>
    <t>000498</t>
  </si>
  <si>
    <t>000499</t>
  </si>
  <si>
    <t>000500</t>
  </si>
  <si>
    <t>000501</t>
  </si>
  <si>
    <t>000502</t>
  </si>
  <si>
    <t>000503</t>
  </si>
  <si>
    <t>000504</t>
  </si>
  <si>
    <t>000505</t>
  </si>
  <si>
    <t>000506</t>
  </si>
  <si>
    <t>000507</t>
  </si>
  <si>
    <t>000508</t>
  </si>
  <si>
    <t>000509</t>
  </si>
  <si>
    <t>000510</t>
  </si>
  <si>
    <t>DD 8902 SK</t>
  </si>
  <si>
    <t>000511</t>
  </si>
  <si>
    <t>000512</t>
  </si>
  <si>
    <t>000513</t>
  </si>
  <si>
    <t>000514</t>
  </si>
  <si>
    <t>000515</t>
  </si>
  <si>
    <t>000516</t>
  </si>
  <si>
    <t>000517</t>
  </si>
  <si>
    <t>000518</t>
  </si>
  <si>
    <t>000519</t>
  </si>
  <si>
    <t>000520</t>
  </si>
  <si>
    <t>000521</t>
  </si>
  <si>
    <t>000522</t>
  </si>
  <si>
    <t>000523</t>
  </si>
  <si>
    <t>B 9987 UEL</t>
  </si>
  <si>
    <t>000524</t>
  </si>
  <si>
    <t>L 8122 UL</t>
  </si>
  <si>
    <t>000525</t>
  </si>
  <si>
    <t>000526</t>
  </si>
  <si>
    <t>000527</t>
  </si>
  <si>
    <t>000528</t>
  </si>
  <si>
    <t>000529</t>
  </si>
  <si>
    <t>000530</t>
  </si>
  <si>
    <t>DB 8745 QF</t>
  </si>
  <si>
    <t>000531</t>
  </si>
  <si>
    <t>B 9986 UEL</t>
  </si>
  <si>
    <t>000532</t>
  </si>
  <si>
    <t xml:space="preserve">DD 8765 DC </t>
  </si>
  <si>
    <t>000533</t>
  </si>
  <si>
    <t>000534</t>
  </si>
  <si>
    <t>000535</t>
  </si>
  <si>
    <t>000536</t>
  </si>
  <si>
    <t>000537</t>
  </si>
  <si>
    <t>000538</t>
  </si>
  <si>
    <t>000539</t>
  </si>
  <si>
    <t>000540</t>
  </si>
  <si>
    <t>000541</t>
  </si>
  <si>
    <t>000542</t>
  </si>
  <si>
    <t>000543</t>
  </si>
  <si>
    <t>000544</t>
  </si>
  <si>
    <t>000545</t>
  </si>
  <si>
    <t>000546</t>
  </si>
  <si>
    <t>000547</t>
  </si>
  <si>
    <t>000548</t>
  </si>
  <si>
    <t>000549</t>
  </si>
  <si>
    <t>000550</t>
  </si>
  <si>
    <t>000551</t>
  </si>
  <si>
    <t>000552</t>
  </si>
  <si>
    <t>000553</t>
  </si>
  <si>
    <t>000554</t>
  </si>
  <si>
    <t>000555</t>
  </si>
  <si>
    <t>000556</t>
  </si>
  <si>
    <t>000557</t>
  </si>
  <si>
    <t>000558</t>
  </si>
  <si>
    <t xml:space="preserve">DP 9859 GA </t>
  </si>
  <si>
    <t>000559</t>
  </si>
  <si>
    <t>000560</t>
  </si>
  <si>
    <t>000561</t>
  </si>
  <si>
    <t>000562</t>
  </si>
  <si>
    <t>000563</t>
  </si>
  <si>
    <t>000564</t>
  </si>
  <si>
    <t>000565</t>
  </si>
  <si>
    <t>000566</t>
  </si>
  <si>
    <t>000567</t>
  </si>
  <si>
    <t>000568</t>
  </si>
  <si>
    <t>000569</t>
  </si>
  <si>
    <t>000570</t>
  </si>
  <si>
    <t>000571</t>
  </si>
  <si>
    <t>000572</t>
  </si>
  <si>
    <t xml:space="preserve">DP 8928 GM </t>
  </si>
  <si>
    <t>000573</t>
  </si>
  <si>
    <t>DP 9821 YE</t>
  </si>
  <si>
    <t>000574</t>
  </si>
  <si>
    <t>000575</t>
  </si>
  <si>
    <t>000576</t>
  </si>
  <si>
    <t>000577</t>
  </si>
  <si>
    <t>000578</t>
  </si>
  <si>
    <t xml:space="preserve">DP 9826 GA </t>
  </si>
  <si>
    <t>000579</t>
  </si>
  <si>
    <t>DP 8954 HB</t>
  </si>
  <si>
    <t>000580</t>
  </si>
  <si>
    <t>000581</t>
  </si>
  <si>
    <t>000582</t>
  </si>
  <si>
    <t>000583</t>
  </si>
  <si>
    <t>000584</t>
  </si>
  <si>
    <t>000585</t>
  </si>
  <si>
    <t>000586</t>
  </si>
  <si>
    <t>000587</t>
  </si>
  <si>
    <t>000588</t>
  </si>
  <si>
    <t>000589</t>
  </si>
  <si>
    <t>000590</t>
  </si>
  <si>
    <t>000591</t>
  </si>
  <si>
    <t>000592</t>
  </si>
  <si>
    <t>000593</t>
  </si>
  <si>
    <t>000594</t>
  </si>
  <si>
    <t>000595</t>
  </si>
  <si>
    <t>000596</t>
  </si>
  <si>
    <t>000597</t>
  </si>
  <si>
    <t>000598</t>
  </si>
  <si>
    <t>000599</t>
  </si>
  <si>
    <t>000600</t>
  </si>
  <si>
    <t>000601</t>
  </si>
  <si>
    <t>000602</t>
  </si>
  <si>
    <t>000603</t>
  </si>
  <si>
    <t>DD 8004 GJ</t>
  </si>
  <si>
    <t>000604</t>
  </si>
  <si>
    <t>DD 8594 GN</t>
  </si>
  <si>
    <t>000605</t>
  </si>
  <si>
    <t>000606</t>
  </si>
  <si>
    <t>000607</t>
  </si>
  <si>
    <t>000608</t>
  </si>
  <si>
    <t>000609</t>
  </si>
  <si>
    <t>000610</t>
  </si>
  <si>
    <t>000611</t>
  </si>
  <si>
    <t>000612</t>
  </si>
  <si>
    <t>000613</t>
  </si>
  <si>
    <t>000614</t>
  </si>
  <si>
    <t>000615</t>
  </si>
  <si>
    <t>DD 8891 RV</t>
  </si>
  <si>
    <t>000616</t>
  </si>
  <si>
    <t>000617</t>
  </si>
  <si>
    <t>000618</t>
  </si>
  <si>
    <t>000619</t>
  </si>
  <si>
    <t>000620</t>
  </si>
  <si>
    <t>000621</t>
  </si>
  <si>
    <t>000622</t>
  </si>
  <si>
    <t>000623</t>
  </si>
  <si>
    <t>000624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</si>
  <si>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</si>
  <si>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</si>
  <si>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</si>
  <si>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</si>
  <si>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</si>
  <si>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</si>
  <si>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</si>
  <si>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</si>
  <si>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</si>
  <si>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000634</t>
  </si>
  <si>
    <t>000635</t>
  </si>
  <si>
    <t>000636</t>
  </si>
  <si>
    <t>000637</t>
  </si>
  <si>
    <t>000638</t>
  </si>
  <si>
    <t>000639</t>
  </si>
  <si>
    <t>000640</t>
  </si>
  <si>
    <t>000641</t>
  </si>
  <si>
    <t>000642</t>
  </si>
  <si>
    <t>000643</t>
  </si>
  <si>
    <t>000644</t>
  </si>
  <si>
    <t>000645</t>
  </si>
  <si>
    <t>000646</t>
  </si>
  <si>
    <t>000647</t>
  </si>
  <si>
    <t>000648</t>
  </si>
  <si>
    <t>000649</t>
  </si>
  <si>
    <t>000650</t>
  </si>
  <si>
    <t>000651</t>
  </si>
  <si>
    <t>000652</t>
  </si>
  <si>
    <t>000653</t>
  </si>
  <si>
    <t>000654</t>
  </si>
  <si>
    <t>000655</t>
  </si>
  <si>
    <t>000656</t>
  </si>
  <si>
    <t>000657</t>
  </si>
  <si>
    <t>000658</t>
  </si>
  <si>
    <t>000659</t>
  </si>
  <si>
    <t>000660</t>
  </si>
  <si>
    <t>000661</t>
  </si>
  <si>
    <t>000662</t>
  </si>
  <si>
    <t>000663</t>
  </si>
  <si>
    <t>000664</t>
  </si>
  <si>
    <t>000665</t>
  </si>
  <si>
    <t>000666</t>
  </si>
  <si>
    <t>000667</t>
  </si>
  <si>
    <t>DC 8905 XH</t>
  </si>
  <si>
    <t>000668</t>
  </si>
  <si>
    <t>000669</t>
  </si>
  <si>
    <t>000670</t>
  </si>
  <si>
    <t>000671</t>
  </si>
  <si>
    <t>DC 8989 EZ</t>
  </si>
  <si>
    <t>000672</t>
  </si>
  <si>
    <t>000673</t>
  </si>
  <si>
    <t>000674</t>
  </si>
  <si>
    <t>DN 8648 GA</t>
  </si>
  <si>
    <t>000675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</si>
  <si>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</si>
  <si>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</si>
  <si>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</si>
  <si>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</si>
  <si>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</si>
  <si>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</si>
  <si>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</si>
  <si>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</si>
  <si>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000684</t>
  </si>
  <si>
    <t>000685</t>
  </si>
  <si>
    <t>000686</t>
  </si>
  <si>
    <t>000687</t>
  </si>
  <si>
    <t>000688</t>
  </si>
  <si>
    <t>DD 8356 RK</t>
  </si>
  <si>
    <t>000689</t>
  </si>
  <si>
    <t>DD 8546 EJ</t>
  </si>
  <si>
    <t>000690</t>
  </si>
  <si>
    <t>000691</t>
  </si>
  <si>
    <t>000692</t>
  </si>
  <si>
    <t>000693</t>
  </si>
  <si>
    <t>000694</t>
  </si>
  <si>
    <t>000695</t>
  </si>
  <si>
    <t>000696</t>
  </si>
  <si>
    <t>000697</t>
  </si>
  <si>
    <t>000698</t>
  </si>
  <si>
    <t>000699</t>
  </si>
  <si>
    <t>000700</t>
  </si>
  <si>
    <t>000701</t>
  </si>
  <si>
    <t>000702</t>
  </si>
  <si>
    <t>000703</t>
  </si>
  <si>
    <t>000704</t>
  </si>
  <si>
    <t>000705</t>
  </si>
  <si>
    <t>000706</t>
  </si>
  <si>
    <t>000707</t>
  </si>
  <si>
    <t>000708</t>
  </si>
  <si>
    <t>000709</t>
  </si>
  <si>
    <t>000710</t>
  </si>
  <si>
    <t>000711</t>
  </si>
  <si>
    <t>000712</t>
  </si>
  <si>
    <t>000713</t>
  </si>
  <si>
    <t>000714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</si>
  <si>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</si>
  <si>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</si>
  <si>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</si>
  <si>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</si>
  <si>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</si>
  <si>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</si>
  <si>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</si>
  <si>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</si>
  <si>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</si>
  <si>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000724</t>
  </si>
  <si>
    <t>000725</t>
  </si>
  <si>
    <t>000726</t>
  </si>
  <si>
    <t>000727</t>
  </si>
  <si>
    <t>000728</t>
  </si>
  <si>
    <t>000729</t>
  </si>
  <si>
    <t>000730</t>
  </si>
  <si>
    <t>000731</t>
  </si>
  <si>
    <t>000732</t>
  </si>
  <si>
    <t>000733</t>
  </si>
  <si>
    <t>000734</t>
  </si>
  <si>
    <t>000735</t>
  </si>
  <si>
    <t>000736</t>
  </si>
  <si>
    <t>000737</t>
  </si>
  <si>
    <t>000738</t>
  </si>
  <si>
    <t>000739</t>
  </si>
  <si>
    <t>000740</t>
  </si>
  <si>
    <t>000741</t>
  </si>
  <si>
    <t>000742</t>
  </si>
  <si>
    <t>000743</t>
  </si>
  <si>
    <t>000744</t>
  </si>
  <si>
    <t>000745</t>
  </si>
  <si>
    <t>000746</t>
  </si>
  <si>
    <t>000747</t>
  </si>
  <si>
    <t>000748</t>
  </si>
  <si>
    <t>000749</t>
  </si>
  <si>
    <t>000750</t>
  </si>
  <si>
    <t>000751</t>
  </si>
  <si>
    <t>000752</t>
  </si>
  <si>
    <t>000753</t>
  </si>
  <si>
    <t>000754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</si>
  <si>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</si>
  <si>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</si>
  <si>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</si>
  <si>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</si>
  <si>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</si>
  <si>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</si>
  <si>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</si>
  <si>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</si>
  <si>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000763</t>
  </si>
  <si>
    <t>DP 8568 GF</t>
  </si>
  <si>
    <t>CV LIT</t>
  </si>
  <si>
    <t>000765</t>
  </si>
  <si>
    <t>DP 9856 GA</t>
  </si>
  <si>
    <t>000766</t>
  </si>
  <si>
    <t>DP 8732 GK</t>
  </si>
  <si>
    <t>000767</t>
  </si>
  <si>
    <t>DC 8141 AS</t>
  </si>
  <si>
    <t>000768</t>
  </si>
  <si>
    <t>DP 8172 GN</t>
  </si>
  <si>
    <t>000769</t>
  </si>
  <si>
    <t>000770</t>
  </si>
  <si>
    <t>000772</t>
  </si>
  <si>
    <t>000774</t>
  </si>
  <si>
    <t>000775</t>
  </si>
  <si>
    <t>000776</t>
  </si>
  <si>
    <t>000777</t>
  </si>
  <si>
    <t>000778</t>
  </si>
  <si>
    <t>000779</t>
  </si>
  <si>
    <t xml:space="preserve">DN 8648 GA </t>
  </si>
  <si>
    <t>000780</t>
  </si>
  <si>
    <t>Palopo</t>
  </si>
  <si>
    <t>000781</t>
  </si>
  <si>
    <t xml:space="preserve">DP 8953 DK </t>
  </si>
  <si>
    <t>000782</t>
  </si>
  <si>
    <t>000783</t>
  </si>
  <si>
    <t>000787</t>
  </si>
  <si>
    <t xml:space="preserve">DP 8004 GJ </t>
  </si>
  <si>
    <t>000773</t>
  </si>
  <si>
    <t>DD 8702 SK</t>
  </si>
  <si>
    <t>000788</t>
  </si>
  <si>
    <t>S 9249 UU</t>
  </si>
  <si>
    <t>000789</t>
  </si>
  <si>
    <t>000790</t>
  </si>
  <si>
    <t>000791</t>
  </si>
  <si>
    <t>DC 8143 AS</t>
  </si>
  <si>
    <t>000792</t>
  </si>
  <si>
    <t>000793</t>
  </si>
  <si>
    <t xml:space="preserve">DP 9821 GA </t>
  </si>
  <si>
    <t>000794</t>
  </si>
  <si>
    <t>000796</t>
  </si>
  <si>
    <t>000797</t>
  </si>
  <si>
    <t xml:space="preserve">DP 8739 GO </t>
  </si>
  <si>
    <t>000806</t>
  </si>
  <si>
    <t>000805</t>
  </si>
  <si>
    <t>000802</t>
  </si>
  <si>
    <t>000799</t>
  </si>
  <si>
    <t>000798</t>
  </si>
  <si>
    <t>000803</t>
  </si>
  <si>
    <t>000801</t>
  </si>
  <si>
    <t>000804</t>
  </si>
  <si>
    <t>000807</t>
  </si>
  <si>
    <t>DP 8739 GO</t>
  </si>
  <si>
    <t>000808</t>
  </si>
  <si>
    <t>000809</t>
  </si>
  <si>
    <t>000811</t>
  </si>
  <si>
    <t>000795</t>
  </si>
  <si>
    <t xml:space="preserve">DP 8817 GB </t>
  </si>
  <si>
    <t>000812</t>
  </si>
  <si>
    <t>000813</t>
  </si>
  <si>
    <t>DP 8744 HK</t>
  </si>
  <si>
    <t>000814</t>
  </si>
  <si>
    <t>000815</t>
  </si>
  <si>
    <t>000816</t>
  </si>
  <si>
    <t>000817</t>
  </si>
  <si>
    <t>000818</t>
  </si>
  <si>
    <t>DP 8350 FD</t>
  </si>
  <si>
    <t>000819</t>
  </si>
  <si>
    <t>000820</t>
  </si>
  <si>
    <t>000821</t>
  </si>
  <si>
    <t>000823</t>
  </si>
  <si>
    <t>000822</t>
  </si>
  <si>
    <t>000824</t>
  </si>
  <si>
    <t>000825</t>
  </si>
  <si>
    <t>000827</t>
  </si>
  <si>
    <t>000826</t>
  </si>
  <si>
    <t>000828</t>
  </si>
  <si>
    <t>000829</t>
  </si>
  <si>
    <t>000830</t>
  </si>
  <si>
    <t>000831</t>
  </si>
  <si>
    <t>000832</t>
  </si>
  <si>
    <t>000833</t>
  </si>
  <si>
    <t>000834</t>
  </si>
  <si>
    <t>000835</t>
  </si>
  <si>
    <t>000836</t>
  </si>
  <si>
    <t>000837</t>
  </si>
  <si>
    <t>000838</t>
  </si>
  <si>
    <t>000839</t>
  </si>
  <si>
    <t>000840</t>
  </si>
  <si>
    <t>000841</t>
  </si>
  <si>
    <t xml:space="preserve">DC 8141 AS </t>
  </si>
  <si>
    <t>000842</t>
  </si>
  <si>
    <t>DD 8408 RN</t>
  </si>
  <si>
    <t>000843</t>
  </si>
  <si>
    <t>000844</t>
  </si>
  <si>
    <t>000845</t>
  </si>
  <si>
    <t xml:space="preserve">DP 9856 GA </t>
  </si>
  <si>
    <t>000846</t>
  </si>
  <si>
    <t>000847</t>
  </si>
  <si>
    <t>000848</t>
  </si>
  <si>
    <t>000849</t>
  </si>
  <si>
    <t xml:space="preserve">DP 8732 GK </t>
  </si>
  <si>
    <t>000853</t>
  </si>
  <si>
    <t xml:space="preserve">DP 8762 GH </t>
  </si>
  <si>
    <t>000858</t>
  </si>
  <si>
    <t>000868</t>
  </si>
  <si>
    <t>000867</t>
  </si>
  <si>
    <t>000866</t>
  </si>
  <si>
    <t>000865</t>
  </si>
  <si>
    <t>000864</t>
  </si>
  <si>
    <t>000863</t>
  </si>
  <si>
    <t>000862</t>
  </si>
  <si>
    <t>000861</t>
  </si>
  <si>
    <t>000869</t>
  </si>
  <si>
    <t>000878</t>
  </si>
  <si>
    <t>000877</t>
  </si>
  <si>
    <t>DD 8622 KB</t>
  </si>
  <si>
    <t>000876</t>
  </si>
  <si>
    <t>000874</t>
  </si>
  <si>
    <t>000870</t>
  </si>
  <si>
    <t>000880</t>
  </si>
  <si>
    <t>DP8953 DK</t>
  </si>
  <si>
    <t>000875</t>
  </si>
  <si>
    <t>000872</t>
  </si>
  <si>
    <t>000871</t>
  </si>
  <si>
    <t>000873</t>
  </si>
  <si>
    <t>000881</t>
  </si>
  <si>
    <t>000882</t>
  </si>
  <si>
    <t>000883</t>
  </si>
  <si>
    <t>DP 8031 GP</t>
  </si>
  <si>
    <t>000884</t>
  </si>
  <si>
    <t xml:space="preserve">DP 8798 GH </t>
  </si>
  <si>
    <t>000885</t>
  </si>
  <si>
    <t xml:space="preserve">DP 8172 GN </t>
  </si>
  <si>
    <t>000886</t>
  </si>
  <si>
    <t>000887</t>
  </si>
  <si>
    <t>000889</t>
  </si>
  <si>
    <t>000888</t>
  </si>
  <si>
    <t>000890</t>
  </si>
  <si>
    <t>000892</t>
  </si>
  <si>
    <t>000895</t>
  </si>
  <si>
    <t>000896</t>
  </si>
  <si>
    <t>DD 8607 SM</t>
  </si>
  <si>
    <t>000893</t>
  </si>
  <si>
    <t>000894</t>
  </si>
  <si>
    <t>000897</t>
  </si>
  <si>
    <t>000900</t>
  </si>
  <si>
    <t>000901</t>
  </si>
  <si>
    <t>000902</t>
  </si>
  <si>
    <t>000903</t>
  </si>
  <si>
    <t>000898</t>
  </si>
  <si>
    <t>000899</t>
  </si>
  <si>
    <t>DN 8648  GA</t>
  </si>
  <si>
    <t>000904</t>
  </si>
  <si>
    <t>000905</t>
  </si>
  <si>
    <t>000906</t>
  </si>
  <si>
    <t>000907</t>
  </si>
  <si>
    <t>000910</t>
  </si>
  <si>
    <t>000911</t>
  </si>
  <si>
    <t>000908</t>
  </si>
  <si>
    <t>000909</t>
  </si>
  <si>
    <t>DW 8703 MF</t>
  </si>
  <si>
    <t>000912</t>
  </si>
  <si>
    <t>Status</t>
  </si>
  <si>
    <t>Morowali</t>
  </si>
  <si>
    <t>ANALISIS TIMBANGAN - PT WINS</t>
  </si>
  <si>
    <t>PILIH PRODUK:</t>
  </si>
  <si>
    <t>Periode Data:</t>
  </si>
  <si>
    <t>Update Terakhir:</t>
  </si>
  <si>
    <t>BREAKDOWN PER RELASI</t>
  </si>
  <si>
    <t>TREN BULANAN</t>
  </si>
  <si>
    <t>NO</t>
  </si>
  <si>
    <t>NAMA PERUSAHAAN</t>
  </si>
  <si>
    <t>RITASI</t>
  </si>
  <si>
    <t>NETTO (Kg)</t>
  </si>
  <si>
    <t>NETTO (Ton)</t>
  </si>
  <si>
    <t>SHARE RITASI %</t>
  </si>
  <si>
    <t>SHARE NETTO %</t>
  </si>
  <si>
    <t>RATA-RATA/TRIP</t>
  </si>
  <si>
    <t>BULAN</t>
  </si>
  <si>
    <t>% vs TOTAL</t>
  </si>
  <si>
    <t>Agu 2025</t>
  </si>
  <si>
    <t>Sep 2025</t>
  </si>
  <si>
    <t>Okt 2025</t>
  </si>
  <si>
    <t>Nov 2025</t>
  </si>
  <si>
    <t>Des 2025</t>
  </si>
  <si>
    <t>Jan 2026</t>
  </si>
  <si>
    <t>Feb 2026</t>
  </si>
  <si>
    <t>Mar 2026</t>
  </si>
  <si>
    <t>Mei 2026</t>
  </si>
  <si>
    <t>Jun 2026</t>
  </si>
  <si>
    <t>TOTAL</t>
  </si>
  <si>
    <t>MATRIKS NETTO (Ton) — SEMUA PRODUK PER BULAN</t>
  </si>
  <si>
    <t>TOTAL (Ton)</t>
  </si>
  <si>
    <t>Apr 2026</t>
  </si>
  <si>
    <t>ANALISIS KENDARAAN - 6 RODA / 10 RODA / 12 RODA</t>
  </si>
  <si>
    <t>PILIH PRODUK :</t>
  </si>
  <si>
    <t>Periode :</t>
  </si>
  <si>
    <t>Last Update :</t>
  </si>
  <si>
    <t>KPI PER JENIS KENDARAAN</t>
  </si>
  <si>
    <t>6 Roda</t>
  </si>
  <si>
    <t>10 Roda</t>
  </si>
  <si>
    <t>12 Roda</t>
  </si>
  <si>
    <t>AVG / TRIP</t>
  </si>
  <si>
    <t>% DARI TOTAL</t>
  </si>
  <si>
    <t>VOLUME &amp; RITASI</t>
  </si>
  <si>
    <t>EFISIENSI ANGKUT</t>
  </si>
  <si>
    <t>JENIS KENDARAAN</t>
  </si>
  <si>
    <t>AVG / TRIP (Kg)</t>
  </si>
  <si>
    <t>MAKS / TRIP</t>
  </si>
  <si>
    <t>MIN / TRIP</t>
  </si>
  <si>
    <t>RANGE (Kg)</t>
  </si>
  <si>
    <t>UTILISASI *</t>
  </si>
  <si>
    <t>TREN BULANAN PER JENIS KENDARAAN</t>
  </si>
  <si>
    <t>── RITASI ──</t>
  </si>
  <si>
    <t>── NETTO (Ton) ──</t>
  </si>
  <si>
    <t>── KOMPOSISI % ──</t>
  </si>
  <si>
    <t>6R %</t>
  </si>
  <si>
    <t>10R %</t>
  </si>
  <si>
    <t>12 Roda %</t>
  </si>
  <si>
    <t>SEBARAN PERUSAHAAN PER JENIS KENDARAAN</t>
  </si>
  <si>
    <t>── AVG/TRIP (Kg) ──</t>
  </si>
  <si>
    <t>PERUSAHAAN</t>
  </si>
  <si>
    <t>DOMINAN</t>
  </si>
  <si>
    <t>Bulan</t>
  </si>
  <si>
    <t>Netto (Ton)</t>
  </si>
  <si>
    <t>No Polisi</t>
  </si>
  <si>
    <t>Hari</t>
  </si>
  <si>
    <t>Netto (Kg)</t>
  </si>
  <si>
    <t>Senin</t>
  </si>
  <si>
    <t>Selasa</t>
  </si>
  <si>
    <t>Rabu</t>
  </si>
  <si>
    <t>Kamis</t>
  </si>
  <si>
    <t>Jumat</t>
  </si>
  <si>
    <t>Sabtu</t>
  </si>
  <si>
    <t>Minggu</t>
  </si>
  <si>
    <t>Filter Produk</t>
  </si>
  <si>
    <t>Filter Bulan</t>
  </si>
  <si>
    <t>Label</t>
  </si>
  <si>
    <t>NonZeroCount</t>
  </si>
  <si>
    <t>Netto Ton</t>
  </si>
  <si>
    <t>Agu-25</t>
  </si>
  <si>
    <t>METRIC</t>
  </si>
  <si>
    <t>VALUE</t>
  </si>
  <si>
    <t>Sep-25</t>
  </si>
  <si>
    <t>PT KASMAR MP</t>
  </si>
  <si>
    <t>Total Trip</t>
  </si>
  <si>
    <t>Okt-25</t>
  </si>
  <si>
    <t>PT MADINRA IS</t>
  </si>
  <si>
    <t>Total Berat Masuk</t>
  </si>
  <si>
    <t>Nov-25</t>
  </si>
  <si>
    <t>PT PERKEB NUS</t>
  </si>
  <si>
    <t>Total Berat Keluar</t>
  </si>
  <si>
    <t>Des-25</t>
  </si>
  <si>
    <t>PT BJL</t>
  </si>
  <si>
    <t>Jan-26</t>
  </si>
  <si>
    <t>Relasi Unik</t>
  </si>
  <si>
    <t>Feb-26</t>
  </si>
  <si>
    <t>Polisi Unik</t>
  </si>
  <si>
    <t>Mar-26</t>
  </si>
  <si>
    <t>Netto</t>
  </si>
  <si>
    <t>Rank</t>
  </si>
  <si>
    <t>DD 9502 UY</t>
  </si>
  <si>
    <t>BH 8426 MY</t>
  </si>
  <si>
    <t>DA 4564 KN</t>
  </si>
  <si>
    <t>DP 8028 GK</t>
  </si>
  <si>
    <t>DD 8629 UY</t>
  </si>
  <si>
    <t>DD 8580 SK</t>
  </si>
  <si>
    <t>B 8069 SXX</t>
  </si>
  <si>
    <t>DP 8867 GM</t>
  </si>
  <si>
    <t>DD 9240 XX</t>
  </si>
  <si>
    <t>DB 5553 FX</t>
  </si>
  <si>
    <t>DP 8082 GK</t>
  </si>
  <si>
    <t>DD 9504 UY</t>
  </si>
  <si>
    <t>BM 8359 QQ</t>
  </si>
  <si>
    <t>DB 9680 FX</t>
  </si>
  <si>
    <t>BM 8315 QQ</t>
  </si>
  <si>
    <t>DA 9036 TE</t>
  </si>
  <si>
    <t>DB 9246 FX</t>
  </si>
  <si>
    <t>DP 8786 GQ</t>
  </si>
  <si>
    <t>BM 8358 QQ</t>
  </si>
  <si>
    <t>DA 1085 TE</t>
  </si>
  <si>
    <t>000851</t>
  </si>
  <si>
    <t>000850</t>
  </si>
  <si>
    <t>000854</t>
  </si>
  <si>
    <t>000855</t>
  </si>
  <si>
    <t>000857</t>
  </si>
  <si>
    <t>000856</t>
  </si>
  <si>
    <t>000860</t>
  </si>
  <si>
    <t>000859</t>
  </si>
  <si>
    <t>Samsira</t>
  </si>
  <si>
    <t>Mei-26</t>
  </si>
  <si>
    <t>Top Kendaraan</t>
  </si>
  <si>
    <t>Trip(All)</t>
  </si>
  <si>
    <t>Netto(All Kg)</t>
  </si>
  <si>
    <t>Tanggal</t>
  </si>
  <si>
    <t>Daily Trip</t>
  </si>
  <si>
    <t>Daily Netto</t>
  </si>
  <si>
    <t>Prev Month Netto</t>
  </si>
  <si>
    <t>Curr Month Netto</t>
  </si>
  <si>
    <t>% MoM Change</t>
  </si>
  <si>
    <t>ANALISIS RELASI &amp; TREND</t>
  </si>
  <si>
    <t>DETAIL OPERASIONAL</t>
  </si>
  <si>
    <t>Relasi (Filtered)</t>
  </si>
  <si>
    <t>Count</t>
  </si>
  <si>
    <t>Filter Produk/Bulan:</t>
  </si>
  <si>
    <t>Apr-26</t>
  </si>
  <si>
    <t>DP 8662  GH</t>
  </si>
  <si>
    <t>DD 8171 VN</t>
  </si>
  <si>
    <t>B 1808 VKJ</t>
  </si>
  <si>
    <t>000918</t>
  </si>
  <si>
    <t>000917</t>
  </si>
  <si>
    <t>000916</t>
  </si>
  <si>
    <t>000915</t>
  </si>
  <si>
    <t>000914</t>
  </si>
  <si>
    <t>000913</t>
  </si>
  <si>
    <t>000920</t>
  </si>
  <si>
    <t>000921</t>
  </si>
  <si>
    <t>000924</t>
  </si>
  <si>
    <t>000925</t>
  </si>
  <si>
    <t>000922</t>
  </si>
  <si>
    <t>000923</t>
  </si>
  <si>
    <t>000930</t>
  </si>
  <si>
    <t>000926</t>
  </si>
  <si>
    <t>000927</t>
  </si>
  <si>
    <t>000928</t>
  </si>
  <si>
    <t>000929</t>
  </si>
  <si>
    <t>000919</t>
  </si>
  <si>
    <t>000931</t>
  </si>
  <si>
    <t>000932</t>
  </si>
  <si>
    <t>000933</t>
  </si>
  <si>
    <t>000934</t>
  </si>
  <si>
    <t>000935</t>
  </si>
  <si>
    <t>samsira/Chandra</t>
  </si>
  <si>
    <t>DP 8587 DC</t>
  </si>
  <si>
    <t>DP 8251 XX</t>
  </si>
  <si>
    <t>DP 8976 HE</t>
  </si>
  <si>
    <t>DP 8781 GZ</t>
  </si>
  <si>
    <t>DD 8851 GZ</t>
  </si>
  <si>
    <t>DD 8319 DB</t>
  </si>
  <si>
    <t>DN 8986 EA</t>
  </si>
  <si>
    <t>DD 8251 XX</t>
  </si>
  <si>
    <t>DN 8924 EA</t>
  </si>
  <si>
    <t>DN 8481 KK</t>
  </si>
  <si>
    <t>DN 8909 EB</t>
  </si>
  <si>
    <t>DP 8319 DB</t>
  </si>
  <si>
    <t>DN 8916 GB</t>
  </si>
  <si>
    <t>DN 8916 EB</t>
  </si>
  <si>
    <t>Berat Relasi</t>
  </si>
  <si>
    <t>000936</t>
  </si>
  <si>
    <t>000937</t>
  </si>
  <si>
    <t>000938</t>
  </si>
  <si>
    <t>000939</t>
  </si>
  <si>
    <t>000940</t>
  </si>
  <si>
    <t>000941</t>
  </si>
  <si>
    <t>000944</t>
  </si>
  <si>
    <t>000945</t>
  </si>
  <si>
    <t>000942</t>
  </si>
  <si>
    <t>000943</t>
  </si>
  <si>
    <t>000946</t>
  </si>
  <si>
    <t>000947</t>
  </si>
  <si>
    <t>000955</t>
  </si>
  <si>
    <t>000952</t>
  </si>
  <si>
    <t>000951</t>
  </si>
  <si>
    <t>000954</t>
  </si>
  <si>
    <t>000953</t>
  </si>
  <si>
    <t>000949</t>
  </si>
  <si>
    <t>000948</t>
  </si>
  <si>
    <t>000950</t>
  </si>
  <si>
    <t>DD 8171 FN</t>
  </si>
  <si>
    <t>000956</t>
  </si>
  <si>
    <t>000957</t>
  </si>
  <si>
    <t>000958</t>
  </si>
  <si>
    <t>000961</t>
  </si>
  <si>
    <t>000960</t>
  </si>
  <si>
    <t>000959</t>
  </si>
  <si>
    <t>DN 8902 UB</t>
  </si>
  <si>
    <t>DN 8749 EB</t>
  </si>
  <si>
    <t>PETA DISTRIBUSI SULAWESI</t>
  </si>
  <si>
    <t>Kota</t>
  </si>
  <si>
    <t>Lon (X)</t>
  </si>
  <si>
    <t>Lat (Y)</t>
  </si>
  <si>
    <t>Bubble Size</t>
  </si>
  <si>
    <t>PT JAS MULIA, PT WISAN PETRO ENERGI</t>
  </si>
  <si>
    <t>Lon(X)</t>
  </si>
  <si>
    <t>Lat(Y)</t>
  </si>
  <si>
    <t>Size(%)</t>
  </si>
  <si>
    <t>X (Lon)</t>
  </si>
  <si>
    <t>Y (Lat)</t>
  </si>
  <si>
    <t>Size</t>
  </si>
  <si>
    <t>000964</t>
  </si>
  <si>
    <t>000967</t>
  </si>
  <si>
    <t>000966</t>
  </si>
  <si>
    <t>000965</t>
  </si>
  <si>
    <t>000963</t>
  </si>
  <si>
    <t>000962</t>
  </si>
  <si>
    <t>PT. KMP / 1 / 500</t>
  </si>
  <si>
    <t>KMP01092025</t>
  </si>
  <si>
    <t>PT. MIS / 1 / 500</t>
  </si>
  <si>
    <t>215/PJB/MIS-WINS/X/2025</t>
  </si>
  <si>
    <t>001/CPO/JM-WINS/XI/2025</t>
  </si>
  <si>
    <t>PT. PN / 1 / 100</t>
  </si>
  <si>
    <t>227/KPBN/TRD/CPO-L/WINS/XI/2025</t>
  </si>
  <si>
    <t>PT. MIS / 3 / 600</t>
  </si>
  <si>
    <t>265/PJB/MIS-WINS/XII/2025</t>
  </si>
  <si>
    <t>PT. KMP / 4 / 500</t>
  </si>
  <si>
    <t>PT. JAS MULIA / 4 / 500</t>
  </si>
  <si>
    <t>PT. KMP / 2 / 500</t>
  </si>
  <si>
    <t>PT. PN / 2 / 100</t>
  </si>
  <si>
    <t>249/KPBN/TRD/CPO-L/WINS/XI/2025</t>
  </si>
  <si>
    <t>PT. JAS MULIA / 2 / 500</t>
  </si>
  <si>
    <t>PT. KMP / 3 / 500</t>
  </si>
  <si>
    <t>PT. PN / 3 / 100</t>
  </si>
  <si>
    <t>PT. MIS / 2 / 600</t>
  </si>
  <si>
    <t>245/PJB/MIS-WINS/XI/2025</t>
  </si>
  <si>
    <t>PT. JAS MULIA / 3 / 500</t>
  </si>
  <si>
    <t>PT. PN / 4 / 500</t>
  </si>
  <si>
    <t>PT. KMP / 5 / 200</t>
  </si>
  <si>
    <t>PT. JAS MULIA / 5 / 500</t>
  </si>
  <si>
    <t>PT. JAS MULIA / 6 / 500</t>
  </si>
  <si>
    <t>PT. JAS MULIA / 7 / 500</t>
  </si>
  <si>
    <t>PT. KMP / 6 / 750</t>
  </si>
  <si>
    <t>PT MADU LINGGA RAHARJA/1/1000</t>
  </si>
  <si>
    <t>PT. JAS MULIA / 8 / 500</t>
  </si>
  <si>
    <t>PT. MIS / 4 / 500</t>
  </si>
  <si>
    <t>011/PJB/MIS-WINS/I/2026</t>
  </si>
  <si>
    <t>PT. PN / 5 / 1.000</t>
  </si>
  <si>
    <t>0095/R2/HO-PALM/CPO-L/I/2026</t>
  </si>
  <si>
    <t>PT. KMP / 7 / 500</t>
  </si>
  <si>
    <t>PT. MIS / 5 / 500</t>
  </si>
  <si>
    <t>027/PJB/MIS-WINS/I/2026</t>
  </si>
  <si>
    <t>PT. KMP / 8 / 500</t>
  </si>
  <si>
    <t>001/OLEIN/WINS-BJL/II/2026</t>
  </si>
  <si>
    <t>PT. JAS MULIA / 9 / 500</t>
  </si>
  <si>
    <t>003/OLEIN/WINS-CV HAS/III/2026</t>
  </si>
  <si>
    <t>004/OLEIN/WINS-CV SCM/III/2026</t>
  </si>
  <si>
    <t>005/OLEIN/WINS-CV DUTA ABADI/III/2026</t>
  </si>
  <si>
    <t>010/Olein/Wins-PT GMU/III/2026</t>
  </si>
  <si>
    <t>006/OLEIN/WINS-CV DUTA ABADI/III/2026</t>
  </si>
  <si>
    <t>008/OLEIN/WINS-CV HSA/III/2026</t>
  </si>
  <si>
    <t>011/OLEIN/WINS-HSA/III/2026</t>
  </si>
  <si>
    <t>IBRAHIM</t>
  </si>
  <si>
    <t>BASO</t>
  </si>
  <si>
    <t>HERMAN HAFID</t>
  </si>
  <si>
    <t>MUHAMMAD YUSUF</t>
  </si>
  <si>
    <t>USMAN</t>
  </si>
  <si>
    <t>AKMAL TAMRIN</t>
  </si>
  <si>
    <t>MUHAMMAD RAYHAN</t>
  </si>
  <si>
    <t>ARHAM AKBAR</t>
  </si>
  <si>
    <t>AIDIL ASWAR</t>
  </si>
  <si>
    <t>IRFAN</t>
  </si>
  <si>
    <t>HARI ASHARI</t>
  </si>
  <si>
    <t>HALIK</t>
  </si>
  <si>
    <t>TAMRIN</t>
  </si>
  <si>
    <t>BAHTIAR</t>
  </si>
  <si>
    <t>HERLIN</t>
  </si>
  <si>
    <t>ABD. HAMID</t>
  </si>
  <si>
    <t>MURKAS</t>
  </si>
  <si>
    <t xml:space="preserve">MUHAMMAD YUSUF SYAM </t>
  </si>
  <si>
    <t xml:space="preserve">IRFAN </t>
  </si>
  <si>
    <t>ADITYA PUTRA</t>
  </si>
  <si>
    <t>WANDRA</t>
  </si>
  <si>
    <t>WALDI</t>
  </si>
  <si>
    <t>JUFRI</t>
  </si>
  <si>
    <t>RISWAN</t>
  </si>
  <si>
    <t>IRWAN</t>
  </si>
  <si>
    <t>HAMSAL</t>
  </si>
  <si>
    <t>HENDRIK</t>
  </si>
  <si>
    <t>Quantity (Kg)</t>
  </si>
  <si>
    <t>Harga Satuan</t>
  </si>
  <si>
    <t>PPn</t>
  </si>
  <si>
    <t>Nett</t>
  </si>
  <si>
    <t>Nilai Kontrak</t>
  </si>
  <si>
    <t>Lokasi Penyerahan</t>
  </si>
  <si>
    <t>Jatuh Tempo DP</t>
  </si>
  <si>
    <t>Tanggal Penyerahan</t>
  </si>
  <si>
    <t>DP</t>
  </si>
  <si>
    <t>Jatuh Tempo Pengiriman</t>
  </si>
  <si>
    <t>INFO</t>
  </si>
  <si>
    <t>Sisa Kuota (Kg)</t>
  </si>
  <si>
    <t>% Realisasi</t>
  </si>
  <si>
    <t>Tagihan DP (Rp)</t>
  </si>
  <si>
    <t>Status Jatuh Tempo DP</t>
  </si>
  <si>
    <t>PT. Borneo Mitra Sentosa</t>
  </si>
  <si>
    <t>Pontianak</t>
  </si>
  <si>
    <t>Loco Pabrik</t>
  </si>
  <si>
    <t>Franco</t>
  </si>
  <si>
    <t>007/OLEIN/WINS-CV SCMI/III/2026</t>
  </si>
  <si>
    <t>009/OLEIN/WINS-CV DUTA ABADI/III/2026</t>
  </si>
  <si>
    <t>012/OLEIN/WINS-DUTA/IV/2026</t>
  </si>
  <si>
    <t>Loco Tanki Timbun</t>
  </si>
  <si>
    <t>Loco PKS</t>
  </si>
  <si>
    <t>PT. Madinra Inti Sawit</t>
  </si>
  <si>
    <t>0193/R2/HO-PALM/CPO-L/I/2026</t>
  </si>
  <si>
    <t>Loco PKS Luwu</t>
  </si>
  <si>
    <t>postpone</t>
  </si>
  <si>
    <t>0151/R2/HO-PALM/CPO-L/I/2026</t>
  </si>
  <si>
    <t>056/JM-PKS/BA-CPO/XI/2025</t>
  </si>
  <si>
    <t>002/CPO/JM-WINS/XI/2025</t>
  </si>
  <si>
    <t>057/JM-PKS/BA-CPO/XI/2025</t>
  </si>
  <si>
    <t>003/CPO/JM-WINS/XI/2025</t>
  </si>
  <si>
    <t>058/JM-PKS/BA-CPO/XII/2025</t>
  </si>
  <si>
    <t>004/CPO/JM-WINS/XII/2025</t>
  </si>
  <si>
    <t>059/JM-PKS/BA-CPO/XII/2025</t>
  </si>
  <si>
    <t>005/CPO/JM-WINS/XII/2025</t>
  </si>
  <si>
    <t>061/JM-PKS/BA-CPO/XII/2025</t>
  </si>
  <si>
    <t>006/CPO/JM-WINS/XII/2025</t>
  </si>
  <si>
    <t>001/JM-PKS/BA-CPO/I/2026</t>
  </si>
  <si>
    <t>007/CPO/JM-WINS/I/2026</t>
  </si>
  <si>
    <t>002/JM-PKS/BA-CPO/I/2026</t>
  </si>
  <si>
    <t>008/CPO/JM-WINS/I/2026</t>
  </si>
  <si>
    <t>003/JM-PKS/BA-CPO/I/2026</t>
  </si>
  <si>
    <t>009/CPO/JM-WINS/I/2026</t>
  </si>
  <si>
    <t>004/JM-PKS/BA-CPO/II/2026</t>
  </si>
  <si>
    <t>010/CPO/JM-WINS/I/2026</t>
  </si>
  <si>
    <t>047/JM-PKS/BA-CPO/IV/2026</t>
  </si>
  <si>
    <t>011/CPO/JM-WINS/II/2026</t>
  </si>
  <si>
    <t>048/JM-PKS/BA-CPO/IV/2026</t>
  </si>
  <si>
    <t>KMP01112025</t>
  </si>
  <si>
    <t>KMP02112025</t>
  </si>
  <si>
    <t>03/KP/KMP/CPO/I/2025</t>
  </si>
  <si>
    <t>KMP03112025</t>
  </si>
  <si>
    <t>KMP01122025</t>
  </si>
  <si>
    <t>KMP01012026</t>
  </si>
  <si>
    <t>KMP01022026</t>
  </si>
  <si>
    <t>002/OLEIN/WINS-CV HSA/III/2026</t>
  </si>
  <si>
    <t>PFAD</t>
  </si>
  <si>
    <t>PT. Kasmar Matano Persada</t>
  </si>
  <si>
    <t>Cv. Halilintar Sakti Abadi</t>
  </si>
  <si>
    <t>Cv. Surya Cahaya Mas</t>
  </si>
  <si>
    <t>Cv. Duta Abadi</t>
  </si>
  <si>
    <t>PT. Perkebunan Nusantara</t>
  </si>
  <si>
    <t>PT. Jas Mulia</t>
  </si>
  <si>
    <t>PT. Bukit Jejer Lestari</t>
  </si>
  <si>
    <t>MUH. ARIF</t>
  </si>
  <si>
    <t>HAERUDDIN</t>
  </si>
  <si>
    <t>GIDIONO RUDIYANTO</t>
  </si>
  <si>
    <t>MUH. EMIN BUSTAMIN</t>
  </si>
  <si>
    <t>MUH. DAUT</t>
  </si>
  <si>
    <t>RIDWAN</t>
  </si>
  <si>
    <t>ARDIN</t>
  </si>
  <si>
    <t>HERIANTO</t>
  </si>
  <si>
    <t>YUDI PITRIONO</t>
  </si>
  <si>
    <t>ARISTO</t>
  </si>
  <si>
    <t>HASBAR</t>
  </si>
  <si>
    <t>YEMDRI</t>
  </si>
  <si>
    <t>LUKAS ALFIAN .L</t>
  </si>
  <si>
    <t>RIKO</t>
  </si>
  <si>
    <t>SYAHRUL SYAM</t>
  </si>
  <si>
    <t>MUHAMMAD YUSUF SYAM</t>
  </si>
  <si>
    <t>016/OLEIN/WINS-HSA/IV/2026</t>
  </si>
  <si>
    <t>PT GRAHA MINING UTAMA</t>
  </si>
  <si>
    <t>000971</t>
  </si>
  <si>
    <t>000970</t>
  </si>
  <si>
    <t>000969</t>
  </si>
  <si>
    <t>000968</t>
  </si>
  <si>
    <t>000972</t>
  </si>
  <si>
    <t>000974</t>
  </si>
  <si>
    <t>000975</t>
  </si>
  <si>
    <t>000976</t>
  </si>
  <si>
    <t>000973</t>
  </si>
  <si>
    <t>000977</t>
  </si>
  <si>
    <t>000978</t>
  </si>
  <si>
    <t>000981</t>
  </si>
  <si>
    <t>000979</t>
  </si>
  <si>
    <t>000980</t>
  </si>
  <si>
    <t>000982</t>
  </si>
  <si>
    <t xml:space="preserve">DC 8459 XL </t>
  </si>
  <si>
    <t>IQBAL</t>
  </si>
  <si>
    <t>CV. WIL</t>
  </si>
  <si>
    <t>Jul 2026</t>
  </si>
  <si>
    <t>Agu 2026</t>
  </si>
  <si>
    <t>000983</t>
  </si>
  <si>
    <t>000985</t>
  </si>
  <si>
    <t>000984</t>
  </si>
  <si>
    <t>000986</t>
  </si>
  <si>
    <t>000987</t>
  </si>
  <si>
    <t>000988</t>
  </si>
  <si>
    <t>000989</t>
  </si>
  <si>
    <t>000990</t>
  </si>
  <si>
    <t>000991</t>
  </si>
  <si>
    <t>000992</t>
  </si>
  <si>
    <t>000993</t>
  </si>
  <si>
    <t>DN 8684 GA</t>
  </si>
  <si>
    <t>DN 8841 CS</t>
  </si>
  <si>
    <t>YOHAN PARUNTU</t>
  </si>
  <si>
    <t>FERI</t>
  </si>
  <si>
    <t>MELKISEDEK R</t>
  </si>
  <si>
    <t>BUDI SUKARDIL</t>
  </si>
  <si>
    <t>MOH RISKY</t>
  </si>
  <si>
    <t>IGNATIUS ALI P</t>
  </si>
  <si>
    <t>BOBY ANDRIAWAN</t>
  </si>
  <si>
    <t>PT. TRI DAYA JAYA</t>
  </si>
  <si>
    <t>TDJ</t>
  </si>
  <si>
    <t>PUP</t>
  </si>
  <si>
    <t>000994</t>
  </si>
  <si>
    <t>000995</t>
  </si>
  <si>
    <t>000996</t>
  </si>
  <si>
    <t>000997</t>
  </si>
  <si>
    <t>000998</t>
  </si>
  <si>
    <t>000999</t>
  </si>
  <si>
    <t>001000</t>
  </si>
  <si>
    <t>001002</t>
  </si>
  <si>
    <t>001001</t>
  </si>
  <si>
    <t>001004</t>
  </si>
  <si>
    <t>001005</t>
  </si>
  <si>
    <t>001008</t>
  </si>
  <si>
    <t>001006</t>
  </si>
  <si>
    <t>001007</t>
  </si>
  <si>
    <t>001010</t>
  </si>
  <si>
    <t>001009</t>
  </si>
  <si>
    <t>001011</t>
  </si>
  <si>
    <t>001012</t>
  </si>
  <si>
    <t>001013</t>
  </si>
  <si>
    <t>DP 8366 TE</t>
  </si>
  <si>
    <t>001017</t>
  </si>
  <si>
    <t>001020</t>
  </si>
  <si>
    <t>001022</t>
  </si>
  <si>
    <t>001018</t>
  </si>
  <si>
    <t>001019</t>
  </si>
  <si>
    <t>001014</t>
  </si>
  <si>
    <t>S 4249 UU</t>
  </si>
  <si>
    <t>001015</t>
  </si>
  <si>
    <t>001016</t>
  </si>
  <si>
    <t>001021</t>
  </si>
  <si>
    <t>001023</t>
  </si>
  <si>
    <t>001024</t>
  </si>
  <si>
    <t>001025</t>
  </si>
  <si>
    <t>001026</t>
  </si>
  <si>
    <t>001027</t>
  </si>
  <si>
    <t>001028</t>
  </si>
  <si>
    <t>001030</t>
  </si>
  <si>
    <t>001032</t>
  </si>
  <si>
    <t>001034</t>
  </si>
  <si>
    <t>001035</t>
  </si>
  <si>
    <t>001036</t>
  </si>
  <si>
    <t>DN 8114 XX</t>
  </si>
  <si>
    <t>001037</t>
  </si>
  <si>
    <t>001031</t>
  </si>
  <si>
    <t>001029</t>
  </si>
  <si>
    <t>001038</t>
  </si>
  <si>
    <t xml:space="preserve">DD 8171 VN </t>
  </si>
  <si>
    <t>001041</t>
  </si>
  <si>
    <t>001043</t>
  </si>
  <si>
    <t>001039</t>
  </si>
  <si>
    <t>001049</t>
  </si>
  <si>
    <t xml:space="preserve">DP 8174 XY </t>
  </si>
  <si>
    <t>001053</t>
  </si>
  <si>
    <t>DP 8789 GH</t>
  </si>
  <si>
    <t>001052</t>
  </si>
  <si>
    <t>001040</t>
  </si>
  <si>
    <t>001045</t>
  </si>
  <si>
    <t>001046</t>
  </si>
  <si>
    <t>DN 8928 UA</t>
  </si>
  <si>
    <t>001050</t>
  </si>
  <si>
    <t>001051</t>
  </si>
  <si>
    <t>001042</t>
  </si>
  <si>
    <t>001044</t>
  </si>
  <si>
    <t>001047</t>
  </si>
  <si>
    <t>PT. PANDU URANE PERKASA</t>
  </si>
  <si>
    <t>001048</t>
  </si>
  <si>
    <t>DD 8456 DI</t>
  </si>
  <si>
    <t>DP 8253 GM</t>
  </si>
  <si>
    <t>PT. JAS MULIA / 12 / 500</t>
  </si>
  <si>
    <t>DP 8587 GC</t>
  </si>
  <si>
    <t>001057</t>
  </si>
  <si>
    <t>001056</t>
  </si>
  <si>
    <t>001055</t>
  </si>
  <si>
    <t>001054</t>
  </si>
  <si>
    <t>001059</t>
  </si>
  <si>
    <t>001063</t>
  </si>
  <si>
    <t>001062</t>
  </si>
  <si>
    <t>001061</t>
  </si>
  <si>
    <t>001060</t>
  </si>
  <si>
    <t>001064</t>
  </si>
  <si>
    <t>001065</t>
  </si>
  <si>
    <t>001069</t>
  </si>
  <si>
    <t>001071</t>
  </si>
  <si>
    <t>001073</t>
  </si>
  <si>
    <t>001072</t>
  </si>
  <si>
    <t>001070</t>
  </si>
  <si>
    <t>001068</t>
  </si>
  <si>
    <t>001067</t>
  </si>
  <si>
    <t>001066</t>
  </si>
  <si>
    <t>DP 8671 YD</t>
  </si>
  <si>
    <t>SAPARWADI</t>
  </si>
  <si>
    <t>IWAN</t>
  </si>
  <si>
    <t>EDI MUHKTAR</t>
  </si>
  <si>
    <t>001076</t>
  </si>
  <si>
    <t>001077</t>
  </si>
  <si>
    <t>001078</t>
  </si>
  <si>
    <t>001079</t>
  </si>
  <si>
    <t>001080</t>
  </si>
  <si>
    <t>001088</t>
  </si>
  <si>
    <t>001081</t>
  </si>
  <si>
    <t>001082</t>
  </si>
  <si>
    <t>001083</t>
  </si>
  <si>
    <t>001084</t>
  </si>
  <si>
    <t>001086</t>
  </si>
  <si>
    <t>001085</t>
  </si>
  <si>
    <t>DN 8115 XX</t>
  </si>
  <si>
    <t>DP 8174 XY</t>
  </si>
  <si>
    <t>SYAMSUDDIN</t>
  </si>
  <si>
    <t>MULYADI</t>
  </si>
  <si>
    <t>RUSTAM</t>
  </si>
  <si>
    <t>HERIL</t>
  </si>
  <si>
    <t xml:space="preserve">DD 8456 DI </t>
  </si>
  <si>
    <t>Qty Kontrak (Kg)</t>
  </si>
  <si>
    <t>PT. Wijaya Inti Nusantara</t>
  </si>
  <si>
    <t>CV. Nusantara Daya Jaya</t>
  </si>
  <si>
    <t>PT. Pandu Urane Perkasa</t>
  </si>
  <si>
    <t>029/OLEIN/WINS-WIN/IV/2026</t>
  </si>
  <si>
    <t>030/OLEIN/WINS-TDJ/IV/2026</t>
  </si>
  <si>
    <t>031/OLEIN/WINS-WIN/IV/2026</t>
  </si>
  <si>
    <t>CV HSA/1/50</t>
  </si>
  <si>
    <t>CV HSA/2/100</t>
  </si>
  <si>
    <t>CV HSA/5/100</t>
  </si>
  <si>
    <t>CV HSA/4/100</t>
  </si>
  <si>
    <t>CV HSA/3/100</t>
  </si>
  <si>
    <t>CV HSA/2/200</t>
  </si>
  <si>
    <t>CV. SCM/1/500</t>
  </si>
  <si>
    <t>CV. SCM/2/300</t>
  </si>
  <si>
    <t>CV. DA/1/200</t>
  </si>
  <si>
    <t>CV. DA/2/300</t>
  </si>
  <si>
    <t>CV. DA/3/500</t>
  </si>
  <si>
    <t>CV. DA/4/500</t>
  </si>
  <si>
    <t>BJL/1/1000</t>
  </si>
  <si>
    <t>TDJ-GMU/1/15050</t>
  </si>
  <si>
    <t>013/OLEIN/WINS-WIN/IV/2026</t>
  </si>
  <si>
    <t>WIN/1/28860</t>
  </si>
  <si>
    <t>Torobulu</t>
  </si>
  <si>
    <t>014/OLEIN/WINS-GMU/IV/2026</t>
  </si>
  <si>
    <t>PT. Tri Daya Jaya</t>
  </si>
  <si>
    <t>TDJ-GMU/2/200</t>
  </si>
  <si>
    <t>TDJ-GMU/3/15090</t>
  </si>
  <si>
    <t>015/OLEIN/WINS-GMU/IV/2026</t>
  </si>
  <si>
    <t>017/OLEIN/WINS-GMU/IV/2026</t>
  </si>
  <si>
    <t>TDJ-GMU/4/28890</t>
  </si>
  <si>
    <t>018/OLEIN/WINS-WIN/IV/2026</t>
  </si>
  <si>
    <t>WIN/2/28960</t>
  </si>
  <si>
    <t>019/OLEIN/WINS-GMU/IV/2026</t>
  </si>
  <si>
    <t>020/OLEIN/WINS-WIN/IV/2026</t>
  </si>
  <si>
    <t>WIN/2/28870</t>
  </si>
  <si>
    <t>NDJ/1/15090</t>
  </si>
  <si>
    <t>021/OLEIN/WINS-NDJ/IV/2026</t>
  </si>
  <si>
    <t>022/OLEIN/WINS-GMU/IV/2026</t>
  </si>
  <si>
    <t>TDJ-GMU/5/28960</t>
  </si>
  <si>
    <t>TDJ-GMU/6/14470</t>
  </si>
  <si>
    <t>023/OLEIN/WINS-GMU/IV/2026</t>
  </si>
  <si>
    <t>024/OLEIN/WINS-WIN/IV/2026</t>
  </si>
  <si>
    <t>025/OLEIN/WINS-WIN/IV/2026</t>
  </si>
  <si>
    <t>026/OLEIN/WINS-PUP/IV/2026</t>
  </si>
  <si>
    <t>027/OLEIN/WINS-TDJ/IV/2026</t>
  </si>
  <si>
    <t>CV. NUSANTARA DAYA JAYA</t>
  </si>
  <si>
    <t>NDJ</t>
  </si>
  <si>
    <t>TDJ-GMU/7/28930</t>
  </si>
  <si>
    <t>WIN/3/7240</t>
  </si>
  <si>
    <t>WIN/4/19710</t>
  </si>
  <si>
    <t>PUP/1/28910</t>
  </si>
  <si>
    <t>TDJ-GMU/8/28860</t>
  </si>
  <si>
    <t>WIN/5/15110</t>
  </si>
  <si>
    <t>TDJ-GMU/9/14480</t>
  </si>
  <si>
    <t>WIN/6/28890</t>
  </si>
  <si>
    <t>Arah</t>
  </si>
  <si>
    <t>Status Pengiriman</t>
  </si>
  <si>
    <t>RINGKASAN KONTRAK</t>
  </si>
  <si>
    <t>Per Produk</t>
  </si>
  <si>
    <t>Jml Kontrak</t>
  </si>
  <si>
    <t>Aktual (Kg)</t>
  </si>
  <si>
    <t>Sisa (Kg)</t>
  </si>
  <si>
    <t>Realisasi</t>
  </si>
  <si>
    <t>CPO (Masuk Pabrik)</t>
  </si>
  <si>
    <t>RBDPL (Keluar Pabrik)</t>
  </si>
  <si>
    <t>Nilai Kontrak (Rp)</t>
  </si>
  <si>
    <t>Nilai Terkirim</t>
  </si>
  <si>
    <t>Selisih</t>
  </si>
  <si>
    <t>% dari Total</t>
  </si>
  <si>
    <t>Belum Kirim</t>
  </si>
  <si>
    <t>Proses</t>
  </si>
  <si>
    <t>Selesai</t>
  </si>
  <si>
    <t>Over</t>
  </si>
  <si>
    <t>Lewat Jatuh Tempo</t>
  </si>
  <si>
    <t>Jatuh Tempo Hari Ini</t>
  </si>
  <si>
    <t>Belum Jatuh Tempo</t>
  </si>
  <si>
    <t>Jatuh Tempo</t>
  </si>
  <si>
    <t>Aktual Terkirim/Terima (Kg) Timbangan PT WINS</t>
  </si>
  <si>
    <t>Status Pengiriman2</t>
  </si>
  <si>
    <t>Nilai Terkirim/Terima (Rp)</t>
  </si>
  <si>
    <t>KMP 01 11 2025</t>
  </si>
  <si>
    <t>KMP 02 11 2025</t>
  </si>
  <si>
    <t>KMP 03 11 2025</t>
  </si>
  <si>
    <t>KMP 01 12 2025</t>
  </si>
  <si>
    <t>KMP 01 01 2026</t>
  </si>
  <si>
    <t>KMP 01 02 2026</t>
  </si>
  <si>
    <t>PT. KMP / 6 / 500</t>
  </si>
  <si>
    <t>012/CPO/JM-WINS/IV/2026</t>
  </si>
  <si>
    <t>PT. JAS MULIA / 10 / 500</t>
  </si>
  <si>
    <t>PT. JAS MULIA / 11 / 500</t>
  </si>
  <si>
    <t>19/01/202</t>
  </si>
  <si>
    <t>DO</t>
  </si>
  <si>
    <t>PT. JAS MULIA / 1 / 512</t>
  </si>
  <si>
    <t>YOGHIE PRATAMA</t>
  </si>
  <si>
    <t>HALIM</t>
  </si>
  <si>
    <t>WIDIANTO</t>
  </si>
  <si>
    <t>CV MMT</t>
  </si>
  <si>
    <t>NENGAH SUJANA</t>
  </si>
  <si>
    <t>IRWANDI</t>
  </si>
  <si>
    <t>HIZRAN</t>
  </si>
  <si>
    <t>Lokasi pengiriman/Pengantaran</t>
  </si>
  <si>
    <t>Gowa</t>
  </si>
  <si>
    <t>Siumbatu</t>
  </si>
  <si>
    <t>Total Netto (Kg)</t>
  </si>
  <si>
    <t>Avg Netto/Trip (Kg)</t>
  </si>
  <si>
    <t>Trip Berdata</t>
  </si>
  <si>
    <t>% dari Total Trip</t>
  </si>
  <si>
    <t>Jenis Truk</t>
  </si>
  <si>
    <t>% Trip RBDPL</t>
  </si>
  <si>
    <t>Shift</t>
  </si>
  <si>
    <t>Jam</t>
  </si>
  <si>
    <t>% Trip</t>
  </si>
  <si>
    <t>Trip CPO</t>
  </si>
  <si>
    <t>Trip RBDPL</t>
  </si>
  <si>
    <t>Pagi</t>
  </si>
  <si>
    <t>Siang</t>
  </si>
  <si>
    <t>Sore/Malam</t>
  </si>
  <si>
    <t>Dini Hari</t>
  </si>
  <si>
    <t>Produk Utama</t>
  </si>
  <si>
    <t>Min Gap (Jam)</t>
  </si>
  <si>
    <t>Driver(s)</t>
  </si>
  <si>
    <t>Trip Pertama</t>
  </si>
  <si>
    <t>Trip Terakhir</t>
  </si>
  <si>
    <t>DD 8765 DC</t>
  </si>
  <si>
    <t>TOTAL / RATA-RATA</t>
  </si>
  <si>
    <t>CPO Trip</t>
  </si>
  <si>
    <t>CPO Netto (Kg)</t>
  </si>
  <si>
    <t>RBDPL Trip</t>
  </si>
  <si>
    <t>RBDPL Netto (Kg)</t>
  </si>
  <si>
    <t>Avg Netto/Trip</t>
  </si>
  <si>
    <t>Netto/Km (Kg/Km)</t>
  </si>
  <si>
    <t>Avg Gap (Jam)</t>
  </si>
  <si>
    <t>MUHAMMAD YUSUF SYAM / MUHAMMAD YUSUF</t>
  </si>
  <si>
    <t>GIDIONO RUDIYANTO / EDI MUHKTAR</t>
  </si>
  <si>
    <t>HERLIN / IRWANDI</t>
  </si>
  <si>
    <t>Avg Netto / Trip (Kg)</t>
  </si>
  <si>
    <t>MoM Netto (%)</t>
  </si>
  <si>
    <t>% Selisih</t>
  </si>
  <si>
    <t>Avg Jarak (Km)</t>
  </si>
  <si>
    <t>No.</t>
  </si>
  <si>
    <t>Dampak</t>
  </si>
  <si>
    <t>Rekomendasi Tindakan</t>
  </si>
  <si>
    <t>RONI RAKAN</t>
  </si>
  <si>
    <t>ERWIN</t>
  </si>
  <si>
    <t>HARIANTO</t>
  </si>
  <si>
    <t>1.  TREN VOLUME BULANAN</t>
  </si>
  <si>
    <t>2.  SELISIH TIMBANGAN (WINS vs RELASI)</t>
  </si>
  <si>
    <t>Netto WINS (Kg)</t>
  </si>
  <si>
    <t>Berat Relasi (Kg)</t>
  </si>
  <si>
    <t>Selisih (Kg)</t>
  </si>
  <si>
    <t>Avg Selisih/Trip</t>
  </si>
  <si>
    <t>3.  PRODUKTIVITAS DRIVER  (64 driver unik setelah standardisasi)</t>
  </si>
  <si>
    <t>Relasi Terbanyak</t>
  </si>
  <si>
    <t>4.  EFISIENSI JENIS TRUK</t>
  </si>
  <si>
    <t>5.  DISTRIBUSI SHIFT &amp; JAM OPERASIONAL</t>
  </si>
  <si>
    <t>06:00–12:00</t>
  </si>
  <si>
    <t>12:00–18:00</t>
  </si>
  <si>
    <t>18:00–24:00</t>
  </si>
  <si>
    <t>00:00–06:00</t>
  </si>
  <si>
    <t>6.  ANALISA NO. POLISI  (baris merah = Min Gap &lt; 2 jam — perlu verifikasi)</t>
  </si>
  <si>
    <t>IQBAL / IBRAHIM</t>
  </si>
  <si>
    <t>RONI RAKAN / HAMSAL</t>
  </si>
  <si>
    <t>ERWIN / HAMSAL</t>
  </si>
  <si>
    <t>BOBY ANDRIAWAN / WIDIANTO</t>
  </si>
  <si>
    <t>MUH. EMIN BUSTAMIN / HERIANTO / IGNATIUS ALI P</t>
  </si>
  <si>
    <t>Parameter</t>
  </si>
  <si>
    <t>Satuan</t>
  </si>
  <si>
    <t>Kg</t>
  </si>
  <si>
    <t>Kecepatan Rata-rata</t>
  </si>
  <si>
    <t>Km/Jam</t>
  </si>
  <si>
    <t>Harga Solar (estimasi)</t>
  </si>
  <si>
    <t>Rp/Liter</t>
  </si>
  <si>
    <t>KPI</t>
  </si>
  <si>
    <t>Total Trip (dari Database)</t>
  </si>
  <si>
    <t>Total Netto Terkirim (Kg)</t>
  </si>
  <si>
    <t>Kapasitas Maksimum (Kg)</t>
  </si>
  <si>
    <t>Utilisasi Kapasitas (%)</t>
  </si>
  <si>
    <t>%</t>
  </si>
  <si>
    <t>Avg Jarak per Trip (Km)</t>
  </si>
  <si>
    <t>Km</t>
  </si>
  <si>
    <t>Liter</t>
  </si>
  <si>
    <t>C.  ESTIMASI TOTAL BIAYA SOLAR</t>
  </si>
  <si>
    <t>Komponen</t>
  </si>
  <si>
    <t>Total Gabungan</t>
  </si>
  <si>
    <t>Total Jarak Tempuh (Km)</t>
  </si>
  <si>
    <t>Total Solar Konsumsi (Liter)</t>
  </si>
  <si>
    <t>Est. Biaya Solar (Rp)</t>
  </si>
  <si>
    <t>Biaya Solar / Kg Netto (Rp)</t>
  </si>
  <si>
    <t>Biaya Solar / Trip (Rp)</t>
  </si>
  <si>
    <t>Jarak (Km)</t>
  </si>
  <si>
    <t>Avg Netto (Kg)</t>
  </si>
  <si>
    <t>Utilisasi (%)</t>
  </si>
  <si>
    <t>Total Solar PP (L)</t>
  </si>
  <si>
    <t>Biaya Solar/Ton (Rp)</t>
  </si>
  <si>
    <t>Temuan / Insight</t>
  </si>
  <si>
    <t>UTILISASI 6 RODA: 136% dari kapasitas teori (7 ton)
Avg netto 9.528 Kg melebihi batas resmi. Ini mengindikasikan muatan berlebih yang melanggar regulasi tonase jalan (UU No.22/2009 tentang LLAJ). 640 trip, mayoritas ke Pomala (494 Km) dan Palu (562 Km) — jarak sangat jauh.</t>
  </si>
  <si>
    <t>RISIKO KRITIS: (1) Muatan lebih merusak ban, suspensi, dan sasis lebih cepat — biaya perawatan melonjak. (2) Jalan jauh + overload = risiko kecelakaan tinggi. (3) Sanksi tilang dan denda polisi.</t>
  </si>
  <si>
    <t>TINDAK SEGERA: Audit fisik truk 6 roda. Batasi muatan maksimum 6.500 Kg (safety margin). Pindahkan rute Pomala &amp; Palu ke truk 10 atau 12 roda. Evaluasi kontrak transportir 6 roda.</t>
  </si>
  <si>
    <t>EFISIENSI SOLAR: 12 Roda TERBAIK per Kg netto
Dengan konsumsi 3 Km/Liter, truk 12 roda mengangkut ~28 ton per trip. Biaya solar per ton jauh lebih rendah dibanding 6 roda. Untuk rute pendek Masamba (53 Km) dan Bone Bone (68 Km), utilisasi 12 roda mendekati 100%.</t>
  </si>
  <si>
    <t>Truk 12 roda adalah PILIHAN PALING EKONOMIS secara biaya solar per Kg netto. Dengan jarak pendek, solar minim dan muatan maksimal — kombinasi ideal.</t>
  </si>
  <si>
    <t>ALOKASIKAN lebih banyak truk 12 roda untuk rute Masamba, Bone Bone, dan Burau. Target komposisi: 12 Roda ≥ 40% dari total trip untuk ketiga rute ini.</t>
  </si>
  <si>
    <t>RUTE JARAK JAUH (Pomala 494 Km, Palu 562 Km, Torobulu 642 Km): HANYA LAYAK UNTUK 12 RODA
Truk 6 roda ke Pomala mengonsumsi ~99 Liter solar per trip (PP). Truk 12 roda hanya ~98 Liter tapi angkut 3x lebih banyak. Biaya solar per ton: 6 Roda ~Rp 70.000/ton vs 12 Roda ~Rp 23.000/ton.</t>
  </si>
  <si>
    <t>Menggunakan truk 6 roda untuk jarak &gt;400 Km adalah pemborosan biaya operasional 3x lipat dibanding 12 roda. 280 trip 6 roda ke Pomala = potensial pemborosan besar.</t>
  </si>
  <si>
    <t>STOP penggunaan truk 6 roda untuk jarak &gt;200 Km. Renegosasi kontrak transportir. Jika transporter tidak punya 12 roda, evaluasi ganti transporter atau sewa armada.</t>
  </si>
  <si>
    <t>UTILISASI 10 RODA: 103% (sedikit overload)
Avg netto 14.280 Kg vs kapasitas 13.800 Kg. Dominan di rute pendek: Bone Bone (175 trip), Masamba (70 trip), Burau (66 trip). Jam operasional rata-rata 1,6 jam — sangat efisien untuk jarak dekat.</t>
  </si>
  <si>
    <t>Overload ringan tapi tetap bermasalah. Rute pendek dengan durasi 1,6 jam ideal untuk rotasi cepat — 2 trip per hari dimungkinkan.</t>
  </si>
  <si>
    <t>Standarisasi batas muat 10 roda di 13.500 Kg. Manfaatkan kecepatan rotasi dengan jadwal 2 trip/hari untuk rute &lt; 100 Km. Ini bisa melipatgandakan kapasitas tanpa tambah armada.</t>
  </si>
  <si>
    <t>WAKTU OPERASIONAL: Durasi rata-rata 1 jam (6R) dan 1,6 jam (10R/12R) di timbangan
Durasi ini hanya waktu di timbangan, BUKAN total waktu perjalanan. Estimasi total trip PP termasuk perjalanan: Bone Bone (68 Km PP) ~4 jam, Pomala (494 Km PP) ~20 jam, Palu (562 Km PP) ~22 jam.</t>
  </si>
  <si>
    <t>Truk ke Pomala dan Palu praktis hanya bisa 1 trip per hari (bahkan perlu menginap). Biaya tambahan: uang makan, inap driver, dan risiko kelelahan.</t>
  </si>
  <si>
    <t>Untuk rute &gt; 400 Km, pastikan ada sistem shift driver (2 driver per truk). Hitung total biaya operasional termasuk akomodasi. Bandingkan dengan alternatif moda lain jika ada.</t>
  </si>
  <si>
    <t>ANOMALI MUATAN MINIMUM: Min netto 200 Kg (6 Roda) dan 190 Kg (10 Roda)
Ada trip dengan muatan sangat kecil (200 Kg dari kapasitas 7.000 Kg = 3%). Ini bisa berarti pengambilan sisa kuota, trip uji coba, atau kesalahan input.</t>
  </si>
  <si>
    <t>Trip dengan muatan &lt; 10% dari kapasitas = biaya solar per Kg sangat tinggi. Misalnya: 200 Kg di 6 Roda ke Pomala — biaya solar lebih mahal dari nilai muatannya.</t>
  </si>
  <si>
    <t>Tetapkan minimum muatan per trip: 6 Roda min 4.000 Kg, 10 Roda min 8.000 Kg, 12 Roda min 15.000 Kg. Trip di bawah minimum harus digabung (konsolidasi muatan).</t>
  </si>
  <si>
    <t>F.  PERBANDINGAN BIAYA SOLAR PER TON PER RUTE (Rp/Ton)</t>
  </si>
  <si>
    <t>Lebih rendah = lebih efisien. Formula: (Jarak PP / Km per Liter) x Harga Solar / (Avg Netto Kg / 1000 Ton)</t>
  </si>
  <si>
    <t>Rute (Lokasi)</t>
  </si>
  <si>
    <t>Jarak PP (Km)</t>
  </si>
  <si>
    <t>6 Roda (Rp/Ton)</t>
  </si>
  <si>
    <t>10 Roda (Rp/Ton)</t>
  </si>
  <si>
    <t>12 Roda (Rp/Ton)</t>
  </si>
  <si>
    <t>Solar Pergi – Bermuatan (L)</t>
  </si>
  <si>
    <t>Solar Balik – Kosong (L)</t>
  </si>
  <si>
    <t>Netto/Liter Solar (Kg/L)</t>
  </si>
  <si>
    <t>[Helper - Daftar Lokasi]</t>
  </si>
  <si>
    <t>(Semua Lokasi)</t>
  </si>
  <si>
    <t>Est. Total Solar PP / Trip (Liter)</t>
  </si>
  <si>
    <t>Est. Biaya Solar PP / Trip (Rp)</t>
  </si>
  <si>
    <t>Rp</t>
  </si>
  <si>
    <t>Est. Solar Pergi — Bermuatan (L/Trip)</t>
  </si>
  <si>
    <t>Est. Solar Balik — Kosong/Ringan (L/Trip)</t>
  </si>
  <si>
    <t>Est. Durasi Perjalanan Pulang-Pergi (Jam)</t>
  </si>
  <si>
    <t>Kapasitas Muat Maks Aktual (per lokasi pilihan)</t>
  </si>
  <si>
    <t>Kg (maks aktual)</t>
  </si>
  <si>
    <t>liter/PP</t>
  </si>
  <si>
    <t>10 roda</t>
  </si>
  <si>
    <t>Jarak PP</t>
  </si>
  <si>
    <t>Solar PP — 12 Roda (Liter/trip)</t>
  </si>
  <si>
    <t>Liter (PP aktual / estimasi)</t>
  </si>
  <si>
    <t>[Helper km/L]</t>
  </si>
  <si>
    <t>10R bermuatan</t>
  </si>
  <si>
    <t>10R kosong</t>
  </si>
  <si>
    <t>12R bermuatan</t>
  </si>
  <si>
    <t>12R kosong</t>
  </si>
  <si>
    <t>Est. Solar Total — Bermuatan (Liter)</t>
  </si>
  <si>
    <t>Est. Solar Total — Kosong/Balik (Liter)</t>
  </si>
  <si>
    <t>PARAMETER GLOBAL</t>
  </si>
  <si>
    <t>Tol &amp; Retribusi</t>
  </si>
  <si>
    <t>Penginapan</t>
  </si>
  <si>
    <t>B. RINGKASAN PER JENIS TRUK</t>
  </si>
  <si>
    <t>Relasi:</t>
  </si>
  <si>
    <t>Produk:</t>
  </si>
  <si>
    <t>Lokasi:</t>
  </si>
  <si>
    <t>Jarak PP (Km):</t>
  </si>
  <si>
    <t>Jumlah Trip Aktual:</t>
  </si>
  <si>
    <t>Total Netto Aktual (Kg):</t>
  </si>
  <si>
    <t>BREAKDOWN BIAYA &amp; PENDAPATAN PER TRIP</t>
  </si>
  <si>
    <t>Proyeksi Margin Bulanan (Rp)</t>
  </si>
  <si>
    <t>Trip Aktual per Jenis Truk</t>
  </si>
  <si>
    <t>ESTIMASI HARGA OAT &amp; MARGIN PER RELASI</t>
  </si>
  <si>
    <t>PANEL ESTIMASI PER RELASI</t>
  </si>
  <si>
    <t>Harga Solar (Rp/L)</t>
  </si>
  <si>
    <t>Kapasitas Truk (Kg)</t>
  </si>
  <si>
    <t>km/L — Bermuatan</t>
  </si>
  <si>
    <t>km/L — Kosong</t>
  </si>
  <si>
    <t>Target Margin (%)</t>
  </si>
  <si>
    <t>Harga Solar</t>
  </si>
  <si>
    <t>INPUT BIAYA LAIN-LAIN PER RELASI (Rp/trip — isi manual)</t>
  </si>
  <si>
    <t>OAT 6R</t>
  </si>
  <si>
    <t>OAT 10R</t>
  </si>
  <si>
    <t>OAT 12R</t>
  </si>
  <si>
    <t>Makan &amp; Jalan</t>
  </si>
  <si>
    <t>OAT (Rp/Kg)</t>
  </si>
  <si>
    <t>Pendapatan/Trip (Rp)</t>
  </si>
  <si>
    <t>Solar Bermuatan (L)</t>
  </si>
  <si>
    <t>Solar Kosong (L)</t>
  </si>
  <si>
    <t>Biaya Solar/Trip (Rp)</t>
  </si>
  <si>
    <t>Biaya Lain/Trip (Rp)</t>
  </si>
  <si>
    <t>Total Biaya/Trip (Rp)</t>
  </si>
  <si>
    <t>Margin/Trip (Rp)</t>
  </si>
  <si>
    <t>Margin/Kg (Rp)</t>
  </si>
  <si>
    <t>Margin % Pendapatan</t>
  </si>
  <si>
    <t>Biaya Solar/Kg (Rp)</t>
  </si>
  <si>
    <t>Avg Muatan Aktual (Kg)</t>
  </si>
  <si>
    <t>WIL</t>
  </si>
  <si>
    <t>001089</t>
  </si>
  <si>
    <t>001090</t>
  </si>
  <si>
    <t>001093</t>
  </si>
  <si>
    <t>001091</t>
  </si>
  <si>
    <t>001092</t>
  </si>
  <si>
    <t>001096</t>
  </si>
  <si>
    <t>001094</t>
  </si>
  <si>
    <t>001095</t>
  </si>
  <si>
    <t>001103</t>
  </si>
  <si>
    <t>001097</t>
  </si>
  <si>
    <t>001098</t>
  </si>
  <si>
    <t>001099</t>
  </si>
  <si>
    <t>001101</t>
  </si>
  <si>
    <t>001109</t>
  </si>
  <si>
    <t>001105</t>
  </si>
  <si>
    <t>001102</t>
  </si>
  <si>
    <t>001106</t>
  </si>
  <si>
    <t>001107</t>
  </si>
  <si>
    <t>001100</t>
  </si>
  <si>
    <t>001104</t>
  </si>
  <si>
    <t>001108</t>
  </si>
  <si>
    <t>001110</t>
  </si>
  <si>
    <t>001111</t>
  </si>
  <si>
    <t>001114</t>
  </si>
  <si>
    <t>001115</t>
  </si>
  <si>
    <t>001119</t>
  </si>
  <si>
    <t>001112</t>
  </si>
  <si>
    <t>001113</t>
  </si>
  <si>
    <t>001117</t>
  </si>
  <si>
    <t>001118</t>
  </si>
  <si>
    <t>001116</t>
  </si>
  <si>
    <t>001120</t>
  </si>
  <si>
    <t>001122</t>
  </si>
  <si>
    <t>001123</t>
  </si>
  <si>
    <t>001124</t>
  </si>
  <si>
    <t>001125</t>
  </si>
  <si>
    <t>001128</t>
  </si>
  <si>
    <t>001126</t>
  </si>
  <si>
    <t>001127</t>
  </si>
  <si>
    <t>001129</t>
  </si>
  <si>
    <t>001121</t>
  </si>
  <si>
    <t>001131</t>
  </si>
  <si>
    <t>001135</t>
  </si>
  <si>
    <t>001130</t>
  </si>
  <si>
    <t>001134</t>
  </si>
  <si>
    <t>001136</t>
  </si>
  <si>
    <t>001132</t>
  </si>
  <si>
    <t>001133</t>
  </si>
  <si>
    <t>001137</t>
  </si>
  <si>
    <t>001138</t>
  </si>
  <si>
    <t>001139</t>
  </si>
  <si>
    <t>001140</t>
  </si>
  <si>
    <t>001141</t>
  </si>
  <si>
    <t>001142</t>
  </si>
  <si>
    <t>001143</t>
  </si>
  <si>
    <t>001147</t>
  </si>
  <si>
    <t>001148</t>
  </si>
  <si>
    <t>001144</t>
  </si>
  <si>
    <t>001145</t>
  </si>
  <si>
    <t>001146</t>
  </si>
  <si>
    <t>001149</t>
  </si>
  <si>
    <t>001152</t>
  </si>
  <si>
    <t>001155</t>
  </si>
  <si>
    <t>001172</t>
  </si>
  <si>
    <t>001166</t>
  </si>
  <si>
    <t>001150</t>
  </si>
  <si>
    <t>001151</t>
  </si>
  <si>
    <t>001156</t>
  </si>
  <si>
    <t>001157</t>
  </si>
  <si>
    <t>001158</t>
  </si>
  <si>
    <t>001160</t>
  </si>
  <si>
    <t>001163</t>
  </si>
  <si>
    <t>001165</t>
  </si>
  <si>
    <t>001167</t>
  </si>
  <si>
    <t>001169</t>
  </si>
  <si>
    <t>001170</t>
  </si>
  <si>
    <t>001159</t>
  </si>
  <si>
    <t>001153</t>
  </si>
  <si>
    <t>001154</t>
  </si>
  <si>
    <t>001162</t>
  </si>
  <si>
    <t>001161</t>
  </si>
  <si>
    <t>001164</t>
  </si>
  <si>
    <t>001168</t>
  </si>
  <si>
    <t>001171</t>
  </si>
  <si>
    <t>001173</t>
  </si>
  <si>
    <t>001174</t>
  </si>
  <si>
    <t>001178</t>
  </si>
  <si>
    <t>001179</t>
  </si>
  <si>
    <t>001180</t>
  </si>
  <si>
    <t>001175</t>
  </si>
  <si>
    <t>001176</t>
  </si>
  <si>
    <t>001177</t>
  </si>
  <si>
    <t>001181</t>
  </si>
  <si>
    <t>001182</t>
  </si>
  <si>
    <t xml:space="preserve">DC 8905 XH </t>
  </si>
  <si>
    <t>DP 8574 YE</t>
  </si>
  <si>
    <t>DN 1814 XX</t>
  </si>
  <si>
    <t>DN 8905 XH</t>
  </si>
  <si>
    <t xml:space="preserve">DN 8902 UB </t>
  </si>
  <si>
    <t xml:space="preserve"> DP 8851 GZ</t>
  </si>
  <si>
    <t>DP 8856 GZ</t>
  </si>
  <si>
    <t>DC 8002 XB</t>
  </si>
  <si>
    <t xml:space="preserve">DN 8841 CS </t>
  </si>
  <si>
    <t>DP 8851 GZ</t>
  </si>
  <si>
    <t>DP 9836 GA</t>
  </si>
  <si>
    <t>HARIANTO &amp; JUFRI</t>
  </si>
  <si>
    <t>MUH ARIF</t>
  </si>
  <si>
    <t>LUKAS</t>
  </si>
  <si>
    <t>RONI</t>
  </si>
  <si>
    <t>MELKI SEDEK</t>
  </si>
  <si>
    <t>AMMANG</t>
  </si>
  <si>
    <t>ABD HAMID</t>
  </si>
  <si>
    <t>DIRGA</t>
  </si>
  <si>
    <t>SYAIFUL MARDIN</t>
  </si>
  <si>
    <t>SUPRIANSYAH</t>
  </si>
  <si>
    <t>ABD RAHMAN</t>
  </si>
  <si>
    <t>LUKAS ALFIAN</t>
  </si>
  <si>
    <t>MIMEIN BUSTAMIN</t>
  </si>
  <si>
    <t xml:space="preserve">HARIANTO </t>
  </si>
  <si>
    <t>AGUS LEO SABIR</t>
  </si>
  <si>
    <t>HENRIK</t>
  </si>
  <si>
    <t>SAIFUL MARDI</t>
  </si>
  <si>
    <t>DARWIS</t>
  </si>
  <si>
    <t>001188</t>
  </si>
  <si>
    <t>001196</t>
  </si>
  <si>
    <t>001197</t>
  </si>
  <si>
    <t>001189</t>
  </si>
  <si>
    <t>001191</t>
  </si>
  <si>
    <t>001190</t>
  </si>
  <si>
    <t>001183</t>
  </si>
  <si>
    <t>001184</t>
  </si>
  <si>
    <t>001185</t>
  </si>
  <si>
    <t>001186</t>
  </si>
  <si>
    <t>001187</t>
  </si>
  <si>
    <t>001198</t>
  </si>
  <si>
    <t>001192</t>
  </si>
  <si>
    <t>001193</t>
  </si>
  <si>
    <t>001194</t>
  </si>
  <si>
    <t>001195</t>
  </si>
  <si>
    <t>001199</t>
  </si>
  <si>
    <t>001203</t>
  </si>
  <si>
    <t>001200</t>
  </si>
  <si>
    <t>001201</t>
  </si>
  <si>
    <t>001202</t>
  </si>
  <si>
    <t>001204</t>
  </si>
  <si>
    <t>001209</t>
  </si>
  <si>
    <t>001210</t>
  </si>
  <si>
    <t>001212</t>
  </si>
  <si>
    <t>001211</t>
  </si>
  <si>
    <t>001205</t>
  </si>
  <si>
    <t>001206</t>
  </si>
  <si>
    <t>001207</t>
  </si>
  <si>
    <t>001208</t>
  </si>
  <si>
    <t>001213</t>
  </si>
  <si>
    <t>001216</t>
  </si>
  <si>
    <t>001214</t>
  </si>
  <si>
    <t>001215</t>
  </si>
  <si>
    <t>001217</t>
  </si>
  <si>
    <t>001218</t>
  </si>
  <si>
    <t>001224</t>
  </si>
  <si>
    <t>001223</t>
  </si>
  <si>
    <t>001222</t>
  </si>
  <si>
    <t>001221</t>
  </si>
  <si>
    <t>001220</t>
  </si>
  <si>
    <t>001219</t>
  </si>
  <si>
    <t>DN 8609 VG</t>
  </si>
  <si>
    <t xml:space="preserve">DD 8574 YE </t>
  </si>
  <si>
    <t>DN 8691 UA</t>
  </si>
  <si>
    <t>DD 8083 UC</t>
  </si>
  <si>
    <t>DP 8519 GJ</t>
  </si>
  <si>
    <t>TIKO KARNO</t>
  </si>
  <si>
    <t>RIZAL AR RAHIM</t>
  </si>
  <si>
    <t>TINO KARNO</t>
  </si>
  <si>
    <t>RISWANDI</t>
  </si>
  <si>
    <t>ANDI REVALDI</t>
  </si>
  <si>
    <t>MAKASSAR</t>
  </si>
  <si>
    <t>PALU</t>
  </si>
  <si>
    <t>PALOPO</t>
  </si>
  <si>
    <t>MOROWALI</t>
  </si>
  <si>
    <t>TOROBULU</t>
  </si>
  <si>
    <t xml:space="preserve">DN 8492 CU </t>
  </si>
  <si>
    <t xml:space="preserve">DP 8031 GP </t>
  </si>
  <si>
    <t>PT. JAS MULIA / 13 / 500</t>
  </si>
  <si>
    <t>013/CPO/JM-WINS/V/2026</t>
  </si>
  <si>
    <t>Row Labels</t>
  </si>
  <si>
    <t>(blank)</t>
  </si>
  <si>
    <t>Grand Total</t>
  </si>
  <si>
    <t>001230</t>
  </si>
  <si>
    <t>001231</t>
  </si>
  <si>
    <t>001241</t>
  </si>
  <si>
    <t>001242</t>
  </si>
  <si>
    <t>001225</t>
  </si>
  <si>
    <t>001226</t>
  </si>
  <si>
    <t>001228</t>
  </si>
  <si>
    <t>001229</t>
  </si>
  <si>
    <t>001236</t>
  </si>
  <si>
    <t>001227</t>
  </si>
  <si>
    <t>001232</t>
  </si>
  <si>
    <t>001235</t>
  </si>
  <si>
    <t>001237</t>
  </si>
  <si>
    <t>001238</t>
  </si>
  <si>
    <t>001239</t>
  </si>
  <si>
    <t>001240</t>
  </si>
  <si>
    <t>001233</t>
  </si>
  <si>
    <t>001234</t>
  </si>
  <si>
    <t>001243</t>
  </si>
  <si>
    <t>001244</t>
  </si>
  <si>
    <t>H 8291 OE</t>
  </si>
  <si>
    <t>BASRI</t>
  </si>
  <si>
    <t>JURIADI</t>
  </si>
  <si>
    <t>MUHAMMAD EMIN</t>
  </si>
  <si>
    <t>DP 8063 DB</t>
  </si>
  <si>
    <t xml:space="preserve">DP 8147 XY </t>
  </si>
  <si>
    <t>PT KMP-1 500</t>
  </si>
  <si>
    <t>PT MIS - 1- 500</t>
  </si>
  <si>
    <t>SPK JM-WINS NO.001/XI/2025</t>
  </si>
  <si>
    <t>PT JAS MULIA -1-500</t>
  </si>
  <si>
    <t>BM 8316 QO</t>
  </si>
  <si>
    <t>2063/R2/HO-PALM/CPO-L/XI/2025</t>
  </si>
  <si>
    <t>PT. PN-1-100</t>
  </si>
  <si>
    <t>PT KMP-2-500</t>
  </si>
  <si>
    <t>B 1918 XX</t>
  </si>
  <si>
    <t>2128/R2/HO-PALM/CPO-L/XI/2025</t>
  </si>
  <si>
    <t>PT PN-2-100</t>
  </si>
  <si>
    <t>PT KMP-3-500</t>
  </si>
  <si>
    <t>PT JAS MULIA-2-500</t>
  </si>
  <si>
    <t>242/KPBN/TRD/CPO-L/WINS/XI/2025</t>
  </si>
  <si>
    <t>PT PN-3-100</t>
  </si>
  <si>
    <t>PT MIS</t>
  </si>
  <si>
    <t>PT MIS - 2 - 500</t>
  </si>
  <si>
    <t>PT. JAS MULIA - 3 - 500</t>
  </si>
  <si>
    <t>PT PN - 4- 500</t>
  </si>
  <si>
    <t>PT JM - 4- 500</t>
  </si>
  <si>
    <t>PT KMP - 4 - 500</t>
  </si>
  <si>
    <t>PT. JAS MULIA - 4 - 500</t>
  </si>
  <si>
    <t>PT PN - 4 - 500</t>
  </si>
  <si>
    <t>PT MIS - 2 - 600</t>
  </si>
  <si>
    <t>PT MIS - 3 - 500</t>
  </si>
  <si>
    <t>PT MIS - 3 - 600</t>
  </si>
  <si>
    <t>004/JM-WINS/XII/2025</t>
  </si>
  <si>
    <t>17-12-25</t>
  </si>
  <si>
    <t>18-12-25</t>
  </si>
  <si>
    <t>PT KMP - 5 - 200</t>
  </si>
  <si>
    <t>19-12-25</t>
  </si>
  <si>
    <t>PT KMP</t>
  </si>
  <si>
    <t>20-12-25</t>
  </si>
  <si>
    <t>005/JM-WINS/XII/2025</t>
  </si>
  <si>
    <t>PT. JAS MULIA - 5 - 500</t>
  </si>
  <si>
    <t>22-12-25</t>
  </si>
  <si>
    <t>23-12-25</t>
  </si>
  <si>
    <t>PT. JAS MULIA - 6 - 500</t>
  </si>
  <si>
    <t>27-12-25</t>
  </si>
  <si>
    <t>29-12-25</t>
  </si>
  <si>
    <t>30-12-25</t>
  </si>
  <si>
    <t>PT. JAS MULIA - 7 - 500</t>
  </si>
  <si>
    <t>13-01-26</t>
  </si>
  <si>
    <t>14-01-26</t>
  </si>
  <si>
    <t>15-01-26</t>
  </si>
  <si>
    <t>PT.KMP - 6 - 750</t>
  </si>
  <si>
    <t>17-01-26</t>
  </si>
  <si>
    <t>19-01-26</t>
  </si>
  <si>
    <t>20-01-26</t>
  </si>
  <si>
    <t>21-01-26</t>
  </si>
  <si>
    <t>22-01-26</t>
  </si>
  <si>
    <t>008/JM-WINS/I/2026</t>
  </si>
  <si>
    <t>PT. JAS MULIA -8- 500</t>
  </si>
  <si>
    <t>28-01-26</t>
  </si>
  <si>
    <t>29-01-26</t>
  </si>
  <si>
    <t>PT. MIS - 4 - 500</t>
  </si>
  <si>
    <t>30-01-26</t>
  </si>
  <si>
    <t>31-01-26</t>
  </si>
  <si>
    <t>KMP02012026</t>
  </si>
  <si>
    <t>PT. KMP - 7 - 500</t>
  </si>
  <si>
    <t>PT. MIS - 5 - 500</t>
  </si>
  <si>
    <t>PT. KMP - 8 - 500</t>
  </si>
  <si>
    <t>PT.PN - 5-1.000</t>
  </si>
  <si>
    <t>13-02-26</t>
  </si>
  <si>
    <t>14-02-26</t>
  </si>
  <si>
    <t>PT. JAS MULIA-9-500</t>
  </si>
  <si>
    <t>16-02-26</t>
  </si>
  <si>
    <t>18-02-26</t>
  </si>
  <si>
    <t>19-02-26</t>
  </si>
  <si>
    <t>20-02-26</t>
  </si>
  <si>
    <t>21-02-26</t>
  </si>
  <si>
    <t>23-02-26</t>
  </si>
  <si>
    <t>24-02-26</t>
  </si>
  <si>
    <t>25-02-26</t>
  </si>
  <si>
    <t>26-02-26</t>
  </si>
  <si>
    <t>27-02-26</t>
  </si>
  <si>
    <t>28-02-26</t>
  </si>
  <si>
    <t>PT. JAS MULIA-10-500</t>
  </si>
  <si>
    <t>30-03-26</t>
  </si>
  <si>
    <t>31-03-26</t>
  </si>
  <si>
    <t>PT. JAS MULIA-11-500</t>
  </si>
  <si>
    <t>DP9859 GA</t>
  </si>
  <si>
    <t xml:space="preserve">DN 8916 EB </t>
  </si>
  <si>
    <t xml:space="preserve">DP 8781 GZ </t>
  </si>
  <si>
    <t xml:space="preserve">DP 8976 HE </t>
  </si>
  <si>
    <t>PT. JAS MULIA-12-500</t>
  </si>
  <si>
    <t>28-04-26</t>
  </si>
  <si>
    <t>29-04-26</t>
  </si>
  <si>
    <t>30-04-26</t>
  </si>
  <si>
    <t>PT. JAS MULIA-13-500</t>
  </si>
  <si>
    <t>18-05-26</t>
  </si>
  <si>
    <t>RINGKASAN</t>
  </si>
  <si>
    <t>Metrik</t>
  </si>
  <si>
    <t>Per Field</t>
  </si>
  <si>
    <t>Berbeda</t>
  </si>
  <si>
    <t>Total Baris di Tes</t>
  </si>
  <si>
    <t>Total Baris CPO di Database</t>
  </si>
  <si>
    <t>Total Pasangan Matched</t>
  </si>
  <si>
    <t>✅ Semua Field Cocok</t>
  </si>
  <si>
    <t>❌ Ada Perbedaan</t>
  </si>
  <si>
    <t>Data Orphan (tidak ditemukan)</t>
  </si>
  <si>
    <t>Berat Masuk</t>
  </si>
  <si>
    <t>Berat Keluar</t>
  </si>
  <si>
    <t>Berat Netto WINS</t>
  </si>
  <si>
    <t>Berat Netto Relasi</t>
  </si>
  <si>
    <t>Jam Masuk</t>
  </si>
  <si>
    <t>Jam Keluar</t>
  </si>
  <si>
    <t>Metode Matching:</t>
  </si>
  <si>
    <t>Fase 1: No Seri + No Kontrak = 439</t>
  </si>
  <si>
    <t>Fase 2: No Seri + Tanggal = 143</t>
  </si>
  <si>
    <t>Fase 3: No Seri saja = 359</t>
  </si>
  <si>
    <t>DETAIL PERBANDINGAN</t>
  </si>
  <si>
    <t>NO POLISI</t>
  </si>
  <si>
    <t>NO KONTRAK</t>
  </si>
  <si>
    <t>RELASI / DO</t>
  </si>
  <si>
    <t>TANGGAL</t>
  </si>
  <si>
    <t>BERAT MASUK</t>
  </si>
  <si>
    <t>BERAT KELUAR</t>
  </si>
  <si>
    <t>NETTO PT WINS</t>
  </si>
  <si>
    <t>NETTO RELASI</t>
  </si>
  <si>
    <t>JAM MASUK</t>
  </si>
  <si>
    <t>JAM KELUAR</t>
  </si>
  <si>
    <t>PENIMBANG</t>
  </si>
  <si>
    <t>INFO TAMBAHAN DATABASE</t>
  </si>
  <si>
    <t>No</t>
  </si>
  <si>
    <t>No Seri</t>
  </si>
  <si>
    <t>Metode Match</t>
  </si>
  <si>
    <t>Tes</t>
  </si>
  <si>
    <t>Database</t>
  </si>
  <si>
    <t>Cek</t>
  </si>
  <si>
    <t>Tes (Relasi/DO)</t>
  </si>
  <si>
    <t>DB (DO)</t>
  </si>
  <si>
    <t>DB (Relasi)</t>
  </si>
  <si>
    <t>Seri+Kontrak</t>
  </si>
  <si>
    <t>✅ Semua Cocok</t>
  </si>
  <si>
    <t>✅</t>
  </si>
  <si>
    <t>CPO000003MIS</t>
  </si>
  <si>
    <t>CPO000004MIS</t>
  </si>
  <si>
    <t>CPO000005MIS</t>
  </si>
  <si>
    <t>Seri+Tanggal</t>
  </si>
  <si>
    <t>❌</t>
  </si>
  <si>
    <t>CPO000006JAS</t>
  </si>
  <si>
    <t>CPO000007JAS</t>
  </si>
  <si>
    <t>CPO000008JAS</t>
  </si>
  <si>
    <t>CPO000009JAS</t>
  </si>
  <si>
    <t>CPO000010JAS</t>
  </si>
  <si>
    <t>CPO000011JAS</t>
  </si>
  <si>
    <t>CPO000012JAS</t>
  </si>
  <si>
    <t>CPO000013JAS</t>
  </si>
  <si>
    <t>CPO000014JAS</t>
  </si>
  <si>
    <t>CPO000015JAS</t>
  </si>
  <si>
    <t>CPO000016JAS</t>
  </si>
  <si>
    <t>CPO000017JAS</t>
  </si>
  <si>
    <t>CPO000018KMP</t>
  </si>
  <si>
    <t>CPO000018JAS</t>
  </si>
  <si>
    <t>CPO000019KMP</t>
  </si>
  <si>
    <t>CPO000019JAS</t>
  </si>
  <si>
    <t>CPO000020KMP</t>
  </si>
  <si>
    <t>CPO000020JAS</t>
  </si>
  <si>
    <t>CPO000021KMP</t>
  </si>
  <si>
    <t>CPO000021JAS</t>
  </si>
  <si>
    <t>CPO000022KMP</t>
  </si>
  <si>
    <t>CPO000022JAS</t>
  </si>
  <si>
    <t>CPO000023KMP</t>
  </si>
  <si>
    <t>CPO000023JAS</t>
  </si>
  <si>
    <t>CPO000024KMP</t>
  </si>
  <si>
    <t>CPO000024JAS</t>
  </si>
  <si>
    <t>CPO000025KMP</t>
  </si>
  <si>
    <t>CPO000025JAS</t>
  </si>
  <si>
    <t>CPO000026KMP</t>
  </si>
  <si>
    <t>CPO000026JAS</t>
  </si>
  <si>
    <t>CPO000027KMP</t>
  </si>
  <si>
    <t>CPO000027JAS</t>
  </si>
  <si>
    <t>CPO000028KMP</t>
  </si>
  <si>
    <t>CPO000028JAS</t>
  </si>
  <si>
    <t>CPO000029KMP</t>
  </si>
  <si>
    <t>CPO000029JAS</t>
  </si>
  <si>
    <t>CPO000030KMP</t>
  </si>
  <si>
    <t>CPO000030PN</t>
  </si>
  <si>
    <t>CPO000031KMP</t>
  </si>
  <si>
    <t>CPO000032KMP</t>
  </si>
  <si>
    <t>CPO000032PN</t>
  </si>
  <si>
    <t>CPO000033KMP</t>
  </si>
  <si>
    <t>CPO000034KMP</t>
  </si>
  <si>
    <t>CPO000034PN</t>
  </si>
  <si>
    <t>CPO000035KMP</t>
  </si>
  <si>
    <t>CPO000036KMP</t>
  </si>
  <si>
    <t>CPO000036PN</t>
  </si>
  <si>
    <t>CPO000037KMP</t>
  </si>
  <si>
    <t>CPO000038KMP</t>
  </si>
  <si>
    <t>CPO000039KMP</t>
  </si>
  <si>
    <t>CPO000039MIS</t>
  </si>
  <si>
    <t>CPO000040KMP</t>
  </si>
  <si>
    <t>CPO000040MIS</t>
  </si>
  <si>
    <t>CPO000041MIS</t>
  </si>
  <si>
    <t>CPO000042MIS</t>
  </si>
  <si>
    <t>CPO000043MIS</t>
  </si>
  <si>
    <t>CPO000044MIS</t>
  </si>
  <si>
    <t>CPO000045MIS</t>
  </si>
  <si>
    <t>CPO000046MIS</t>
  </si>
  <si>
    <t>CPO000047MIS</t>
  </si>
  <si>
    <t>Seri saja</t>
  </si>
  <si>
    <t>CPO000047KMP</t>
  </si>
  <si>
    <t>CPO000048MIS</t>
  </si>
  <si>
    <t>CPO000048KMP</t>
  </si>
  <si>
    <t>CPO000049MIS</t>
  </si>
  <si>
    <t>CPO000049KMP</t>
  </si>
  <si>
    <t>CPO000050MIS</t>
  </si>
  <si>
    <t>CPO000050KMP</t>
  </si>
  <si>
    <t>CPO000051MIS</t>
  </si>
  <si>
    <t>CPO000051KMP</t>
  </si>
  <si>
    <t>CPO000052MIS</t>
  </si>
  <si>
    <t>CPO000052KMP</t>
  </si>
  <si>
    <t>CPO000053MIS</t>
  </si>
  <si>
    <t>CPO000054MIS</t>
  </si>
  <si>
    <t>CPO000054PN</t>
  </si>
  <si>
    <t>CPO000055MIS</t>
  </si>
  <si>
    <t>CPO000056MIS</t>
  </si>
  <si>
    <t>CPO000057MIS</t>
  </si>
  <si>
    <t>CPO000058MIS</t>
  </si>
  <si>
    <t>CPO000058PN</t>
  </si>
  <si>
    <t>CPO000059MIS</t>
  </si>
  <si>
    <t>CPO000059PN</t>
  </si>
  <si>
    <t>CPO000060MIS</t>
  </si>
  <si>
    <t>CPO000061MIS</t>
  </si>
  <si>
    <t>CPO000062MIS</t>
  </si>
  <si>
    <t>CPO000063MIS</t>
  </si>
  <si>
    <t>CPO000064MIS</t>
  </si>
  <si>
    <t>CPO000065MIS</t>
  </si>
  <si>
    <t>CPO000066MIS</t>
  </si>
  <si>
    <t>CPO000066PN</t>
  </si>
  <si>
    <t>CPO000067MIS</t>
  </si>
  <si>
    <t>CPO000067PN</t>
  </si>
  <si>
    <t>CPO000068MIS</t>
  </si>
  <si>
    <t>CPO000068PN</t>
  </si>
  <si>
    <t>CPO000069MIS</t>
  </si>
  <si>
    <t>CPO000070MIS</t>
  </si>
  <si>
    <t>CPO000071MIS</t>
  </si>
  <si>
    <t>CPO000072MIS</t>
  </si>
  <si>
    <t>CPO000073MIS</t>
  </si>
  <si>
    <t>CPO000074MIS</t>
  </si>
  <si>
    <t>CPO000075MIS</t>
  </si>
  <si>
    <t>CPO000076MIS</t>
  </si>
  <si>
    <t>CPO000077MIS</t>
  </si>
  <si>
    <t>CPO000078MIS</t>
  </si>
  <si>
    <t>CPO000079MIS</t>
  </si>
  <si>
    <t>CPO000080MIS</t>
  </si>
  <si>
    <t>CPO000081MIS</t>
  </si>
  <si>
    <t>CPO000082MIS</t>
  </si>
  <si>
    <t>CPO000083MIS</t>
  </si>
  <si>
    <t>CPO000083KMP</t>
  </si>
  <si>
    <t>CPO000084MIS</t>
  </si>
  <si>
    <t>CPO000084JAS</t>
  </si>
  <si>
    <t>CPO000085MIS</t>
  </si>
  <si>
    <t>CPO000085JAS</t>
  </si>
  <si>
    <t>CPO000086MIS</t>
  </si>
  <si>
    <t>CPO000086JAS</t>
  </si>
  <si>
    <t>CPO000087MIS</t>
  </si>
  <si>
    <t>CPO000087PN</t>
  </si>
  <si>
    <t>CPO000088MIS</t>
  </si>
  <si>
    <t>CPO000088PN</t>
  </si>
  <si>
    <t>CPO000089MIS</t>
  </si>
  <si>
    <t>CPO000089PN</t>
  </si>
  <si>
    <t>CPO000090PN</t>
  </si>
  <si>
    <t>CPO000091PN</t>
  </si>
  <si>
    <t>CPO000092PN</t>
  </si>
  <si>
    <t>CPO000094PN</t>
  </si>
  <si>
    <t>CPO000095PN</t>
  </si>
  <si>
    <t>CPO000096PN</t>
  </si>
  <si>
    <t>CPO000096JAS</t>
  </si>
  <si>
    <t>CPO000097PN</t>
  </si>
  <si>
    <t>CPO000098KMP</t>
  </si>
  <si>
    <t>CPO000098JAS</t>
  </si>
  <si>
    <t>CPO000099KMP</t>
  </si>
  <si>
    <t>CPO000099JAS</t>
  </si>
  <si>
    <t>CPO000100KMP</t>
  </si>
  <si>
    <t>CPO000100JAS</t>
  </si>
  <si>
    <t>CPO000101KMP</t>
  </si>
  <si>
    <t>CPO000101JAS</t>
  </si>
  <si>
    <t>CPO000102KMP</t>
  </si>
  <si>
    <t>CPO000102JAS</t>
  </si>
  <si>
    <t>CPO000103KMP</t>
  </si>
  <si>
    <t>CPO000103JAS</t>
  </si>
  <si>
    <t>CPO000104KMP</t>
  </si>
  <si>
    <t>CPO000104JAS</t>
  </si>
  <si>
    <t>CPO000105KMP</t>
  </si>
  <si>
    <t>CPO000105JAS</t>
  </si>
  <si>
    <t>CPO000106KMP</t>
  </si>
  <si>
    <t>CPO000106JAS</t>
  </si>
  <si>
    <t>CPO000107KMP</t>
  </si>
  <si>
    <t>CPO000107JAS</t>
  </si>
  <si>
    <t>CPO000108KMP</t>
  </si>
  <si>
    <t>CPO000108JAS</t>
  </si>
  <si>
    <t>CPO000109KMP</t>
  </si>
  <si>
    <t>CPO000109JAS</t>
  </si>
  <si>
    <t>CPO000110KMP</t>
  </si>
  <si>
    <t>CPO000110JAS</t>
  </si>
  <si>
    <t>CPO000111KMP</t>
  </si>
  <si>
    <t>CPO000111JAS</t>
  </si>
  <si>
    <t>CPO000112KMP</t>
  </si>
  <si>
    <t>CPO000112JAS</t>
  </si>
  <si>
    <t>CPO000113KMP</t>
  </si>
  <si>
    <t>CPO000113JAS</t>
  </si>
  <si>
    <t>CPO000114KMP</t>
  </si>
  <si>
    <t>CPO000114JAS</t>
  </si>
  <si>
    <t>CPO000115KMP</t>
  </si>
  <si>
    <t>CPO000115JAS</t>
  </si>
  <si>
    <t>CPO000116KMP</t>
  </si>
  <si>
    <t>CPO000116JAS</t>
  </si>
  <si>
    <t>CPO000117KMP</t>
  </si>
  <si>
    <t>CPO000117JAS</t>
  </si>
  <si>
    <t>CPO000118KMP</t>
  </si>
  <si>
    <t>CPO000118JAS</t>
  </si>
  <si>
    <t>CPO000119KMP</t>
  </si>
  <si>
    <t>CPO000119JAS</t>
  </si>
  <si>
    <t>CPO000120KMP</t>
  </si>
  <si>
    <t>CPO000120JAS</t>
  </si>
  <si>
    <t>CPO000121KMP</t>
  </si>
  <si>
    <t>CPO000121JAS</t>
  </si>
  <si>
    <t>CPO000122KMP</t>
  </si>
  <si>
    <t>CPO000122JAS</t>
  </si>
  <si>
    <t>CPO000123PN</t>
  </si>
  <si>
    <t>CPO000123JAS</t>
  </si>
  <si>
    <t>CPO000124PN</t>
  </si>
  <si>
    <t>CPO000124JAS</t>
  </si>
  <si>
    <t>CPO000125PN</t>
  </si>
  <si>
    <t>CPO000125JAS</t>
  </si>
  <si>
    <t>CPO000126PN</t>
  </si>
  <si>
    <t>CPO000126JAS</t>
  </si>
  <si>
    <t>CPO000127PN</t>
  </si>
  <si>
    <t>CPO000127JAS</t>
  </si>
  <si>
    <t>CPO000128PN</t>
  </si>
  <si>
    <t>CPO000128JAS</t>
  </si>
  <si>
    <t>CPO000129PN</t>
  </si>
  <si>
    <t>CPO000129JAS</t>
  </si>
  <si>
    <t>CPO000130JAS</t>
  </si>
  <si>
    <t>CPO000131JAS</t>
  </si>
  <si>
    <t>CPO000132KMP</t>
  </si>
  <si>
    <t>CPO000132JAS</t>
  </si>
  <si>
    <t>CPO000133KMP</t>
  </si>
  <si>
    <t>CPO000133JAS</t>
  </si>
  <si>
    <t>CPO000134JAS</t>
  </si>
  <si>
    <t>CPO000135KMP</t>
  </si>
  <si>
    <t>CPO000135JAS</t>
  </si>
  <si>
    <t>CPO000136JAS</t>
  </si>
  <si>
    <t>CPO000137JAS</t>
  </si>
  <si>
    <t>CPO000138KMP</t>
  </si>
  <si>
    <t>CPO000138JAS</t>
  </si>
  <si>
    <t>CPO000139JAS</t>
  </si>
  <si>
    <t>CPO000140KMP</t>
  </si>
  <si>
    <t>CPO000140JAS</t>
  </si>
  <si>
    <t>CPO000141JAS</t>
  </si>
  <si>
    <t>CPO000142JAS</t>
  </si>
  <si>
    <t>CPO000143JAS</t>
  </si>
  <si>
    <t>CPO000144KMP</t>
  </si>
  <si>
    <t>CPO000144JAS</t>
  </si>
  <si>
    <t>CPO000145KMP</t>
  </si>
  <si>
    <t>CPO000145JAS</t>
  </si>
  <si>
    <t>CPO000146PN</t>
  </si>
  <si>
    <t>CPO000146JAS</t>
  </si>
  <si>
    <t>CPO000147PN</t>
  </si>
  <si>
    <t>CPO000147JAS</t>
  </si>
  <si>
    <t>CPO000148PN</t>
  </si>
  <si>
    <t>CPO000148JAS</t>
  </si>
  <si>
    <t>CPO000149JAS</t>
  </si>
  <si>
    <t>CPO000150JAS</t>
  </si>
  <si>
    <t>CPO000151KMP</t>
  </si>
  <si>
    <t>CPO000151JAS</t>
  </si>
  <si>
    <t>CPO000152JAS</t>
  </si>
  <si>
    <t>CPO000153KMP</t>
  </si>
  <si>
    <t>CPO000153JAS</t>
  </si>
  <si>
    <t>CPO000154JAS</t>
  </si>
  <si>
    <t>CPO000155KMP</t>
  </si>
  <si>
    <t>CPO000155JAS</t>
  </si>
  <si>
    <t>CPO000156JAS</t>
  </si>
  <si>
    <t>CPO000157KMP</t>
  </si>
  <si>
    <t>CPO000157JAS</t>
  </si>
  <si>
    <t>CPO000158JAS</t>
  </si>
  <si>
    <t>CPO000159JAS</t>
  </si>
  <si>
    <t>CPO000160KMP</t>
  </si>
  <si>
    <t>CPO000161KMP</t>
  </si>
  <si>
    <t>CPO000162JAS</t>
  </si>
  <si>
    <t>CPO000163JAS</t>
  </si>
  <si>
    <t>CPO000164KMP</t>
  </si>
  <si>
    <t>CPO000164JAS</t>
  </si>
  <si>
    <t>CPO000165JAS</t>
  </si>
  <si>
    <t>CPO000166JAS</t>
  </si>
  <si>
    <t>CPO000167JAS</t>
  </si>
  <si>
    <t>CPO000168JAS</t>
  </si>
  <si>
    <t>CPO000169JAS</t>
  </si>
  <si>
    <t>CPO000170JAS</t>
  </si>
  <si>
    <t>CPO000171JAS</t>
  </si>
  <si>
    <t>CPO000172JAS</t>
  </si>
  <si>
    <t>CPO000173JAS</t>
  </si>
  <si>
    <t>CPO000174JAS</t>
  </si>
  <si>
    <t>CPO000175JAS</t>
  </si>
  <si>
    <t>CPO000176JAS</t>
  </si>
  <si>
    <t>CPO000177JAS</t>
  </si>
  <si>
    <t>CPO000178MIS</t>
  </si>
  <si>
    <t>CPO000178JAS</t>
  </si>
  <si>
    <t>CPO000179MIS</t>
  </si>
  <si>
    <t>CPO000179JAS</t>
  </si>
  <si>
    <t>CPO000180MIS</t>
  </si>
  <si>
    <t>CPO000180JAS</t>
  </si>
  <si>
    <t>CPO000181MIS</t>
  </si>
  <si>
    <t>CPO000181JAS</t>
  </si>
  <si>
    <t>CPO000182MIS</t>
  </si>
  <si>
    <t>CPO000182JAS</t>
  </si>
  <si>
    <t>CPO000183MIS</t>
  </si>
  <si>
    <t>CPO000183JAS</t>
  </si>
  <si>
    <t>CPO000184MIS</t>
  </si>
  <si>
    <t>CPO000184JAS</t>
  </si>
  <si>
    <t>CPO000185MIS</t>
  </si>
  <si>
    <t>CPO000185JAS</t>
  </si>
  <si>
    <t>CPO000186MIS</t>
  </si>
  <si>
    <t>CPO000186JAS</t>
  </si>
  <si>
    <t>CPO000187MIS</t>
  </si>
  <si>
    <t>CPO000187JAS</t>
  </si>
  <si>
    <t>CPO000188MIS</t>
  </si>
  <si>
    <t>CPO000188JAS</t>
  </si>
  <si>
    <t>CPO000189MIS</t>
  </si>
  <si>
    <t>CPO000189JAS</t>
  </si>
  <si>
    <t>CPO000190MIS</t>
  </si>
  <si>
    <t>CPO000190JAS</t>
  </si>
  <si>
    <t>CPO000191MIS</t>
  </si>
  <si>
    <t>CPO000191JAS</t>
  </si>
  <si>
    <t>CPO000192MIS</t>
  </si>
  <si>
    <t>CPO000192JAS</t>
  </si>
  <si>
    <t>CPO000193MIS</t>
  </si>
  <si>
    <t>CPO000193JAS</t>
  </si>
  <si>
    <t>CPO000194MIS</t>
  </si>
  <si>
    <t>CPO000194JAS</t>
  </si>
  <si>
    <t>CPO000195MIS</t>
  </si>
  <si>
    <t>CPO000195JAS</t>
  </si>
  <si>
    <t>CPO000196MIS</t>
  </si>
  <si>
    <t>CPO000196JAS</t>
  </si>
  <si>
    <t>CPO000197JAS</t>
  </si>
  <si>
    <t>CPO000198JAS</t>
  </si>
  <si>
    <t>CPO000199JAS</t>
  </si>
  <si>
    <t>CPO000200MIS</t>
  </si>
  <si>
    <t>CPO000200JAS</t>
  </si>
  <si>
    <t>CPO000201MIS</t>
  </si>
  <si>
    <t>CPO000201JAS</t>
  </si>
  <si>
    <t>CPO000202MIS</t>
  </si>
  <si>
    <t>CPO000202JAS</t>
  </si>
  <si>
    <t>CPO000203JAS</t>
  </si>
  <si>
    <t>CPO000204JAS</t>
  </si>
  <si>
    <t>CPO000205MIS</t>
  </si>
  <si>
    <t>CPO000205JAS</t>
  </si>
  <si>
    <t>CPO000206MIS</t>
  </si>
  <si>
    <t>CPO000206JAS</t>
  </si>
  <si>
    <t>CPO000207MIS</t>
  </si>
  <si>
    <t>CPO000207JAS</t>
  </si>
  <si>
    <t>CPO000208JAS</t>
  </si>
  <si>
    <t>CPO000209JAS</t>
  </si>
  <si>
    <t>CPO000210JAS</t>
  </si>
  <si>
    <t>CPO000211JAS</t>
  </si>
  <si>
    <t>CPO000212JAS</t>
  </si>
  <si>
    <t>CPO000213MIS</t>
  </si>
  <si>
    <t>CPO000213JAS</t>
  </si>
  <si>
    <t>CPO000214JAS</t>
  </si>
  <si>
    <t>CPO000215JAS</t>
  </si>
  <si>
    <t>CPO000216JAS</t>
  </si>
  <si>
    <t>CPO000217JAS</t>
  </si>
  <si>
    <t>CPO000218JAS</t>
  </si>
  <si>
    <t>CPO000219MIS</t>
  </si>
  <si>
    <t>CPO000219JAS</t>
  </si>
  <si>
    <t>CPO000220MIS</t>
  </si>
  <si>
    <t>CPO000220JAS</t>
  </si>
  <si>
    <t>CPO000221MIS</t>
  </si>
  <si>
    <t>CPO000221JAS</t>
  </si>
  <si>
    <t>CPO000222MIS</t>
  </si>
  <si>
    <t>CPO000222JAS</t>
  </si>
  <si>
    <t>CPO000223JAS</t>
  </si>
  <si>
    <t>CPO000224JAS</t>
  </si>
  <si>
    <t>CPO000225JAS</t>
  </si>
  <si>
    <t>CPO000226JAS</t>
  </si>
  <si>
    <t>CPO000227JAS</t>
  </si>
  <si>
    <t>CPO000228JAS</t>
  </si>
  <si>
    <t>CPO000229JAS</t>
  </si>
  <si>
    <t>CPO000230MIS</t>
  </si>
  <si>
    <t>CPO000230JAS</t>
  </si>
  <si>
    <t>CPO000231MIS</t>
  </si>
  <si>
    <t>CPO000231JAS</t>
  </si>
  <si>
    <t>CPO000232MIS</t>
  </si>
  <si>
    <t>CPO000232JAS</t>
  </si>
  <si>
    <t>CPO000233MIS</t>
  </si>
  <si>
    <t>CPO000233JAS</t>
  </si>
  <si>
    <t>CPO000234MIS</t>
  </si>
  <si>
    <t>CPO000234JAS</t>
  </si>
  <si>
    <t>CPO000235MIS</t>
  </si>
  <si>
    <t>CPO000236JAS</t>
  </si>
  <si>
    <t>CPO000237JAS</t>
  </si>
  <si>
    <t>CPO000238MIS</t>
  </si>
  <si>
    <t>CPO000238JAS</t>
  </si>
  <si>
    <t>CPO000239MIS</t>
  </si>
  <si>
    <t>CPO000239JAS</t>
  </si>
  <si>
    <t>CPO000240MIS</t>
  </si>
  <si>
    <t>CPO000240JAS</t>
  </si>
  <si>
    <t>CPO000241JAS</t>
  </si>
  <si>
    <t>CPO000242MIS</t>
  </si>
  <si>
    <t>CPO000243MIS</t>
  </si>
  <si>
    <t>CPO000243JAS</t>
  </si>
  <si>
    <t>CPO000244MIS</t>
  </si>
  <si>
    <t>CPO000244JAS</t>
  </si>
  <si>
    <t>CPO000245PN</t>
  </si>
  <si>
    <t>CPO000246PN</t>
  </si>
  <si>
    <t>CPO000247JAS</t>
  </si>
  <si>
    <t>CPO000248JAS</t>
  </si>
  <si>
    <t>CPO000249JAS</t>
  </si>
  <si>
    <t>CPO000250MIS</t>
  </si>
  <si>
    <t>CPO000250JAS</t>
  </si>
  <si>
    <t>CPO000251MIS</t>
  </si>
  <si>
    <t>CPO000252MIS</t>
  </si>
  <si>
    <t>CPO000253KMP</t>
  </si>
  <si>
    <t>CPO000254KMP</t>
  </si>
  <si>
    <t>CPO000255JAS</t>
  </si>
  <si>
    <t>CPO000256JAS</t>
  </si>
  <si>
    <t>CPO000257JAS</t>
  </si>
  <si>
    <t>CPO000258MIS</t>
  </si>
  <si>
    <t>CPO000259KMP</t>
  </si>
  <si>
    <t>CPO000260KMP</t>
  </si>
  <si>
    <t>CPO000261JAS</t>
  </si>
  <si>
    <t>CPO000262JAS</t>
  </si>
  <si>
    <t>CPO000263JAS</t>
  </si>
  <si>
    <t>CPO000264MIS</t>
  </si>
  <si>
    <t>CPO000265MIS</t>
  </si>
  <si>
    <t>CPO000266MIS</t>
  </si>
  <si>
    <t>CPO000268MIS</t>
  </si>
  <si>
    <t>CPO000269MIS</t>
  </si>
  <si>
    <t>CPO000270MIS</t>
  </si>
  <si>
    <t>CPO000271MIS</t>
  </si>
  <si>
    <t>CPO000272JAS</t>
  </si>
  <si>
    <t>CPO000273JAS</t>
  </si>
  <si>
    <t>CPO000274MIS</t>
  </si>
  <si>
    <t>CPO000275JAS</t>
  </si>
  <si>
    <t>CPO000276PN</t>
  </si>
  <si>
    <t>CPO000277JAS</t>
  </si>
  <si>
    <t>CPO000278PN</t>
  </si>
  <si>
    <t>CPO000279PN</t>
  </si>
  <si>
    <t>CPO000280PN</t>
  </si>
  <si>
    <t>CPO000281PN</t>
  </si>
  <si>
    <t>CPO000282PN</t>
  </si>
  <si>
    <t>CPO000283PN</t>
  </si>
  <si>
    <t>CPO000284PN</t>
  </si>
  <si>
    <t>CPO000285MIS</t>
  </si>
  <si>
    <t>CPO000286MIS</t>
  </si>
  <si>
    <t>CPO000287MIS</t>
  </si>
  <si>
    <t>CPO000288MIS</t>
  </si>
  <si>
    <t>CPO000289KMP</t>
  </si>
  <si>
    <t>CPO000290KMP</t>
  </si>
  <si>
    <t>CPO000291JAS</t>
  </si>
  <si>
    <t>CPO000292JAS</t>
  </si>
  <si>
    <t>CPO000293JAS</t>
  </si>
  <si>
    <t>CPO000294KMP</t>
  </si>
  <si>
    <t>CPO000295KMP</t>
  </si>
  <si>
    <t>CPO000296JAS</t>
  </si>
  <si>
    <t>CPO000297JAS</t>
  </si>
  <si>
    <t>CPO000298JAS</t>
  </si>
  <si>
    <t>CPO000299MIS</t>
  </si>
  <si>
    <t>CPO000300MIS</t>
  </si>
  <si>
    <t>CPO000301KMP</t>
  </si>
  <si>
    <t>CPO000302KMP</t>
  </si>
  <si>
    <t>CPO000303JAS</t>
  </si>
  <si>
    <t>CPO000304JAS</t>
  </si>
  <si>
    <t>CPO000305JAS</t>
  </si>
  <si>
    <t>CPO000306KMP</t>
  </si>
  <si>
    <t>CPO000307KMP</t>
  </si>
  <si>
    <t>CPO000308JAS</t>
  </si>
  <si>
    <t>CPO000309JAS</t>
  </si>
  <si>
    <t>CPO000310JAS</t>
  </si>
  <si>
    <t>CPO000311MIS</t>
  </si>
  <si>
    <t>CPO000312MIS</t>
  </si>
  <si>
    <t>CPO000313MIS</t>
  </si>
  <si>
    <t>CPO000314MIS</t>
  </si>
  <si>
    <t>CPO000315JAS</t>
  </si>
  <si>
    <t>CPO000316KMP</t>
  </si>
  <si>
    <t>CPO000317KMP</t>
  </si>
  <si>
    <t>CPO000318JAS</t>
  </si>
  <si>
    <t>CPO000319JAS</t>
  </si>
  <si>
    <t>CPO000320JAS</t>
  </si>
  <si>
    <t>CPO000321KMP</t>
  </si>
  <si>
    <t>CPO000322KMP</t>
  </si>
  <si>
    <t>CPO000323MIS</t>
  </si>
  <si>
    <t>CPO000324MIS</t>
  </si>
  <si>
    <t>CPO000325JAS</t>
  </si>
  <si>
    <t>CPO000326MIS</t>
  </si>
  <si>
    <t>CPO000327MIS</t>
  </si>
  <si>
    <t>CPO000328JAS</t>
  </si>
  <si>
    <t>CPO000329MIS</t>
  </si>
  <si>
    <t>CPO000330MIS</t>
  </si>
  <si>
    <t>CPO000331MIS</t>
  </si>
  <si>
    <t>CPO000332MIS</t>
  </si>
  <si>
    <t>CPO000333MIS</t>
  </si>
  <si>
    <t>CPO000334MIS</t>
  </si>
  <si>
    <t>CPO000335MIS</t>
  </si>
  <si>
    <t>CPO000336MIS</t>
  </si>
  <si>
    <t>CPO000337MIS</t>
  </si>
  <si>
    <t>CPO000338MIS</t>
  </si>
  <si>
    <t>CPO000339MIS</t>
  </si>
  <si>
    <t>CPO000340MIS</t>
  </si>
  <si>
    <t>CPO000341MIS</t>
  </si>
  <si>
    <t>CPO000342KMP</t>
  </si>
  <si>
    <t>CPO000343KMP</t>
  </si>
  <si>
    <t>CPO000344JAS</t>
  </si>
  <si>
    <t>CPO000345JAS</t>
  </si>
  <si>
    <t>CPO000346MIS</t>
  </si>
  <si>
    <t>CPO000347MIS</t>
  </si>
  <si>
    <t>CPO000348MIS</t>
  </si>
  <si>
    <t>CPO000349MIS</t>
  </si>
  <si>
    <t>CPO000350PN</t>
  </si>
  <si>
    <t>CPO000351PN</t>
  </si>
  <si>
    <t>CPO000352PN</t>
  </si>
  <si>
    <t>CPO000353PN</t>
  </si>
  <si>
    <t>CPO000354PN</t>
  </si>
  <si>
    <t>CPO000355MIS</t>
  </si>
  <si>
    <t>CPO000356MIS</t>
  </si>
  <si>
    <t>CPO000357MIS</t>
  </si>
  <si>
    <t>CPO000358MIS</t>
  </si>
  <si>
    <t>CPO000359PN</t>
  </si>
  <si>
    <t>CPO000360PN</t>
  </si>
  <si>
    <t>CPO000361PN</t>
  </si>
  <si>
    <t>CPO000362PN</t>
  </si>
  <si>
    <t>CPO000363PN</t>
  </si>
  <si>
    <t>CPO000364MIS</t>
  </si>
  <si>
    <t>CPO000365MIS</t>
  </si>
  <si>
    <t>CPO000366MIS</t>
  </si>
  <si>
    <t>CPO000367MIS</t>
  </si>
  <si>
    <t>CPO000368MIS</t>
  </si>
  <si>
    <t>CPO000369MIS</t>
  </si>
  <si>
    <t>CPO000370MIS</t>
  </si>
  <si>
    <t>CPO000371MIS</t>
  </si>
  <si>
    <t>CPO000372KMP</t>
  </si>
  <si>
    <t>CPO000373KMP</t>
  </si>
  <si>
    <t>CPO000374KMP</t>
  </si>
  <si>
    <t>CPO000375KMP</t>
  </si>
  <si>
    <t>CPO000376KMP</t>
  </si>
  <si>
    <t>CPO000377PN</t>
  </si>
  <si>
    <t>CPO000378PN</t>
  </si>
  <si>
    <t>CPO000379PN</t>
  </si>
  <si>
    <t>CPO000380PN</t>
  </si>
  <si>
    <t>CPO000381PN</t>
  </si>
  <si>
    <t>CPO000382MIS</t>
  </si>
  <si>
    <t>CPO000383MIS</t>
  </si>
  <si>
    <t>CPO000384MIS</t>
  </si>
  <si>
    <t>CPO000385KMP</t>
  </si>
  <si>
    <t>CPO000386KMP</t>
  </si>
  <si>
    <t>CPO000387KMP</t>
  </si>
  <si>
    <t>CPO000388KMP</t>
  </si>
  <si>
    <t>CPO000389KMP</t>
  </si>
  <si>
    <t>CPO000390JAS</t>
  </si>
  <si>
    <t>CPO000391JAS</t>
  </si>
  <si>
    <t>CPO000392JAS</t>
  </si>
  <si>
    <t>CPO000393JAS</t>
  </si>
  <si>
    <t>CPO000394JAS</t>
  </si>
  <si>
    <t>CPO000395MIS</t>
  </si>
  <si>
    <t>CPO000396MIS</t>
  </si>
  <si>
    <t>CPO000397MIS</t>
  </si>
  <si>
    <t>CPO000398MIS</t>
  </si>
  <si>
    <t>CPO000399MIS</t>
  </si>
  <si>
    <t>CPO000400MIS</t>
  </si>
  <si>
    <t>CPO000401JAS</t>
  </si>
  <si>
    <t>CPO000402JAS</t>
  </si>
  <si>
    <t>CPO000403JAS</t>
  </si>
  <si>
    <t>CPO000404JAS</t>
  </si>
  <si>
    <t>CPO000405MIS</t>
  </si>
  <si>
    <t>CPO000406JAS</t>
  </si>
  <si>
    <t>CPO000407JAS</t>
  </si>
  <si>
    <t>CPO000408JAS</t>
  </si>
  <si>
    <t>CPO000409MIS</t>
  </si>
  <si>
    <t>CPO000410JAS</t>
  </si>
  <si>
    <t>CPO000411JAS</t>
  </si>
  <si>
    <t>CPO000412JAS</t>
  </si>
  <si>
    <t>CPO000413JAS</t>
  </si>
  <si>
    <t>CPO000414JAS</t>
  </si>
  <si>
    <t>CPO000415JAS</t>
  </si>
  <si>
    <t>CPO000416JAS</t>
  </si>
  <si>
    <t>CPO000417JAS</t>
  </si>
  <si>
    <t>CPO000418JAS</t>
  </si>
  <si>
    <t>CPO000419MIS</t>
  </si>
  <si>
    <t>CPO000420MIS</t>
  </si>
  <si>
    <t>CPO000421MIS</t>
  </si>
  <si>
    <t>CPO000422MIS</t>
  </si>
  <si>
    <t>CPO000423MIS</t>
  </si>
  <si>
    <t>CPO000424JAS</t>
  </si>
  <si>
    <t>CPO000425JAS</t>
  </si>
  <si>
    <t>CPO000426JAS</t>
  </si>
  <si>
    <t>CPO000427JAS</t>
  </si>
  <si>
    <t>CPO000428MIS</t>
  </si>
  <si>
    <t>CPO000429MIS</t>
  </si>
  <si>
    <t>CPO000430MIS</t>
  </si>
  <si>
    <t>CPO000432JAS</t>
  </si>
  <si>
    <t>CPO000433JAS</t>
  </si>
  <si>
    <t>CPO000434JAS</t>
  </si>
  <si>
    <t>CPO000435JAS</t>
  </si>
  <si>
    <t>CPO000437JAS</t>
  </si>
  <si>
    <t>CPO000438JAS</t>
  </si>
  <si>
    <t>CPO000439JAS</t>
  </si>
  <si>
    <t>CPO000440JAS</t>
  </si>
  <si>
    <t>CPO000441JAS</t>
  </si>
  <si>
    <t>CPO000442JAS</t>
  </si>
  <si>
    <t>CPO000443JAS</t>
  </si>
  <si>
    <t>CPO000444JAS</t>
  </si>
  <si>
    <t>CPO000445JAS</t>
  </si>
  <si>
    <t>CPO000446JAS</t>
  </si>
  <si>
    <t>CPO000447JAS</t>
  </si>
  <si>
    <t>CPO000449JAS</t>
  </si>
  <si>
    <t>CPO000450JAS</t>
  </si>
  <si>
    <t>CPO000450PN</t>
  </si>
  <si>
    <t>CPO000452JAS</t>
  </si>
  <si>
    <t>CPO000453JAS</t>
  </si>
  <si>
    <t>CPO000454JAS</t>
  </si>
  <si>
    <t>CPO000455JAS</t>
  </si>
  <si>
    <t>CPO000456JAS</t>
  </si>
  <si>
    <t>CPO000457JAS</t>
  </si>
  <si>
    <t>CPO000458JAS</t>
  </si>
  <si>
    <t>CPO000461JAS</t>
  </si>
  <si>
    <t>CPO000462JAS</t>
  </si>
  <si>
    <t>CPO000463JAS</t>
  </si>
  <si>
    <t>CPO000464JAS</t>
  </si>
  <si>
    <t>CPO000465JAS</t>
  </si>
  <si>
    <t>CPO000466JAS</t>
  </si>
  <si>
    <t>CPO000467JAS</t>
  </si>
  <si>
    <t>CPO000468JAS</t>
  </si>
  <si>
    <t>CPO000470JAS</t>
  </si>
  <si>
    <t>CPO000471JAS</t>
  </si>
  <si>
    <t>CPO000472JAS</t>
  </si>
  <si>
    <t>CPO000473JAS</t>
  </si>
  <si>
    <t>CPO000474JAS</t>
  </si>
  <si>
    <t>CPO000475JAS</t>
  </si>
  <si>
    <t>CPO000476JAS</t>
  </si>
  <si>
    <t>CPO000477JAS</t>
  </si>
  <si>
    <t>CPO000478JAS</t>
  </si>
  <si>
    <t>CPO000479JAS</t>
  </si>
  <si>
    <t>CPO000480JAS</t>
  </si>
  <si>
    <t>CPO000481JAS</t>
  </si>
  <si>
    <t>CPO000482JAS</t>
  </si>
  <si>
    <t>CPO000483JAS</t>
  </si>
  <si>
    <t>CPO000484JAS</t>
  </si>
  <si>
    <t>CPO000485JAS</t>
  </si>
  <si>
    <t>CPO000486JAS</t>
  </si>
  <si>
    <t>CPO000487JAS</t>
  </si>
  <si>
    <t>CPO000490KMP</t>
  </si>
  <si>
    <t>CPO000491KMP</t>
  </si>
  <si>
    <t>CPO000492KMP</t>
  </si>
  <si>
    <t>CPO000493KMP</t>
  </si>
  <si>
    <t>CPO000494KMP</t>
  </si>
  <si>
    <t>CPO000495KMP</t>
  </si>
  <si>
    <t>CPO000496KMP</t>
  </si>
  <si>
    <t>CPO000497KMP</t>
  </si>
  <si>
    <t>CPO000498KMP</t>
  </si>
  <si>
    <t>CPO000499KMP</t>
  </si>
  <si>
    <t>CPO000500KMP</t>
  </si>
  <si>
    <t>CPO000501KMP</t>
  </si>
  <si>
    <t>CPO000502KMP</t>
  </si>
  <si>
    <t>CPO000503KMP</t>
  </si>
  <si>
    <t>CPO000504KMP</t>
  </si>
  <si>
    <t>CPO000505KMP</t>
  </si>
  <si>
    <t>CPO000506KMP</t>
  </si>
  <si>
    <t>CPO000507KMP</t>
  </si>
  <si>
    <t>CPO000508KMP</t>
  </si>
  <si>
    <t>CPO000511KMP</t>
  </si>
  <si>
    <t>CPO000512KMP</t>
  </si>
  <si>
    <t>CPO000513KMP</t>
  </si>
  <si>
    <t>CPO000514KMP</t>
  </si>
  <si>
    <t>CPO000515KMP</t>
  </si>
  <si>
    <t>CPO000516KMP</t>
  </si>
  <si>
    <t>CPO000517KMP</t>
  </si>
  <si>
    <t>CPO000518KMP</t>
  </si>
  <si>
    <t>CPO000519KMP</t>
  </si>
  <si>
    <t>CPO000520KMP</t>
  </si>
  <si>
    <t>CPO000521KMP</t>
  </si>
  <si>
    <t>CPO000522KMP</t>
  </si>
  <si>
    <t>CPO000525KMP</t>
  </si>
  <si>
    <t>CPO000526KMP</t>
  </si>
  <si>
    <t>CPO000527KMP</t>
  </si>
  <si>
    <t>CPO000528KMP</t>
  </si>
  <si>
    <t>CPO000529KMP</t>
  </si>
  <si>
    <t>CPO000537JAS</t>
  </si>
  <si>
    <t>CPO000538JAS</t>
  </si>
  <si>
    <t>CPO000539JAS</t>
  </si>
  <si>
    <t>CPO000540JAS</t>
  </si>
  <si>
    <t>CPO000541JAS</t>
  </si>
  <si>
    <t>CPO000542JAS</t>
  </si>
  <si>
    <t>CPO000543JAS</t>
  </si>
  <si>
    <t>CPO000544JAS</t>
  </si>
  <si>
    <t>CPO000545JAS</t>
  </si>
  <si>
    <t>CPO000546MIS</t>
  </si>
  <si>
    <t>CPO000547MIS</t>
  </si>
  <si>
    <t>CPO000548JAS</t>
  </si>
  <si>
    <t>CPO000549JAS</t>
  </si>
  <si>
    <t>CPO000550JAS</t>
  </si>
  <si>
    <t>CPO000551JAS</t>
  </si>
  <si>
    <t>CPO000552JAS</t>
  </si>
  <si>
    <t>CPO000553JAS</t>
  </si>
  <si>
    <t>CPO000554JAS</t>
  </si>
  <si>
    <t>CPO000555JAS</t>
  </si>
  <si>
    <t>CPO000556JAS</t>
  </si>
  <si>
    <t>CPO000557JAS</t>
  </si>
  <si>
    <t>CPO000558MIS</t>
  </si>
  <si>
    <t>CPO000559MIS</t>
  </si>
  <si>
    <t>CPO000560JAS</t>
  </si>
  <si>
    <t>CPO000561JAS</t>
  </si>
  <si>
    <t>CPO000562JAS</t>
  </si>
  <si>
    <t>CPO000563JAS</t>
  </si>
  <si>
    <t>CPO000564JAS</t>
  </si>
  <si>
    <t>CPO000565JAS</t>
  </si>
  <si>
    <t>CPO000566MIS</t>
  </si>
  <si>
    <t>CPO000567MIS</t>
  </si>
  <si>
    <t>CPO000568MIS</t>
  </si>
  <si>
    <t>CPO000570MIS</t>
  </si>
  <si>
    <t>CPO000571MIS</t>
  </si>
  <si>
    <t>CPO000572MIS</t>
  </si>
  <si>
    <t>CPO000573MIS</t>
  </si>
  <si>
    <t>CPO000574MIS</t>
  </si>
  <si>
    <t>CPO000575MIS</t>
  </si>
  <si>
    <t>CPO000576MIS</t>
  </si>
  <si>
    <t>CPO000577MIS</t>
  </si>
  <si>
    <t>CPO000578MIS</t>
  </si>
  <si>
    <t>CPO000579MIS</t>
  </si>
  <si>
    <t>CPO000580MIS</t>
  </si>
  <si>
    <t>CPO000581MIS</t>
  </si>
  <si>
    <t>CPO000582MIS</t>
  </si>
  <si>
    <t>CPO000583MIS</t>
  </si>
  <si>
    <t>CPO000584MIS</t>
  </si>
  <si>
    <t>CPO000585MIS</t>
  </si>
  <si>
    <t>CPO000587MIS</t>
  </si>
  <si>
    <t>CPO000588MIS</t>
  </si>
  <si>
    <t>CPO000589MIS</t>
  </si>
  <si>
    <t>CPO000590MIS</t>
  </si>
  <si>
    <t>CPO000592MIS</t>
  </si>
  <si>
    <t>CPO000593KMP</t>
  </si>
  <si>
    <t>CPO000594KMP</t>
  </si>
  <si>
    <t>CPO000595KMP</t>
  </si>
  <si>
    <t>CPO000596KMP</t>
  </si>
  <si>
    <t>CPO000597MIS</t>
  </si>
  <si>
    <t>CPO000598MIS</t>
  </si>
  <si>
    <t>CPO000599MIS</t>
  </si>
  <si>
    <t>CPO000600MIS</t>
  </si>
  <si>
    <t>CPO000601MIS</t>
  </si>
  <si>
    <t>CPO000602MIS</t>
  </si>
  <si>
    <t>CPO000603MIS</t>
  </si>
  <si>
    <t>CPO000604MIS</t>
  </si>
  <si>
    <t>CPO000605MIS</t>
  </si>
  <si>
    <t>CPO000606MIS</t>
  </si>
  <si>
    <t>CPO000607MIS</t>
  </si>
  <si>
    <t>CPO000608MIS</t>
  </si>
  <si>
    <t>CPO000609MIS</t>
  </si>
  <si>
    <t>CPO000610MIS</t>
  </si>
  <si>
    <t>CPO000611KMP</t>
  </si>
  <si>
    <t>CPO000612KMP</t>
  </si>
  <si>
    <t>CPO000613KMP</t>
  </si>
  <si>
    <t>CPO000614KMP</t>
  </si>
  <si>
    <t>CPO000616KMP</t>
  </si>
  <si>
    <t>CPO000617KMP</t>
  </si>
  <si>
    <t>CPO000618KMP</t>
  </si>
  <si>
    <t>CPO000619KMP</t>
  </si>
  <si>
    <t>CPO000620MIS</t>
  </si>
  <si>
    <t>CPO000621MIS</t>
  </si>
  <si>
    <t>CPO000622KMP</t>
  </si>
  <si>
    <t>CPO000623KMP</t>
  </si>
  <si>
    <t>CPO000624KMP</t>
  </si>
  <si>
    <t>CPO000625KMP</t>
  </si>
  <si>
    <t>CPO000626KMP</t>
  </si>
  <si>
    <t>CPO000627KMP</t>
  </si>
  <si>
    <t>CPO000628KMP</t>
  </si>
  <si>
    <t>CPO000629MIS</t>
  </si>
  <si>
    <t>CPO000630MIS</t>
  </si>
  <si>
    <t>CPO000631MIS</t>
  </si>
  <si>
    <t>CPO000632MIS</t>
  </si>
  <si>
    <t>CPO000633MIS</t>
  </si>
  <si>
    <t>CPO000634MIS</t>
  </si>
  <si>
    <t>CPO000635KMP</t>
  </si>
  <si>
    <t>CPO000636KMP</t>
  </si>
  <si>
    <t>CPO000637KMP</t>
  </si>
  <si>
    <t>CPO000638MIS</t>
  </si>
  <si>
    <t>CPO000639MIS</t>
  </si>
  <si>
    <t>CPO000640MIS</t>
  </si>
  <si>
    <t>CPO000641MIS</t>
  </si>
  <si>
    <t>CPO000642MIS</t>
  </si>
  <si>
    <t>CPO000643MIS</t>
  </si>
  <si>
    <t>CPO000644MIS</t>
  </si>
  <si>
    <t>CPO000645MIS</t>
  </si>
  <si>
    <t>CPO000646MIS</t>
  </si>
  <si>
    <t>CPO000647MIS</t>
  </si>
  <si>
    <t>CPO000648MIS</t>
  </si>
  <si>
    <t>CPO000649KMP</t>
  </si>
  <si>
    <t>CPO000650KMP</t>
  </si>
  <si>
    <t>CPO000651KMP</t>
  </si>
  <si>
    <t>CPO000652MIS</t>
  </si>
  <si>
    <t>CPO000653MIS</t>
  </si>
  <si>
    <t>CPO000654MIS</t>
  </si>
  <si>
    <t>CPO000655MIS</t>
  </si>
  <si>
    <t>CPO000656MIS</t>
  </si>
  <si>
    <t>CPO000657KMP</t>
  </si>
  <si>
    <t>CPO000658KMP</t>
  </si>
  <si>
    <t>CPO000659KMP</t>
  </si>
  <si>
    <t>CPO000660MIS</t>
  </si>
  <si>
    <t>CPO000661MIS</t>
  </si>
  <si>
    <t>CPO000662KMP</t>
  </si>
  <si>
    <t>CPO000663KMP</t>
  </si>
  <si>
    <t>CPO000664KMP</t>
  </si>
  <si>
    <t>CPO000668MIS</t>
  </si>
  <si>
    <t>CPO000669MIS</t>
  </si>
  <si>
    <t>CPO000670MIS</t>
  </si>
  <si>
    <t>CPO000672MIS</t>
  </si>
  <si>
    <t>CPO000673MIS</t>
  </si>
  <si>
    <t>CPO000675PN</t>
  </si>
  <si>
    <t>CPO000676PN</t>
  </si>
  <si>
    <t>CPO000677MIS</t>
  </si>
  <si>
    <t>CPO000678MIS</t>
  </si>
  <si>
    <t>CPO000679MIS</t>
  </si>
  <si>
    <t>CPO000680MIS</t>
  </si>
  <si>
    <t>CPO000681KMP</t>
  </si>
  <si>
    <t>CPO000682MIS</t>
  </si>
  <si>
    <t>CPO000683KMP</t>
  </si>
  <si>
    <t>CPO000684KMP</t>
  </si>
  <si>
    <t>CPO000685MIS</t>
  </si>
  <si>
    <t>CPO000686MIS</t>
  </si>
  <si>
    <t>CPO000687MIS</t>
  </si>
  <si>
    <t>CPO000690JAS</t>
  </si>
  <si>
    <t>CPO000691JAS</t>
  </si>
  <si>
    <t>CPO000692JAS</t>
  </si>
  <si>
    <t>CPO000694JAS</t>
  </si>
  <si>
    <t>CPO000695JAS</t>
  </si>
  <si>
    <t>CPO000696JAS</t>
  </si>
  <si>
    <t>CPO000697JAS</t>
  </si>
  <si>
    <t>CPO000698JAS</t>
  </si>
  <si>
    <t>CPO000699JAS</t>
  </si>
  <si>
    <t>CPO000700JAS</t>
  </si>
  <si>
    <t>CPO000701JAS</t>
  </si>
  <si>
    <t>CPO000702JAS</t>
  </si>
  <si>
    <t>CPO000703JAS</t>
  </si>
  <si>
    <t>CPO000704JAS</t>
  </si>
  <si>
    <t>CPO000705JAS</t>
  </si>
  <si>
    <t>CPO000709KMP</t>
  </si>
  <si>
    <t>CPO000710KMP</t>
  </si>
  <si>
    <t>CPO000711KMP</t>
  </si>
  <si>
    <t>CPO000712PN</t>
  </si>
  <si>
    <t>CPO000713PN</t>
  </si>
  <si>
    <t>CPO000714PN</t>
  </si>
  <si>
    <t>CPO000717JAS</t>
  </si>
  <si>
    <t>CPO000718JAS</t>
  </si>
  <si>
    <t>CPO000719JAS</t>
  </si>
  <si>
    <t>CPO000720JAS</t>
  </si>
  <si>
    <t>CPO000721JAS</t>
  </si>
  <si>
    <t>CPO000722JAS</t>
  </si>
  <si>
    <t>CPO000725PN</t>
  </si>
  <si>
    <t>CPO000726PN</t>
  </si>
  <si>
    <t>CPO000727PN</t>
  </si>
  <si>
    <t>CPO000728PN</t>
  </si>
  <si>
    <t>CPO000729PN</t>
  </si>
  <si>
    <t>CPO000730PN</t>
  </si>
  <si>
    <t>CPO000731JAS</t>
  </si>
  <si>
    <t>CPO000732JAS</t>
  </si>
  <si>
    <t>CPO000733PN</t>
  </si>
  <si>
    <t>CPO000734PN</t>
  </si>
  <si>
    <t>CPO000735PN</t>
  </si>
  <si>
    <t>CPO000736PN</t>
  </si>
  <si>
    <t>CPO000737PN</t>
  </si>
  <si>
    <t>CPO000738PN</t>
  </si>
  <si>
    <t>CPO000739PN</t>
  </si>
  <si>
    <t>CPO000740PN</t>
  </si>
  <si>
    <t>CPO000741PN</t>
  </si>
  <si>
    <t>CPO000742PN</t>
  </si>
  <si>
    <t>CPO000743PN</t>
  </si>
  <si>
    <t>CPO000744PN</t>
  </si>
  <si>
    <t>CPO000745PN</t>
  </si>
  <si>
    <t>CPO000746PN</t>
  </si>
  <si>
    <t>CPO000747PN</t>
  </si>
  <si>
    <t>CPO000748PN</t>
  </si>
  <si>
    <t>CPO000749PN</t>
  </si>
  <si>
    <t>CPO000750PN</t>
  </si>
  <si>
    <t>CPO000752PN</t>
  </si>
  <si>
    <t>CPO000753PN</t>
  </si>
  <si>
    <t>CPO000754PN</t>
  </si>
  <si>
    <t>CPO000755PN</t>
  </si>
  <si>
    <t>CPO000756PN</t>
  </si>
  <si>
    <t>CPO000759PN</t>
  </si>
  <si>
    <t>CPO000760PN</t>
  </si>
  <si>
    <t>CPO000761PN</t>
  </si>
  <si>
    <t>CPO000762PN</t>
  </si>
  <si>
    <t>CPO000769PN</t>
  </si>
  <si>
    <t>CPO000850JAS</t>
  </si>
  <si>
    <t>CPO000851JAS</t>
  </si>
  <si>
    <t>CPO000854JAS</t>
  </si>
  <si>
    <t>CPO000855JAS</t>
  </si>
  <si>
    <t>CPO000856JAS</t>
  </si>
  <si>
    <t>CPO000857JAS</t>
  </si>
  <si>
    <t>CPO000859JAS</t>
  </si>
  <si>
    <t>CPO000860JAS</t>
  </si>
  <si>
    <t>PERBANDINGAN DATA CPO</t>
  </si>
  <si>
    <t>DD 8446 GC</t>
  </si>
  <si>
    <t>DP 8063 BD</t>
  </si>
  <si>
    <t>000451</t>
  </si>
  <si>
    <t>000771</t>
  </si>
  <si>
    <t>000810</t>
  </si>
  <si>
    <t>DD 8681 KG</t>
  </si>
  <si>
    <t>001262</t>
  </si>
  <si>
    <t>001263</t>
  </si>
  <si>
    <t>001264</t>
  </si>
  <si>
    <t>001265</t>
  </si>
  <si>
    <t>DD 8412 SO</t>
  </si>
  <si>
    <t>DD 8521 TS</t>
  </si>
  <si>
    <t>DP 8814 DE</t>
  </si>
  <si>
    <t>L 9155 UW</t>
  </si>
  <si>
    <t>RBDPS</t>
  </si>
  <si>
    <t>PT. BORNEO MITRA SENTOSA</t>
  </si>
  <si>
    <t>001245</t>
  </si>
  <si>
    <t>001247</t>
  </si>
  <si>
    <t>001248</t>
  </si>
  <si>
    <t>001249</t>
  </si>
  <si>
    <t>001246</t>
  </si>
  <si>
    <t>001257</t>
  </si>
  <si>
    <t>001256</t>
  </si>
  <si>
    <t>001255</t>
  </si>
  <si>
    <t>001254</t>
  </si>
  <si>
    <t>001259</t>
  </si>
  <si>
    <t>001261</t>
  </si>
  <si>
    <t>001258</t>
  </si>
  <si>
    <t>001253</t>
  </si>
  <si>
    <t>001252</t>
  </si>
  <si>
    <t>001251</t>
  </si>
  <si>
    <t>001250</t>
  </si>
  <si>
    <t>001260</t>
  </si>
  <si>
    <t>DC 8965 XH</t>
  </si>
  <si>
    <t>DC 8002 XD</t>
  </si>
  <si>
    <t>MUH RAYHAN</t>
  </si>
  <si>
    <t>BMS</t>
  </si>
  <si>
    <t>A. ESTIMASI TEKNIS KENDARAAN</t>
  </si>
  <si>
    <t>D. EFISIENSI PER LOKASI TUJUAN</t>
  </si>
  <si>
    <t>E.  INSIGHT REKOMENDASI</t>
  </si>
  <si>
    <t>001/RBPS/WINS-BMS/I/2026</t>
  </si>
  <si>
    <t>001272</t>
  </si>
  <si>
    <t>001271</t>
  </si>
  <si>
    <t>001270</t>
  </si>
  <si>
    <t>001269</t>
  </si>
  <si>
    <t>001268</t>
  </si>
  <si>
    <t>001267</t>
  </si>
  <si>
    <t>001266</t>
  </si>
  <si>
    <t>001277</t>
  </si>
  <si>
    <t>001279</t>
  </si>
  <si>
    <t>001280</t>
  </si>
  <si>
    <t>001281</t>
  </si>
  <si>
    <t>001283</t>
  </si>
  <si>
    <t>001284</t>
  </si>
  <si>
    <t>001275</t>
  </si>
  <si>
    <t>001276</t>
  </si>
  <si>
    <t>001285</t>
  </si>
  <si>
    <t>001286</t>
  </si>
  <si>
    <t>001274</t>
  </si>
  <si>
    <t>001278</t>
  </si>
  <si>
    <t>001282</t>
  </si>
  <si>
    <t>001298</t>
  </si>
  <si>
    <t>001299</t>
  </si>
  <si>
    <t>001300</t>
  </si>
  <si>
    <t>001288</t>
  </si>
  <si>
    <t>001301</t>
  </si>
  <si>
    <t>001302</t>
  </si>
  <si>
    <t>001292</t>
  </si>
  <si>
    <t>001293</t>
  </si>
  <si>
    <t>001296</t>
  </si>
  <si>
    <t>001297</t>
  </si>
  <si>
    <t>001303</t>
  </si>
  <si>
    <t>001305</t>
  </si>
  <si>
    <t>001306</t>
  </si>
  <si>
    <t>001311</t>
  </si>
  <si>
    <t>001308</t>
  </si>
  <si>
    <t>001309</t>
  </si>
  <si>
    <t>001310</t>
  </si>
  <si>
    <t>001312</t>
  </si>
  <si>
    <t>001313</t>
  </si>
  <si>
    <t>001314</t>
  </si>
  <si>
    <t>001304</t>
  </si>
  <si>
    <t>001315</t>
  </si>
  <si>
    <t>DD 8532 KM</t>
  </si>
  <si>
    <t>DP 800 GJ</t>
  </si>
  <si>
    <t>DP 8729 GH</t>
  </si>
  <si>
    <t>RESKIANTO</t>
  </si>
  <si>
    <t>ARIF</t>
  </si>
  <si>
    <t>SIUMBATU</t>
  </si>
  <si>
    <t>001273</t>
  </si>
  <si>
    <t>001289</t>
  </si>
  <si>
    <t>001290</t>
  </si>
  <si>
    <t>001291</t>
  </si>
  <si>
    <t>001294</t>
  </si>
  <si>
    <t>001295</t>
  </si>
  <si>
    <t>DP 8168 JD</t>
  </si>
  <si>
    <t>DD 8794 MO</t>
  </si>
  <si>
    <t>DD 8036 RV</t>
  </si>
  <si>
    <t>DD 8715 RI</t>
  </si>
  <si>
    <t>DD 8429 KR</t>
  </si>
  <si>
    <t>LULLI</t>
  </si>
  <si>
    <t xml:space="preserve">RUSMAN </t>
  </si>
  <si>
    <t>SAMPAR</t>
  </si>
  <si>
    <t>SUDIRMAN</t>
  </si>
  <si>
    <t>Jusman</t>
  </si>
  <si>
    <t>ABDULLAH</t>
  </si>
  <si>
    <t>SALDI</t>
  </si>
  <si>
    <t>FAJRIN</t>
  </si>
  <si>
    <t>JUMARDI</t>
  </si>
  <si>
    <t>Sum of Berat
Netto PT WINS</t>
  </si>
  <si>
    <t>Sum of Jumlah</t>
  </si>
  <si>
    <t>001316</t>
  </si>
  <si>
    <t>001317</t>
  </si>
  <si>
    <t>001318</t>
  </si>
  <si>
    <t>001319</t>
  </si>
  <si>
    <t>001322</t>
  </si>
  <si>
    <t>001323</t>
  </si>
  <si>
    <t>001324</t>
  </si>
  <si>
    <t>001320</t>
  </si>
  <si>
    <t>001326</t>
  </si>
  <si>
    <t>001325</t>
  </si>
  <si>
    <t>001327</t>
  </si>
  <si>
    <t>001328</t>
  </si>
  <si>
    <t>001329</t>
  </si>
  <si>
    <t>DN 8609VS</t>
  </si>
  <si>
    <t>DP 8729 HG</t>
  </si>
  <si>
    <t>Semua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</si>
</sst>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1" formatCode="_(* #,##0_);_(* \(#,##0\);_(* &quot;-&quot;_);_(@_)"/>
    <numFmt numFmtId="43" formatCode="_(* #,##0.00_);_(* \(#,##0.00\);_(* &quot;-&quot;??_);_(@_)"/>
    <numFmt numFmtId="164" formatCode="&quot;Jan&quot;"/>
    <numFmt numFmtId="165" formatCode="&quot;Feb&quot;"/>
    <numFmt numFmtId="166" formatCode="&quot;Mar&quot;"/>
    <numFmt numFmtId="167" formatCode="&quot;Apr&quot;"/>
    <numFmt numFmtId="168" formatCode="&quot;Mei&quot;"/>
    <numFmt numFmtId="169" formatCode="&quot;Jun&quot;"/>
    <numFmt numFmtId="170" formatCode="&quot;Jul&quot;"/>
    <numFmt numFmtId="171" formatCode="&quot;Agu&quot;"/>
    <numFmt numFmtId="172" formatCode="&quot;Sep&quot;"/>
    <numFmt numFmtId="173" formatCode="&quot;Okt&quot;"/>
    <numFmt numFmtId="174" formatCode="&quot;Nov&quot;"/>
    <numFmt numFmtId="175" formatCode="&quot;Des&quot;"/>
    <numFmt numFmtId="176" formatCode="_(* #,##0_);_(* \(#,##0\);_(* \-??_);_(@_)"/>
    <numFmt numFmtId="177" formatCode="[$-409]d\-mmm;@"/>
    <numFmt numFmtId="178" formatCode="_(* #,##0_);_(* \(#,##0\);_(* \-_);_(@_)"/>
    <numFmt numFmtId="179" formatCode="[$-F400]h:mm:ss\ AM/PM"/>
    <numFmt numFmtId="180" formatCode="_(* #,##0.00_);_(* \(#,##0.00\);_(* \-_);_(@_)"/>
    <numFmt numFmtId="181" formatCode="_(* #,##0.0_);_(* \(#,##0.0\);_(* \-_);_(@_)"/>
    <numFmt numFmtId="182" formatCode="_(* #,##0.00_);_(* \(#,##0.00\);_(* \-??_);_(@_)"/>
    <numFmt numFmtId="183" formatCode="d\-mmm"/>
    <numFmt numFmtId="184" formatCode="d\-mmm\-yy"/>
    <numFmt numFmtId="185" formatCode="[$-409]d\-mmm\-yy;@"/>
    <numFmt numFmtId="186" formatCode="[$-409]mmm\-yy;@"/>
    <numFmt numFmtId="187" formatCode="0.0%"/>
    <numFmt numFmtId="188" formatCode="#,##0.0"/>
    <numFmt numFmtId="189" formatCode="0.000%"/>
    <numFmt numFmtId="190" formatCode="#,##0.\1"/>
    <numFmt numFmtId="191" formatCode="0.0"/>
    <numFmt numFmtId="192" formatCode="dd\-mmm\-yyyy"/>
    <numFmt numFmtId="193" formatCode="000000"/>
    <numFmt numFmtId="194" formatCode="_(* #,##0.00_);_(* \(#,##0.00\);_(* &quot;-&quot;_);_(@_)"/>
  </numFmts>
  <fonts count="11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1"/>
      <color theme="1"/>
      <name val="Segoe UI"/>
      <family val="2"/>
    </font>
    <font>
      <b/>
      <sz val="11"/>
      <color rgb="FFFFFFFF"/>
      <name val="Calibri"/>
      <family val="2"/>
      <charset val="1"/>
    </font>
    <font>
      <b/>
      <sz val="16"/>
      <color rgb="FFFFFFFF"/>
      <name val="Calibri"/>
      <family val="2"/>
      <charset val="1"/>
    </font>
    <font>
      <b/>
      <sz val="14"/>
      <color rgb="FFFFFFFF"/>
      <name val="Consolas"/>
      <family val="3"/>
      <charset val="1"/>
    </font>
    <font>
      <b/>
      <sz val="10"/>
      <color rgb="FFFFFFFF"/>
      <name val="Calibri"/>
      <family val="2"/>
      <charset val="1"/>
    </font>
    <font>
      <b/>
      <sz val="9"/>
      <color rgb="FFFFFFFF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theme="1"/>
      <name val="Calibri"/>
      <family val="2"/>
      <charset val="1"/>
    </font>
    <font>
      <sz val="11"/>
      <color theme="1"/>
      <name val="Segoe UI Historic"/>
      <family val="2"/>
      <charset val="1"/>
    </font>
    <font>
      <sz val="11"/>
      <color rgb="FF000000"/>
      <name val="Consolas"/>
      <family val="3"/>
      <charset val="1"/>
    </font>
    <font>
      <b/>
      <sz val="11"/>
      <color rgb="FF1F3864"/>
      <name val="Calibri"/>
      <family val="2"/>
      <charset val="1"/>
    </font>
    <font>
      <i/>
      <sz val="9"/>
      <color rgb="FF7F6000"/>
      <name val="Calibri"/>
      <family val="2"/>
      <charset val="1"/>
    </font>
    <font>
      <b/>
      <sz val="9"/>
      <color rgb="FF1F3864"/>
      <name val="Calibri"/>
      <family val="2"/>
      <charset val="1"/>
    </font>
    <font>
      <i/>
      <sz val="11"/>
      <color rgb="FF000000"/>
      <name val="Calibri"/>
      <family val="2"/>
      <charset val="1"/>
    </font>
    <font>
      <b/>
      <sz val="14"/>
      <color theme="1"/>
      <name val="Calibri"/>
      <family val="2"/>
      <charset val="1"/>
    </font>
    <font>
      <sz val="9"/>
      <color rgb="FF000000"/>
      <name val="Calibri"/>
      <family val="2"/>
      <charset val="1"/>
    </font>
    <font>
      <i/>
      <sz val="9"/>
      <color rgb="FF000000"/>
      <name val="Calibri"/>
      <family val="2"/>
      <charset val="1"/>
    </font>
    <font>
      <sz val="12"/>
      <color rgb="FF000000"/>
      <name val="Consolas"/>
      <family val="3"/>
      <charset val="1"/>
    </font>
    <font>
      <b/>
      <sz val="12"/>
      <color rgb="FF1F3864"/>
      <name val="Calibri"/>
      <family val="2"/>
      <charset val="1"/>
    </font>
    <font>
      <sz val="12"/>
      <color theme="1"/>
      <name val="Segoe UI Historic"/>
      <family val="2"/>
      <charset val="1"/>
    </font>
    <font>
      <sz val="15"/>
      <color rgb="FF000000"/>
      <name val="Consolas"/>
      <family val="3"/>
      <charset val="1"/>
    </font>
    <font>
      <sz val="15"/>
      <color theme="3" tint="0.39988402966399123"/>
      <name val="Calibri"/>
      <family val="2"/>
      <charset val="1"/>
    </font>
    <font>
      <b/>
      <sz val="15"/>
      <color theme="3" tint="0.39988402966399123"/>
      <name val="Calibri"/>
      <family val="2"/>
      <charset val="1"/>
    </font>
    <font>
      <sz val="15"/>
      <color theme="1"/>
      <name val="Segoe UI Historic"/>
      <family val="2"/>
      <charset val="1"/>
    </font>
    <font>
      <b/>
      <sz val="9"/>
      <color rgb="FF000000"/>
      <name val="Consolas"/>
      <family val="3"/>
      <charset val="1"/>
    </font>
    <font>
      <b/>
      <sz val="9"/>
      <color rgb="FF000000"/>
      <name val="Calibri"/>
      <family val="2"/>
      <charset val="1"/>
    </font>
    <font>
      <b/>
      <sz val="9"/>
      <color theme="1"/>
      <name val="Segoe UI Historic"/>
      <family val="2"/>
      <charset val="1"/>
    </font>
    <font>
      <b/>
      <sz val="11"/>
      <color rgb="FF000000"/>
      <name val="Calibri"/>
      <family val="2"/>
      <charset val="1"/>
    </font>
    <font>
      <sz val="15"/>
      <color theme="1"/>
      <name val="Calibri"/>
      <family val="2"/>
      <charset val="1"/>
    </font>
    <font>
      <b/>
      <sz val="14"/>
      <color rgb="FFFFFFFF"/>
      <name val="Calibri"/>
      <family val="2"/>
      <charset val="1"/>
    </font>
    <font>
      <b/>
      <sz val="10"/>
      <color rgb="FF1F3864"/>
      <name val="Calibri"/>
      <family val="2"/>
      <charset val="1"/>
    </font>
    <font>
      <b/>
      <i/>
      <sz val="9"/>
      <color rgb="FF1F3864"/>
      <name val="Calibri"/>
      <family val="2"/>
      <charset val="1"/>
    </font>
    <font>
      <b/>
      <sz val="12"/>
      <color rgb="FFFFFFFF"/>
      <name val="Calibri"/>
      <family val="2"/>
      <charset val="1"/>
    </font>
    <font>
      <sz val="8"/>
      <color theme="1"/>
      <name val="Segoe UI Historic"/>
      <family val="2"/>
      <charset val="1"/>
    </font>
    <font>
      <sz val="14"/>
      <color theme="1"/>
      <name val="Segoe UI Historic"/>
      <family val="2"/>
      <charset val="1"/>
    </font>
    <font>
      <sz val="9"/>
      <color theme="1"/>
      <name val="Segoe UI Historic"/>
      <family val="2"/>
      <charset val="1"/>
    </font>
    <font>
      <b/>
      <sz val="11"/>
      <color theme="1"/>
      <name val="Segoe UI Historic"/>
      <family val="2"/>
      <charset val="1"/>
    </font>
    <font>
      <b/>
      <i/>
      <sz val="11"/>
      <color rgb="FF000000"/>
      <name val="Calibri"/>
      <family val="2"/>
      <charset val="1"/>
    </font>
    <font>
      <sz val="10"/>
      <color theme="1"/>
      <name val="Segoe UI Historic"/>
      <family val="2"/>
      <charset val="1"/>
    </font>
    <font>
      <sz val="8.5"/>
      <color theme="1"/>
      <name val="Segoe UI Historic"/>
      <family val="2"/>
      <charset val="1"/>
    </font>
    <font>
      <sz val="10"/>
      <color rgb="FF000000"/>
      <name val="Arial"/>
      <family val="2"/>
    </font>
    <font>
      <b/>
      <sz val="9"/>
      <color rgb="FF5A6F8A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6"/>
      <color rgb="FF00D4AA"/>
      <name val="Calibri"/>
      <family val="2"/>
      <charset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color theme="1"/>
      <name val="Calibri"/>
      <family val="2"/>
    </font>
    <font>
      <sz val="10"/>
      <color rgb="FFFFFFFF"/>
      <name val="Calibri"/>
      <family val="2"/>
    </font>
    <font>
      <b/>
      <sz val="10"/>
      <color theme="1"/>
      <name val="Calibri"/>
      <family val="2"/>
    </font>
    <font>
      <sz val="10"/>
      <color rgb="FF595959"/>
      <name val="Calibri"/>
      <family val="2"/>
    </font>
    <font>
      <b/>
      <sz val="11"/>
      <color rgb="FF000000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595959"/>
      <name val="Calibri"/>
      <family val="2"/>
    </font>
    <font>
      <sz val="11"/>
      <color theme="0"/>
      <name val="Calibri"/>
      <family val="2"/>
      <charset val="1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4"/>
      <color rgb="FFFFFFFF"/>
      <name val="Calibri"/>
      <family val="2"/>
    </font>
    <font>
      <i/>
      <sz val="10"/>
      <color theme="1"/>
      <name val="Calibri"/>
      <family val="2"/>
    </font>
    <font>
      <b/>
      <sz val="13"/>
      <color rgb="FFFFFFFF"/>
      <name val="Calibri"/>
      <family val="2"/>
    </font>
    <font>
      <b/>
      <sz val="10"/>
      <color rgb="FFC00000"/>
      <name val="Calibri"/>
      <family val="2"/>
    </font>
    <font>
      <b/>
      <i/>
      <sz val="13"/>
      <color rgb="FFFFFFFF"/>
      <name val="Calibri"/>
      <family val="2"/>
    </font>
    <font>
      <i/>
      <sz val="9"/>
      <color rgb="FF595959"/>
      <name val="Calibri"/>
      <family val="2"/>
    </font>
    <font>
      <b/>
      <sz val="10"/>
      <color rgb="FF0070C0"/>
      <name val="Calibri"/>
      <family val="2"/>
    </font>
    <font>
      <sz val="9"/>
      <color rgb="FF595959"/>
      <name val="Calibri"/>
      <family val="2"/>
    </font>
    <font>
      <sz val="8"/>
      <color rgb="FFBFBFBF"/>
      <name val="Calibri"/>
      <family val="2"/>
      <charset val="1"/>
    </font>
    <font>
      <b/>
      <sz val="11"/>
      <color rgb="FFC00000"/>
      <name val="Calibri"/>
      <family val="2"/>
    </font>
    <font>
      <i/>
      <sz val="9"/>
      <color rgb="FF375623"/>
      <name val="Calibri"/>
      <family val="2"/>
    </font>
    <font>
      <sz val="10"/>
      <color theme="0" tint="-4.9989318521683403E-2"/>
      <name val="Calibri"/>
      <family val="2"/>
    </font>
    <font>
      <b/>
      <sz val="14"/>
      <color theme="0" tint="-4.9989318521683403E-2"/>
      <name val="Calibri"/>
      <family val="2"/>
    </font>
    <font>
      <sz val="11"/>
      <color theme="0" tint="-4.9989318521683403E-2"/>
      <name val="Calibri"/>
      <family val="2"/>
    </font>
    <font>
      <sz val="8"/>
      <color theme="0" tint="-4.9989318521683403E-2"/>
      <name val="Calibri"/>
      <family val="2"/>
    </font>
    <font>
      <b/>
      <sz val="11"/>
      <color rgb="FFFF0000"/>
      <name val="Calibri"/>
      <family val="2"/>
    </font>
    <font>
      <sz val="11"/>
      <color rgb="FF0000FF"/>
      <name val="Calibri"/>
      <family val="2"/>
      <charset val="1"/>
    </font>
    <font>
      <b/>
      <sz val="10"/>
      <color rgb="FF006100"/>
      <name val="Calibri"/>
      <family val="2"/>
    </font>
    <font>
      <sz val="11"/>
      <color rgb="FF008000"/>
      <name val="Calibri"/>
      <family val="2"/>
      <charset val="1"/>
    </font>
    <font>
      <b/>
      <sz val="11"/>
      <color rgb="FF002060"/>
      <name val="Calibri"/>
      <family val="2"/>
    </font>
    <font>
      <sz val="10"/>
      <color rgb="FF002060"/>
      <name val="Calibri"/>
      <family val="2"/>
    </font>
    <font>
      <b/>
      <sz val="10"/>
      <color rgb="FF002060"/>
      <name val="Calibri"/>
      <family val="2"/>
    </font>
    <font>
      <b/>
      <sz val="16"/>
      <color rgb="FF1F4E79"/>
      <name val="Calibri"/>
      <family val="2"/>
      <charset val="1"/>
    </font>
    <font>
      <i/>
      <sz val="10"/>
      <color rgb="FF666666"/>
      <name val="Calibri"/>
      <family val="2"/>
      <charset val="1"/>
    </font>
    <font>
      <b/>
      <sz val="13"/>
      <color rgb="FFFFFFFF"/>
      <name val="Calibri"/>
      <family val="2"/>
      <charset val="1"/>
    </font>
    <font>
      <b/>
      <sz val="11"/>
      <color rgb="FF00800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9"/>
      <color rgb="FF666666"/>
      <name val="Calibri"/>
      <family val="2"/>
      <charset val="1"/>
    </font>
    <font>
      <b/>
      <sz val="9"/>
      <color rgb="FF666666"/>
      <name val="Calibri"/>
      <family val="2"/>
      <charset val="1"/>
    </font>
    <font>
      <b/>
      <sz val="25"/>
      <color theme="1"/>
      <name val="Segoe UI"/>
      <family val="2"/>
    </font>
    <font>
      <b/>
      <sz val="16"/>
      <color theme="1"/>
      <name val="Segoe UI"/>
      <family val="2"/>
    </font>
    <font>
      <b/>
      <sz val="11"/>
      <color theme="1"/>
      <name val="Segoe UI"/>
      <family val="2"/>
    </font>
    <font>
      <b/>
      <sz val="9"/>
      <color theme="1"/>
      <name val="Segoe UI"/>
    </font>
    <font>
      <b/>
      <sz val="22"/>
      <color theme="1"/>
      <name val="Segoe UI"/>
      <family val="2"/>
    </font>
    <font>
      <b/>
      <sz val="12"/>
      <color theme="1"/>
      <name val="Segoe UI"/>
      <family val="2"/>
    </font>
    <font>
      <b/>
      <sz val="9"/>
      <color theme="1"/>
      <name val="Segoe UI"/>
      <family val="2"/>
    </font>
    <font>
      <b/>
      <sz val="10"/>
      <color theme="1"/>
      <name val="Segoe UI"/>
      <family val="2"/>
    </font>
    <font>
      <b/>
      <sz val="15"/>
      <color theme="1"/>
      <name val="Segoe UI"/>
      <family val="2"/>
    </font>
    <font>
      <sz val="8"/>
      <color theme="1"/>
      <name val="Segoe UI"/>
      <family val="2"/>
    </font>
    <font>
      <b/>
      <sz val="10"/>
      <color theme="1"/>
      <name val="Calibri"/>
      <family val="2"/>
      <charset val="1"/>
    </font>
    <font>
      <b/>
      <sz val="20"/>
      <color theme="1"/>
      <name val="Segoe UI"/>
    </font>
    <font>
      <b/>
      <sz val="20"/>
      <color theme="1"/>
      <name val="Segoe UI"/>
      <family val="2"/>
    </font>
    <font>
      <sz val="7"/>
      <color theme="1"/>
      <name val="Segoe UI"/>
      <family val="2"/>
    </font>
    <font>
      <b/>
      <sz val="9"/>
      <color theme="1"/>
      <name val="Calibri"/>
      <family val="2"/>
      <charset val="1"/>
    </font>
    <font>
      <i/>
      <sz val="8"/>
      <color theme="1"/>
      <name val="Segoe UI"/>
      <family val="2"/>
    </font>
    <font>
      <i/>
      <sz val="7"/>
      <color theme="1"/>
      <name val="Segoe UI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rgb="FF1F4E79"/>
        <bgColor rgb="FF1F3864"/>
      </patternFill>
    </fill>
    <fill>
      <patternFill patternType="solid">
        <fgColor rgb="FF1F3864"/>
        <bgColor rgb="FF374151"/>
      </patternFill>
    </fill>
    <fill>
      <patternFill patternType="solid">
        <fgColor rgb="FFFFC000"/>
        <bgColor rgb="FFD4A017"/>
      </patternFill>
    </fill>
    <fill>
      <patternFill patternType="solid">
        <fgColor rgb="FF2E75B6"/>
        <bgColor rgb="FF4F81BD"/>
      </patternFill>
    </fill>
    <fill>
      <patternFill patternType="solid">
        <fgColor rgb="FFBDD7EE"/>
        <bgColor rgb="FFD9D9D9"/>
      </patternFill>
    </fill>
    <fill>
      <patternFill patternType="solid">
        <fgColor theme="4" tint="0.79989013336588644"/>
        <bgColor rgb="FFE2E8F0"/>
      </patternFill>
    </fill>
    <fill>
      <patternFill patternType="solid">
        <fgColor rgb="FFF2F2F2"/>
        <bgColor rgb="FFF0F2F5"/>
      </patternFill>
    </fill>
    <fill>
      <patternFill patternType="solid">
        <fgColor theme="0"/>
        <bgColor indexed="64"/>
      </patternFill>
    </fill>
    <fill>
      <patternFill patternType="solid">
        <fgColor rgb="FF0B1A2E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AEEF3"/>
        <bgColor rgb="FFDAEEF3"/>
      </patternFill>
    </fill>
    <fill>
      <patternFill patternType="solid">
        <fgColor rgb="FF2E75B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theme="6" tint="0.79998168889431442"/>
        <bgColor rgb="FFF2F2F2"/>
      </patternFill>
    </fill>
    <fill>
      <patternFill patternType="solid">
        <fgColor rgb="FFF2F2F2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F7F7F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medium">
        <color rgb="FFD4A017"/>
      </bottom>
      <diagonal/>
    </border>
    <border>
      <left style="thin">
        <color auto="1"/>
      </left>
      <right style="thin">
        <color auto="1"/>
      </right>
      <top style="medium">
        <color rgb="FFD4A017"/>
      </top>
      <bottom/>
      <diagonal/>
    </border>
    <border>
      <left/>
      <right style="thin">
        <color auto="1"/>
      </right>
      <top style="medium">
        <color rgb="FFD4A017"/>
      </top>
      <bottom/>
      <diagonal/>
    </border>
    <border>
      <left/>
      <right style="thin">
        <color auto="1"/>
      </right>
      <top/>
      <bottom style="medium">
        <color rgb="FFD4A017"/>
      </bottom>
      <diagonal/>
    </border>
    <border>
      <left/>
      <right/>
      <top style="medium">
        <color rgb="FFD4A017"/>
      </top>
      <bottom/>
      <diagonal/>
    </border>
    <border>
      <left/>
      <right/>
      <top style="thin">
        <color rgb="FFD4A017"/>
      </top>
      <bottom style="thin">
        <color rgb="FFD4A017"/>
      </bottom>
      <diagonal/>
    </border>
    <border>
      <left/>
      <right/>
      <top/>
      <bottom style="thin">
        <color rgb="FFD4A01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ck">
        <color rgb="FF00D4AA"/>
      </top>
      <bottom/>
      <diagonal/>
    </border>
    <border>
      <left/>
      <right/>
      <top/>
      <bottom style="thin">
        <color rgb="FF1A3A5C"/>
      </bottom>
      <diagonal/>
    </border>
    <border>
      <left/>
      <right style="thin">
        <color rgb="FFFFC000"/>
      </right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8064A2"/>
      </left>
      <right style="thin">
        <color rgb="FFD9D9D9"/>
      </right>
      <top style="thin">
        <color rgb="FF8064A2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8064A2"/>
      </top>
      <bottom style="thin">
        <color rgb="FFD9D9D9"/>
      </bottom>
      <diagonal/>
    </border>
    <border>
      <left style="thin">
        <color rgb="FFD9D9D9"/>
      </left>
      <right style="thin">
        <color rgb="FF8064A2"/>
      </right>
      <top style="thin">
        <color rgb="FF8064A2"/>
      </top>
      <bottom style="thin">
        <color rgb="FFD9D9D9"/>
      </bottom>
      <diagonal/>
    </border>
    <border>
      <left style="thin">
        <color rgb="FF8064A2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8064A2"/>
      </right>
      <top style="thin">
        <color rgb="FFD9D9D9"/>
      </top>
      <bottom style="thin">
        <color rgb="FFD9D9D9"/>
      </bottom>
      <diagonal/>
    </border>
    <border>
      <left style="thin">
        <color rgb="FF8064A2"/>
      </left>
      <right style="thin">
        <color rgb="FFD9D9D9"/>
      </right>
      <top style="thin">
        <color rgb="FFD9D9D9"/>
      </top>
      <bottom style="thin">
        <color rgb="FF8064A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8064A2"/>
      </bottom>
      <diagonal/>
    </border>
    <border>
      <left style="thin">
        <color rgb="FFD9D9D9"/>
      </left>
      <right style="thin">
        <color rgb="FF8064A2"/>
      </right>
      <top style="thin">
        <color rgb="FFD9D9D9"/>
      </top>
      <bottom style="thin">
        <color rgb="FF8064A2"/>
      </bottom>
      <diagonal/>
    </border>
    <border>
      <left style="thin">
        <color rgb="FF92CDDC"/>
      </left>
      <right style="thin">
        <color rgb="FF92CDDC"/>
      </right>
      <top style="thin">
        <color rgb="FF92CDDC"/>
      </top>
      <bottom style="thin">
        <color rgb="FF92CDDC"/>
      </bottom>
      <diagonal/>
    </border>
    <border>
      <left/>
      <right style="thin">
        <color rgb="FF92CDDC"/>
      </right>
      <top/>
      <bottom style="thin">
        <color rgb="FF92CDDC"/>
      </bottom>
      <diagonal/>
    </border>
    <border>
      <left style="thin">
        <color rgb="FF92CDDC"/>
      </left>
      <right style="thin">
        <color rgb="FF92CDDC"/>
      </right>
      <top/>
      <bottom style="thin">
        <color rgb="FF92CDDC"/>
      </bottom>
      <diagonal/>
    </border>
    <border>
      <left style="thin">
        <color rgb="FF92CDDC"/>
      </left>
      <right/>
      <top/>
      <bottom style="thin">
        <color rgb="FF92CDDC"/>
      </bottom>
      <diagonal/>
    </border>
    <border>
      <left/>
      <right style="thin">
        <color rgb="FF92CDDC"/>
      </right>
      <top style="thin">
        <color rgb="FF92CDDC"/>
      </top>
      <bottom style="thin">
        <color rgb="FF92CDDC"/>
      </bottom>
      <diagonal/>
    </border>
    <border>
      <left style="thin">
        <color rgb="FF92CDDC"/>
      </left>
      <right/>
      <top style="thin">
        <color rgb="FF92CDDC"/>
      </top>
      <bottom style="thin">
        <color rgb="FF92CDDC"/>
      </bottom>
      <diagonal/>
    </border>
    <border>
      <left/>
      <right style="thin">
        <color rgb="FF92CDDC"/>
      </right>
      <top style="thin">
        <color rgb="FF92CDDC"/>
      </top>
      <bottom/>
      <diagonal/>
    </border>
    <border>
      <left style="thin">
        <color rgb="FF92CDDC"/>
      </left>
      <right style="thin">
        <color rgb="FF92CDDC"/>
      </right>
      <top style="thin">
        <color rgb="FF92CDDC"/>
      </top>
      <bottom/>
      <diagonal/>
    </border>
    <border>
      <left style="thin">
        <color rgb="FF92CDDC"/>
      </left>
      <right/>
      <top style="thin">
        <color rgb="FF92CDDC"/>
      </top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/>
      <right/>
      <top/>
      <bottom style="medium">
        <color rgb="FF2E75B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5" fillId="0" borderId="0"/>
    <xf numFmtId="9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1" fontId="1" fillId="0" borderId="0" applyBorder="0" applyAlignment="0" applyProtection="0"/>
    <xf numFmtId="41" fontId="49" fillId="0" borderId="0" applyFont="0" applyFill="0" applyBorder="0" applyAlignment="0" applyProtection="0"/>
  </cellStyleXfs>
  <cellXfs count="463">
    <xf numFmtId="0" fontId="0" fillId="0" borderId="0" xfId="0"/>
    <xf numFmtId="0" fontId="9" fillId="2" borderId="0" xfId="0" applyFont="1" applyFill="1" applyAlignment="1">
      <alignment horizontal="center"/>
    </xf>
    <xf numFmtId="0" fontId="18" fillId="2" borderId="0" xfId="0" applyFont="1" applyFill="1"/>
    <xf numFmtId="0" fontId="0" fillId="2" borderId="0" xfId="0" applyFill="1"/>
    <xf numFmtId="0" fontId="2" fillId="2" borderId="0" xfId="0" applyFont="1" applyFill="1"/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176" fontId="3" fillId="2" borderId="0" xfId="0" applyNumberFormat="1" applyFont="1" applyFill="1" applyAlignment="1">
      <alignment horizontal="center" vertical="center"/>
    </xf>
    <xf numFmtId="176" fontId="3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78" fontId="0" fillId="0" borderId="0" xfId="0" applyNumberFormat="1"/>
    <xf numFmtId="0" fontId="11" fillId="0" borderId="0" xfId="0" applyFont="1"/>
    <xf numFmtId="0" fontId="12" fillId="2" borderId="0" xfId="0" applyFont="1" applyFill="1"/>
    <xf numFmtId="0" fontId="1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1" fillId="2" borderId="0" xfId="0" applyFont="1" applyFill="1"/>
    <xf numFmtId="0" fontId="17" fillId="5" borderId="0" xfId="0" applyFont="1" applyFill="1" applyAlignment="1">
      <alignment horizontal="center" wrapText="1"/>
    </xf>
    <xf numFmtId="0" fontId="17" fillId="5" borderId="0" xfId="0" applyFont="1" applyFill="1" applyAlignment="1">
      <alignment horizontal="center" vertical="center"/>
    </xf>
    <xf numFmtId="0" fontId="16" fillId="2" borderId="0" xfId="0" applyFont="1" applyFill="1"/>
    <xf numFmtId="0" fontId="9" fillId="2" borderId="0" xfId="0" applyFont="1" applyFill="1"/>
    <xf numFmtId="0" fontId="7" fillId="6" borderId="1" xfId="0" applyFont="1" applyFill="1" applyBorder="1" applyAlignment="1">
      <alignment wrapText="1"/>
    </xf>
    <xf numFmtId="0" fontId="20" fillId="2" borderId="0" xfId="0" applyFont="1" applyFill="1"/>
    <xf numFmtId="0" fontId="20" fillId="2" borderId="2" xfId="0" applyFont="1" applyFill="1" applyBorder="1" applyAlignment="1">
      <alignment horizontal="center"/>
    </xf>
    <xf numFmtId="0" fontId="22" fillId="0" borderId="0" xfId="0" applyFont="1"/>
    <xf numFmtId="0" fontId="23" fillId="2" borderId="0" xfId="0" applyFont="1" applyFill="1" applyAlignment="1">
      <alignment vertical="center"/>
    </xf>
    <xf numFmtId="0" fontId="26" fillId="0" borderId="0" xfId="0" applyFont="1" applyAlignment="1">
      <alignment vertical="center"/>
    </xf>
    <xf numFmtId="0" fontId="27" fillId="2" borderId="0" xfId="0" applyFont="1" applyFill="1"/>
    <xf numFmtId="0" fontId="28" fillId="2" borderId="5" xfId="0" applyFont="1" applyFill="1" applyBorder="1" applyAlignment="1">
      <alignment horizontal="center"/>
    </xf>
    <xf numFmtId="0" fontId="28" fillId="2" borderId="0" xfId="0" applyFont="1" applyFill="1"/>
    <xf numFmtId="0" fontId="28" fillId="2" borderId="6" xfId="0" applyFont="1" applyFill="1" applyBorder="1" applyAlignment="1">
      <alignment horizontal="center"/>
    </xf>
    <xf numFmtId="0" fontId="29" fillId="0" borderId="0" xfId="0" applyFont="1"/>
    <xf numFmtId="0" fontId="9" fillId="9" borderId="0" xfId="0" applyFont="1" applyFill="1" applyAlignment="1">
      <alignment horizontal="center"/>
    </xf>
    <xf numFmtId="0" fontId="9" fillId="9" borderId="0" xfId="0" applyFont="1" applyFill="1"/>
    <xf numFmtId="178" fontId="9" fillId="9" borderId="0" xfId="0" applyNumberFormat="1" applyFont="1" applyFill="1" applyAlignment="1">
      <alignment horizontal="center"/>
    </xf>
    <xf numFmtId="178" fontId="9" fillId="9" borderId="0" xfId="0" applyNumberFormat="1" applyFont="1" applyFill="1"/>
    <xf numFmtId="180" fontId="9" fillId="9" borderId="0" xfId="0" applyNumberFormat="1" applyFont="1" applyFill="1"/>
    <xf numFmtId="49" fontId="9" fillId="9" borderId="0" xfId="0" applyNumberFormat="1" applyFont="1" applyFill="1"/>
    <xf numFmtId="178" fontId="9" fillId="2" borderId="0" xfId="0" applyNumberFormat="1" applyFont="1" applyFill="1" applyAlignment="1">
      <alignment horizontal="center"/>
    </xf>
    <xf numFmtId="178" fontId="9" fillId="2" borderId="0" xfId="0" applyNumberFormat="1" applyFont="1" applyFill="1"/>
    <xf numFmtId="180" fontId="9" fillId="2" borderId="0" xfId="0" applyNumberFormat="1" applyFont="1" applyFill="1"/>
    <xf numFmtId="49" fontId="9" fillId="2" borderId="0" xfId="0" applyNumberFormat="1" applyFont="1" applyFill="1"/>
    <xf numFmtId="178" fontId="30" fillId="2" borderId="1" xfId="0" applyNumberFormat="1" applyFont="1" applyFill="1" applyBorder="1"/>
    <xf numFmtId="0" fontId="30" fillId="2" borderId="0" xfId="0" applyFont="1" applyFill="1"/>
    <xf numFmtId="0" fontId="30" fillId="2" borderId="7" xfId="0" applyFont="1" applyFill="1" applyBorder="1"/>
    <xf numFmtId="178" fontId="30" fillId="2" borderId="7" xfId="0" applyNumberFormat="1" applyFont="1" applyFill="1" applyBorder="1"/>
    <xf numFmtId="180" fontId="30" fillId="2" borderId="7" xfId="0" applyNumberFormat="1" applyFont="1" applyFill="1" applyBorder="1"/>
    <xf numFmtId="0" fontId="26" fillId="0" borderId="0" xfId="0" applyFont="1"/>
    <xf numFmtId="0" fontId="6" fillId="6" borderId="8" xfId="0" applyFont="1" applyFill="1" applyBorder="1" applyAlignment="1">
      <alignment horizontal="center" vertical="center"/>
    </xf>
    <xf numFmtId="178" fontId="9" fillId="2" borderId="0" xfId="0" applyNumberFormat="1" applyFont="1" applyFill="1" applyAlignment="1">
      <alignment horizontal="center" vertical="center"/>
    </xf>
    <xf numFmtId="178" fontId="9" fillId="9" borderId="0" xfId="0" applyNumberFormat="1" applyFont="1" applyFill="1" applyAlignment="1">
      <alignment horizontal="center" vertical="center"/>
    </xf>
    <xf numFmtId="0" fontId="31" fillId="2" borderId="0" xfId="0" applyFont="1" applyFill="1"/>
    <xf numFmtId="0" fontId="9" fillId="9" borderId="7" xfId="0" applyFont="1" applyFill="1" applyBorder="1"/>
    <xf numFmtId="178" fontId="9" fillId="9" borderId="7" xfId="0" applyNumberFormat="1" applyFont="1" applyFill="1" applyBorder="1" applyAlignment="1">
      <alignment horizontal="center" vertical="center"/>
    </xf>
    <xf numFmtId="0" fontId="10" fillId="0" borderId="0" xfId="0" applyFont="1"/>
    <xf numFmtId="0" fontId="12" fillId="2" borderId="1" xfId="0" applyFont="1" applyFill="1" applyBorder="1"/>
    <xf numFmtId="178" fontId="23" fillId="2" borderId="9" xfId="0" applyNumberFormat="1" applyFont="1" applyFill="1" applyBorder="1" applyAlignment="1">
      <alignment horizontal="center" vertical="center"/>
    </xf>
    <xf numFmtId="16" fontId="10" fillId="0" borderId="0" xfId="0" applyNumberFormat="1" applyFont="1"/>
    <xf numFmtId="0" fontId="44" fillId="0" borderId="0" xfId="0" applyFont="1"/>
    <xf numFmtId="184" fontId="10" fillId="0" borderId="0" xfId="0" applyNumberFormat="1" applyFont="1" applyAlignment="1">
      <alignment horizontal="left"/>
    </xf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3" fillId="12" borderId="0" xfId="0" applyFont="1" applyFill="1" applyAlignment="1">
      <alignment horizontal="center"/>
    </xf>
    <xf numFmtId="0" fontId="10" fillId="0" borderId="0" xfId="0" applyFont="1" applyAlignment="1">
      <alignment horizontal="center" vertical="center"/>
    </xf>
    <xf numFmtId="183" fontId="10" fillId="0" borderId="0" xfId="0" applyNumberFormat="1" applyFont="1" applyAlignment="1">
      <alignment horizontal="center" vertical="center"/>
    </xf>
    <xf numFmtId="0" fontId="46" fillId="11" borderId="0" xfId="0" applyFont="1" applyFill="1" applyAlignment="1">
      <alignment horizontal="center"/>
    </xf>
    <xf numFmtId="18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49" fontId="10" fillId="0" borderId="0" xfId="0" applyNumberFormat="1" applyFont="1"/>
    <xf numFmtId="0" fontId="0" fillId="10" borderId="0" xfId="0" applyFill="1"/>
    <xf numFmtId="17" fontId="10" fillId="0" borderId="0" xfId="0" applyNumberFormat="1" applyFont="1" applyAlignment="1">
      <alignment horizontal="left"/>
    </xf>
    <xf numFmtId="186" fontId="10" fillId="0" borderId="0" xfId="0" applyNumberFormat="1" applyFont="1" applyAlignment="1">
      <alignment horizontal="left"/>
    </xf>
    <xf numFmtId="0" fontId="3" fillId="6" borderId="0" xfId="0" applyFont="1" applyFill="1" applyAlignment="1">
      <alignment horizontal="center"/>
    </xf>
    <xf numFmtId="0" fontId="0" fillId="0" borderId="0" xfId="0" applyAlignment="1">
      <alignment wrapText="1"/>
    </xf>
    <xf numFmtId="41" fontId="0" fillId="0" borderId="0" xfId="5" applyFont="1"/>
    <xf numFmtId="0" fontId="33" fillId="5" borderId="0" xfId="0" applyFont="1" applyFill="1" applyAlignment="1">
      <alignment horizontal="left" vertical="center"/>
    </xf>
    <xf numFmtId="0" fontId="21" fillId="5" borderId="0" xfId="0" applyFont="1" applyFill="1" applyAlignment="1">
      <alignment horizontal="center" vertical="center"/>
    </xf>
    <xf numFmtId="0" fontId="34" fillId="2" borderId="0" xfId="0" applyFont="1" applyFill="1"/>
    <xf numFmtId="0" fontId="15" fillId="2" borderId="0" xfId="0" applyFont="1" applyFill="1"/>
    <xf numFmtId="0" fontId="13" fillId="2" borderId="0" xfId="0" applyFont="1" applyFill="1"/>
    <xf numFmtId="0" fontId="21" fillId="7" borderId="0" xfId="0" applyFont="1" applyFill="1" applyAlignment="1">
      <alignment horizontal="center"/>
    </xf>
    <xf numFmtId="0" fontId="30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center" vertical="center" wrapText="1"/>
    </xf>
    <xf numFmtId="0" fontId="30" fillId="2" borderId="0" xfId="0" applyFont="1" applyFill="1" applyAlignment="1">
      <alignment vertical="center"/>
    </xf>
    <xf numFmtId="0" fontId="36" fillId="0" borderId="0" xfId="0" applyFont="1" applyAlignment="1">
      <alignment vertical="center"/>
    </xf>
    <xf numFmtId="178" fontId="3" fillId="4" borderId="0" xfId="0" applyNumberFormat="1" applyFont="1" applyFill="1" applyAlignment="1">
      <alignment horizontal="center" vertical="center"/>
    </xf>
    <xf numFmtId="180" fontId="3" fillId="4" borderId="0" xfId="0" applyNumberFormat="1" applyFont="1" applyFill="1" applyAlignment="1">
      <alignment horizontal="center" vertical="center"/>
    </xf>
    <xf numFmtId="178" fontId="3" fillId="4" borderId="0" xfId="0" applyNumberFormat="1" applyFont="1" applyFill="1" applyAlignment="1">
      <alignment horizontal="center"/>
    </xf>
    <xf numFmtId="178" fontId="37" fillId="0" borderId="0" xfId="0" applyNumberFormat="1" applyFont="1"/>
    <xf numFmtId="0" fontId="28" fillId="2" borderId="0" xfId="0" applyFont="1" applyFill="1" applyAlignment="1">
      <alignment horizontal="center"/>
    </xf>
    <xf numFmtId="0" fontId="30" fillId="9" borderId="0" xfId="0" applyFont="1" applyFill="1" applyAlignment="1">
      <alignment horizontal="center"/>
    </xf>
    <xf numFmtId="0" fontId="30" fillId="9" borderId="0" xfId="0" applyFont="1" applyFill="1"/>
    <xf numFmtId="0" fontId="28" fillId="2" borderId="0" xfId="0" applyFont="1" applyFill="1" applyAlignment="1">
      <alignment horizontal="center" vertical="center" wrapText="1"/>
    </xf>
    <xf numFmtId="0" fontId="28" fillId="2" borderId="0" xfId="0" applyFont="1" applyFill="1" applyAlignment="1">
      <alignment vertical="center" wrapText="1"/>
    </xf>
    <xf numFmtId="0" fontId="38" fillId="0" borderId="0" xfId="0" applyFont="1" applyAlignment="1">
      <alignment vertical="center" wrapText="1"/>
    </xf>
    <xf numFmtId="9" fontId="9" fillId="9" borderId="0" xfId="0" applyNumberFormat="1" applyFont="1" applyFill="1" applyAlignment="1">
      <alignment horizontal="center"/>
    </xf>
    <xf numFmtId="0" fontId="38" fillId="0" borderId="0" xfId="0" applyFont="1"/>
    <xf numFmtId="181" fontId="9" fillId="2" borderId="0" xfId="0" applyNumberFormat="1" applyFont="1" applyFill="1"/>
    <xf numFmtId="9" fontId="9" fillId="2" borderId="0" xfId="0" applyNumberFormat="1" applyFont="1" applyFill="1" applyAlignment="1">
      <alignment horizontal="center"/>
    </xf>
    <xf numFmtId="181" fontId="9" fillId="9" borderId="0" xfId="0" applyNumberFormat="1" applyFont="1" applyFill="1"/>
    <xf numFmtId="0" fontId="30" fillId="2" borderId="0" xfId="0" applyFont="1" applyFill="1" applyAlignment="1">
      <alignment horizontal="center"/>
    </xf>
    <xf numFmtId="178" fontId="30" fillId="2" borderId="0" xfId="0" applyNumberFormat="1" applyFont="1" applyFill="1" applyAlignment="1">
      <alignment horizontal="center"/>
    </xf>
    <xf numFmtId="180" fontId="30" fillId="2" borderId="0" xfId="0" applyNumberFormat="1" applyFont="1" applyFill="1" applyAlignment="1">
      <alignment horizontal="center"/>
    </xf>
    <xf numFmtId="0" fontId="39" fillId="0" borderId="0" xfId="0" applyFont="1"/>
    <xf numFmtId="0" fontId="36" fillId="0" borderId="0" xfId="0" applyFont="1"/>
    <xf numFmtId="0" fontId="41" fillId="0" borderId="0" xfId="0" applyFont="1"/>
    <xf numFmtId="0" fontId="42" fillId="0" borderId="0" xfId="0" applyFont="1"/>
    <xf numFmtId="178" fontId="30" fillId="7" borderId="0" xfId="0" applyNumberFormat="1" applyFont="1" applyFill="1" applyAlignment="1">
      <alignment horizontal="center"/>
    </xf>
    <xf numFmtId="178" fontId="30" fillId="7" borderId="0" xfId="0" applyNumberFormat="1" applyFont="1" applyFill="1"/>
    <xf numFmtId="182" fontId="11" fillId="0" borderId="0" xfId="0" applyNumberFormat="1" applyFont="1"/>
    <xf numFmtId="178" fontId="11" fillId="0" borderId="0" xfId="0" applyNumberFormat="1" applyFont="1"/>
    <xf numFmtId="0" fontId="10" fillId="0" borderId="0" xfId="0" applyFont="1" applyAlignment="1">
      <alignment horizontal="center"/>
    </xf>
    <xf numFmtId="0" fontId="51" fillId="0" borderId="0" xfId="0" applyFont="1"/>
    <xf numFmtId="0" fontId="53" fillId="0" borderId="0" xfId="0" applyFont="1"/>
    <xf numFmtId="3" fontId="51" fillId="0" borderId="0" xfId="0" applyNumberFormat="1" applyFont="1"/>
    <xf numFmtId="0" fontId="53" fillId="0" borderId="23" xfId="0" applyFont="1" applyBorder="1"/>
    <xf numFmtId="0" fontId="51" fillId="0" borderId="24" xfId="0" applyFont="1" applyBorder="1" applyAlignment="1">
      <alignment horizontal="center"/>
    </xf>
    <xf numFmtId="3" fontId="51" fillId="0" borderId="24" xfId="0" applyNumberFormat="1" applyFont="1" applyBorder="1"/>
    <xf numFmtId="187" fontId="51" fillId="0" borderId="25" xfId="0" applyNumberFormat="1" applyFont="1" applyBorder="1" applyAlignment="1">
      <alignment horizontal="center"/>
    </xf>
    <xf numFmtId="0" fontId="53" fillId="18" borderId="26" xfId="0" applyFont="1" applyFill="1" applyBorder="1"/>
    <xf numFmtId="0" fontId="53" fillId="18" borderId="27" xfId="0" applyFont="1" applyFill="1" applyBorder="1" applyAlignment="1">
      <alignment horizontal="center"/>
    </xf>
    <xf numFmtId="3" fontId="53" fillId="18" borderId="27" xfId="0" applyNumberFormat="1" applyFont="1" applyFill="1" applyBorder="1"/>
    <xf numFmtId="187" fontId="53" fillId="18" borderId="28" xfId="0" applyNumberFormat="1" applyFont="1" applyFill="1" applyBorder="1" applyAlignment="1">
      <alignment horizontal="center"/>
    </xf>
    <xf numFmtId="3" fontId="51" fillId="0" borderId="25" xfId="0" applyNumberFormat="1" applyFont="1" applyBorder="1"/>
    <xf numFmtId="3" fontId="53" fillId="18" borderId="28" xfId="0" applyNumberFormat="1" applyFont="1" applyFill="1" applyBorder="1"/>
    <xf numFmtId="0" fontId="51" fillId="0" borderId="23" xfId="0" applyFont="1" applyBorder="1"/>
    <xf numFmtId="0" fontId="0" fillId="0" borderId="33" xfId="0" applyBorder="1" applyAlignment="1">
      <alignment horizontal="left"/>
    </xf>
    <xf numFmtId="0" fontId="0" fillId="0" borderId="29" xfId="0" applyBorder="1" applyAlignment="1">
      <alignment horizontal="left"/>
    </xf>
    <xf numFmtId="3" fontId="0" fillId="0" borderId="29" xfId="0" applyNumberFormat="1" applyBorder="1" applyAlignment="1">
      <alignment horizontal="center"/>
    </xf>
    <xf numFmtId="178" fontId="0" fillId="0" borderId="29" xfId="0" applyNumberFormat="1" applyBorder="1" applyAlignment="1">
      <alignment horizontal="center"/>
    </xf>
    <xf numFmtId="185" fontId="0" fillId="0" borderId="29" xfId="0" applyNumberFormat="1" applyBorder="1" applyAlignment="1">
      <alignment horizontal="center" vertical="center"/>
    </xf>
    <xf numFmtId="178" fontId="0" fillId="0" borderId="29" xfId="0" applyNumberFormat="1" applyBorder="1" applyAlignment="1">
      <alignment horizontal="center" vertical="center"/>
    </xf>
    <xf numFmtId="9" fontId="0" fillId="0" borderId="29" xfId="0" applyNumberFormat="1" applyBorder="1" applyAlignment="1">
      <alignment horizontal="center" vertical="center"/>
    </xf>
    <xf numFmtId="0" fontId="0" fillId="0" borderId="29" xfId="0" applyBorder="1"/>
    <xf numFmtId="185" fontId="0" fillId="0" borderId="29" xfId="0" applyNumberFormat="1" applyBorder="1" applyAlignment="1">
      <alignment horizontal="center"/>
    </xf>
    <xf numFmtId="0" fontId="0" fillId="0" borderId="33" xfId="0" applyBorder="1"/>
    <xf numFmtId="0" fontId="0" fillId="0" borderId="29" xfId="0" applyBorder="1" applyAlignment="1">
      <alignment horizontal="center"/>
    </xf>
    <xf numFmtId="9" fontId="0" fillId="0" borderId="29" xfId="0" applyNumberFormat="1" applyBorder="1" applyAlignment="1">
      <alignment horizontal="center"/>
    </xf>
    <xf numFmtId="16" fontId="0" fillId="0" borderId="29" xfId="0" applyNumberFormat="1" applyBorder="1" applyAlignment="1">
      <alignment horizontal="center"/>
    </xf>
    <xf numFmtId="41" fontId="1" fillId="0" borderId="29" xfId="4" applyBorder="1"/>
    <xf numFmtId="0" fontId="0" fillId="0" borderId="35" xfId="0" applyBorder="1"/>
    <xf numFmtId="0" fontId="0" fillId="0" borderId="36" xfId="0" applyBorder="1"/>
    <xf numFmtId="178" fontId="0" fillId="0" borderId="36" xfId="0" applyNumberFormat="1" applyBorder="1"/>
    <xf numFmtId="185" fontId="0" fillId="0" borderId="36" xfId="0" applyNumberFormat="1" applyBorder="1" applyAlignment="1">
      <alignment horizontal="center"/>
    </xf>
    <xf numFmtId="0" fontId="0" fillId="0" borderId="36" xfId="0" applyBorder="1" applyAlignment="1">
      <alignment horizontal="center"/>
    </xf>
    <xf numFmtId="0" fontId="56" fillId="0" borderId="30" xfId="0" applyFont="1" applyBorder="1" applyAlignment="1">
      <alignment horizontal="center" vertical="center"/>
    </xf>
    <xf numFmtId="0" fontId="56" fillId="0" borderId="31" xfId="0" applyFont="1" applyBorder="1" applyAlignment="1">
      <alignment horizontal="center" vertical="center"/>
    </xf>
    <xf numFmtId="0" fontId="56" fillId="0" borderId="31" xfId="0" applyFont="1" applyBorder="1" applyAlignment="1">
      <alignment horizontal="center" vertical="center" wrapText="1"/>
    </xf>
    <xf numFmtId="0" fontId="57" fillId="0" borderId="31" xfId="0" applyFont="1" applyBorder="1" applyAlignment="1">
      <alignment horizontal="center" vertical="center" wrapText="1"/>
    </xf>
    <xf numFmtId="0" fontId="57" fillId="19" borderId="31" xfId="0" applyFont="1" applyFill="1" applyBorder="1" applyAlignment="1">
      <alignment horizontal="center" vertical="center"/>
    </xf>
    <xf numFmtId="0" fontId="57" fillId="19" borderId="32" xfId="0" applyFont="1" applyFill="1" applyBorder="1" applyAlignment="1">
      <alignment horizontal="center" vertical="center"/>
    </xf>
    <xf numFmtId="0" fontId="59" fillId="0" borderId="29" xfId="0" applyFont="1" applyBorder="1" applyAlignment="1">
      <alignment horizontal="center"/>
    </xf>
    <xf numFmtId="0" fontId="59" fillId="0" borderId="34" xfId="0" applyFont="1" applyBorder="1" applyAlignment="1">
      <alignment horizontal="center"/>
    </xf>
    <xf numFmtId="0" fontId="59" fillId="0" borderId="36" xfId="0" applyFont="1" applyBorder="1" applyAlignment="1">
      <alignment horizontal="center"/>
    </xf>
    <xf numFmtId="0" fontId="59" fillId="0" borderId="37" xfId="0" applyFont="1" applyBorder="1" applyAlignment="1">
      <alignment horizontal="center"/>
    </xf>
    <xf numFmtId="3" fontId="60" fillId="0" borderId="29" xfId="4" applyNumberFormat="1" applyFont="1" applyBorder="1" applyAlignment="1">
      <alignment horizontal="right"/>
    </xf>
    <xf numFmtId="3" fontId="59" fillId="0" borderId="29" xfId="5" applyNumberFormat="1" applyFont="1" applyFill="1" applyBorder="1" applyAlignment="1">
      <alignment horizontal="right"/>
    </xf>
    <xf numFmtId="3" fontId="59" fillId="0" borderId="29" xfId="0" applyNumberFormat="1" applyFont="1" applyBorder="1" applyAlignment="1">
      <alignment horizontal="right"/>
    </xf>
    <xf numFmtId="3" fontId="59" fillId="0" borderId="36" xfId="0" applyNumberFormat="1" applyFont="1" applyBorder="1" applyAlignment="1">
      <alignment horizontal="right"/>
    </xf>
    <xf numFmtId="187" fontId="60" fillId="0" borderId="29" xfId="4" applyNumberFormat="1" applyFont="1" applyBorder="1" applyAlignment="1">
      <alignment horizontal="center"/>
    </xf>
    <xf numFmtId="187" fontId="59" fillId="0" borderId="29" xfId="0" applyNumberFormat="1" applyFont="1" applyBorder="1" applyAlignment="1">
      <alignment horizontal="center"/>
    </xf>
    <xf numFmtId="187" fontId="59" fillId="0" borderId="29" xfId="5" applyNumberFormat="1" applyFont="1" applyFill="1" applyBorder="1" applyAlignment="1">
      <alignment horizontal="center"/>
    </xf>
    <xf numFmtId="187" fontId="59" fillId="0" borderId="36" xfId="0" applyNumberFormat="1" applyFont="1" applyBorder="1" applyAlignment="1">
      <alignment horizontal="center"/>
    </xf>
    <xf numFmtId="185" fontId="59" fillId="0" borderId="29" xfId="0" applyNumberFormat="1" applyFont="1" applyBorder="1" applyAlignment="1">
      <alignment horizontal="center"/>
    </xf>
    <xf numFmtId="185" fontId="59" fillId="0" borderId="29" xfId="0" applyNumberFormat="1" applyFont="1" applyBorder="1" applyAlignment="1">
      <alignment horizontal="center" vertical="center" wrapText="1"/>
    </xf>
    <xf numFmtId="41" fontId="60" fillId="0" borderId="29" xfId="5" applyFont="1" applyFill="1" applyBorder="1" applyAlignment="1">
      <alignment horizontal="center"/>
    </xf>
    <xf numFmtId="41" fontId="0" fillId="0" borderId="29" xfId="5" applyFont="1" applyFill="1" applyBorder="1" applyAlignment="1">
      <alignment horizontal="center"/>
    </xf>
    <xf numFmtId="41" fontId="1" fillId="0" borderId="29" xfId="5" applyFont="1" applyFill="1" applyBorder="1"/>
    <xf numFmtId="41" fontId="60" fillId="0" borderId="29" xfId="5" applyFont="1" applyFill="1" applyBorder="1"/>
    <xf numFmtId="41" fontId="59" fillId="0" borderId="29" xfId="5" applyFont="1" applyFill="1" applyBorder="1" applyAlignment="1">
      <alignment horizontal="center"/>
    </xf>
    <xf numFmtId="41" fontId="59" fillId="0" borderId="29" xfId="5" applyFont="1" applyFill="1" applyBorder="1"/>
    <xf numFmtId="41" fontId="0" fillId="0" borderId="29" xfId="5" applyFont="1" applyFill="1" applyBorder="1"/>
    <xf numFmtId="41" fontId="59" fillId="0" borderId="36" xfId="5" applyFont="1" applyFill="1" applyBorder="1"/>
    <xf numFmtId="41" fontId="0" fillId="0" borderId="36" xfId="5" applyFont="1" applyFill="1" applyBorder="1"/>
    <xf numFmtId="0" fontId="57" fillId="19" borderId="31" xfId="0" applyFont="1" applyFill="1" applyBorder="1" applyAlignment="1">
      <alignment horizontal="center" vertical="center" wrapText="1"/>
    </xf>
    <xf numFmtId="41" fontId="60" fillId="0" borderId="29" xfId="5" applyFont="1" applyFill="1" applyBorder="1" applyAlignment="1">
      <alignment horizontal="right"/>
    </xf>
    <xf numFmtId="41" fontId="59" fillId="0" borderId="29" xfId="5" applyFont="1" applyFill="1" applyBorder="1" applyAlignment="1">
      <alignment horizontal="right"/>
    </xf>
    <xf numFmtId="41" fontId="59" fillId="0" borderId="36" xfId="5" applyFont="1" applyFill="1" applyBorder="1" applyAlignment="1">
      <alignment horizontal="right"/>
    </xf>
    <xf numFmtId="9" fontId="62" fillId="10" borderId="0" xfId="0" applyNumberFormat="1" applyFont="1" applyFill="1"/>
    <xf numFmtId="0" fontId="59" fillId="0" borderId="0" xfId="0" applyFont="1"/>
    <xf numFmtId="0" fontId="55" fillId="0" borderId="0" xfId="0" applyFont="1" applyAlignment="1">
      <alignment horizontal="center" vertical="center" wrapText="1"/>
    </xf>
    <xf numFmtId="0" fontId="64" fillId="0" borderId="0" xfId="0" applyFont="1" applyAlignment="1">
      <alignment horizontal="center" vertical="center"/>
    </xf>
    <xf numFmtId="177" fontId="64" fillId="0" borderId="0" xfId="0" applyNumberFormat="1" applyFont="1" applyAlignment="1">
      <alignment horizontal="center" vertical="center"/>
    </xf>
    <xf numFmtId="178" fontId="64" fillId="0" borderId="0" xfId="0" applyNumberFormat="1" applyFont="1" applyAlignment="1">
      <alignment horizontal="center" vertical="center"/>
    </xf>
    <xf numFmtId="179" fontId="64" fillId="0" borderId="0" xfId="0" applyNumberFormat="1" applyFont="1" applyAlignment="1">
      <alignment horizontal="center" vertical="center"/>
    </xf>
    <xf numFmtId="1" fontId="64" fillId="0" borderId="0" xfId="0" applyNumberFormat="1" applyFont="1" applyAlignment="1">
      <alignment horizontal="center" vertical="center"/>
    </xf>
    <xf numFmtId="0" fontId="53" fillId="20" borderId="20" xfId="0" applyFont="1" applyFill="1" applyBorder="1"/>
    <xf numFmtId="0" fontId="53" fillId="20" borderId="21" xfId="0" applyFont="1" applyFill="1" applyBorder="1" applyAlignment="1">
      <alignment horizontal="center"/>
    </xf>
    <xf numFmtId="0" fontId="53" fillId="20" borderId="22" xfId="0" applyFont="1" applyFill="1" applyBorder="1" applyAlignment="1">
      <alignment horizontal="center"/>
    </xf>
    <xf numFmtId="0" fontId="64" fillId="21" borderId="29" xfId="0" applyFont="1" applyFill="1" applyBorder="1" applyAlignment="1">
      <alignment horizontal="left" vertical="center"/>
    </xf>
    <xf numFmtId="0" fontId="53" fillId="10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12" borderId="0" xfId="0" applyFill="1"/>
    <xf numFmtId="0" fontId="0" fillId="0" borderId="24" xfId="0" applyBorder="1"/>
    <xf numFmtId="0" fontId="0" fillId="0" borderId="42" xfId="0" applyBorder="1"/>
    <xf numFmtId="0" fontId="65" fillId="19" borderId="0" xfId="0" applyFont="1" applyFill="1" applyAlignment="1">
      <alignment horizontal="center"/>
    </xf>
    <xf numFmtId="0" fontId="63" fillId="12" borderId="0" xfId="0" applyFont="1" applyFill="1"/>
    <xf numFmtId="41" fontId="59" fillId="0" borderId="0" xfId="5" applyFont="1"/>
    <xf numFmtId="0" fontId="53" fillId="13" borderId="0" xfId="0" applyFont="1" applyFill="1"/>
    <xf numFmtId="3" fontId="53" fillId="13" borderId="0" xfId="0" applyNumberFormat="1" applyFont="1" applyFill="1"/>
    <xf numFmtId="188" fontId="51" fillId="0" borderId="0" xfId="0" applyNumberFormat="1" applyFont="1"/>
    <xf numFmtId="0" fontId="51" fillId="17" borderId="0" xfId="0" applyFont="1" applyFill="1"/>
    <xf numFmtId="0" fontId="51" fillId="24" borderId="0" xfId="0" applyFont="1" applyFill="1"/>
    <xf numFmtId="0" fontId="71" fillId="0" borderId="0" xfId="0" applyFont="1"/>
    <xf numFmtId="3" fontId="51" fillId="24" borderId="0" xfId="0" applyNumberFormat="1" applyFont="1" applyFill="1"/>
    <xf numFmtId="0" fontId="51" fillId="25" borderId="0" xfId="0" applyFont="1" applyFill="1"/>
    <xf numFmtId="0" fontId="54" fillId="25" borderId="0" xfId="0" applyFont="1" applyFill="1"/>
    <xf numFmtId="190" fontId="51" fillId="0" borderId="0" xfId="0" applyNumberFormat="1" applyFont="1"/>
    <xf numFmtId="190" fontId="51" fillId="24" borderId="0" xfId="0" applyNumberFormat="1" applyFont="1" applyFill="1"/>
    <xf numFmtId="187" fontId="69" fillId="17" borderId="0" xfId="0" applyNumberFormat="1" applyFont="1" applyFill="1"/>
    <xf numFmtId="0" fontId="53" fillId="14" borderId="0" xfId="0" applyFont="1" applyFill="1"/>
    <xf numFmtId="0" fontId="69" fillId="14" borderId="0" xfId="0" applyFont="1" applyFill="1"/>
    <xf numFmtId="3" fontId="69" fillId="14" borderId="0" xfId="0" applyNumberFormat="1" applyFont="1" applyFill="1"/>
    <xf numFmtId="0" fontId="51" fillId="26" borderId="0" xfId="0" applyFont="1" applyFill="1"/>
    <xf numFmtId="3" fontId="51" fillId="26" borderId="0" xfId="0" applyNumberFormat="1" applyFont="1" applyFill="1"/>
    <xf numFmtId="187" fontId="51" fillId="26" borderId="0" xfId="0" applyNumberFormat="1" applyFont="1" applyFill="1"/>
    <xf numFmtId="190" fontId="51" fillId="26" borderId="0" xfId="0" applyNumberFormat="1" applyFont="1" applyFill="1"/>
    <xf numFmtId="188" fontId="51" fillId="26" borderId="0" xfId="0" applyNumberFormat="1" applyFont="1" applyFill="1"/>
    <xf numFmtId="0" fontId="51" fillId="27" borderId="0" xfId="0" applyFont="1" applyFill="1"/>
    <xf numFmtId="3" fontId="51" fillId="27" borderId="0" xfId="0" applyNumberFormat="1" applyFont="1" applyFill="1"/>
    <xf numFmtId="187" fontId="51" fillId="27" borderId="0" xfId="0" applyNumberFormat="1" applyFont="1" applyFill="1"/>
    <xf numFmtId="190" fontId="51" fillId="27" borderId="0" xfId="0" applyNumberFormat="1" applyFont="1" applyFill="1"/>
    <xf numFmtId="188" fontId="51" fillId="27" borderId="0" xfId="0" applyNumberFormat="1" applyFont="1" applyFill="1"/>
    <xf numFmtId="0" fontId="51" fillId="28" borderId="0" xfId="0" applyFont="1" applyFill="1"/>
    <xf numFmtId="3" fontId="51" fillId="28" borderId="0" xfId="0" applyNumberFormat="1" applyFont="1" applyFill="1"/>
    <xf numFmtId="187" fontId="51" fillId="28" borderId="0" xfId="0" applyNumberFormat="1" applyFont="1" applyFill="1"/>
    <xf numFmtId="190" fontId="51" fillId="28" borderId="0" xfId="0" applyNumberFormat="1" applyFont="1" applyFill="1"/>
    <xf numFmtId="188" fontId="51" fillId="28" borderId="0" xfId="0" applyNumberFormat="1" applyFont="1" applyFill="1"/>
    <xf numFmtId="0" fontId="51" fillId="17" borderId="0" xfId="0" applyFont="1" applyFill="1" applyAlignment="1">
      <alignment wrapText="1"/>
    </xf>
    <xf numFmtId="0" fontId="51" fillId="15" borderId="46" xfId="0" applyFont="1" applyFill="1" applyBorder="1" applyAlignment="1">
      <alignment wrapText="1"/>
    </xf>
    <xf numFmtId="0" fontId="51" fillId="15" borderId="47" xfId="0" applyFont="1" applyFill="1" applyBorder="1" applyAlignment="1">
      <alignment wrapText="1"/>
    </xf>
    <xf numFmtId="0" fontId="51" fillId="17" borderId="47" xfId="0" applyFont="1" applyFill="1" applyBorder="1" applyAlignment="1">
      <alignment wrapText="1"/>
    </xf>
    <xf numFmtId="0" fontId="51" fillId="14" borderId="47" xfId="0" applyFont="1" applyFill="1" applyBorder="1" applyAlignment="1">
      <alignment wrapText="1"/>
    </xf>
    <xf numFmtId="41" fontId="72" fillId="25" borderId="0" xfId="5" applyFont="1" applyFill="1"/>
    <xf numFmtId="0" fontId="53" fillId="19" borderId="0" xfId="0" applyFont="1" applyFill="1" applyAlignment="1">
      <alignment horizontal="center"/>
    </xf>
    <xf numFmtId="0" fontId="74" fillId="0" borderId="0" xfId="0" applyFont="1"/>
    <xf numFmtId="190" fontId="65" fillId="14" borderId="0" xfId="0" applyNumberFormat="1" applyFont="1" applyFill="1"/>
    <xf numFmtId="3" fontId="75" fillId="14" borderId="0" xfId="0" applyNumberFormat="1" applyFont="1" applyFill="1"/>
    <xf numFmtId="0" fontId="61" fillId="14" borderId="0" xfId="0" applyFont="1" applyFill="1"/>
    <xf numFmtId="0" fontId="76" fillId="10" borderId="0" xfId="0" applyFont="1" applyFill="1"/>
    <xf numFmtId="0" fontId="51" fillId="10" borderId="0" xfId="0" applyFont="1" applyFill="1"/>
    <xf numFmtId="41" fontId="72" fillId="10" borderId="0" xfId="5" applyFont="1" applyFill="1"/>
    <xf numFmtId="0" fontId="54" fillId="10" borderId="0" xfId="0" applyFont="1" applyFill="1"/>
    <xf numFmtId="0" fontId="53" fillId="10" borderId="0" xfId="0" applyFont="1" applyFill="1"/>
    <xf numFmtId="3" fontId="75" fillId="10" borderId="0" xfId="0" applyNumberFormat="1" applyFont="1" applyFill="1"/>
    <xf numFmtId="0" fontId="61" fillId="10" borderId="0" xfId="0" applyFont="1" applyFill="1"/>
    <xf numFmtId="0" fontId="59" fillId="10" borderId="0" xfId="0" applyFont="1" applyFill="1"/>
    <xf numFmtId="176" fontId="50" fillId="2" borderId="0" xfId="0" applyNumberFormat="1" applyFont="1" applyFill="1" applyAlignment="1">
      <alignment horizontal="center"/>
    </xf>
    <xf numFmtId="0" fontId="73" fillId="25" borderId="0" xfId="0" applyFont="1" applyFill="1"/>
    <xf numFmtId="0" fontId="53" fillId="23" borderId="49" xfId="0" applyFont="1" applyFill="1" applyBorder="1"/>
    <xf numFmtId="3" fontId="72" fillId="23" borderId="49" xfId="5" applyNumberFormat="1" applyFont="1" applyFill="1" applyBorder="1"/>
    <xf numFmtId="0" fontId="73" fillId="23" borderId="49" xfId="0" applyFont="1" applyFill="1" applyBorder="1"/>
    <xf numFmtId="188" fontId="72" fillId="25" borderId="0" xfId="5" applyNumberFormat="1" applyFont="1" applyFill="1"/>
    <xf numFmtId="188" fontId="77" fillId="24" borderId="0" xfId="0" applyNumberFormat="1" applyFont="1" applyFill="1"/>
    <xf numFmtId="0" fontId="78" fillId="10" borderId="0" xfId="0" applyFont="1" applyFill="1"/>
    <xf numFmtId="0" fontId="79" fillId="10" borderId="0" xfId="0" applyFont="1" applyFill="1"/>
    <xf numFmtId="0" fontId="80" fillId="10" borderId="0" xfId="0" applyFont="1" applyFill="1"/>
    <xf numFmtId="3" fontId="51" fillId="26" borderId="0" xfId="0" applyNumberFormat="1" applyFont="1" applyFill="1" applyAlignment="1">
      <alignment horizontal="center" vertical="center"/>
    </xf>
    <xf numFmtId="3" fontId="51" fillId="27" borderId="0" xfId="0" applyNumberFormat="1" applyFont="1" applyFill="1" applyAlignment="1">
      <alignment horizontal="center" vertical="center"/>
    </xf>
    <xf numFmtId="3" fontId="51" fillId="28" borderId="0" xfId="0" applyNumberFormat="1" applyFont="1" applyFill="1" applyAlignment="1">
      <alignment horizontal="center" vertical="center"/>
    </xf>
    <xf numFmtId="0" fontId="51" fillId="26" borderId="0" xfId="0" applyFont="1" applyFill="1" applyAlignment="1">
      <alignment horizontal="center" vertical="center"/>
    </xf>
    <xf numFmtId="0" fontId="51" fillId="27" borderId="0" xfId="0" applyFont="1" applyFill="1" applyAlignment="1">
      <alignment horizontal="center" vertical="center"/>
    </xf>
    <xf numFmtId="0" fontId="51" fillId="28" borderId="0" xfId="0" applyFont="1" applyFill="1" applyAlignment="1">
      <alignment horizontal="center" vertical="center"/>
    </xf>
    <xf numFmtId="0" fontId="53" fillId="19" borderId="0" xfId="0" applyFont="1" applyFill="1" applyAlignment="1">
      <alignment horizontal="center" wrapText="1"/>
    </xf>
    <xf numFmtId="0" fontId="65" fillId="19" borderId="0" xfId="0" applyFont="1" applyFill="1" applyAlignment="1">
      <alignment horizontal="center" vertical="center" wrapText="1"/>
    </xf>
    <xf numFmtId="0" fontId="53" fillId="19" borderId="0" xfId="0" applyFont="1" applyFill="1" applyAlignment="1">
      <alignment horizontal="center" vertical="center" wrapText="1"/>
    </xf>
    <xf numFmtId="0" fontId="65" fillId="19" borderId="0" xfId="0" applyFont="1" applyFill="1" applyAlignment="1">
      <alignment horizontal="left"/>
    </xf>
    <xf numFmtId="0" fontId="51" fillId="17" borderId="0" xfId="0" applyFont="1" applyFill="1" applyAlignment="1">
      <alignment horizontal="left"/>
    </xf>
    <xf numFmtId="0" fontId="51" fillId="15" borderId="47" xfId="0" applyFont="1" applyFill="1" applyBorder="1" applyAlignment="1">
      <alignment horizontal="left"/>
    </xf>
    <xf numFmtId="0" fontId="51" fillId="17" borderId="47" xfId="0" applyFont="1" applyFill="1" applyBorder="1" applyAlignment="1">
      <alignment horizontal="left"/>
    </xf>
    <xf numFmtId="0" fontId="51" fillId="14" borderId="47" xfId="0" applyFont="1" applyFill="1" applyBorder="1" applyAlignment="1">
      <alignment horizontal="left"/>
    </xf>
    <xf numFmtId="0" fontId="51" fillId="15" borderId="46" xfId="0" applyFont="1" applyFill="1" applyBorder="1" applyAlignment="1">
      <alignment horizontal="left"/>
    </xf>
    <xf numFmtId="0" fontId="65" fillId="19" borderId="0" xfId="0" applyFont="1" applyFill="1" applyAlignment="1">
      <alignment horizontal="center" vertical="center"/>
    </xf>
    <xf numFmtId="0" fontId="81" fillId="29" borderId="48" xfId="0" applyFont="1" applyFill="1" applyBorder="1"/>
    <xf numFmtId="3" fontId="85" fillId="10" borderId="0" xfId="0" applyNumberFormat="1" applyFont="1" applyFill="1"/>
    <xf numFmtId="0" fontId="53" fillId="0" borderId="0" xfId="0" applyFont="1" applyAlignment="1">
      <alignment horizontal="right"/>
    </xf>
    <xf numFmtId="0" fontId="65" fillId="10" borderId="0" xfId="0" applyFont="1" applyFill="1"/>
    <xf numFmtId="0" fontId="68" fillId="10" borderId="0" xfId="0" applyFont="1" applyFill="1"/>
    <xf numFmtId="3" fontId="82" fillId="0" borderId="0" xfId="0" applyNumberFormat="1" applyFont="1" applyAlignment="1">
      <alignment horizontal="center"/>
    </xf>
    <xf numFmtId="191" fontId="84" fillId="0" borderId="0" xfId="0" applyNumberFormat="1" applyFont="1" applyAlignment="1">
      <alignment horizontal="center"/>
    </xf>
    <xf numFmtId="9" fontId="82" fillId="0" borderId="0" xfId="0" applyNumberFormat="1" applyFont="1" applyAlignment="1">
      <alignment horizontal="center"/>
    </xf>
    <xf numFmtId="3" fontId="84" fillId="0" borderId="0" xfId="0" applyNumberFormat="1" applyFont="1" applyAlignment="1">
      <alignment horizontal="center"/>
    </xf>
    <xf numFmtId="0" fontId="53" fillId="14" borderId="0" xfId="0" applyFont="1" applyFill="1" applyAlignment="1">
      <alignment horizontal="center"/>
    </xf>
    <xf numFmtId="0" fontId="67" fillId="0" borderId="0" xfId="0" applyFont="1"/>
    <xf numFmtId="3" fontId="51" fillId="0" borderId="0" xfId="0" applyNumberFormat="1" applyFont="1" applyAlignment="1">
      <alignment horizontal="left"/>
    </xf>
    <xf numFmtId="3" fontId="86" fillId="0" borderId="0" xfId="0" applyNumberFormat="1" applyFont="1" applyAlignment="1">
      <alignment horizontal="right"/>
    </xf>
    <xf numFmtId="178" fontId="87" fillId="0" borderId="0" xfId="0" applyNumberFormat="1" applyFont="1" applyAlignment="1">
      <alignment horizontal="right"/>
    </xf>
    <xf numFmtId="178" fontId="86" fillId="0" borderId="0" xfId="0" applyNumberFormat="1" applyFont="1" applyAlignment="1">
      <alignment horizontal="right"/>
    </xf>
    <xf numFmtId="178" fontId="87" fillId="15" borderId="0" xfId="0" applyNumberFormat="1" applyFont="1" applyFill="1" applyAlignment="1">
      <alignment horizontal="right"/>
    </xf>
    <xf numFmtId="178" fontId="53" fillId="16" borderId="0" xfId="0" applyNumberFormat="1" applyFont="1" applyFill="1" applyAlignment="1">
      <alignment horizontal="left"/>
    </xf>
    <xf numFmtId="0" fontId="54" fillId="0" borderId="0" xfId="0" applyFont="1" applyAlignment="1">
      <alignment horizontal="left"/>
    </xf>
    <xf numFmtId="41" fontId="53" fillId="10" borderId="0" xfId="5" applyFont="1" applyFill="1" applyBorder="1" applyAlignment="1">
      <alignment horizontal="right"/>
    </xf>
    <xf numFmtId="41" fontId="51" fillId="0" borderId="0" xfId="5" applyFont="1" applyBorder="1" applyAlignment="1">
      <alignment horizontal="right"/>
    </xf>
    <xf numFmtId="41" fontId="53" fillId="0" borderId="0" xfId="5" applyFont="1" applyBorder="1" applyAlignment="1">
      <alignment horizontal="right"/>
    </xf>
    <xf numFmtId="41" fontId="83" fillId="15" borderId="0" xfId="5" applyFont="1" applyFill="1" applyBorder="1" applyAlignment="1">
      <alignment horizontal="right"/>
    </xf>
    <xf numFmtId="41" fontId="51" fillId="10" borderId="0" xfId="5" applyFont="1" applyFill="1" applyBorder="1" applyAlignment="1">
      <alignment horizontal="right"/>
    </xf>
    <xf numFmtId="41" fontId="53" fillId="16" borderId="0" xfId="5" applyFont="1" applyFill="1" applyBorder="1" applyAlignment="1">
      <alignment horizontal="right"/>
    </xf>
    <xf numFmtId="41" fontId="54" fillId="0" borderId="0" xfId="5" applyFont="1" applyBorder="1" applyAlignment="1">
      <alignment horizontal="right"/>
    </xf>
    <xf numFmtId="191" fontId="84" fillId="10" borderId="0" xfId="0" applyNumberFormat="1" applyFont="1" applyFill="1" applyAlignment="1">
      <alignment horizontal="center"/>
    </xf>
    <xf numFmtId="41" fontId="0" fillId="0" borderId="0" xfId="5" applyFont="1" applyAlignment="1">
      <alignment horizontal="right"/>
    </xf>
    <xf numFmtId="41" fontId="82" fillId="0" borderId="0" xfId="5" applyFont="1" applyAlignment="1">
      <alignment horizontal="right"/>
    </xf>
    <xf numFmtId="41" fontId="0" fillId="2" borderId="0" xfId="5" applyFont="1" applyFill="1" applyAlignment="1">
      <alignment horizontal="center"/>
    </xf>
    <xf numFmtId="41" fontId="0" fillId="0" borderId="0" xfId="5" applyFont="1" applyAlignment="1">
      <alignment horizontal="center"/>
    </xf>
    <xf numFmtId="41" fontId="0" fillId="31" borderId="17" xfId="5" applyFont="1" applyFill="1" applyBorder="1" applyAlignment="1">
      <alignment horizontal="center"/>
    </xf>
    <xf numFmtId="41" fontId="0" fillId="31" borderId="18" xfId="5" applyFont="1" applyFill="1" applyBorder="1" applyAlignment="1">
      <alignment horizontal="center"/>
    </xf>
    <xf numFmtId="41" fontId="0" fillId="31" borderId="0" xfId="5" applyFont="1" applyFill="1" applyBorder="1" applyAlignment="1">
      <alignment horizontal="center"/>
    </xf>
    <xf numFmtId="41" fontId="0" fillId="31" borderId="19" xfId="5" applyFont="1" applyFill="1" applyBorder="1"/>
    <xf numFmtId="41" fontId="0" fillId="31" borderId="19" xfId="5" applyFont="1" applyFill="1" applyBorder="1" applyAlignment="1">
      <alignment horizontal="center"/>
    </xf>
    <xf numFmtId="41" fontId="0" fillId="31" borderId="16" xfId="5" applyFont="1" applyFill="1" applyBorder="1" applyAlignment="1">
      <alignment horizontal="center"/>
    </xf>
    <xf numFmtId="41" fontId="0" fillId="31" borderId="14" xfId="5" applyFont="1" applyFill="1" applyBorder="1" applyAlignment="1">
      <alignment horizontal="center"/>
    </xf>
    <xf numFmtId="41" fontId="0" fillId="31" borderId="15" xfId="5" applyFont="1" applyFill="1" applyBorder="1"/>
    <xf numFmtId="41" fontId="51" fillId="15" borderId="0" xfId="5" applyFont="1" applyFill="1" applyBorder="1" applyAlignment="1">
      <alignment horizontal="right"/>
    </xf>
    <xf numFmtId="0" fontId="63" fillId="12" borderId="0" xfId="0" applyFont="1" applyFill="1" applyAlignment="1">
      <alignment horizontal="center"/>
    </xf>
    <xf numFmtId="0" fontId="70" fillId="10" borderId="0" xfId="0" applyFont="1" applyFill="1"/>
    <xf numFmtId="0" fontId="71" fillId="10" borderId="0" xfId="0" applyFont="1" applyFill="1"/>
    <xf numFmtId="0" fontId="63" fillId="22" borderId="0" xfId="0" applyFont="1" applyFill="1"/>
    <xf numFmtId="17" fontId="51" fillId="0" borderId="0" xfId="0" applyNumberFormat="1" applyFont="1"/>
    <xf numFmtId="187" fontId="51" fillId="0" borderId="0" xfId="0" applyNumberFormat="1" applyFont="1"/>
    <xf numFmtId="189" fontId="51" fillId="0" borderId="0" xfId="0" applyNumberFormat="1" applyFont="1"/>
    <xf numFmtId="188" fontId="53" fillId="13" borderId="0" xfId="0" applyNumberFormat="1" applyFont="1" applyFill="1"/>
    <xf numFmtId="189" fontId="53" fillId="13" borderId="0" xfId="0" applyNumberFormat="1" applyFont="1" applyFill="1"/>
    <xf numFmtId="187" fontId="51" fillId="24" borderId="0" xfId="0" applyNumberFormat="1" applyFont="1" applyFill="1"/>
    <xf numFmtId="187" fontId="53" fillId="13" borderId="0" xfId="0" applyNumberFormat="1" applyFont="1" applyFill="1"/>
    <xf numFmtId="3" fontId="51" fillId="17" borderId="0" xfId="0" applyNumberFormat="1" applyFont="1" applyFill="1"/>
    <xf numFmtId="188" fontId="51" fillId="17" borderId="0" xfId="0" applyNumberFormat="1" applyFont="1" applyFill="1"/>
    <xf numFmtId="188" fontId="69" fillId="17" borderId="0" xfId="0" applyNumberFormat="1" applyFont="1" applyFill="1"/>
    <xf numFmtId="184" fontId="51" fillId="17" borderId="0" xfId="0" applyNumberFormat="1" applyFont="1" applyFill="1"/>
    <xf numFmtId="184" fontId="51" fillId="0" borderId="0" xfId="0" applyNumberFormat="1" applyFont="1"/>
    <xf numFmtId="188" fontId="51" fillId="24" borderId="0" xfId="0" applyNumberFormat="1" applyFont="1" applyFill="1"/>
    <xf numFmtId="184" fontId="51" fillId="24" borderId="0" xfId="0" applyNumberFormat="1" applyFont="1" applyFill="1"/>
    <xf numFmtId="3" fontId="50" fillId="13" borderId="0" xfId="0" applyNumberFormat="1" applyFont="1" applyFill="1"/>
    <xf numFmtId="188" fontId="50" fillId="13" borderId="0" xfId="0" applyNumberFormat="1" applyFont="1" applyFill="1"/>
    <xf numFmtId="0" fontId="50" fillId="13" borderId="0" xfId="0" applyFont="1" applyFill="1"/>
    <xf numFmtId="0" fontId="0" fillId="0" borderId="0" xfId="0" pivotButton="1"/>
    <xf numFmtId="49" fontId="64" fillId="0" borderId="0" xfId="0" applyNumberFormat="1" applyFont="1" applyAlignment="1">
      <alignment horizontal="center" vertical="center"/>
    </xf>
    <xf numFmtId="0" fontId="0" fillId="0" borderId="33" xfId="0" applyBorder="1" applyAlignment="1">
      <alignment horizontal="center"/>
    </xf>
    <xf numFmtId="0" fontId="59" fillId="0" borderId="0" xfId="0" applyFont="1" applyAlignment="1">
      <alignment horizontal="center"/>
    </xf>
    <xf numFmtId="178" fontId="0" fillId="0" borderId="0" xfId="0" applyNumberFormat="1" applyAlignment="1">
      <alignment horizontal="center"/>
    </xf>
    <xf numFmtId="0" fontId="88" fillId="0" borderId="0" xfId="0" applyFont="1"/>
    <xf numFmtId="0" fontId="89" fillId="0" borderId="0" xfId="0" applyFont="1"/>
    <xf numFmtId="0" fontId="90" fillId="12" borderId="0" xfId="0" applyFont="1" applyFill="1"/>
    <xf numFmtId="0" fontId="50" fillId="13" borderId="0" xfId="0" applyFont="1" applyFill="1" applyAlignment="1">
      <alignment horizontal="center"/>
    </xf>
    <xf numFmtId="0" fontId="0" fillId="13" borderId="0" xfId="0" applyFill="1"/>
    <xf numFmtId="0" fontId="0" fillId="32" borderId="0" xfId="0" applyFill="1"/>
    <xf numFmtId="0" fontId="0" fillId="32" borderId="0" xfId="0" applyFill="1" applyAlignment="1">
      <alignment horizontal="center"/>
    </xf>
    <xf numFmtId="0" fontId="84" fillId="0" borderId="0" xfId="0" applyFont="1"/>
    <xf numFmtId="0" fontId="91" fillId="0" borderId="0" xfId="0" applyFont="1" applyAlignment="1">
      <alignment horizontal="center"/>
    </xf>
    <xf numFmtId="187" fontId="0" fillId="0" borderId="0" xfId="0" applyNumberFormat="1" applyAlignment="1">
      <alignment horizontal="center"/>
    </xf>
    <xf numFmtId="0" fontId="92" fillId="0" borderId="0" xfId="0" applyFont="1"/>
    <xf numFmtId="0" fontId="93" fillId="0" borderId="0" xfId="0" applyFont="1" applyAlignment="1">
      <alignment horizontal="center"/>
    </xf>
    <xf numFmtId="0" fontId="84" fillId="0" borderId="0" xfId="0" applyFont="1" applyAlignment="1">
      <alignment horizontal="center"/>
    </xf>
    <xf numFmtId="0" fontId="94" fillId="0" borderId="0" xfId="0" applyFont="1"/>
    <xf numFmtId="0" fontId="95" fillId="0" borderId="0" xfId="0" applyFont="1"/>
    <xf numFmtId="0" fontId="95" fillId="18" borderId="38" xfId="0" applyFont="1" applyFill="1" applyBorder="1" applyAlignment="1">
      <alignment horizontal="center"/>
    </xf>
    <xf numFmtId="0" fontId="50" fillId="18" borderId="39" xfId="0" applyFont="1" applyFill="1" applyBorder="1" applyAlignment="1">
      <alignment horizontal="center"/>
    </xf>
    <xf numFmtId="0" fontId="0" fillId="18" borderId="39" xfId="0" applyFill="1" applyBorder="1"/>
    <xf numFmtId="0" fontId="50" fillId="18" borderId="40" xfId="0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24" xfId="0" applyBorder="1" applyAlignment="1">
      <alignment horizontal="center"/>
    </xf>
    <xf numFmtId="192" fontId="0" fillId="0" borderId="24" xfId="0" applyNumberFormat="1" applyBorder="1"/>
    <xf numFmtId="3" fontId="0" fillId="0" borderId="24" xfId="0" applyNumberFormat="1" applyBorder="1"/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4" xfId="0" applyBorder="1"/>
    <xf numFmtId="192" fontId="0" fillId="0" borderId="44" xfId="0" applyNumberFormat="1" applyBorder="1"/>
    <xf numFmtId="3" fontId="0" fillId="0" borderId="44" xfId="0" applyNumberFormat="1" applyBorder="1"/>
    <xf numFmtId="0" fontId="0" fillId="0" borderId="45" xfId="0" applyBorder="1"/>
    <xf numFmtId="193" fontId="0" fillId="0" borderId="24" xfId="0" applyNumberFormat="1" applyBorder="1" applyAlignment="1">
      <alignment horizontal="center"/>
    </xf>
    <xf numFmtId="193" fontId="0" fillId="0" borderId="44" xfId="0" applyNumberFormat="1" applyBorder="1" applyAlignment="1">
      <alignment horizontal="center"/>
    </xf>
    <xf numFmtId="20" fontId="0" fillId="0" borderId="24" xfId="0" applyNumberFormat="1" applyBorder="1"/>
    <xf numFmtId="20" fontId="0" fillId="0" borderId="44" xfId="0" applyNumberFormat="1" applyBorder="1"/>
    <xf numFmtId="41" fontId="10" fillId="0" borderId="0" xfId="5" applyFont="1"/>
    <xf numFmtId="0" fontId="2" fillId="10" borderId="0" xfId="0" applyFont="1" applyFill="1"/>
    <xf numFmtId="0" fontId="97" fillId="10" borderId="0" xfId="0" applyFont="1" applyFill="1" applyAlignment="1">
      <alignment horizontal="center" vertical="center"/>
    </xf>
    <xf numFmtId="0" fontId="98" fillId="10" borderId="0" xfId="0" applyFont="1" applyFill="1"/>
    <xf numFmtId="0" fontId="99" fillId="10" borderId="0" xfId="0" applyFont="1" applyFill="1" applyAlignment="1">
      <alignment horizontal="left" vertical="center"/>
    </xf>
    <xf numFmtId="0" fontId="100" fillId="10" borderId="0" xfId="0" applyFont="1" applyFill="1"/>
    <xf numFmtId="0" fontId="101" fillId="10" borderId="0" xfId="0" applyFont="1" applyFill="1"/>
    <xf numFmtId="0" fontId="102" fillId="10" borderId="0" xfId="0" applyFont="1" applyFill="1"/>
    <xf numFmtId="0" fontId="50" fillId="10" borderId="0" xfId="0" applyFont="1" applyFill="1"/>
    <xf numFmtId="0" fontId="103" fillId="10" borderId="0" xfId="0" applyFont="1" applyFill="1"/>
    <xf numFmtId="0" fontId="104" fillId="10" borderId="0" xfId="0" applyFont="1" applyFill="1" applyAlignment="1">
      <alignment horizontal="center" vertical="center"/>
    </xf>
    <xf numFmtId="0" fontId="98" fillId="10" borderId="0" xfId="0" applyFont="1" applyFill="1" applyAlignment="1">
      <alignment horizontal="center" vertical="center"/>
    </xf>
    <xf numFmtId="0" fontId="105" fillId="10" borderId="10" xfId="0" applyFont="1" applyFill="1" applyBorder="1" applyAlignment="1">
      <alignment horizontal="center"/>
    </xf>
    <xf numFmtId="0" fontId="0" fillId="10" borderId="10" xfId="0" applyFill="1" applyBorder="1"/>
    <xf numFmtId="0" fontId="106" fillId="10" borderId="0" xfId="0" applyFont="1" applyFill="1"/>
    <xf numFmtId="3" fontId="107" fillId="10" borderId="0" xfId="0" applyNumberFormat="1" applyFont="1" applyFill="1" applyAlignment="1">
      <alignment horizontal="center" vertical="center"/>
    </xf>
    <xf numFmtId="3" fontId="108" fillId="10" borderId="0" xfId="0" applyNumberFormat="1" applyFont="1" applyFill="1" applyAlignment="1">
      <alignment horizontal="center" vertical="center"/>
    </xf>
    <xf numFmtId="0" fontId="109" fillId="10" borderId="0" xfId="0" applyFont="1" applyFill="1" applyAlignment="1">
      <alignment horizontal="center" vertical="top"/>
    </xf>
    <xf numFmtId="0" fontId="110" fillId="10" borderId="0" xfId="0" applyFont="1" applyFill="1"/>
    <xf numFmtId="0" fontId="0" fillId="10" borderId="11" xfId="0" applyFill="1" applyBorder="1"/>
    <xf numFmtId="0" fontId="106" fillId="10" borderId="0" xfId="0" applyFont="1" applyFill="1" applyAlignment="1">
      <alignment horizontal="left" vertical="center"/>
    </xf>
    <xf numFmtId="164" fontId="10" fillId="10" borderId="0" xfId="0" applyNumberFormat="1" applyFont="1" applyFill="1" applyAlignment="1">
      <alignment horizontal="center" vertical="center"/>
    </xf>
    <xf numFmtId="165" fontId="10" fillId="10" borderId="0" xfId="0" applyNumberFormat="1" applyFont="1" applyFill="1" applyAlignment="1">
      <alignment horizontal="center" vertical="center"/>
    </xf>
    <xf numFmtId="166" fontId="10" fillId="10" borderId="0" xfId="0" applyNumberFormat="1" applyFont="1" applyFill="1" applyAlignment="1">
      <alignment horizontal="center" vertical="center"/>
    </xf>
    <xf numFmtId="167" fontId="10" fillId="10" borderId="0" xfId="0" applyNumberFormat="1" applyFont="1" applyFill="1" applyAlignment="1">
      <alignment horizontal="center" vertical="center"/>
    </xf>
    <xf numFmtId="168" fontId="10" fillId="10" borderId="0" xfId="0" applyNumberFormat="1" applyFont="1" applyFill="1" applyAlignment="1">
      <alignment horizontal="center" vertical="center"/>
    </xf>
    <xf numFmtId="169" fontId="10" fillId="10" borderId="0" xfId="0" applyNumberFormat="1" applyFont="1" applyFill="1" applyAlignment="1">
      <alignment horizontal="center" vertical="center"/>
    </xf>
    <xf numFmtId="170" fontId="10" fillId="10" borderId="0" xfId="0" applyNumberFormat="1" applyFont="1" applyFill="1" applyAlignment="1">
      <alignment horizontal="center" vertical="center"/>
    </xf>
    <xf numFmtId="171" fontId="10" fillId="10" borderId="0" xfId="0" applyNumberFormat="1" applyFont="1" applyFill="1" applyAlignment="1">
      <alignment horizontal="center" vertical="center"/>
    </xf>
    <xf numFmtId="172" fontId="10" fillId="10" borderId="0" xfId="0" applyNumberFormat="1" applyFont="1" applyFill="1" applyAlignment="1">
      <alignment horizontal="center" vertical="center"/>
    </xf>
    <xf numFmtId="173" fontId="10" fillId="10" borderId="0" xfId="0" applyNumberFormat="1" applyFont="1" applyFill="1" applyAlignment="1">
      <alignment horizontal="center" vertical="center"/>
    </xf>
    <xf numFmtId="174" fontId="10" fillId="10" borderId="0" xfId="0" applyNumberFormat="1" applyFont="1" applyFill="1" applyAlignment="1">
      <alignment horizontal="center" vertical="center"/>
    </xf>
    <xf numFmtId="175" fontId="10" fillId="10" borderId="0" xfId="0" applyNumberFormat="1" applyFont="1" applyFill="1" applyAlignment="1">
      <alignment horizontal="center" vertical="center"/>
    </xf>
    <xf numFmtId="0" fontId="102" fillId="10" borderId="0" xfId="0" applyFont="1" applyFill="1" applyAlignment="1">
      <alignment horizontal="left"/>
    </xf>
    <xf numFmtId="0" fontId="50" fillId="10" borderId="0" xfId="0" applyFont="1" applyFill="1" applyAlignment="1">
      <alignment horizontal="left"/>
    </xf>
    <xf numFmtId="0" fontId="111" fillId="10" borderId="0" xfId="0" applyFont="1" applyFill="1"/>
    <xf numFmtId="0" fontId="112" fillId="10" borderId="0" xfId="0" applyFont="1" applyFill="1"/>
    <xf numFmtId="194" fontId="10" fillId="0" borderId="0" xfId="5" applyNumberFormat="1" applyFont="1"/>
    <xf numFmtId="0" fontId="0" fillId="0" borderId="0" xfId="0" applyAlignment="1">
      <alignment horizontal="left" indent="1"/>
    </xf>
    <xf numFmtId="41" fontId="0" fillId="0" borderId="0" xfId="0" applyNumberFormat="1"/>
    <xf numFmtId="41" fontId="65" fillId="0" borderId="0" xfId="0" applyNumberFormat="1" applyFont="1"/>
    <xf numFmtId="0" fontId="96" fillId="10" borderId="13" xfId="0" applyFont="1" applyFill="1" applyBorder="1" applyAlignment="1">
      <alignment horizontal="center" vertical="center"/>
    </xf>
    <xf numFmtId="0" fontId="96" fillId="10" borderId="12" xfId="0" applyFont="1" applyFill="1" applyBorder="1" applyAlignment="1">
      <alignment horizontal="center" vertical="center"/>
    </xf>
    <xf numFmtId="0" fontId="6" fillId="36" borderId="0" xfId="0" applyFont="1" applyFill="1" applyAlignment="1">
      <alignment horizontal="center"/>
    </xf>
    <xf numFmtId="0" fontId="6" fillId="22" borderId="0" xfId="0" applyFont="1" applyFill="1" applyAlignment="1">
      <alignment horizontal="center"/>
    </xf>
    <xf numFmtId="0" fontId="6" fillId="33" borderId="0" xfId="0" applyFont="1" applyFill="1" applyAlignment="1">
      <alignment horizontal="center"/>
    </xf>
    <xf numFmtId="0" fontId="6" fillId="34" borderId="0" xfId="0" applyFont="1" applyFill="1" applyAlignment="1">
      <alignment horizontal="center"/>
    </xf>
    <xf numFmtId="0" fontId="6" fillId="35" borderId="0" xfId="0" applyFont="1" applyFill="1" applyAlignment="1">
      <alignment horizontal="center"/>
    </xf>
    <xf numFmtId="0" fontId="63" fillId="12" borderId="0" xfId="0" applyFont="1" applyFill="1" applyAlignment="1">
      <alignment horizontal="left"/>
    </xf>
    <xf numFmtId="0" fontId="63" fillId="22" borderId="0" xfId="0" applyFont="1" applyFill="1" applyAlignment="1">
      <alignment horizontal="center"/>
    </xf>
    <xf numFmtId="0" fontId="63" fillId="12" borderId="0" xfId="0" applyFont="1" applyFill="1" applyAlignment="1">
      <alignment horizontal="center"/>
    </xf>
    <xf numFmtId="0" fontId="63" fillId="30" borderId="0" xfId="0" applyFont="1" applyFill="1" applyAlignment="1">
      <alignment horizontal="center"/>
    </xf>
    <xf numFmtId="0" fontId="53" fillId="29" borderId="50" xfId="0" applyFont="1" applyFill="1" applyBorder="1" applyAlignment="1">
      <alignment horizontal="center"/>
    </xf>
    <xf numFmtId="0" fontId="53" fillId="29" borderId="51" xfId="0" applyFont="1" applyFill="1" applyBorder="1" applyAlignment="1">
      <alignment horizontal="center"/>
    </xf>
    <xf numFmtId="0" fontId="53" fillId="29" borderId="52" xfId="0" applyFont="1" applyFill="1" applyBorder="1" applyAlignment="1">
      <alignment horizontal="center"/>
    </xf>
    <xf numFmtId="0" fontId="66" fillId="12" borderId="0" xfId="0" applyFont="1" applyFill="1" applyAlignment="1">
      <alignment horizontal="center"/>
    </xf>
    <xf numFmtId="0" fontId="52" fillId="10" borderId="0" xfId="0" applyFont="1" applyFill="1" applyAlignment="1">
      <alignment horizontal="center"/>
    </xf>
    <xf numFmtId="0" fontId="58" fillId="20" borderId="0" xfId="0" applyFont="1" applyFill="1" applyAlignment="1">
      <alignment horizontal="center" vertical="center"/>
    </xf>
    <xf numFmtId="0" fontId="30" fillId="7" borderId="0" xfId="0" applyFont="1" applyFill="1" applyAlignment="1">
      <alignment horizontal="center"/>
    </xf>
    <xf numFmtId="0" fontId="30" fillId="9" borderId="0" xfId="0" applyFont="1" applyFill="1" applyAlignment="1">
      <alignment horizontal="center"/>
    </xf>
    <xf numFmtId="0" fontId="30" fillId="2" borderId="0" xfId="0" applyFont="1" applyFill="1" applyAlignment="1">
      <alignment horizontal="center"/>
    </xf>
    <xf numFmtId="0" fontId="40" fillId="2" borderId="0" xfId="0" applyFont="1" applyFill="1"/>
    <xf numFmtId="0" fontId="32" fillId="4" borderId="0" xfId="0" applyFont="1" applyFill="1" applyAlignment="1">
      <alignment horizontal="center" vertical="center"/>
    </xf>
    <xf numFmtId="0" fontId="15" fillId="2" borderId="0" xfId="0" applyFont="1" applyFill="1"/>
    <xf numFmtId="0" fontId="34" fillId="2" borderId="0" xfId="0" applyFont="1" applyFill="1"/>
    <xf numFmtId="0" fontId="35" fillId="6" borderId="0" xfId="0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178" fontId="24" fillId="8" borderId="4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30" fillId="2" borderId="1" xfId="0" applyFont="1" applyFill="1" applyBorder="1" applyAlignment="1">
      <alignment horizontal="center"/>
    </xf>
    <xf numFmtId="0" fontId="24" fillId="8" borderId="4" xfId="0" applyFont="1" applyFill="1" applyBorder="1" applyAlignment="1">
      <alignment horizontal="center" vertical="center"/>
    </xf>
    <xf numFmtId="178" fontId="25" fillId="8" borderId="4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8" fillId="2" borderId="0" xfId="0" applyFont="1" applyFill="1"/>
    <xf numFmtId="0" fontId="19" fillId="2" borderId="0" xfId="0" applyFont="1" applyFill="1"/>
    <xf numFmtId="0" fontId="21" fillId="7" borderId="2" xfId="0" applyFont="1" applyFill="1" applyBorder="1" applyAlignment="1">
      <alignment horizontal="center"/>
    </xf>
    <xf numFmtId="0" fontId="21" fillId="7" borderId="3" xfId="0" applyFont="1" applyFill="1" applyBorder="1" applyAlignment="1">
      <alignment horizontal="center"/>
    </xf>
  </cellXfs>
  <cellStyles count="6">
    <cellStyle name="Comma [0]" xfId="5" builtinId="6"/>
    <cellStyle name="Comma [0] 2" xfId="4" xr:uid="{694BCCF9-3376-A64C-A806-E0BFC104FFB0}"/>
    <cellStyle name="Comma 2" xfId="3" xr:uid="{BBD3D4C8-EBE8-C146-846F-72B8182B35A7}"/>
    <cellStyle name="Normal" xfId="0" builtinId="0"/>
    <cellStyle name="Normal 2" xfId="1" xr:uid="{D967640C-CF16-9447-B758-F47E9F3FBFB6}"/>
    <cellStyle name="Percent 2" xfId="2" xr:uid="{34403BDB-F772-5E49-B17C-9A6DD01B1E8A}"/>
  </cellStyles>
  <dxfs count="128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595959"/>
      </font>
      <fill>
        <patternFill patternType="solid">
          <fgColor indexed="64"/>
          <bgColor rgb="FFD9D9D9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595959"/>
      </font>
      <fill>
        <patternFill patternType="solid">
          <fgColor indexed="64"/>
          <bgColor rgb="FFD9D9D9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595959"/>
      </font>
      <fill>
        <patternFill patternType="solid">
          <fgColor indexed="64"/>
          <bgColor rgb="FFD9D9D9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C00000"/>
      </font>
      <fill>
        <patternFill patternType="solid">
          <fgColor indexed="64"/>
          <bgColor rgb="FFFCE4D6"/>
        </patternFill>
      </fill>
    </dxf>
    <dxf>
      <font>
        <color rgb="FFC00000"/>
      </font>
      <fill>
        <patternFill patternType="solid">
          <fgColor indexed="64"/>
          <bgColor rgb="FFFCE4D6"/>
        </patternFill>
      </fill>
    </dxf>
    <dxf>
      <font>
        <color rgb="FF008000"/>
      </font>
      <fill>
        <patternFill patternType="solid">
          <fgColor indexed="64"/>
          <bgColor rgb="FFE0FFE0"/>
        </patternFill>
      </fill>
    </dxf>
    <dxf>
      <font>
        <color rgb="FFC00000"/>
      </font>
      <fill>
        <patternFill patternType="solid">
          <fgColor indexed="64"/>
          <bgColor rgb="FFFFE0E0"/>
        </patternFill>
      </fill>
    </dxf>
    <dxf>
      <font>
        <color rgb="FF008000"/>
      </font>
      <fill>
        <patternFill patternType="solid">
          <fgColor indexed="64"/>
          <bgColor rgb="FFE0FFE0"/>
        </patternFill>
      </fill>
    </dxf>
    <dxf>
      <font>
        <color rgb="FFC00000"/>
      </font>
      <fill>
        <patternFill patternType="solid">
          <fgColor indexed="64"/>
          <bgColor rgb="FFFFE0E0"/>
        </patternFill>
      </fill>
    </dxf>
    <dxf>
      <font>
        <color rgb="FF008000"/>
      </font>
      <fill>
        <patternFill patternType="solid">
          <fgColor indexed="64"/>
          <bgColor rgb="FFE0FFE0"/>
        </patternFill>
      </fill>
    </dxf>
    <dxf>
      <font>
        <color rgb="FFC00000"/>
      </font>
      <fill>
        <patternFill patternType="solid">
          <fgColor indexed="64"/>
          <bgColor rgb="FFFFE0E0"/>
        </patternFill>
      </fill>
    </dxf>
    <dxf>
      <font>
        <color rgb="FF008000"/>
      </font>
      <fill>
        <patternFill patternType="solid">
          <fgColor indexed="64"/>
          <bgColor rgb="FFE0FFE0"/>
        </patternFill>
      </fill>
    </dxf>
    <dxf>
      <font>
        <color rgb="FFC00000"/>
      </font>
      <fill>
        <patternFill patternType="solid">
          <fgColor indexed="64"/>
          <bgColor rgb="FFFFE0E0"/>
        </patternFill>
      </fill>
    </dxf>
    <dxf>
      <font>
        <color rgb="FF008000"/>
      </font>
      <fill>
        <patternFill patternType="solid">
          <fgColor indexed="64"/>
          <bgColor rgb="FFE0FFE0"/>
        </patternFill>
      </fill>
    </dxf>
    <dxf>
      <font>
        <color rgb="FFC00000"/>
      </font>
      <fill>
        <patternFill patternType="solid">
          <fgColor indexed="64"/>
          <bgColor rgb="FFFFE0E0"/>
        </patternFill>
      </fill>
    </dxf>
    <dxf>
      <font>
        <color rgb="FFC00000"/>
      </font>
      <fill>
        <patternFill patternType="solid">
          <fgColor indexed="64"/>
          <bgColor rgb="FFFFE0E0"/>
        </patternFill>
      </fill>
    </dxf>
    <dxf>
      <font>
        <color rgb="FF008000"/>
      </font>
      <fill>
        <patternFill patternType="solid">
          <fgColor indexed="64"/>
          <bgColor rgb="FFE0FFE0"/>
        </patternFill>
      </fill>
    </dxf>
    <dxf>
      <font>
        <b/>
        <i val="0"/>
      </font>
      <fill>
        <patternFill patternType="solid">
          <fgColor indexed="64"/>
          <bgColor rgb="FFFFFF00"/>
        </patternFill>
      </fill>
    </dxf>
    <dxf>
      <font>
        <color rgb="FFC00000"/>
      </font>
      <fill>
        <patternFill patternType="solid">
          <fgColor indexed="64"/>
          <bgColor rgb="FFFFE0E0"/>
        </patternFill>
      </fill>
    </dxf>
    <dxf>
      <font>
        <color rgb="FF008000"/>
      </font>
      <fill>
        <patternFill patternType="solid">
          <fgColor indexed="64"/>
          <bgColor rgb="FFE0FFE0"/>
        </patternFill>
      </fill>
    </dxf>
    <dxf>
      <font>
        <color rgb="FFC00000"/>
      </font>
      <fill>
        <patternFill patternType="solid">
          <fgColor indexed="64"/>
          <bgColor rgb="FFFFE0E0"/>
        </patternFill>
      </fill>
    </dxf>
    <dxf>
      <font>
        <color rgb="FF008000"/>
      </font>
      <fill>
        <patternFill patternType="solid">
          <fgColor indexed="64"/>
          <bgColor rgb="FFE0FFE0"/>
        </patternFill>
      </fill>
    </dxf>
    <dxf>
      <font>
        <b/>
        <i val="0"/>
      </font>
      <fill>
        <patternFill patternType="solid">
          <fgColor indexed="64"/>
          <bgColor rgb="FFFFFF00"/>
        </patternFill>
      </fill>
    </dxf>
    <dxf>
      <font>
        <b/>
        <i val="0"/>
      </font>
      <fill>
        <patternFill patternType="solid">
          <fgColor indexed="64"/>
          <bgColor rgb="FFFFFF00"/>
        </patternFill>
      </fill>
    </dxf>
    <dxf>
      <font>
        <color rgb="FFC00000"/>
      </font>
      <fill>
        <patternFill patternType="solid">
          <fgColor indexed="64"/>
          <bgColor rgb="FFFFE0E0"/>
        </patternFill>
      </fill>
    </dxf>
    <dxf>
      <font>
        <color rgb="FF008000"/>
      </font>
      <fill>
        <patternFill patternType="solid">
          <fgColor indexed="64"/>
          <bgColor rgb="FFE0FFE0"/>
        </patternFill>
      </fill>
    </dxf>
    <dxf>
      <font>
        <color rgb="FFC00000"/>
      </font>
      <fill>
        <patternFill patternType="solid">
          <fgColor indexed="64"/>
          <bgColor rgb="FFFFE0E0"/>
        </patternFill>
      </fill>
    </dxf>
    <dxf>
      <font>
        <color rgb="FF008000"/>
      </font>
      <fill>
        <patternFill patternType="solid">
          <fgColor indexed="64"/>
          <bgColor rgb="FFE0FFE0"/>
        </patternFill>
      </fill>
    </dxf>
    <dxf>
      <font>
        <color rgb="FF008000"/>
      </font>
      <fill>
        <patternFill patternType="solid">
          <fgColor indexed="64"/>
          <bgColor rgb="FFE0FFE0"/>
        </patternFill>
      </fill>
    </dxf>
    <dxf>
      <font>
        <color rgb="FF008000"/>
      </font>
      <fill>
        <patternFill patternType="solid">
          <fgColor indexed="64"/>
          <bgColor rgb="FFE0FFE0"/>
        </patternFill>
      </fill>
    </dxf>
    <dxf>
      <font>
        <color rgb="FFC00000"/>
      </font>
      <fill>
        <patternFill patternType="solid">
          <fgColor indexed="64"/>
          <bgColor rgb="FFFFE0E0"/>
        </patternFill>
      </fill>
    </dxf>
    <dxf>
      <font>
        <color rgb="FFC00000"/>
      </font>
      <fill>
        <patternFill patternType="solid">
          <fgColor indexed="64"/>
          <bgColor rgb="FFFFE0E0"/>
        </patternFill>
      </fill>
    </dxf>
    <dxf>
      <font>
        <color rgb="FFC00000"/>
      </font>
      <fill>
        <patternFill patternType="solid">
          <fgColor indexed="64"/>
          <bgColor rgb="FFFFE0E0"/>
        </patternFill>
      </fill>
    </dxf>
    <dxf>
      <font>
        <color rgb="FFC00000"/>
      </font>
      <fill>
        <patternFill patternType="solid">
          <fgColor indexed="64"/>
          <bgColor rgb="FFFFE0E0"/>
        </patternFill>
      </fill>
    </dxf>
    <dxf>
      <font>
        <color rgb="FF008000"/>
      </font>
      <fill>
        <patternFill patternType="solid">
          <fgColor indexed="64"/>
          <bgColor rgb="FFE0FFE0"/>
        </patternFill>
      </fill>
    </dxf>
    <dxf>
      <font>
        <color rgb="FF008000"/>
      </font>
      <fill>
        <patternFill patternType="solid">
          <fgColor indexed="64"/>
          <bgColor rgb="FFE0FFE0"/>
        </patternFill>
      </fill>
    </dxf>
    <dxf>
      <font>
        <color rgb="FF008000"/>
      </font>
      <fill>
        <patternFill patternType="solid">
          <fgColor indexed="64"/>
          <bgColor rgb="FFE0FFE0"/>
        </patternFill>
      </fill>
    </dxf>
    <dxf>
      <font>
        <color rgb="FFC00000"/>
      </font>
      <fill>
        <patternFill patternType="solid">
          <fgColor indexed="64"/>
          <bgColor rgb="FFFFE0E0"/>
        </patternFill>
      </fill>
    </dxf>
    <dxf>
      <font>
        <color rgb="FF008000"/>
      </font>
      <fill>
        <patternFill patternType="solid">
          <fgColor indexed="64"/>
          <bgColor rgb="FFE0FFE0"/>
        </patternFill>
      </fill>
    </dxf>
    <dxf>
      <font>
        <color rgb="FFC00000"/>
      </font>
      <fill>
        <patternFill patternType="solid">
          <fgColor indexed="64"/>
          <bgColor rgb="FFFFE0E0"/>
        </patternFill>
      </fill>
    </dxf>
    <dxf>
      <font>
        <color rgb="FFC00000"/>
      </font>
      <fill>
        <patternFill patternType="solid">
          <fgColor indexed="64"/>
          <bgColor rgb="FFFFE0E0"/>
        </patternFill>
      </fill>
    </dxf>
    <dxf>
      <font>
        <color rgb="FF008000"/>
      </font>
      <fill>
        <patternFill patternType="solid">
          <fgColor indexed="64"/>
          <bgColor rgb="FFE0FFE0"/>
        </patternFill>
      </fill>
    </dxf>
    <dxf>
      <font>
        <color rgb="FF008000"/>
      </font>
      <fill>
        <patternFill patternType="solid">
          <fgColor indexed="64"/>
          <bgColor rgb="FFE0FFE0"/>
        </patternFill>
      </fill>
    </dxf>
    <dxf>
      <font>
        <color rgb="FFC00000"/>
      </font>
      <fill>
        <patternFill patternType="solid">
          <fgColor indexed="64"/>
          <bgColor rgb="FFFFE0E0"/>
        </patternFill>
      </fill>
    </dxf>
    <dxf>
      <font>
        <color rgb="FF008000"/>
      </font>
      <fill>
        <patternFill patternType="solid">
          <fgColor indexed="64"/>
          <bgColor rgb="FFE0FFE0"/>
        </patternFill>
      </fill>
    </dxf>
    <dxf>
      <font>
        <color rgb="FFC00000"/>
      </font>
      <fill>
        <patternFill patternType="solid">
          <fgColor indexed="64"/>
          <bgColor rgb="FFFFE0E0"/>
        </patternFill>
      </fill>
    </dxf>
    <dxf>
      <font>
        <color rgb="FF008000"/>
      </font>
      <fill>
        <patternFill patternType="solid">
          <fgColor indexed="64"/>
          <bgColor rgb="FFE0FFE0"/>
        </patternFill>
      </fill>
    </dxf>
    <dxf>
      <font>
        <color rgb="FFC00000"/>
      </font>
      <fill>
        <patternFill patternType="solid">
          <fgColor indexed="64"/>
          <bgColor rgb="FFFFE0E0"/>
        </patternFill>
      </fill>
    </dxf>
    <dxf>
      <font>
        <color rgb="FF008000"/>
      </font>
      <fill>
        <patternFill patternType="solid">
          <fgColor indexed="64"/>
          <bgColor rgb="FFE0FFE0"/>
        </patternFill>
      </fill>
    </dxf>
    <dxf>
      <font>
        <color rgb="FFC00000"/>
      </font>
      <fill>
        <patternFill patternType="solid">
          <fgColor indexed="64"/>
          <bgColor rgb="FFFFE0E0"/>
        </patternFill>
      </fill>
    </dxf>
    <dxf>
      <font>
        <color rgb="FFC00000"/>
      </font>
      <fill>
        <patternFill patternType="solid">
          <fgColor indexed="64"/>
          <bgColor rgb="FFFFE0E0"/>
        </patternFill>
      </fill>
    </dxf>
    <dxf>
      <font>
        <color rgb="FF008000"/>
      </font>
      <fill>
        <patternFill patternType="solid">
          <fgColor indexed="64"/>
          <bgColor rgb="FFE0FFE0"/>
        </patternFill>
      </fill>
    </dxf>
    <dxf>
      <fill>
        <patternFill patternType="solid">
          <fgColor indexed="64"/>
          <bgColor rgb="FFF5F5F5"/>
        </patternFill>
      </fill>
    </dxf>
    <dxf>
      <font>
        <b/>
        <color rgb="FF001B3D"/>
      </font>
      <fill>
        <patternFill>
          <bgColor rgb="FFF8BBD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/>
      </fill>
      <alignment horizontal="center" vertical="bottom" textRotation="0" wrapText="0" indent="0" justifyLastLine="0" shrinkToFit="0" readingOrder="0"/>
      <border diagonalUp="0" diagonalDown="0">
        <left style="thin">
          <color rgb="FF92CDDC"/>
        </left>
        <right/>
        <top style="thin">
          <color rgb="FF92CDDC"/>
        </top>
        <bottom style="thin">
          <color rgb="FF92CDDC"/>
        </bottom>
        <vertical style="thin">
          <color rgb="FF92CDDC"/>
        </vertical>
        <horizontal style="thin">
          <color rgb="FF92CDD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/>
      </fill>
      <alignment horizontal="center" vertical="bottom" textRotation="0" wrapText="0" indent="0" justifyLastLine="0" shrinkToFit="0" readingOrder="0"/>
      <border diagonalUp="0" diagonalDown="0">
        <left style="thin">
          <color rgb="FF92CDDC"/>
        </left>
        <right style="thin">
          <color rgb="FF92CDDC"/>
        </right>
        <top style="thin">
          <color rgb="FF92CDDC"/>
        </top>
        <bottom style="thin">
          <color rgb="FF92CDDC"/>
        </bottom>
        <vertical style="thin">
          <color rgb="FF92CDDC"/>
        </vertical>
        <horizontal style="thin">
          <color rgb="FF92CDD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bottom" textRotation="0" wrapText="0" indent="0" justifyLastLine="0" shrinkToFit="0" readingOrder="0"/>
      <border diagonalUp="0" diagonalDown="0">
        <left style="thin">
          <color rgb="FF92CDDC"/>
        </left>
        <right style="thin">
          <color rgb="FF92CDDC"/>
        </right>
        <top style="thin">
          <color rgb="FF92CDDC"/>
        </top>
        <bottom style="thin">
          <color rgb="FF92CDDC"/>
        </bottom>
        <vertical style="thin">
          <color rgb="FF92CDDC"/>
        </vertical>
        <horizontal style="thin">
          <color rgb="FF92CDDC"/>
        </horizontal>
      </border>
    </dxf>
    <dxf>
      <font>
        <sz val="11"/>
        <name val="Calibri"/>
      </font>
      <fill>
        <patternFill patternType="none"/>
      </fill>
      <alignment horizontal="right"/>
      <border diagonalUp="0" diagonalDown="0">
        <left style="thin">
          <color rgb="FF92CDDC"/>
        </left>
        <right style="thin">
          <color rgb="FF92CDDC"/>
        </right>
        <top style="thin">
          <color rgb="FF92CDDC"/>
        </top>
        <bottom style="thin">
          <color rgb="FF92CDDC"/>
        </bottom>
        <vertical style="thin">
          <color rgb="FF92CDDC"/>
        </vertical>
        <horizontal style="thin">
          <color rgb="FF92CDDC"/>
        </horizontal>
      </border>
    </dxf>
    <dxf>
      <font>
        <sz val="11"/>
        <name val="Calibri"/>
      </font>
      <fill>
        <patternFill patternType="none"/>
      </fill>
      <alignment horizontal="right"/>
      <border diagonalUp="0" diagonalDown="0">
        <left style="thin">
          <color rgb="FF92CDDC"/>
        </left>
        <right style="thin">
          <color rgb="FF92CDDC"/>
        </right>
        <top style="thin">
          <color rgb="FF92CDDC"/>
        </top>
        <bottom style="thin">
          <color rgb="FF92CDDC"/>
        </bottom>
        <vertical style="thin">
          <color rgb="FF92CDDC"/>
        </vertical>
        <horizontal style="thin">
          <color rgb="FF92CDDC"/>
        </horizontal>
      </border>
    </dxf>
    <dxf>
      <font>
        <sz val="11"/>
        <name val="Calibri"/>
      </font>
      <fill>
        <patternFill patternType="none"/>
      </fill>
      <alignment horizontal="center"/>
      <border diagonalUp="0" diagonalDown="0">
        <left style="thin">
          <color rgb="FF92CDDC"/>
        </left>
        <right style="thin">
          <color rgb="FF92CDDC"/>
        </right>
        <top style="thin">
          <color rgb="FF92CDDC"/>
        </top>
        <bottom style="thin">
          <color rgb="FF92CDDC"/>
        </bottom>
        <vertical style="thin">
          <color rgb="FF92CDDC"/>
        </vertical>
        <horizontal style="thin">
          <color rgb="FF92CDDC"/>
        </horizontal>
      </border>
    </dxf>
    <dxf>
      <font>
        <sz val="11"/>
        <name val="Calibri"/>
      </font>
      <fill>
        <patternFill patternType="none"/>
      </fill>
      <alignment horizontal="right"/>
      <border diagonalUp="0" diagonalDown="0">
        <left style="thin">
          <color rgb="FF92CDDC"/>
        </left>
        <right style="thin">
          <color rgb="FF92CDDC"/>
        </right>
        <top style="thin">
          <color rgb="FF92CDDC"/>
        </top>
        <bottom style="thin">
          <color rgb="FF92CDDC"/>
        </bottom>
        <vertical style="thin">
          <color rgb="FF92CDDC"/>
        </vertical>
        <horizontal style="thin">
          <color rgb="FF92CDDC"/>
        </horizontal>
      </border>
    </dxf>
    <dxf>
      <font>
        <sz val="11"/>
        <name val="Calibri"/>
      </font>
      <fill>
        <patternFill patternType="none"/>
      </fill>
      <alignment horizontal="right"/>
      <border diagonalUp="0" diagonalDown="0">
        <left style="thin">
          <color rgb="FF92CDDC"/>
        </left>
        <right style="thin">
          <color rgb="FF92CDDC"/>
        </right>
        <top style="thin">
          <color rgb="FF92CDDC"/>
        </top>
        <bottom style="thin">
          <color rgb="FF92CDDC"/>
        </bottom>
        <vertical style="thin">
          <color rgb="FF92CDDC"/>
        </vertical>
        <horizontal style="thin">
          <color rgb="FF92CDDC"/>
        </horizontal>
      </border>
    </dxf>
    <dxf>
      <fill>
        <patternFill patternType="none"/>
      </fill>
      <border diagonalUp="0" diagonalDown="0">
        <left style="thin">
          <color rgb="FF92CDDC"/>
        </left>
        <right style="thin">
          <color rgb="FF92CDDC"/>
        </right>
        <top style="thin">
          <color rgb="FF92CDDC"/>
        </top>
        <bottom style="thin">
          <color rgb="FF92CDDC"/>
        </bottom>
        <vertical style="thin">
          <color rgb="FF92CDDC"/>
        </vertical>
        <horizontal style="thin">
          <color rgb="FF92CDDC"/>
        </horizontal>
      </border>
    </dxf>
    <dxf>
      <font>
        <sz val="11"/>
        <name val="Calibri"/>
      </font>
      <fill>
        <patternFill patternType="none"/>
      </fill>
      <alignment horizontal="center" textRotation="0" indent="0" justifyLastLine="0" shrinkToFit="0" readingOrder="0"/>
      <border diagonalUp="0" diagonalDown="0">
        <left style="thin">
          <color rgb="FF92CDDC"/>
        </left>
        <right style="thin">
          <color rgb="FF92CDDC"/>
        </right>
        <top style="thin">
          <color rgb="FF92CDDC"/>
        </top>
        <bottom style="thin">
          <color rgb="FF92CDDC"/>
        </bottom>
        <vertical style="thin">
          <color rgb="FF92CDDC"/>
        </vertical>
        <horizontal style="thin">
          <color rgb="FF92CDDC"/>
        </horizontal>
      </border>
    </dxf>
    <dxf>
      <fill>
        <patternFill patternType="none"/>
      </fill>
      <border diagonalUp="0" diagonalDown="0">
        <left style="thin">
          <color rgb="FF92CDDC"/>
        </left>
        <right style="thin">
          <color rgb="FF92CDDC"/>
        </right>
        <top style="thin">
          <color rgb="FF92CDDC"/>
        </top>
        <bottom style="thin">
          <color rgb="FF92CDDC"/>
        </bottom>
        <vertical style="thin">
          <color rgb="FF92CDDC"/>
        </vertical>
        <horizontal style="thin">
          <color rgb="FF92CDDC"/>
        </horizontal>
      </border>
    </dxf>
    <dxf>
      <fill>
        <patternFill patternType="none"/>
      </fill>
      <alignment horizontal="center" textRotation="0" wrapText="0" indent="0" justifyLastLine="0" shrinkToFit="0" readingOrder="0"/>
      <border diagonalUp="0" diagonalDown="0">
        <left style="thin">
          <color rgb="FF92CDDC"/>
        </left>
        <right style="thin">
          <color rgb="FF92CDDC"/>
        </right>
        <top style="thin">
          <color rgb="FF92CDDC"/>
        </top>
        <bottom style="thin">
          <color rgb="FF92CDDC"/>
        </bottom>
        <vertical style="thin">
          <color rgb="FF92CDDC"/>
        </vertical>
        <horizontal style="thin">
          <color rgb="FF92CDDC"/>
        </horizontal>
      </border>
    </dxf>
    <dxf>
      <fill>
        <patternFill patternType="none"/>
      </fill>
      <alignment horizontal="center" textRotation="0" wrapText="0" indent="0" justifyLastLine="0" shrinkToFit="0" readingOrder="0"/>
      <border diagonalUp="0" diagonalDown="0">
        <left style="thin">
          <color rgb="FF92CDDC"/>
        </left>
        <right style="thin">
          <color rgb="FF92CDDC"/>
        </right>
        <top style="thin">
          <color rgb="FF92CDDC"/>
        </top>
        <bottom style="thin">
          <color rgb="FF92CDDC"/>
        </bottom>
        <vertical style="thin">
          <color rgb="FF92CDDC"/>
        </vertical>
        <horizontal style="thin">
          <color rgb="FF92CDDC"/>
        </horizontal>
      </border>
    </dxf>
    <dxf>
      <fill>
        <patternFill patternType="none"/>
      </fill>
      <alignment horizontal="center" textRotation="0" wrapText="0" indent="0" justifyLastLine="0" shrinkToFit="0" readingOrder="0"/>
      <border diagonalUp="0" diagonalDown="0">
        <left style="thin">
          <color rgb="FF92CDDC"/>
        </left>
        <right style="thin">
          <color rgb="FF92CDDC"/>
        </right>
        <top style="thin">
          <color rgb="FF92CDDC"/>
        </top>
        <bottom style="thin">
          <color rgb="FF92CDDC"/>
        </bottom>
        <vertical style="thin">
          <color rgb="FF92CDDC"/>
        </vertical>
        <horizontal style="thin">
          <color rgb="FF92CDDC"/>
        </horizontal>
      </border>
    </dxf>
    <dxf>
      <fill>
        <patternFill patternType="none"/>
      </fill>
      <border diagonalUp="0" diagonalDown="0">
        <left style="thin">
          <color rgb="FF92CDDC"/>
        </left>
        <right style="thin">
          <color rgb="FF92CDDC"/>
        </right>
        <top style="thin">
          <color rgb="FF92CDDC"/>
        </top>
        <bottom style="thin">
          <color rgb="FF92CDDC"/>
        </bottom>
        <vertical style="thin">
          <color rgb="FF92CDDC"/>
        </vertical>
        <horizontal style="thin">
          <color rgb="FF92CDDC"/>
        </horizontal>
      </border>
    </dxf>
    <dxf>
      <fill>
        <patternFill patternType="none"/>
      </fill>
      <border diagonalUp="0" diagonalDown="0">
        <left style="thin">
          <color rgb="FF92CDDC"/>
        </left>
        <right style="thin">
          <color rgb="FF92CDDC"/>
        </right>
        <top style="thin">
          <color rgb="FF92CDDC"/>
        </top>
        <bottom style="thin">
          <color rgb="FF92CDDC"/>
        </bottom>
        <vertical style="thin">
          <color rgb="FF92CDDC"/>
        </vertical>
        <horizontal style="thin">
          <color rgb="FF92CDDC"/>
        </horizontal>
      </border>
    </dxf>
    <dxf>
      <fill>
        <patternFill patternType="none"/>
      </fill>
      <border diagonalUp="0" diagonalDown="0">
        <left style="thin">
          <color rgb="FF92CDDC"/>
        </left>
        <right style="thin">
          <color rgb="FF92CDDC"/>
        </right>
        <top style="thin">
          <color rgb="FF92CDDC"/>
        </top>
        <bottom style="thin">
          <color rgb="FF92CDDC"/>
        </bottom>
        <vertical style="thin">
          <color rgb="FF92CDDC"/>
        </vertical>
        <horizontal style="thin">
          <color rgb="FF92CDDC"/>
        </horizontal>
      </border>
    </dxf>
    <dxf>
      <numFmt numFmtId="178" formatCode="_(* #,##0_);_(* \(#,##0\);_(* \-_);_(@_)"/>
      <fill>
        <patternFill patternType="none"/>
      </fill>
      <border diagonalUp="0" diagonalDown="0">
        <left style="thin">
          <color rgb="FF92CDDC"/>
        </left>
        <right style="thin">
          <color rgb="FF92CDDC"/>
        </right>
        <top style="thin">
          <color rgb="FF92CDDC"/>
        </top>
        <bottom style="thin">
          <color rgb="FF92CDDC"/>
        </bottom>
        <vertical style="thin">
          <color rgb="FF92CDDC"/>
        </vertical>
        <horizontal style="thin">
          <color rgb="FF92CDDC"/>
        </horizontal>
      </border>
    </dxf>
    <dxf>
      <fill>
        <patternFill patternType="none"/>
      </fill>
      <border diagonalUp="0" diagonalDown="0">
        <left style="thin">
          <color rgb="FF92CDDC"/>
        </left>
        <right style="thin">
          <color rgb="FF92CDDC"/>
        </right>
        <top style="thin">
          <color rgb="FF92CDDC"/>
        </top>
        <bottom style="thin">
          <color rgb="FF92CDDC"/>
        </bottom>
        <vertical style="thin">
          <color rgb="FF92CDDC"/>
        </vertical>
        <horizontal style="thin">
          <color rgb="FF92CDDC"/>
        </horizontal>
      </border>
    </dxf>
    <dxf>
      <font>
        <sz val="11"/>
        <name val="Calibri"/>
      </font>
      <fill>
        <patternFill patternType="none"/>
      </fill>
      <border diagonalUp="0" diagonalDown="0">
        <left style="thin">
          <color rgb="FF92CDDC"/>
        </left>
        <right style="thin">
          <color rgb="FF92CDDC"/>
        </right>
        <top style="thin">
          <color rgb="FF92CDDC"/>
        </top>
        <bottom style="thin">
          <color rgb="FF92CDDC"/>
        </bottom>
        <vertical style="thin">
          <color rgb="FF92CDDC"/>
        </vertical>
        <horizontal style="thin">
          <color rgb="FF92CDDC"/>
        </horizontal>
      </border>
    </dxf>
    <dxf>
      <fill>
        <patternFill patternType="none"/>
      </fill>
      <border diagonalUp="0" diagonalDown="0">
        <left style="thin">
          <color rgb="FF92CDDC"/>
        </left>
        <right style="thin">
          <color rgb="FF92CDDC"/>
        </right>
        <top style="thin">
          <color rgb="FF92CDDC"/>
        </top>
        <bottom style="thin">
          <color rgb="FF92CDDC"/>
        </bottom>
        <vertical style="thin">
          <color rgb="FF92CDDC"/>
        </vertical>
        <horizontal style="thin">
          <color rgb="FF92CDDC"/>
        </horizontal>
      </border>
    </dxf>
    <dxf>
      <fill>
        <patternFill patternType="none"/>
      </fill>
      <border diagonalUp="0" diagonalDown="0">
        <left style="thin">
          <color rgb="FF92CDDC"/>
        </left>
        <right style="thin">
          <color rgb="FF92CDDC"/>
        </right>
        <top style="thin">
          <color rgb="FF92CDDC"/>
        </top>
        <bottom style="thin">
          <color rgb="FF92CDDC"/>
        </bottom>
        <vertical style="thin">
          <color rgb="FF92CDDC"/>
        </vertical>
        <horizontal style="thin">
          <color rgb="FF92CDDC"/>
        </horizontal>
      </border>
    </dxf>
    <dxf>
      <fill>
        <patternFill patternType="none"/>
      </fill>
      <border diagonalUp="0" diagonalDown="0">
        <left style="thin">
          <color rgb="FF92CDDC"/>
        </left>
        <right style="thin">
          <color rgb="FF92CDDC"/>
        </right>
        <top style="thin">
          <color rgb="FF92CDDC"/>
        </top>
        <bottom style="thin">
          <color rgb="FF92CDDC"/>
        </bottom>
        <vertical style="thin">
          <color rgb="FF92CDDC"/>
        </vertical>
        <horizontal style="thin">
          <color rgb="FF92CDDC"/>
        </horizontal>
      </border>
    </dxf>
    <dxf>
      <fill>
        <patternFill patternType="none"/>
      </fill>
      <border diagonalUp="0" diagonalDown="0">
        <left/>
        <right style="thin">
          <color rgb="FF92CDDC"/>
        </right>
        <top style="thin">
          <color rgb="FF92CDDC"/>
        </top>
        <bottom style="thin">
          <color rgb="FF92CDDC"/>
        </bottom>
        <vertical style="thin">
          <color rgb="FF92CDDC"/>
        </vertical>
        <horizontal style="thin">
          <color rgb="FF92CDDC"/>
        </horizontal>
      </border>
    </dxf>
    <dxf>
      <border>
        <top style="thin">
          <color rgb="FF92CDDC"/>
        </top>
      </border>
    </dxf>
    <dxf>
      <border diagonalUp="0" diagonalDown="0">
        <left style="thin">
          <color rgb="FF92CDDC"/>
        </left>
        <right style="thin">
          <color rgb="FF92CDDC"/>
        </right>
        <top style="thin">
          <color rgb="FF92CDDC"/>
        </top>
        <bottom style="thin">
          <color rgb="FF92CDDC"/>
        </bottom>
      </border>
    </dxf>
    <dxf>
      <fill>
        <patternFill patternType="none"/>
      </fill>
    </dxf>
    <dxf>
      <border>
        <bottom style="thin">
          <color rgb="FF92CDDC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border diagonalUp="0" diagonalDown="0" outline="0">
        <left style="thin">
          <color rgb="FF92CDDC"/>
        </left>
        <right style="thin">
          <color rgb="FF92CDDC"/>
        </right>
        <top/>
        <bottom/>
      </border>
    </dxf>
    <dxf>
      <numFmt numFmtId="33" formatCode="_(* #,##0_);_(* \(#,##0\);_(* &quot;-&quot;_);_(@_)"/>
    </dxf>
    <dxf>
      <numFmt numFmtId="33" formatCode="_(* #,##0_);_(* \(#,##0\);_(* &quot;-&quot;_);_(@_)"/>
    </dxf>
    <dxf>
      <font>
        <sz val="11"/>
        <name val="Calibri"/>
      </font>
      <fill>
        <patternFill patternType="none"/>
      </fill>
      <alignment horizontal="center" textRotation="0" wrapText="0" indent="0" justifyLastLine="0" shrinkToFit="0" readingOrder="0"/>
    </dxf>
    <dxf>
      <font>
        <sz val="11"/>
        <name val="Calibri"/>
      </font>
      <fill>
        <patternFill patternType="none"/>
      </fill>
      <alignment horizontal="center" textRotation="0" wrapText="0" indent="0" justifyLastLine="0" shrinkToFit="0" readingOrder="0"/>
    </dxf>
    <dxf>
      <font>
        <sz val="11"/>
        <name val="Calibri"/>
      </font>
      <fill>
        <patternFill patternType="none"/>
      </fill>
      <alignment horizontal="center" textRotation="0" wrapText="0" indent="0" justifyLastLine="0" shrinkToFit="0" readingOrder="0"/>
    </dxf>
    <dxf>
      <font>
        <sz val="11"/>
        <name val="Calibri"/>
      </font>
      <fill>
        <patternFill patternType="none"/>
      </fill>
      <alignment horizontal="center" textRotation="0" wrapText="0" indent="0" justifyLastLine="0" shrinkToFit="0" readingOrder="0"/>
    </dxf>
    <dxf>
      <font>
        <sz val="11"/>
        <name val="Calibri"/>
      </font>
      <fill>
        <patternFill patternType="none"/>
      </fill>
      <alignment horizontal="center" textRotation="0" wrapText="0" indent="0" justifyLastLine="0" shrinkToFit="0" readingOrder="0"/>
    </dxf>
    <dxf>
      <font>
        <sz val="11"/>
        <name val="Calibri"/>
      </font>
      <fill>
        <patternFill patternType="none"/>
      </fill>
      <alignment horizontal="center" textRotation="0" wrapText="0" indent="0" justifyLastLine="0" shrinkToFit="0" readingOrder="0"/>
    </dxf>
    <dxf>
      <font>
        <sz val="11"/>
        <name val="Calibri"/>
      </font>
      <fill>
        <patternFill patternType="none"/>
      </fill>
      <alignment horizontal="center" textRotation="0" wrapText="0" indent="0" justifyLastLine="0" shrinkToFit="0" readingOrder="0"/>
    </dxf>
    <dxf>
      <font>
        <sz val="11"/>
        <name val="Calibri"/>
      </font>
      <fill>
        <patternFill patternType="none"/>
      </fill>
      <alignment horizontal="center" textRotation="0" wrapText="0" indent="0" justifyLastLine="0" shrinkToFit="0" readingOrder="0"/>
    </dxf>
    <dxf>
      <font>
        <sz val="11"/>
        <name val="Calibri"/>
      </font>
      <fill>
        <patternFill patternType="none"/>
      </fill>
      <alignment horizontal="center" textRotation="0" wrapText="0" indent="0" justifyLastLine="0" shrinkToFit="0" readingOrder="0"/>
    </dxf>
    <dxf>
      <font>
        <sz val="11"/>
        <name val="Calibri"/>
      </font>
      <fill>
        <patternFill patternType="none"/>
      </fill>
      <alignment horizontal="center" textRotation="0" wrapText="0" indent="0" justifyLastLine="0" shrinkToFit="0" readingOrder="0"/>
    </dxf>
    <dxf>
      <font>
        <sz val="11"/>
        <name val="Calibri"/>
      </font>
      <fill>
        <patternFill patternType="none"/>
      </fill>
      <alignment horizontal="center" textRotation="0" wrapText="0" indent="0" justifyLastLine="0" shrinkToFit="0" readingOrder="0"/>
    </dxf>
    <dxf>
      <font>
        <sz val="11"/>
        <name val="Calibri"/>
      </font>
      <fill>
        <patternFill patternType="none"/>
      </fill>
      <alignment horizontal="center" textRotation="0" wrapText="0" indent="0" justifyLastLine="0" shrinkToFit="0" readingOrder="0"/>
    </dxf>
    <dxf>
      <font>
        <sz val="11"/>
        <name val="Calibri"/>
      </font>
      <fill>
        <patternFill patternType="none"/>
      </fill>
      <alignment horizontal="center" textRotation="0" wrapText="0" indent="0" justifyLastLine="0" shrinkToFit="0" readingOrder="0"/>
    </dxf>
    <dxf>
      <font>
        <sz val="11"/>
        <name val="Calibri"/>
      </font>
      <fill>
        <patternFill patternType="none"/>
      </fill>
      <alignment horizontal="center" textRotation="0" wrapText="0" indent="0" justifyLastLine="0" shrinkToFit="0" readingOrder="0"/>
    </dxf>
    <dxf>
      <font>
        <sz val="11"/>
        <name val="Calibri"/>
      </font>
      <fill>
        <patternFill patternType="none"/>
      </fill>
      <alignment horizontal="center" textRotation="0" wrapText="0" indent="0" justifyLastLine="0" shrinkToFit="0" readingOrder="0"/>
    </dxf>
    <dxf>
      <font>
        <sz val="11"/>
        <name val="Calibri"/>
      </font>
      <fill>
        <patternFill patternType="none"/>
      </fill>
      <alignment horizontal="center" textRotation="0" wrapText="0" indent="0" justifyLastLine="0" shrinkToFit="0" readingOrder="0"/>
    </dxf>
    <dxf>
      <font>
        <sz val="11"/>
        <name val="Calibri"/>
      </font>
      <fill>
        <patternFill patternType="none"/>
      </fill>
      <alignment horizontal="center" textRotation="0" wrapText="0" indent="0" justifyLastLine="0" shrinkToFit="0" readingOrder="0"/>
    </dxf>
    <dxf>
      <font>
        <sz val="11"/>
        <name val="Calibri"/>
      </font>
      <fill>
        <patternFill patternType="none"/>
      </fill>
      <alignment horizontal="center" textRotation="0" wrapText="0" indent="0" justifyLastLine="0" shrinkToFit="0" readingOrder="0"/>
    </dxf>
    <dxf>
      <font>
        <sz val="11"/>
        <name val="Calibri"/>
      </font>
      <fill>
        <patternFill patternType="none"/>
      </fill>
      <alignment horizontal="center" textRotation="0" wrapText="0" indent="0" justifyLastLine="0" shrinkToFit="0" readingOrder="0"/>
    </dxf>
    <dxf>
      <font>
        <sz val="11"/>
        <name val="Calibri"/>
      </font>
      <fill>
        <patternFill patternType="none"/>
      </fill>
      <alignment horizontal="center" textRotation="0" wrapText="0" indent="0" justifyLastLine="0" shrinkToFit="0" readingOrder="0"/>
    </dxf>
    <dxf>
      <font>
        <sz val="11"/>
        <name val="Calibri"/>
      </font>
      <fill>
        <patternFill patternType="none"/>
      </fill>
      <alignment horizontal="center" textRotation="0" wrapText="0" indent="0" justifyLastLine="0" shrinkToFit="0" readingOrder="0"/>
    </dxf>
    <dxf>
      <border diagonalUp="0" diagonalDown="0">
        <left/>
        <right/>
        <top/>
        <bottom/>
      </border>
    </dxf>
    <dxf>
      <font>
        <sz val="11"/>
        <name val="Calibri"/>
      </font>
      <fill>
        <patternFill patternType="none"/>
      </fill>
      <alignment horizontal="center" textRotation="0" wrapText="0" indent="0" justifyLastLine="0" shrinkToFit="0" readingOrder="0"/>
    </dxf>
    <dxf>
      <font>
        <b/>
        <sz val="11"/>
        <color rgb="FF000000"/>
        <name val="Calibri"/>
      </font>
      <fill>
        <patternFill patternType="none"/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0E0E0"/>
      <rgbColor rgb="FFFF00FF"/>
      <rgbColor rgb="FF00FFFF"/>
      <rgbColor rgb="FF800000"/>
      <rgbColor rgb="FF008000"/>
      <rgbColor rgb="FF001B3D"/>
      <rgbColor rgb="FF7F6000"/>
      <rgbColor rgb="FF800080"/>
      <rgbColor rgb="FF008080"/>
      <rgbColor rgb="FFBFBFBF"/>
      <rgbColor rgb="FF808080"/>
      <rgbColor rgb="FF90A4AE"/>
      <rgbColor rgb="FF595959"/>
      <rgbColor rgb="FFF2F2F2"/>
      <rgbColor rgb="FFEBF3FB"/>
      <rgbColor rgb="FF660066"/>
      <rgbColor rgb="FFD99694"/>
      <rgbColor rgb="FF0066CC"/>
      <rgbColor rgb="FFBDD7EE"/>
      <rgbColor rgb="FF000080"/>
      <rgbColor rgb="FFFF00FF"/>
      <rgbColor rgb="FFE5E7EB"/>
      <rgbColor rgb="FF00FFFF"/>
      <rgbColor rgb="FF800080"/>
      <rgbColor rgb="FF800000"/>
      <rgbColor rgb="FF008080"/>
      <rgbColor rgb="FF0000FF"/>
      <rgbColor rgb="FF00CCFF"/>
      <rgbColor rgb="FFDCE6F2"/>
      <rgbColor rgb="FFE2E8F0"/>
      <rgbColor rgb="FFF0F2F5"/>
      <rgbColor rgb="FFA9C4E0"/>
      <rgbColor rgb="FFD9D9D9"/>
      <rgbColor rgb="FFCE93D8"/>
      <rgbColor rgb="FFF8BBD0"/>
      <rgbColor rgb="FF2E75B6"/>
      <rgbColor rgb="FF558ED5"/>
      <rgbColor rgb="FF99CC00"/>
      <rgbColor rgb="FFFFC000"/>
      <rgbColor rgb="FFD4A017"/>
      <rgbColor rgb="FFFF6600"/>
      <rgbColor rgb="FF64748B"/>
      <rgbColor rgb="FF9CA3AF"/>
      <rgbColor rgb="FF1F3864"/>
      <rgbColor rgb="FF4F81BD"/>
      <rgbColor rgb="FF0D1B2A"/>
      <rgbColor rgb="FF374151"/>
      <rgbColor rgb="FF993300"/>
      <rgbColor rgb="FF878787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microsoft.com/office/2017/10/relationships/person" Target="persons/person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rgbClr val="8B9DC3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TREND MONTHLY NETTO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rgbClr val="8B9DC3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_DB_Data!$G$1</c:f>
              <c:strCache>
                <c:ptCount val="1"/>
                <c:pt idx="0">
                  <c:v>Netto (Ton)</c:v>
                </c:pt>
              </c:strCache>
            </c:strRef>
          </c:tx>
          <c:spPr>
            <a:ln w="28575" cap="rnd">
              <a:solidFill>
                <a:srgbClr val="00D4AA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00D4AA"/>
              </a:solidFill>
              <a:ln w="9525">
                <a:solidFill>
                  <a:srgbClr val="00D4AA"/>
                </a:solidFill>
                <a:prstDash val="solid"/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9A0-8745-83F0-7E30A18ECA6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9A0-8745-83F0-7E30A18ECA6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9A0-8745-83F0-7E30A18ECA6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9A0-8745-83F0-7E30A18ECA6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9A0-8745-83F0-7E30A18ECA6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9A0-8745-83F0-7E30A18ECA6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9A0-8745-83F0-7E30A18ECA67}"/>
                </c:ext>
              </c:extLst>
            </c:dLbl>
            <c:dLbl>
              <c:idx val="8"/>
              <c:layout>
                <c:manualLayout>
                  <c:x val="-4.7290224618223395E-2"/>
                  <c:y val="-6.49665265270239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A88-8248-99F5-2B724DCAABE1}"/>
                </c:ext>
              </c:extLst>
            </c:dLbl>
            <c:numFmt formatCode="#,#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rgbClr val="00D4AA"/>
                    </a:solidFill>
                    <a:latin typeface="Segoe UI"/>
                    <a:ea typeface="Segoe UI"/>
                    <a:cs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_ChartData!$A$2:$A$10</c:f>
              <c:strCache>
                <c:ptCount val="9"/>
                <c:pt idx="0">
                  <c:v>Agu-25</c:v>
                </c:pt>
                <c:pt idx="1">
                  <c:v>Sep-25</c:v>
                </c:pt>
                <c:pt idx="2">
                  <c:v>Okt-25</c:v>
                </c:pt>
                <c:pt idx="3">
                  <c:v>Nov-25</c:v>
                </c:pt>
                <c:pt idx="4">
                  <c:v>Des-25</c:v>
                </c:pt>
                <c:pt idx="5">
                  <c:v>Jan-26</c:v>
                </c:pt>
                <c:pt idx="6">
                  <c:v>Feb-26</c:v>
                </c:pt>
                <c:pt idx="7">
                  <c:v>Mar-26</c:v>
                </c:pt>
                <c:pt idx="8">
                  <c:v>Apr-26</c:v>
                </c:pt>
              </c:strCache>
            </c:strRef>
          </c:cat>
          <c:val>
            <c:numRef>
              <c:f>_ChartData!$B$2:$B$10</c:f>
              <c:numCache>
                <c:formatCode>_(* #,##0_);_(* \(#,##0\);_(* "-"_);_(@_)</c:formatCode>
                <c:ptCount val="9"/>
                <c:pt idx="0">
                  <c:v>0</c:v>
                </c:pt>
                <c:pt idx="1">
                  <c:v>220360</c:v>
                </c:pt>
                <c:pt idx="2">
                  <c:v>369650</c:v>
                </c:pt>
                <c:pt idx="3">
                  <c:v>2991090</c:v>
                </c:pt>
                <c:pt idx="4">
                  <c:v>4157440</c:v>
                </c:pt>
                <c:pt idx="5">
                  <c:v>2300150</c:v>
                </c:pt>
                <c:pt idx="6">
                  <c:v>3178100</c:v>
                </c:pt>
                <c:pt idx="7">
                  <c:v>1424060</c:v>
                </c:pt>
                <c:pt idx="8">
                  <c:v>3853480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A0-8745-83F0-7E30A18EC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3910784"/>
        <c:axId val="593904064"/>
      </c:lineChart>
      <c:catAx>
        <c:axId val="59391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1A3A5C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rgbClr val="FFFF00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593904064"/>
        <c:crosses val="autoZero"/>
        <c:auto val="1"/>
        <c:lblAlgn val="ctr"/>
        <c:lblOffset val="100"/>
        <c:noMultiLvlLbl val="0"/>
      </c:catAx>
      <c:valAx>
        <c:axId val="593904064"/>
        <c:scaling>
          <c:orientation val="minMax"/>
          <c:min val="0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solidFill>
              <a:srgbClr val="1A3A5C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59391078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rgbClr val="8B9DC3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TRIP BY PRODUK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rgbClr val="8B9DC3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_DB_Data!$N$1</c:f>
              <c:strCache>
                <c:ptCount val="1"/>
                <c:pt idx="0">
                  <c:v>Trip</c:v>
                </c:pt>
              </c:strCache>
            </c:strRef>
          </c:tx>
          <c:spPr>
            <a:solidFill>
              <a:srgbClr val="F59E0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59E0B"/>
                    </a:solidFill>
                    <a:latin typeface="Segoe UI"/>
                    <a:ea typeface="Segoe UI"/>
                    <a:cs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_DB_Data!$M$2:$M$5</c:f>
              <c:strCache>
                <c:ptCount val="4"/>
                <c:pt idx="0">
                  <c:v>CPO</c:v>
                </c:pt>
                <c:pt idx="1">
                  <c:v>B-40</c:v>
                </c:pt>
                <c:pt idx="2">
                  <c:v>RBDPL</c:v>
                </c:pt>
                <c:pt idx="3">
                  <c:v>BE</c:v>
                </c:pt>
              </c:strCache>
            </c:strRef>
          </c:cat>
          <c:val>
            <c:numRef>
              <c:f>_DB_Data!$N$2:$N$5</c:f>
              <c:numCache>
                <c:formatCode>General</c:formatCode>
                <c:ptCount val="4"/>
                <c:pt idx="0">
                  <c:v>955</c:v>
                </c:pt>
                <c:pt idx="1">
                  <c:v>44</c:v>
                </c:pt>
                <c:pt idx="2">
                  <c:v>550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F0-FD41-B2F8-FD1012F28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4652352"/>
        <c:axId val="834665344"/>
      </c:barChart>
      <c:catAx>
        <c:axId val="834652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1A3A5C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5A6F8A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834665344"/>
        <c:crosses val="autoZero"/>
        <c:auto val="1"/>
        <c:lblAlgn val="ctr"/>
        <c:lblOffset val="100"/>
        <c:noMultiLvlLbl val="0"/>
      </c:catAx>
      <c:valAx>
        <c:axId val="83466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1A3A5C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rgbClr val="FFFF00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83465235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rgbClr val="8B9DC3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TOP 5 KENDARAAN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rgbClr val="8B9DC3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_DB_Data!$P$27</c:f>
              <c:strCache>
                <c:ptCount val="1"/>
                <c:pt idx="0">
                  <c:v>Netto (Kg)</c:v>
                </c:pt>
              </c:strCache>
            </c:strRef>
          </c:tx>
          <c:spPr>
            <a:solidFill>
              <a:srgbClr val="60A5FA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50-BE4D-83C0-746B1342F05C}"/>
              </c:ext>
            </c:extLst>
          </c:dPt>
          <c:dPt>
            <c:idx val="2"/>
            <c:invertIfNegative val="0"/>
            <c:bubble3D val="0"/>
            <c:spPr>
              <a:solidFill>
                <a:srgbClr val="93C5F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50-BE4D-83C0-746B1342F05C}"/>
              </c:ext>
            </c:extLst>
          </c:dPt>
          <c:dPt>
            <c:idx val="3"/>
            <c:invertIfNegative val="0"/>
            <c:bubble3D val="0"/>
            <c:spPr>
              <a:solidFill>
                <a:srgbClr val="BFDBF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650-BE4D-83C0-746B1342F05C}"/>
              </c:ext>
            </c:extLst>
          </c:dPt>
          <c:dPt>
            <c:idx val="4"/>
            <c:invertIfNegative val="0"/>
            <c:bubble3D val="0"/>
            <c:spPr>
              <a:solidFill>
                <a:srgbClr val="DBEAF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650-BE4D-83C0-746B1342F05C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B0C4DE"/>
                    </a:solidFill>
                    <a:latin typeface="Segoe UI"/>
                    <a:ea typeface="Segoe UI"/>
                    <a:cs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_DB_Data!$O$28:$O$32</c:f>
              <c:strCache>
                <c:ptCount val="5"/>
                <c:pt idx="0">
                  <c:v>BM 8315 QO</c:v>
                </c:pt>
                <c:pt idx="1">
                  <c:v>DD 9236 XX</c:v>
                </c:pt>
                <c:pt idx="2">
                  <c:v>DD 8711 XX</c:v>
                </c:pt>
                <c:pt idx="3">
                  <c:v>B 1918 SXX</c:v>
                </c:pt>
                <c:pt idx="4">
                  <c:v>BH 8459 MY</c:v>
                </c:pt>
              </c:strCache>
            </c:strRef>
          </c:cat>
          <c:val>
            <c:numRef>
              <c:f>_DB_Data!$P$28:$P$32</c:f>
              <c:numCache>
                <c:formatCode>General</c:formatCode>
                <c:ptCount val="5"/>
                <c:pt idx="0">
                  <c:v>3674070</c:v>
                </c:pt>
                <c:pt idx="1">
                  <c:v>3079470</c:v>
                </c:pt>
                <c:pt idx="2">
                  <c:v>1796980</c:v>
                </c:pt>
                <c:pt idx="3">
                  <c:v>1701260</c:v>
                </c:pt>
                <c:pt idx="4">
                  <c:v>1215660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50-BE4D-83C0-746B1342F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5580608"/>
        <c:axId val="769018944"/>
      </c:barChart>
      <c:catAx>
        <c:axId val="685580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1A3A5C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5A6F8A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769018944"/>
        <c:crosses val="autoZero"/>
        <c:auto val="1"/>
        <c:lblAlgn val="ctr"/>
        <c:lblOffset val="100"/>
        <c:noMultiLvlLbl val="0"/>
      </c:catAx>
      <c:valAx>
        <c:axId val="769018944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noFill/>
          <a:ln>
            <a:solidFill>
              <a:srgbClr val="1A3A5C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rgbClr val="FFFF00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68558060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1"/>
          <c:order val="0"/>
          <c:tx>
            <c:strRef>
              <c:f>_DB_Data!$Q$1</c:f>
              <c:strCache>
                <c:ptCount val="1"/>
                <c:pt idx="0">
                  <c:v>Netto(All Kg)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C45-3D4C-8EDA-7523E17D7AF7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C45-3D4C-8EDA-7523E17D7AF7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C45-3D4C-8EDA-7523E17D7AF7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C45-3D4C-8EDA-7523E17D7AF7}"/>
              </c:ext>
            </c:extLst>
          </c:dPt>
          <c:cat>
            <c:strRef>
              <c:f>_DB_Data!$O$2:$O$5</c:f>
              <c:strCache>
                <c:ptCount val="4"/>
                <c:pt idx="0">
                  <c:v>CPO</c:v>
                </c:pt>
                <c:pt idx="1">
                  <c:v>B-40</c:v>
                </c:pt>
                <c:pt idx="2">
                  <c:v>RBDPL</c:v>
                </c:pt>
                <c:pt idx="3">
                  <c:v>BE</c:v>
                </c:pt>
              </c:strCache>
            </c:strRef>
          </c:cat>
          <c:val>
            <c:numRef>
              <c:f>_DB_Data!$Q$2:$Q$5</c:f>
              <c:numCache>
                <c:formatCode>General</c:formatCode>
                <c:ptCount val="4"/>
                <c:pt idx="0">
                  <c:v>14931050</c:v>
                </c:pt>
                <c:pt idx="1">
                  <c:v>503310</c:v>
                </c:pt>
                <c:pt idx="2">
                  <c:v>6028420</c:v>
                </c:pt>
                <c:pt idx="3">
                  <c:v>101500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45-3D4C-8EDA-7523E17D7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88010542341249"/>
          <c:y val="0.31004786166435072"/>
          <c:w val="0.10572805998002849"/>
          <c:h val="0.402030260923266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accent6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rgbClr val="8B9DC3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DAILY NETTO (30 HARI)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rgbClr val="8B9DC3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_DB_Data!$T$1</c:f>
              <c:strCache>
                <c:ptCount val="1"/>
                <c:pt idx="0">
                  <c:v>Daily Netto</c:v>
                </c:pt>
              </c:strCache>
            </c:strRef>
          </c:tx>
          <c:spPr>
            <a:solidFill>
              <a:srgbClr val="8B5CF6"/>
            </a:solidFill>
            <a:ln>
              <a:noFill/>
            </a:ln>
            <a:effectLst/>
          </c:spPr>
          <c:invertIfNegative val="0"/>
          <c:cat>
            <c:numRef>
              <c:f>_DB_Data!$R$2:$R$31</c:f>
              <c:numCache>
                <c:formatCode>d\-mmm</c:formatCode>
                <c:ptCount val="30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</c:numCache>
            </c:numRef>
          </c:cat>
          <c:val>
            <c:numRef>
              <c:f>_DB_Data!$T$2:$T$31</c:f>
              <c:numCache>
                <c:formatCode>General</c:formatCode>
                <c:ptCount val="30"/>
                <c:pt idx="0">
                  <c:v>0</c:v>
                </c:pt>
                <c:pt idx="1">
                  <c:v>8</c:v>
                </c:pt>
                <c:pt idx="2">
                  <c:v>0</c:v>
                </c:pt>
                <c:pt idx="3">
                  <c:v>113.77</c:v>
                </c:pt>
                <c:pt idx="4">
                  <c:v>289.83</c:v>
                </c:pt>
                <c:pt idx="5">
                  <c:v>184.39</c:v>
                </c:pt>
                <c:pt idx="6">
                  <c:v>110.65</c:v>
                </c:pt>
                <c:pt idx="7">
                  <c:v>193.43</c:v>
                </c:pt>
                <c:pt idx="8">
                  <c:v>98.94</c:v>
                </c:pt>
                <c:pt idx="9">
                  <c:v>0</c:v>
                </c:pt>
                <c:pt idx="10">
                  <c:v>278.10000000000002</c:v>
                </c:pt>
                <c:pt idx="11">
                  <c:v>110.14</c:v>
                </c:pt>
                <c:pt idx="12">
                  <c:v>151.22999999999999</c:v>
                </c:pt>
                <c:pt idx="13">
                  <c:v>72.14</c:v>
                </c:pt>
                <c:pt idx="14">
                  <c:v>108.31</c:v>
                </c:pt>
                <c:pt idx="15">
                  <c:v>110.56</c:v>
                </c:pt>
                <c:pt idx="16">
                  <c:v>15.67</c:v>
                </c:pt>
                <c:pt idx="17">
                  <c:v>280.08</c:v>
                </c:pt>
                <c:pt idx="18">
                  <c:v>156.12</c:v>
                </c:pt>
                <c:pt idx="19">
                  <c:v>228.36</c:v>
                </c:pt>
                <c:pt idx="20">
                  <c:v>86.49</c:v>
                </c:pt>
                <c:pt idx="21">
                  <c:v>123.32</c:v>
                </c:pt>
                <c:pt idx="22">
                  <c:v>243.96</c:v>
                </c:pt>
                <c:pt idx="23">
                  <c:v>0</c:v>
                </c:pt>
                <c:pt idx="24">
                  <c:v>129.51</c:v>
                </c:pt>
                <c:pt idx="25">
                  <c:v>28.57</c:v>
                </c:pt>
                <c:pt idx="26">
                  <c:v>0</c:v>
                </c:pt>
                <c:pt idx="27">
                  <c:v>0</c:v>
                </c:pt>
                <c:pt idx="28">
                  <c:v>120.27</c:v>
                </c:pt>
                <c:pt idx="29">
                  <c:v>28.11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7B-4647-88B5-A23FC4569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767993024"/>
        <c:axId val="835074496"/>
      </c:barChart>
      <c:dateAx>
        <c:axId val="76799302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1A3A5C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rgbClr val="FFFF00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835074496"/>
        <c:crosses val="autoZero"/>
        <c:auto val="1"/>
        <c:lblOffset val="100"/>
        <c:baseTimeUnit val="days"/>
        <c:majorUnit val="5"/>
        <c:majorTimeUnit val="days"/>
      </c:dateAx>
      <c:valAx>
        <c:axId val="835074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1A3A5C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rgbClr val="3D5474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76799302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rgbClr val="8B9DC3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BERAT NETTO BY RELASI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rgbClr val="8B9DC3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_DB_Data!$W$1</c:f>
              <c:strCache>
                <c:ptCount val="1"/>
                <c:pt idx="0">
                  <c:v>Netto (Ton)</c:v>
                </c:pt>
              </c:strCache>
            </c:strRef>
          </c:tx>
          <c:spPr>
            <a:solidFill>
              <a:srgbClr val="3B82F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563E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40F-494C-8814-64789CE0A5C3}"/>
              </c:ext>
            </c:extLst>
          </c:dPt>
          <c:dPt>
            <c:idx val="2"/>
            <c:invertIfNegative val="0"/>
            <c:bubble3D val="0"/>
            <c:spPr>
              <a:solidFill>
                <a:srgbClr val="60A5F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40F-494C-8814-64789CE0A5C3}"/>
              </c:ext>
            </c:extLst>
          </c:dPt>
          <c:dPt>
            <c:idx val="3"/>
            <c:invertIfNegative val="0"/>
            <c:bubble3D val="0"/>
            <c:spPr>
              <a:solidFill>
                <a:srgbClr val="93C5F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40F-494C-8814-64789CE0A5C3}"/>
              </c:ext>
            </c:extLst>
          </c:dPt>
          <c:dPt>
            <c:idx val="4"/>
            <c:invertIfNegative val="0"/>
            <c:bubble3D val="0"/>
            <c:spPr>
              <a:solidFill>
                <a:srgbClr val="BFDBF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40F-494C-8814-64789CE0A5C3}"/>
              </c:ext>
            </c:extLst>
          </c:dPt>
          <c:dPt>
            <c:idx val="5"/>
            <c:invertIfNegative val="0"/>
            <c:bubble3D val="0"/>
            <c:spPr>
              <a:solidFill>
                <a:srgbClr val="DBEAF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40F-494C-8814-64789CE0A5C3}"/>
              </c:ext>
            </c:extLst>
          </c:dPt>
          <c:dLbls>
            <c:numFmt formatCode="#,#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Segoe UI"/>
                    <a:ea typeface="Segoe UI"/>
                    <a:cs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_DB_Data!$V$2:$V$7</c:f>
              <c:strCache>
                <c:ptCount val="6"/>
                <c:pt idx="0">
                  <c:v>PT. JAS MULIA</c:v>
                </c:pt>
                <c:pt idx="1">
                  <c:v>PT. KASMAR MATANO PERSADA</c:v>
                </c:pt>
                <c:pt idx="2">
                  <c:v>PT. MADINRA INTI SAWIT</c:v>
                </c:pt>
                <c:pt idx="3">
                  <c:v>PT. PERKEBUNAN NUSANTARA</c:v>
                </c:pt>
                <c:pt idx="4">
                  <c:v>CV. SURYA CAHAYA MAS</c:v>
                </c:pt>
                <c:pt idx="5">
                  <c:v>CV. DUTA ABADI</c:v>
                </c:pt>
              </c:strCache>
            </c:strRef>
          </c:cat>
          <c:val>
            <c:numRef>
              <c:f>_DB_Data!$W$2:$W$7</c:f>
              <c:numCache>
                <c:formatCode>General</c:formatCode>
                <c:ptCount val="6"/>
                <c:pt idx="0">
                  <c:v>6495.28</c:v>
                </c:pt>
                <c:pt idx="1">
                  <c:v>3939.56</c:v>
                </c:pt>
                <c:pt idx="2">
                  <c:v>2697.4</c:v>
                </c:pt>
                <c:pt idx="3">
                  <c:v>1798.81</c:v>
                </c:pt>
                <c:pt idx="4">
                  <c:v>1584.29</c:v>
                </c:pt>
                <c:pt idx="5">
                  <c:v>1533.74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F-494C-8814-64789CE0A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808725568"/>
        <c:axId val="1808737472"/>
      </c:barChart>
      <c:catAx>
        <c:axId val="1808725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1A3A5C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rgbClr val="8B9DC3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808737472"/>
        <c:crosses val="autoZero"/>
        <c:auto val="1"/>
        <c:lblAlgn val="ctr"/>
        <c:lblOffset val="100"/>
        <c:noMultiLvlLbl val="0"/>
      </c:catAx>
      <c:valAx>
        <c:axId val="180873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1A3A5C"/>
              </a:solidFill>
              <a:prstDash val="solid"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solidFill>
              <a:srgbClr val="1A3A5C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rgbClr val="3D5474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808725568"/>
        <c:crosses val="autoZero"/>
        <c:crossBetween val="between"/>
      </c:valAx>
      <c:spPr>
        <a:solidFill>
          <a:srgbClr val="0F2137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F2137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rgbClr val="FFFFFF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BERAT NETTO BY RELASI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rgbClr val="FFFFFF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51596217836787"/>
          <c:y val="0.14931077546769594"/>
          <c:w val="0.6964930978815933"/>
          <c:h val="0.7533277093121434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_DB_Data!$W$1</c:f>
              <c:strCache>
                <c:ptCount val="1"/>
                <c:pt idx="0">
                  <c:v>Netto (Ton)</c:v>
                </c:pt>
              </c:strCache>
            </c:strRef>
          </c:tx>
          <c:spPr>
            <a:solidFill>
              <a:srgbClr val="00B0F0"/>
            </a:solidFill>
            <a:ln w="25400"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#,#00;\-#,#00;&quot;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rgbClr val="FFC000"/>
                    </a:solidFill>
                    <a:latin typeface="Segoe UI"/>
                    <a:ea typeface="Segoe UI"/>
                    <a:cs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_DB_Data!$V$2:$V$14</c:f>
              <c:strCache>
                <c:ptCount val="13"/>
                <c:pt idx="0">
                  <c:v>PT. JAS MULIA</c:v>
                </c:pt>
                <c:pt idx="1">
                  <c:v>PT. KASMAR MATANO PERSADA</c:v>
                </c:pt>
                <c:pt idx="2">
                  <c:v>PT. MADINRA INTI SAWIT</c:v>
                </c:pt>
                <c:pt idx="3">
                  <c:v>PT. PERKEBUNAN NUSANTARA</c:v>
                </c:pt>
                <c:pt idx="4">
                  <c:v>CV. SURYA CAHAYA MAS</c:v>
                </c:pt>
                <c:pt idx="5">
                  <c:v>CV. DUTA ABADI</c:v>
                </c:pt>
                <c:pt idx="6">
                  <c:v>PT. BUKIT JEJER LESTARI</c:v>
                </c:pt>
                <c:pt idx="7">
                  <c:v>CV. HALILINTAR SAKTI ABADI</c:v>
                </c:pt>
                <c:pt idx="8">
                  <c:v>PT. WIJAYA INTI NUSANTARA</c:v>
                </c:pt>
                <c:pt idx="9">
                  <c:v>PT. TRI DAYA JAYA</c:v>
                </c:pt>
                <c:pt idx="10">
                  <c:v>PT. WIJAYA NUSANTARA ENERGI</c:v>
                </c:pt>
                <c:pt idx="11">
                  <c:v>PT. WISAN PETRO ENERGI</c:v>
                </c:pt>
                <c:pt idx="12">
                  <c:v>PT. BORNEO MITRA SENTOSA</c:v>
                </c:pt>
              </c:strCache>
            </c:strRef>
          </c:cat>
          <c:val>
            <c:numRef>
              <c:f>_DB_Data!$W$2:$W$14</c:f>
              <c:numCache>
                <c:formatCode>General</c:formatCode>
                <c:ptCount val="13"/>
                <c:pt idx="0">
                  <c:v>6495.28</c:v>
                </c:pt>
                <c:pt idx="1">
                  <c:v>3939.56</c:v>
                </c:pt>
                <c:pt idx="2">
                  <c:v>2697.4</c:v>
                </c:pt>
                <c:pt idx="3">
                  <c:v>1798.81</c:v>
                </c:pt>
                <c:pt idx="4">
                  <c:v>1584.29</c:v>
                </c:pt>
                <c:pt idx="5">
                  <c:v>1533.74</c:v>
                </c:pt>
                <c:pt idx="6">
                  <c:v>1290.08</c:v>
                </c:pt>
                <c:pt idx="7">
                  <c:v>797.79</c:v>
                </c:pt>
                <c:pt idx="8">
                  <c:v>345.63</c:v>
                </c:pt>
                <c:pt idx="9">
                  <c:v>334.79</c:v>
                </c:pt>
                <c:pt idx="10">
                  <c:v>295.17</c:v>
                </c:pt>
                <c:pt idx="11">
                  <c:v>208.14</c:v>
                </c:pt>
                <c:pt idx="12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6F-304D-9E39-4FF3BEC52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788263296"/>
        <c:axId val="1788246016"/>
      </c:barChart>
      <c:catAx>
        <c:axId val="1788263296"/>
        <c:scaling>
          <c:orientation val="minMax"/>
        </c:scaling>
        <c:delete val="0"/>
        <c:axPos val="l"/>
        <c:majorGridlines>
          <c:spPr>
            <a:ln w="25400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FFFFFF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788246016"/>
        <c:crosses val="autoZero"/>
        <c:auto val="1"/>
        <c:lblAlgn val="ctr"/>
        <c:lblOffset val="100"/>
        <c:noMultiLvlLbl val="0"/>
      </c:catAx>
      <c:valAx>
        <c:axId val="1788246016"/>
        <c:scaling>
          <c:orientation val="minMax"/>
        </c:scaling>
        <c:delete val="0"/>
        <c:axPos val="b"/>
        <c:majorGridlines>
          <c:spPr>
            <a:ln w="25400" cap="flat" cmpd="sng" algn="ctr">
              <a:noFill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solidFill>
              <a:srgbClr val="FFFFFF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rgbClr val="FFFF00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78826329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D4A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PETA DISTRIBUSI PENGIRIMAN - SULAWESI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D4A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1"/>
        <c:ser>
          <c:idx val="0"/>
          <c:order val="0"/>
          <c:spPr>
            <a:ln w="19050">
              <a:solidFill>
                <a:srgbClr val="FFFFFF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75000"/>
                </a:schemeClr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301E-3C49-9919-7CD5BAB82D1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alpha val="75000"/>
                </a:schemeClr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2-301E-3C49-9919-7CD5BAB82D1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alpha val="75000"/>
                </a:schemeClr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301E-3C49-9919-7CD5BAB82D1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alpha val="75000"/>
                </a:schemeClr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301E-3C49-9919-7CD5BAB82D1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alpha val="75000"/>
                </a:schemeClr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301E-3C49-9919-7CD5BAB82D1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alpha val="75000"/>
                </a:schemeClr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6-301E-3C49-9919-7CD5BAB82D1C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1" i="0" u="none" strike="noStrike" kern="1200" baseline="0">
                        <a:solidFill>
                          <a:srgbClr val="FFFFFF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Makassar
97 Ton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301E-3C49-9919-7CD5BAB82D1C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1" i="0" u="none" strike="noStrike" kern="1200" baseline="0">
                        <a:solidFill>
                          <a:srgbClr val="FFFFFF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Palu
3.940 Ton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301E-3C49-9919-7CD5BAB82D1C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1" i="0" u="none" strike="noStrike" kern="1200" baseline="0">
                        <a:solidFill>
                          <a:srgbClr val="FFFFFF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Bone Bone
2.697 Ton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301E-3C49-9919-7CD5BAB82D1C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1" i="0" u="none" strike="noStrike" kern="1200" baseline="0">
                        <a:solidFill>
                          <a:srgbClr val="FFFFFF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Masamba
1.799 Ton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301E-3C49-9919-7CD5BAB82D1C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1" i="0" u="none" strike="noStrike" kern="1200" baseline="0">
                        <a:solidFill>
                          <a:srgbClr val="FFFFFF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Pomala
598 Ton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301E-3C49-9919-7CD5BAB82D1C}"/>
                </c:ext>
              </c:extLst>
            </c:dLbl>
            <c:dLbl>
              <c:idx val="5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1" i="0" u="none" strike="noStrike" kern="1200" baseline="0">
                        <a:solidFill>
                          <a:srgbClr val="FFFFFF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Burau
235 Ton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301E-3C49-9919-7CD5BAB82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'Peta Sulawesi'!$H$11:$M$11</c:f>
              <c:numCache>
                <c:formatCode>General</c:formatCode>
                <c:ptCount val="6"/>
                <c:pt idx="0">
                  <c:v>119.4221</c:v>
                </c:pt>
                <c:pt idx="1">
                  <c:v>119.8707</c:v>
                </c:pt>
                <c:pt idx="2">
                  <c:v>120.42</c:v>
                </c:pt>
                <c:pt idx="3">
                  <c:v>120.331</c:v>
                </c:pt>
                <c:pt idx="4">
                  <c:v>121.54</c:v>
                </c:pt>
                <c:pt idx="5">
                  <c:v>120.79</c:v>
                </c:pt>
              </c:numCache>
            </c:numRef>
          </c:xVal>
          <c:yVal>
            <c:numRef>
              <c:f>'Peta Sulawesi'!$H$12:$M$12</c:f>
              <c:numCache>
                <c:formatCode>General</c:formatCode>
                <c:ptCount val="6"/>
                <c:pt idx="0">
                  <c:v>-5.1477000000000004</c:v>
                </c:pt>
                <c:pt idx="1">
                  <c:v>-0.90029999999999999</c:v>
                </c:pt>
                <c:pt idx="2">
                  <c:v>-2.52</c:v>
                </c:pt>
                <c:pt idx="3">
                  <c:v>-2.5529999999999999</c:v>
                </c:pt>
                <c:pt idx="4">
                  <c:v>-4.17</c:v>
                </c:pt>
                <c:pt idx="5">
                  <c:v>-3.05</c:v>
                </c:pt>
              </c:numCache>
            </c:numRef>
          </c:yVal>
          <c:bubbleSize>
            <c:numRef>
              <c:f>'Peta Sulawesi'!$H$13:$M$13</c:f>
              <c:numCache>
                <c:formatCode>General</c:formatCode>
                <c:ptCount val="6"/>
                <c:pt idx="0">
                  <c:v>2.46</c:v>
                </c:pt>
                <c:pt idx="1">
                  <c:v>100</c:v>
                </c:pt>
                <c:pt idx="2">
                  <c:v>68.47</c:v>
                </c:pt>
                <c:pt idx="3">
                  <c:v>45.66</c:v>
                </c:pt>
                <c:pt idx="4">
                  <c:v>15.17</c:v>
                </c:pt>
                <c:pt idx="5">
                  <c:v>5.97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301E-3C49-9919-7CD5BAB82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326270271"/>
        <c:axId val="260833727"/>
      </c:bubbleChart>
      <c:valAx>
        <c:axId val="32627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1A3050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445566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Longitude →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44556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667788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833727"/>
        <c:crosses val="autoZero"/>
        <c:crossBetween val="midCat"/>
      </c:valAx>
      <c:valAx>
        <c:axId val="26083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1A3050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445566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↑ Latitude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44556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667788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70271"/>
        <c:crosses val="autoZero"/>
        <c:crossBetween val="midCat"/>
      </c:valAx>
      <c:spPr>
        <a:solidFill>
          <a:srgbClr val="0D2137"/>
        </a:solidFill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B1A2E"/>
    </a:solidFill>
    <a:ln w="25400" cap="flat" cmpd="sng" algn="ctr">
      <a:solidFill>
        <a:srgbClr val="00D4AA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1181100</xdr:colOff>
      <xdr:row>12</xdr:row>
      <xdr:rowOff>38100</xdr:rowOff>
    </xdr:from>
    <xdr:to>
      <xdr:col>10</xdr:col>
      <xdr:colOff>508000</xdr:colOff>
      <xdr:row>14</xdr:row>
      <xdr:rowOff>2641600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0FE67E1-076A-409A-4654-879F3081AD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698500</xdr:colOff>
      <xdr:row>12</xdr:row>
      <xdr:rowOff>38100</xdr:rowOff>
    </xdr:from>
    <xdr:to>
      <xdr:col>15</xdr:col>
      <xdr:colOff>0</xdr:colOff>
      <xdr:row>14</xdr:row>
      <xdr:rowOff>2641600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5BCE114-5C36-7E0C-9F75-34E4B9E6EB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1181100</xdr:colOff>
      <xdr:row>15</xdr:row>
      <xdr:rowOff>101600</xdr:rowOff>
    </xdr:from>
    <xdr:to>
      <xdr:col>10</xdr:col>
      <xdr:colOff>508000</xdr:colOff>
      <xdr:row>17</xdr:row>
      <xdr:rowOff>2679700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4C29D10-AD49-818F-93F9-064B852BB8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15</xdr:row>
      <xdr:rowOff>101600</xdr:rowOff>
    </xdr:from>
    <xdr:to>
      <xdr:col>6</xdr:col>
      <xdr:colOff>1016000</xdr:colOff>
      <xdr:row>17</xdr:row>
      <xdr:rowOff>2679700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6FA1481-0EA3-B74B-3979-9A685ED984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698500</xdr:colOff>
      <xdr:row>15</xdr:row>
      <xdr:rowOff>101600</xdr:rowOff>
    </xdr:from>
    <xdr:to>
      <xdr:col>15</xdr:col>
      <xdr:colOff>12330</xdr:colOff>
      <xdr:row>17</xdr:row>
      <xdr:rowOff>2679700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C562CAB-CA59-5AFF-02C7-469E578A44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12</xdr:row>
      <xdr:rowOff>38100</xdr:rowOff>
    </xdr:from>
    <xdr:to>
      <xdr:col>5</xdr:col>
      <xdr:colOff>1117600</xdr:colOff>
      <xdr:row>14</xdr:row>
      <xdr:rowOff>2641600</xdr:rowOff>
    </xdr:to>
    <xdr:graphicFrame macro="">
      <xdr:nvGraphicFramePr>
        <xdr:cNvPr id="20" name="ChartRelasi">
          <a:extLst>
            <a:ext uri="{FF2B5EF4-FFF2-40B4-BE49-F238E27FC236}">
              <a16:creationId xmlns:a16="http://schemas.microsoft.com/office/drawing/2014/main" id="{F01D9E3C-66C4-1036-219C-D7E100213A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12</xdr:row>
      <xdr:rowOff>38100</xdr:rowOff>
    </xdr:from>
    <xdr:to>
      <xdr:col>6</xdr:col>
      <xdr:colOff>990600</xdr:colOff>
      <xdr:row>15</xdr:row>
      <xdr:rowOff>0</xdr:rowOff>
    </xdr:to>
    <xdr:graphicFrame macro="">
      <xdr:nvGraphicFramePr>
        <xdr:cNvPr id="21" name="ChartRelasi">
          <a:extLst>
            <a:ext uri="{FF2B5EF4-FFF2-40B4-BE49-F238E27FC236}">
              <a16:creationId xmlns:a16="http://schemas.microsoft.com/office/drawing/2014/main" id="{3EDF98AE-1809-BBF1-01B9-7F39BA1582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151245</xdr:colOff>
      <xdr:row>14</xdr:row>
      <xdr:rowOff>24118</xdr:rowOff>
    </xdr:from>
    <xdr:to>
      <xdr:col>9</xdr:col>
      <xdr:colOff>595745</xdr:colOff>
      <xdr:row>47</xdr:row>
      <xdr:rowOff>89543</xdr:rowOff>
    </xdr:to>
    <xdr:graphicFrame macro="">
      <xdr:nvGraphicFramePr>
        <xdr:cNvPr id="5" name="PetaSulawesi">
          <a:extLst>
            <a:ext uri="{FF2B5EF4-FFF2-40B4-BE49-F238E27FC236}">
              <a16:creationId xmlns:a16="http://schemas.microsoft.com/office/drawing/2014/main" id="{8C18AA84-3817-B753-CA7D-F7553A9A87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71.386318171295" createdVersion="8" refreshedVersion="8" minRefreshableVersion="3" recordCount="1962" xr:uid="{3857A69A-3F9B-584B-B05F-2E33A9EED992}">
  <cacheSource type="worksheet">
    <worksheetSource name="TableSummaryWB2"/>
  </cacheSource>
  <cacheFields count="21">
    <cacheField name="Jumlah" numFmtId="0">
      <sharedItems containsString="0" containsBlank="1" containsNumber="1" containsInteger="1" minValue="1" maxValue="1"/>
    </cacheField>
    <cacheField name="No. Seri" numFmtId="0">
      <sharedItems containsBlank="1"/>
    </cacheField>
    <cacheField name="No Seri Relasi" numFmtId="0">
      <sharedItems containsBlank="1"/>
    </cacheField>
    <cacheField name="No. Polisi" numFmtId="0">
      <sharedItems containsBlank="1"/>
    </cacheField>
    <cacheField name="No Kontrak" numFmtId="0">
      <sharedItems containsBlank="1"/>
    </cacheField>
    <cacheField name="DO" numFmtId="0">
      <sharedItems containsBlank="1"/>
    </cacheField>
    <cacheField name="Relasi" numFmtId="0">
      <sharedItems containsBlank="1" count="17">
        <m/>
        <s v="PT. KASMAR MATANO PERSADA"/>
        <s v="PT. MADINRA INTI SAWIT"/>
        <s v="PT. JAS MULIA"/>
        <s v="PT. PERKEBUNAN NUSANTARA"/>
        <s v="PT. MADU LINGGA RAHARJA"/>
        <s v="PT. BUKIT JEJER LESTARI"/>
        <s v="CV. HALILINTAR SAKTI ABADI"/>
        <s v="CV. SURYA CAHAYA MAS"/>
        <s v="CV. DUTA ABADI"/>
        <s v="PT. TRI DAYA JAYA"/>
        <s v="PT. WIJAYA INTI NUSANTARA"/>
        <s v="CV. Nusantara Daya Jaya"/>
        <s v="PT. PANDU URANE PERKASA"/>
        <s v="PT. WIJAYA NUSANTARA ENERGI"/>
        <s v="PT. WISAN PETRO ENERGI"/>
        <s v="PT. BORNEO MITRA SENTOSA"/>
      </sharedItems>
    </cacheField>
    <cacheField name="Produk" numFmtId="0">
      <sharedItems containsBlank="1" count="6">
        <m/>
        <s v="CPO"/>
        <s v="BE"/>
        <s v="RBDPL"/>
        <s v="B-40"/>
        <s v="RBDPS"/>
      </sharedItems>
    </cacheField>
    <cacheField name="Truck" numFmtId="0">
      <sharedItems containsBlank="1"/>
    </cacheField>
    <cacheField name="Tanggal Masuk" numFmtId="0">
      <sharedItems containsNonDate="0" containsDate="1" containsString="0" containsBlank="1" minDate="2025-09-08T00:00:00" maxDate="2026-05-26T00:00:00"/>
    </cacheField>
    <cacheField name="Berat_x000a_Masuk" numFmtId="0">
      <sharedItems containsString="0" containsBlank="1" containsNumber="1" containsInteger="1" minValue="1940" maxValue="46210"/>
    </cacheField>
    <cacheField name="Berat_x000a_Keluar" numFmtId="0">
      <sharedItems containsString="0" containsBlank="1" containsNumber="1" containsInteger="1" minValue="2140" maxValue="46560"/>
    </cacheField>
    <cacheField name="Berat_x000a_Netto PT WINS" numFmtId="0">
      <sharedItems containsString="0" containsBlank="1" containsNumber="1" containsInteger="1" minValue="190" maxValue="29000"/>
    </cacheField>
    <cacheField name="Berat Relasi" numFmtId="0">
      <sharedItems containsString="0" containsBlank="1" containsNumber="1" containsInteger="1" minValue="190" maxValue="28740"/>
    </cacheField>
    <cacheField name="Jam_x000a_Masuk" numFmtId="0">
      <sharedItems containsNonDate="0" containsDate="1" containsString="0" containsBlank="1" minDate="1899-12-30T00:00:00" maxDate="1899-12-30T23:58:00"/>
    </cacheField>
    <cacheField name="Jam_x000a_Keluar" numFmtId="0">
      <sharedItems containsNonDate="0" containsDate="1" containsString="0" containsBlank="1" minDate="1899-12-30T00:02:00" maxDate="1899-12-30T23:59:00"/>
    </cacheField>
    <cacheField name="Penimbang" numFmtId="0">
      <sharedItems containsBlank="1"/>
    </cacheField>
    <cacheField name="Driver" numFmtId="0">
      <sharedItems containsBlank="1"/>
    </cacheField>
    <cacheField name="Distance (Km)" numFmtId="0">
      <sharedItems containsString="0" containsBlank="1" containsNumber="1" containsInteger="1" minValue="0" maxValue="642"/>
    </cacheField>
    <cacheField name="Transportir" numFmtId="0">
      <sharedItems containsBlank="1"/>
    </cacheField>
    <cacheField name="Lokasi pengiriman " numFmtId="0">
      <sharedItems containsBlank="1"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2"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n v="1"/>
    <s v="000018"/>
    <s v="CPO000018KMP"/>
    <s v="WNE 01"/>
    <s v="KMP01092025"/>
    <s v="PT. KMP / 1 / 500"/>
    <x v="1"/>
    <x v="1"/>
    <s v="10 Roda"/>
    <d v="2025-09-30T00:00:00"/>
    <n v="25000"/>
    <n v="10740"/>
    <n v="14260"/>
    <n v="14360"/>
    <d v="1899-12-30T02:52:00"/>
    <d v="1899-12-30T14:42:00"/>
    <s v="samsira"/>
    <s v="RONI RAKAN"/>
    <n v="53"/>
    <s v="WIL"/>
    <s v="Masamba"/>
  </r>
  <r>
    <n v="1"/>
    <s v="000019"/>
    <s v="CPO000019KMP"/>
    <s v="WNE 06"/>
    <s v="KMP01092025"/>
    <s v="PT. KMP / 1 / 500"/>
    <x v="1"/>
    <x v="1"/>
    <s v="12 Roda"/>
    <d v="2025-09-30T00:00:00"/>
    <n v="45770"/>
    <n v="17820"/>
    <n v="27950"/>
    <n v="28420"/>
    <d v="1899-12-30T10:50:00"/>
    <d v="1899-12-30T13:14:00"/>
    <s v="samsira"/>
    <s v="IBRAHIM"/>
    <n v="53"/>
    <s v="WIL"/>
    <s v="Masamba"/>
  </r>
  <r>
    <n v="1"/>
    <s v="000020"/>
    <s v="CPO000020KMP"/>
    <s v="WNE 05"/>
    <s v="KMP01092025"/>
    <s v="PT. KMP / 1 / 500"/>
    <x v="1"/>
    <x v="1"/>
    <s v="12 Roda"/>
    <d v="2025-09-30T00:00:00"/>
    <n v="45930"/>
    <n v="18580"/>
    <n v="27350"/>
    <n v="28520"/>
    <d v="1899-12-30T10:57:00"/>
    <d v="1899-12-30T15:22:00"/>
    <s v="samsira"/>
    <s v="IQBAL"/>
    <n v="53"/>
    <s v="WIL"/>
    <s v="Masamba"/>
  </r>
  <r>
    <n v="1"/>
    <s v="000021"/>
    <s v="CPO000021KMP"/>
    <s v="WNE 03"/>
    <s v="KMP01092025"/>
    <s v="PT. KMP / 1 / 500"/>
    <x v="1"/>
    <x v="1"/>
    <s v="10 Roda"/>
    <d v="2025-09-30T00:00:00"/>
    <n v="26780"/>
    <n v="12170"/>
    <n v="14610"/>
    <n v="14720"/>
    <d v="1899-12-30T11:02:00"/>
    <d v="1899-12-30T13:12:00"/>
    <s v="samsira"/>
    <s v="ERWIN"/>
    <n v="53"/>
    <s v="WIL"/>
    <s v="Masamba"/>
  </r>
  <r>
    <n v="1"/>
    <s v="000022"/>
    <s v="CPO000022KMP"/>
    <s v="WNE 01"/>
    <s v="KMP01092025"/>
    <s v="PT. KMP / 1 / 500"/>
    <x v="1"/>
    <x v="1"/>
    <s v="10 Roda"/>
    <d v="2025-09-30T00:00:00"/>
    <n v="24870"/>
    <n v="10660"/>
    <n v="14210"/>
    <n v="14200"/>
    <d v="1899-12-30T20:52:00"/>
    <d v="1899-12-30T22:37:00"/>
    <s v="samsira"/>
    <s v="RONI RAKAN"/>
    <n v="53"/>
    <s v="WIL"/>
    <s v="Masamba"/>
  </r>
  <r>
    <n v="1"/>
    <s v="000024"/>
    <s v="CPO000024KMP"/>
    <s v="WNE 06"/>
    <s v="KMP01092025"/>
    <s v="PT. KMP / 1 / 500"/>
    <x v="1"/>
    <x v="1"/>
    <s v="12 Roda"/>
    <d v="2025-09-30T00:00:00"/>
    <n v="45770"/>
    <n v="17500"/>
    <n v="28270"/>
    <n v="28080"/>
    <d v="1899-12-30T20:57:00"/>
    <d v="1899-12-30T22:48:00"/>
    <s v="samsira"/>
    <s v="IBRAHIM"/>
    <n v="53"/>
    <s v="WIL"/>
    <s v="Masamba"/>
  </r>
  <r>
    <n v="1"/>
    <s v="000023"/>
    <s v="CPO000023KMP"/>
    <s v="WNE 03"/>
    <s v="KMP01092025"/>
    <s v="PT. KMP / 1 / 500"/>
    <x v="1"/>
    <x v="1"/>
    <s v="10 Roda"/>
    <d v="2025-10-01T00:00:00"/>
    <n v="26650"/>
    <n v="12110"/>
    <n v="14540"/>
    <n v="14540"/>
    <d v="1899-12-30T20:53:00"/>
    <d v="1899-12-30T00:11:00"/>
    <s v="samsira"/>
    <s v="ERWIN"/>
    <n v="53"/>
    <s v="WIL"/>
    <s v="Masamba"/>
  </r>
  <r>
    <n v="1"/>
    <s v="000025"/>
    <s v="CPO000025KMP"/>
    <s v="WNE 05"/>
    <s v="KMP01092025"/>
    <s v="PT. KMP / 1 / 500"/>
    <x v="1"/>
    <x v="1"/>
    <s v="12 Roda"/>
    <d v="2025-10-01T00:00:00"/>
    <n v="45650"/>
    <n v="17580"/>
    <n v="28070"/>
    <n v="27180"/>
    <d v="1899-12-30T21:35:00"/>
    <d v="1899-12-30T00:23:00"/>
    <s v="samsira"/>
    <s v="IQBAL"/>
    <n v="53"/>
    <s v="WIL"/>
    <s v="Masamba"/>
  </r>
  <r>
    <n v="1"/>
    <s v="000026"/>
    <s v="CPO000026KMP"/>
    <s v="WNE 03"/>
    <s v="KMP01092025"/>
    <s v="PT. KMP / 1 / 500"/>
    <x v="1"/>
    <x v="1"/>
    <s v="10 Roda"/>
    <d v="2025-10-01T00:00:00"/>
    <n v="26600"/>
    <n v="12030"/>
    <n v="14570"/>
    <n v="14560"/>
    <d v="1899-12-30T13:11:00"/>
    <d v="1899-12-30T14:27:00"/>
    <s v="samsira"/>
    <s v="ERWIN"/>
    <n v="53"/>
    <s v="WIL"/>
    <s v="Masamba"/>
  </r>
  <r>
    <n v="1"/>
    <s v="000027"/>
    <s v="CPO000027KMP"/>
    <s v="WNE 05"/>
    <s v="KMP01092025"/>
    <s v="PT. KMP / 1 / 500"/>
    <x v="1"/>
    <x v="1"/>
    <s v="12 Roda"/>
    <d v="2025-10-01T00:00:00"/>
    <n v="45720"/>
    <n v="17500"/>
    <n v="28220"/>
    <n v="28240"/>
    <d v="1899-12-30T13:14:00"/>
    <d v="1899-12-30T15:00:00"/>
    <s v="samsira"/>
    <s v="IQBAL"/>
    <n v="53"/>
    <s v="WIL"/>
    <s v="Masamba"/>
  </r>
  <r>
    <n v="1"/>
    <s v="000028"/>
    <s v="CPO000028KMP"/>
    <s v="WNE 06"/>
    <s v="KMP01092025"/>
    <s v="PT. KMP / 1 / 500"/>
    <x v="1"/>
    <x v="1"/>
    <s v="12 Roda"/>
    <d v="2025-10-01T00:00:00"/>
    <n v="45660"/>
    <n v="17430"/>
    <n v="28230"/>
    <n v="28260"/>
    <d v="1899-12-30T13:26:00"/>
    <d v="1899-12-30T17:06:00"/>
    <s v="samsira"/>
    <s v="IBRAHIM"/>
    <n v="53"/>
    <s v="WIL"/>
    <s v="Masamba"/>
  </r>
  <r>
    <n v="1"/>
    <s v="000029"/>
    <s v="CPO000029KMP"/>
    <s v="WNE 01"/>
    <s v="KMP01092025"/>
    <s v="PT. KMP / 1 / 500"/>
    <x v="1"/>
    <x v="1"/>
    <s v="10 Roda"/>
    <d v="2025-10-01T00:00:00"/>
    <n v="24910"/>
    <n v="10660"/>
    <n v="14250"/>
    <n v="14300"/>
    <d v="1899-12-30T15:10:00"/>
    <d v="1899-12-30T16:36:00"/>
    <s v="samsira"/>
    <s v="RONI RAKAN"/>
    <n v="53"/>
    <s v="WIL"/>
    <s v="Masamba"/>
  </r>
  <r>
    <n v="1"/>
    <s v="000030"/>
    <s v="CPO000030KMP"/>
    <s v="WNE 03"/>
    <s v="KMP01092025"/>
    <s v="PT. KMP / 1 / 500"/>
    <x v="1"/>
    <x v="1"/>
    <s v="10 Roda"/>
    <d v="2025-10-01T00:00:00"/>
    <n v="26560"/>
    <n v="12010"/>
    <n v="14550"/>
    <n v="14600"/>
    <d v="1899-12-30T19:34:00"/>
    <d v="1899-12-30T21:16:00"/>
    <s v="samsira"/>
    <s v="ERWIN"/>
    <n v="53"/>
    <s v="WIL"/>
    <s v="Masamba"/>
  </r>
  <r>
    <n v="1"/>
    <s v="000031"/>
    <s v="CPO000031KMP"/>
    <s v="WNE 05"/>
    <s v="KMP01092025"/>
    <s v="PT. KMP / 1 / 500"/>
    <x v="1"/>
    <x v="1"/>
    <s v="12 Roda"/>
    <d v="2025-10-01T00:00:00"/>
    <n v="45560"/>
    <n v="17480"/>
    <n v="28080"/>
    <n v="28140"/>
    <d v="1899-12-30T19:36:00"/>
    <d v="1899-12-30T21:21:00"/>
    <s v="samsira"/>
    <s v="IQBAL"/>
    <n v="53"/>
    <s v="WIL"/>
    <s v="Masamba"/>
  </r>
  <r>
    <n v="1"/>
    <s v="000032"/>
    <s v="CPO000032KMP"/>
    <s v="WNE 06"/>
    <s v="KMP01092025"/>
    <s v="PT. KMP / 1 / 500"/>
    <x v="1"/>
    <x v="1"/>
    <s v="12 Roda"/>
    <d v="2025-10-01T00:00:00"/>
    <n v="45700"/>
    <n v="17400"/>
    <n v="28300"/>
    <n v="28360"/>
    <d v="1899-12-30T21:01:00"/>
    <d v="1899-12-30T23:18:00"/>
    <s v="samsira"/>
    <s v="IBRAHIM"/>
    <n v="53"/>
    <s v="WIL"/>
    <s v="Masamba"/>
  </r>
  <r>
    <n v="1"/>
    <s v="000033"/>
    <s v="CPO000033KMP"/>
    <s v="WNE 05"/>
    <s v="KMP01092025"/>
    <s v="PT. KMP / 1 / 500"/>
    <x v="1"/>
    <x v="1"/>
    <s v="12 Roda"/>
    <d v="2025-10-02T00:00:00"/>
    <n v="45520"/>
    <n v="17410"/>
    <n v="28110"/>
    <n v="28160"/>
    <d v="1899-12-30T13:21:00"/>
    <d v="1899-12-30T15:14:00"/>
    <s v="samsira"/>
    <s v="IQBAL"/>
    <n v="53"/>
    <s v="WIL"/>
    <s v="Masamba"/>
  </r>
  <r>
    <n v="1"/>
    <s v="000034"/>
    <s v="CPO000034KMP"/>
    <s v="WNE 06"/>
    <s v="KMP01092025"/>
    <s v="PT. KMP / 1 / 500"/>
    <x v="1"/>
    <x v="1"/>
    <s v="12 Roda"/>
    <d v="2025-10-02T00:00:00"/>
    <n v="45170"/>
    <n v="17510"/>
    <n v="27660"/>
    <n v="27680"/>
    <d v="1899-12-30T13:25:00"/>
    <d v="1899-12-30T16:21:00"/>
    <s v="samsira"/>
    <s v="IBRAHIM"/>
    <n v="53"/>
    <s v="WIL"/>
    <s v="Masamba"/>
  </r>
  <r>
    <n v="1"/>
    <s v="000035"/>
    <s v="CPO000035KMP"/>
    <s v="WNE 02"/>
    <s v="KMP01092025"/>
    <s v="PT. KMP / 1 / 500"/>
    <x v="1"/>
    <x v="1"/>
    <s v="10 Roda"/>
    <d v="2025-10-02T00:00:00"/>
    <n v="26620"/>
    <n v="11800"/>
    <n v="14820"/>
    <n v="14860"/>
    <d v="1899-12-30T14:29:00"/>
    <d v="1899-12-30T16:30:00"/>
    <s v="samsira"/>
    <s v="WALDI"/>
    <n v="53"/>
    <s v="WIL"/>
    <s v="Masamba"/>
  </r>
  <r>
    <n v="1"/>
    <s v="000036"/>
    <s v="CPO000036KMP"/>
    <s v="WNE 03"/>
    <s v="KMP01092025"/>
    <s v="PT. KMP / 1 / 500"/>
    <x v="1"/>
    <x v="1"/>
    <s v="10 Roda"/>
    <d v="2025-10-02T00:00:00"/>
    <n v="26660"/>
    <n v="12120"/>
    <n v="14540"/>
    <n v="14580"/>
    <d v="1899-12-30T14:39:00"/>
    <d v="1899-12-30T17:37:00"/>
    <s v="samsira"/>
    <s v="ERWIN"/>
    <n v="53"/>
    <s v="WIL"/>
    <s v="Masamba"/>
  </r>
  <r>
    <n v="1"/>
    <s v="000037"/>
    <s v="CPO000037KMP"/>
    <s v="WNE 05"/>
    <s v="KMP01092025"/>
    <s v="PT. KMP / 1 / 500"/>
    <x v="1"/>
    <x v="1"/>
    <s v="12 Roda"/>
    <d v="2025-10-02T00:00:00"/>
    <n v="45730"/>
    <n v="17580"/>
    <n v="28150"/>
    <n v="28200"/>
    <d v="1899-12-30T19:44:00"/>
    <d v="1899-12-30T21:36:00"/>
    <s v="samsira"/>
    <s v="IQBAL"/>
    <n v="53"/>
    <s v="WIL"/>
    <s v="Masamba"/>
  </r>
  <r>
    <n v="1"/>
    <s v="000038"/>
    <s v="CPO000038KMP"/>
    <s v="WNE 06"/>
    <s v="KMP01092025"/>
    <s v="PT. KMP / 1 / 500"/>
    <x v="1"/>
    <x v="1"/>
    <s v="12 Roda"/>
    <d v="2025-10-02T00:00:00"/>
    <n v="45680"/>
    <n v="17460"/>
    <n v="28220"/>
    <n v="28260"/>
    <d v="1899-12-30T20:01:00"/>
    <d v="1899-12-30T22:49:00"/>
    <s v="samsira"/>
    <s v="IBRAHIM"/>
    <n v="53"/>
    <s v="WIL"/>
    <s v="Masamba"/>
  </r>
  <r>
    <n v="1"/>
    <s v="000039"/>
    <s v="CPO000039KMP"/>
    <s v="WNE 02"/>
    <s v="KMP01092025"/>
    <s v="PT. KMP / 1 / 500"/>
    <x v="1"/>
    <x v="1"/>
    <s v="10 Roda"/>
    <d v="2025-10-02T00:00:00"/>
    <n v="26550"/>
    <n v="11770"/>
    <n v="14780"/>
    <n v="14800"/>
    <d v="1899-12-30T20:28:00"/>
    <d v="1899-12-30T22:34:00"/>
    <s v="samsira"/>
    <s v="WALDI"/>
    <n v="53"/>
    <s v="WIL"/>
    <s v="Masamba"/>
  </r>
  <r>
    <n v="1"/>
    <s v="000040"/>
    <s v="CPO000040KMP"/>
    <s v="WNE 03"/>
    <s v="KMP01092025"/>
    <s v="PT. KMP / 1 / 500"/>
    <x v="1"/>
    <x v="1"/>
    <s v="10 Roda"/>
    <d v="2025-10-02T00:00:00"/>
    <n v="26640"/>
    <n v="12080"/>
    <n v="14560"/>
    <n v="14580"/>
    <d v="1899-12-30T21:34:00"/>
    <d v="1899-12-30T23:49:00"/>
    <s v="samsira"/>
    <s v="ERWIN"/>
    <n v="53"/>
    <s v="WIL"/>
    <s v="Masamba"/>
  </r>
  <r>
    <n v="1"/>
    <s v="000041"/>
    <s v="CPO000041MIS"/>
    <s v="DP 8821 GL"/>
    <s v="215/PJB/MIS-WINS/X/2025"/>
    <s v="PT. MIS / 1 / 500"/>
    <x v="2"/>
    <x v="1"/>
    <s v="6 Roda"/>
    <d v="2025-11-01T00:00:00"/>
    <n v="13370"/>
    <n v="3790"/>
    <n v="9580"/>
    <n v="9540"/>
    <d v="1899-12-30T23:25:00"/>
    <d v="1899-12-30T01:08:00"/>
    <s v="samsira"/>
    <m/>
    <n v="494"/>
    <m/>
    <s v="Pomala"/>
  </r>
  <r>
    <n v="1"/>
    <s v="000042"/>
    <s v="CPO000042MIS"/>
    <s v="DP 8951 GB"/>
    <s v="215/PJB/MIS-WINS/X/2025"/>
    <s v="PT. MIS / 1 / 500"/>
    <x v="2"/>
    <x v="1"/>
    <s v="6 Roda"/>
    <d v="2025-11-01T00:00:00"/>
    <n v="13700"/>
    <n v="4070"/>
    <n v="9630"/>
    <n v="9590"/>
    <d v="1899-12-30T23:27:00"/>
    <d v="1899-12-30T01:24:00"/>
    <s v="samsira"/>
    <m/>
    <n v="494"/>
    <m/>
    <s v="Pomala"/>
  </r>
  <r>
    <n v="1"/>
    <s v="000043"/>
    <s v="CPO000043MIS"/>
    <s v="DP 8994 GH"/>
    <s v="215/PJB/MIS-WINS/X/2025"/>
    <s v="PT. MIS / 1 / 500"/>
    <x v="2"/>
    <x v="1"/>
    <s v="6 Roda"/>
    <d v="2025-11-01T00:00:00"/>
    <n v="13570"/>
    <n v="3910"/>
    <n v="9660"/>
    <n v="9650"/>
    <d v="1899-12-30T23:28:00"/>
    <d v="1899-12-30T02:17:00"/>
    <s v="samsira"/>
    <m/>
    <n v="494"/>
    <m/>
    <s v="Pomala"/>
  </r>
  <r>
    <n v="1"/>
    <s v="000044"/>
    <s v="CPO000044MIS"/>
    <s v="DP 8928 GM"/>
    <s v="215/PJB/MIS-WINS/X/2025"/>
    <s v="PT. MIS / 1 / 500"/>
    <x v="2"/>
    <x v="1"/>
    <s v="6 Roda"/>
    <d v="2025-11-01T00:00:00"/>
    <n v="13900"/>
    <n v="3810"/>
    <n v="10090"/>
    <n v="10090"/>
    <d v="1899-12-30T23:29:00"/>
    <d v="1899-12-30T01:31:00"/>
    <s v="samsira"/>
    <m/>
    <n v="494"/>
    <m/>
    <s v="Pomala"/>
  </r>
  <r>
    <n v="1"/>
    <s v="000045"/>
    <s v="CPO000045MIS"/>
    <s v="DN 8492 CU"/>
    <s v="215/PJB/MIS-WINS/X/2025"/>
    <s v="PT. MIS / 1 / 500"/>
    <x v="2"/>
    <x v="1"/>
    <s v="6 Roda"/>
    <d v="2025-11-01T00:00:00"/>
    <n v="13600"/>
    <n v="3990"/>
    <n v="9610"/>
    <n v="9590"/>
    <d v="1899-12-30T23:30:00"/>
    <d v="1899-12-30T02:47:00"/>
    <s v="samsira"/>
    <m/>
    <n v="494"/>
    <m/>
    <s v="Pomala"/>
  </r>
  <r>
    <n v="1"/>
    <s v="000046"/>
    <s v="CPO000046MIS"/>
    <s v="DP 8036 GK"/>
    <s v="215/PJB/MIS-WINS/X/2025"/>
    <s v="PT. MIS / 1 / 500"/>
    <x v="2"/>
    <x v="1"/>
    <s v="6 Roda"/>
    <d v="2025-11-01T00:00:00"/>
    <n v="13440"/>
    <n v="3980"/>
    <n v="9460"/>
    <n v="9420"/>
    <d v="1899-12-30T23:31:00"/>
    <d v="1899-12-30T02:08:00"/>
    <s v="samsira"/>
    <m/>
    <n v="494"/>
    <m/>
    <s v="Pomala"/>
  </r>
  <r>
    <n v="1"/>
    <s v="000047"/>
    <s v="CPO000047MIS"/>
    <s v="DP 8662 GH"/>
    <s v="215/PJB/MIS-WINS/X/2025"/>
    <s v="PT. MIS / 1 / 500"/>
    <x v="2"/>
    <x v="1"/>
    <s v="6 Roda"/>
    <d v="2025-11-01T00:00:00"/>
    <n v="14050"/>
    <n v="3960"/>
    <n v="10090"/>
    <n v="10070"/>
    <d v="1899-12-30T02:11:00"/>
    <d v="1899-12-30T03:39:00"/>
    <s v="samsira"/>
    <m/>
    <n v="494"/>
    <m/>
    <s v="Pomala"/>
  </r>
  <r>
    <n v="1"/>
    <s v="000048"/>
    <s v="CPO000048MIS"/>
    <s v="DP 8004 GJ"/>
    <s v="215/PJB/MIS-WINS/X/2025"/>
    <s v="PT. MIS / 1 / 500"/>
    <x v="2"/>
    <x v="1"/>
    <s v="6 Roda"/>
    <d v="2025-11-01T00:00:00"/>
    <n v="13500"/>
    <n v="4090"/>
    <n v="9410"/>
    <n v="9380"/>
    <d v="1899-12-30T02:12:00"/>
    <d v="1899-12-30T04:00:00"/>
    <s v="samsira"/>
    <m/>
    <n v="494"/>
    <m/>
    <s v="Pomala"/>
  </r>
  <r>
    <n v="1"/>
    <s v="000049"/>
    <s v="CPO000049MIS"/>
    <s v="DP 8762 GH"/>
    <s v="215/PJB/MIS-WINS/X/2025"/>
    <s v="PT. MIS / 1 / 500"/>
    <x v="2"/>
    <x v="1"/>
    <s v="6 Roda"/>
    <d v="2025-11-01T00:00:00"/>
    <n v="13150"/>
    <n v="3810"/>
    <n v="9340"/>
    <n v="9320"/>
    <d v="1899-12-30T02:54:00"/>
    <d v="1899-12-30T04:16:00"/>
    <s v="samsira"/>
    <m/>
    <n v="494"/>
    <m/>
    <s v="Pomala"/>
  </r>
  <r>
    <n v="1"/>
    <s v="000050"/>
    <s v="CPO000050MIS"/>
    <s v="DP 9826 GA"/>
    <s v="215/PJB/MIS-WINS/X/2025"/>
    <s v="PT. MIS / 1 / 500"/>
    <x v="2"/>
    <x v="1"/>
    <s v="6 Roda"/>
    <d v="2025-11-01T00:00:00"/>
    <n v="13910"/>
    <n v="4030"/>
    <n v="9880"/>
    <n v="9870"/>
    <d v="1899-12-30T02:55:00"/>
    <d v="1899-12-30T04:33:00"/>
    <s v="samsira"/>
    <m/>
    <n v="494"/>
    <m/>
    <s v="Pomala"/>
  </r>
  <r>
    <n v="1"/>
    <s v="000051"/>
    <s v="CPO000051MIS"/>
    <s v="DP 8798 GH"/>
    <s v="215/PJB/MIS-WINS/X/2025"/>
    <s v="PT. MIS / 1 / 500"/>
    <x v="2"/>
    <x v="1"/>
    <s v="6 Roda"/>
    <d v="2025-11-01T00:00:00"/>
    <n v="13450"/>
    <n v="4020"/>
    <n v="9430"/>
    <n v="9430"/>
    <d v="1899-12-30T03:01:00"/>
    <d v="1899-12-30T04:57:00"/>
    <s v="samsira"/>
    <m/>
    <n v="494"/>
    <m/>
    <s v="Pomala"/>
  </r>
  <r>
    <n v="1"/>
    <s v="000052"/>
    <s v="CPO000052MIS"/>
    <s v="DP 9846 GA"/>
    <s v="215/PJB/MIS-WINS/X/2025"/>
    <s v="PT. MIS / 1 / 500"/>
    <x v="2"/>
    <x v="1"/>
    <s v="6 Roda"/>
    <d v="2025-11-01T00:00:00"/>
    <n v="13210"/>
    <n v="3620"/>
    <n v="9590"/>
    <n v="9580"/>
    <d v="1899-12-30T21:45:00"/>
    <d v="1899-12-30T22:44:00"/>
    <s v="samsira"/>
    <m/>
    <n v="494"/>
    <m/>
    <s v="Pomala"/>
  </r>
  <r>
    <n v="1"/>
    <s v="000053"/>
    <s v="CPO000053MIS"/>
    <s v="DD 8671 YD"/>
    <s v="215/PJB/MIS-WINS/X/2025"/>
    <s v="PT. MIS / 1 / 500"/>
    <x v="2"/>
    <x v="1"/>
    <s v="6 Roda"/>
    <d v="2025-11-01T00:00:00"/>
    <n v="14260"/>
    <n v="4580"/>
    <n v="9680"/>
    <n v="9640"/>
    <d v="1899-12-30T21:46:00"/>
    <d v="1899-12-30T22:47:00"/>
    <s v="samsira"/>
    <m/>
    <n v="494"/>
    <m/>
    <s v="Pomala"/>
  </r>
  <r>
    <n v="1"/>
    <s v="000054"/>
    <s v="CPO000054MIS"/>
    <s v="DN 8813 EB"/>
    <s v="215/PJB/MIS-WINS/X/2025"/>
    <s v="PT. MIS / 1 / 500"/>
    <x v="2"/>
    <x v="1"/>
    <s v="6 Roda"/>
    <d v="2025-11-01T00:00:00"/>
    <n v="13810"/>
    <n v="4090"/>
    <n v="9720"/>
    <n v="9670"/>
    <d v="1899-12-30T21:48:00"/>
    <d v="1899-12-30T23:09:00"/>
    <s v="samsira"/>
    <m/>
    <n v="494"/>
    <m/>
    <s v="Pomala"/>
  </r>
  <r>
    <n v="1"/>
    <s v="000055"/>
    <s v="CPO000055MIS"/>
    <s v="DP 8606 GE"/>
    <s v="215/PJB/MIS-WINS/X/2025"/>
    <s v="PT. MIS / 1 / 500"/>
    <x v="2"/>
    <x v="1"/>
    <s v="6 Roda"/>
    <d v="2025-11-02T00:00:00"/>
    <n v="13910"/>
    <n v="4120"/>
    <n v="9790"/>
    <n v="9830"/>
    <d v="1899-12-30T08:13:00"/>
    <d v="1899-12-30T09:01:00"/>
    <s v="samsira"/>
    <m/>
    <n v="494"/>
    <m/>
    <s v="Pomala"/>
  </r>
  <r>
    <n v="1"/>
    <s v="000056"/>
    <s v="CPO000056MIS"/>
    <s v="DD 8574 YE"/>
    <s v="215/PJB/MIS-WINS/X/2025"/>
    <s v="PT. MIS / 1 / 500"/>
    <x v="2"/>
    <x v="1"/>
    <s v="6 Roda"/>
    <d v="2025-11-02T00:00:00"/>
    <n v="13520"/>
    <n v="4110"/>
    <n v="9410"/>
    <n v="9550"/>
    <d v="1899-12-30T08:17:00"/>
    <d v="1899-12-30T09:19:00"/>
    <s v="samsira"/>
    <m/>
    <n v="494"/>
    <m/>
    <s v="Pomala"/>
  </r>
  <r>
    <n v="1"/>
    <s v="000057"/>
    <s v="CPO000057MIS"/>
    <s v="DP 9859 GA"/>
    <s v="215/PJB/MIS-WINS/X/2025"/>
    <s v="PT. MIS / 1 / 500"/>
    <x v="2"/>
    <x v="1"/>
    <s v="6 Roda"/>
    <d v="2025-11-02T00:00:00"/>
    <n v="14190"/>
    <n v="4180"/>
    <n v="10010"/>
    <n v="9970"/>
    <d v="1899-12-30T08:20:00"/>
    <d v="1899-12-30T09:41:00"/>
    <s v="samsira"/>
    <m/>
    <n v="494"/>
    <m/>
    <s v="Pomala"/>
  </r>
  <r>
    <n v="1"/>
    <s v="000058"/>
    <s v="CPO000058MIS"/>
    <s v="DP 8446 GC"/>
    <s v="215/PJB/MIS-WINS/X/2025"/>
    <s v="PT. MIS / 1 / 500"/>
    <x v="2"/>
    <x v="1"/>
    <s v="6 Roda"/>
    <d v="2025-11-02T00:00:00"/>
    <n v="13430"/>
    <n v="3940"/>
    <n v="9490"/>
    <n v="9480"/>
    <d v="1899-12-30T08:23:00"/>
    <d v="1899-12-30T09:50:00"/>
    <s v="samsira"/>
    <m/>
    <n v="494"/>
    <m/>
    <s v="Pomala"/>
  </r>
  <r>
    <n v="1"/>
    <s v="000059"/>
    <s v="CPO000059MIS"/>
    <s v="DP 8817 GB"/>
    <s v="215/PJB/MIS-WINS/X/2025"/>
    <s v="PT. MIS / 1 / 500"/>
    <x v="2"/>
    <x v="1"/>
    <s v="6 Roda"/>
    <d v="2025-11-02T00:00:00"/>
    <n v="13120"/>
    <n v="3700"/>
    <n v="9420"/>
    <n v="9400"/>
    <d v="1899-12-30T08:25:00"/>
    <d v="1899-12-30T10:31:00"/>
    <s v="samsira"/>
    <m/>
    <n v="494"/>
    <m/>
    <s v="Pomala"/>
  </r>
  <r>
    <n v="1"/>
    <s v="000060"/>
    <s v="CPO000060MIS"/>
    <s v="DP 8862 GG"/>
    <s v="215/PJB/MIS-WINS/X/2025"/>
    <s v="PT. MIS / 1 / 500"/>
    <x v="2"/>
    <x v="1"/>
    <s v="6 Roda"/>
    <d v="2025-11-02T00:00:00"/>
    <n v="13450"/>
    <n v="3620"/>
    <n v="9830"/>
    <n v="9790"/>
    <d v="1899-12-30T08:26:00"/>
    <d v="1899-12-30T10:21:00"/>
    <s v="samsira"/>
    <m/>
    <n v="494"/>
    <m/>
    <s v="Pomala"/>
  </r>
  <r>
    <n v="1"/>
    <s v="000003"/>
    <s v="CPO000003MIS"/>
    <s v="DP 8951 GB"/>
    <s v="215/PJB/MIS-WINS/X/2025"/>
    <s v="PT. MIS / 1 / 500"/>
    <x v="2"/>
    <x v="1"/>
    <s v="6 Roda"/>
    <d v="2025-11-03T00:00:00"/>
    <n v="13680"/>
    <n v="4080"/>
    <n v="9600"/>
    <n v="9580"/>
    <d v="1899-12-30T08:14:00"/>
    <d v="1899-12-30T09:54:00"/>
    <s v="samsira"/>
    <m/>
    <n v="494"/>
    <m/>
    <s v="Pomala"/>
  </r>
  <r>
    <n v="1"/>
    <s v="000004"/>
    <s v="CPO000004MIS"/>
    <s v="DP 8821 GL"/>
    <s v="215/PJB/MIS-WINS/X/2025"/>
    <s v="PT. MIS / 1 / 500"/>
    <x v="2"/>
    <x v="1"/>
    <s v="6 Roda"/>
    <d v="2025-11-03T00:00:00"/>
    <n v="13260"/>
    <n v="3750"/>
    <n v="9510"/>
    <n v="9480"/>
    <d v="1899-12-30T08:15:00"/>
    <d v="1899-12-30T09:27:00"/>
    <s v="samsira"/>
    <m/>
    <n v="494"/>
    <m/>
    <s v="Pomala"/>
  </r>
  <r>
    <n v="1"/>
    <s v="000005"/>
    <s v="CPO000005MIS"/>
    <s v="DP 8036 GK"/>
    <s v="215/PJB/MIS-WINS/X/2025"/>
    <s v="PT. MIS / 1 / 500"/>
    <x v="2"/>
    <x v="1"/>
    <s v="6 Roda"/>
    <d v="2025-11-03T00:00:00"/>
    <n v="13390"/>
    <n v="4000"/>
    <n v="9390"/>
    <n v="9370"/>
    <d v="1899-12-30T08:17:00"/>
    <d v="1899-12-30T09:11:00"/>
    <s v="samsira"/>
    <m/>
    <n v="494"/>
    <m/>
    <s v="Pomala"/>
  </r>
  <r>
    <n v="1"/>
    <s v="000061"/>
    <s v="CPO000061MIS"/>
    <s v="DP 8762 GH"/>
    <s v="215/PJB/MIS-WINS/X/2025"/>
    <s v="PT. MIS / 1 / 500"/>
    <x v="2"/>
    <x v="1"/>
    <s v="6 Roda"/>
    <d v="2025-11-03T00:00:00"/>
    <n v="13160"/>
    <n v="3840"/>
    <n v="9320"/>
    <n v="9280"/>
    <d v="1899-12-30T20:56:00"/>
    <d v="1899-12-30T21:58:00"/>
    <s v="samsira"/>
    <m/>
    <n v="494"/>
    <m/>
    <s v="Pomala"/>
  </r>
  <r>
    <n v="1"/>
    <s v="000062"/>
    <s v="CPO000062MIS"/>
    <s v="DP 8004 GJ"/>
    <s v="215/PJB/MIS-WINS/X/2025"/>
    <s v="PT. MIS / 1 / 500"/>
    <x v="2"/>
    <x v="1"/>
    <s v="6 Roda"/>
    <d v="2025-11-03T00:00:00"/>
    <n v="13470"/>
    <n v="4080"/>
    <n v="9390"/>
    <n v="9350"/>
    <d v="1899-12-30T20:57:00"/>
    <d v="1899-12-30T21:56:00"/>
    <s v="samsira"/>
    <m/>
    <n v="494"/>
    <m/>
    <s v="Pomala"/>
  </r>
  <r>
    <n v="1"/>
    <s v="000063"/>
    <s v="CPO000063MIS"/>
    <s v="DP 8798 GH"/>
    <s v="215/PJB/MIS-WINS/X/2025"/>
    <s v="PT. MIS / 1 / 500"/>
    <x v="2"/>
    <x v="1"/>
    <s v="6 Roda"/>
    <d v="2025-11-03T00:00:00"/>
    <n v="13420"/>
    <n v="4000"/>
    <n v="9420"/>
    <n v="9370"/>
    <d v="1899-12-30T20:59:00"/>
    <d v="1899-12-30T22:34:00"/>
    <s v="samsira"/>
    <m/>
    <n v="494"/>
    <m/>
    <s v="Pomala"/>
  </r>
  <r>
    <n v="1"/>
    <s v="000064"/>
    <s v="CPO000064MIS"/>
    <s v="DP 8662 GH"/>
    <s v="215/PJB/MIS-WINS/X/2025"/>
    <s v="PT. MIS / 1 / 500"/>
    <x v="2"/>
    <x v="1"/>
    <s v="6 Roda"/>
    <d v="2025-11-03T00:00:00"/>
    <n v="13920"/>
    <n v="3860"/>
    <n v="10060"/>
    <n v="10040"/>
    <d v="1899-12-30T21:51:00"/>
    <d v="1899-12-30T22:44:00"/>
    <s v="samsira"/>
    <m/>
    <n v="494"/>
    <m/>
    <s v="Pomala"/>
  </r>
  <r>
    <n v="1"/>
    <s v="000065"/>
    <s v="CPO000065MIS"/>
    <s v="DN 8492 CU"/>
    <s v="215/PJB/MIS-WINS/X/2025"/>
    <s v="PT. MIS / 1 / 500"/>
    <x v="2"/>
    <x v="1"/>
    <s v="6 Roda"/>
    <d v="2025-11-03T00:00:00"/>
    <n v="13600"/>
    <n v="4020"/>
    <n v="9580"/>
    <n v="9550"/>
    <d v="1899-12-30T22:02:00"/>
    <d v="1899-12-30T23:16:00"/>
    <s v="samsira"/>
    <m/>
    <n v="494"/>
    <m/>
    <s v="Pomala"/>
  </r>
  <r>
    <n v="1"/>
    <s v="000066"/>
    <s v="CPO000066MIS"/>
    <s v="DP 9826 GA"/>
    <s v="215/PJB/MIS-WINS/X/2025"/>
    <s v="PT. MIS / 1 / 500"/>
    <x v="2"/>
    <x v="1"/>
    <s v="6 Roda"/>
    <d v="2025-11-03T00:00:00"/>
    <n v="13910"/>
    <n v="4060"/>
    <n v="9850"/>
    <n v="9840"/>
    <d v="1899-12-30T22:04:00"/>
    <d v="1899-12-30T23:35:00"/>
    <s v="samsira"/>
    <m/>
    <n v="494"/>
    <m/>
    <s v="Pomala"/>
  </r>
  <r>
    <n v="1"/>
    <s v="000067"/>
    <s v="CPO000067MIS"/>
    <s v="DP 8928 GM"/>
    <s v="215/PJB/MIS-WINS/X/2025"/>
    <s v="PT. MIS / 1 / 500"/>
    <x v="2"/>
    <x v="1"/>
    <s v="6 Roda"/>
    <d v="2025-11-03T00:00:00"/>
    <n v="13850"/>
    <n v="3790"/>
    <n v="10060"/>
    <n v="10010"/>
    <d v="1899-12-30T22:05:00"/>
    <d v="1899-12-30T23:51:00"/>
    <s v="samsira"/>
    <m/>
    <n v="494"/>
    <m/>
    <s v="Pomala"/>
  </r>
  <r>
    <n v="1"/>
    <s v="000068"/>
    <s v="CPO000068MIS"/>
    <s v="DP 9846 GA"/>
    <s v="215/PJB/MIS-WINS/X/2025"/>
    <s v="PT. MIS / 1 / 500"/>
    <x v="2"/>
    <x v="1"/>
    <s v="6 Roda"/>
    <d v="2025-11-04T00:00:00"/>
    <n v="13260"/>
    <n v="3670"/>
    <n v="9590"/>
    <n v="9540"/>
    <d v="1899-12-30T09:14:00"/>
    <d v="1899-12-30T09:58:00"/>
    <s v="samsira"/>
    <m/>
    <n v="494"/>
    <m/>
    <s v="Pomala"/>
  </r>
  <r>
    <n v="1"/>
    <s v="000069"/>
    <s v="CPO000069MIS"/>
    <s v="DD 8671 YD"/>
    <s v="215/PJB/MIS-WINS/X/2025"/>
    <s v="PT. MIS / 1 / 500"/>
    <x v="2"/>
    <x v="1"/>
    <s v="6 Roda"/>
    <d v="2025-11-04T00:00:00"/>
    <n v="14340"/>
    <n v="4660"/>
    <n v="9680"/>
    <n v="9640"/>
    <d v="1899-12-30T09:42:00"/>
    <d v="1899-12-30T10:39:00"/>
    <s v="samsira"/>
    <m/>
    <n v="494"/>
    <m/>
    <s v="Pomala"/>
  </r>
  <r>
    <n v="1"/>
    <s v="000070"/>
    <s v="CPO000070MIS"/>
    <s v="DN 8813 EB"/>
    <s v="215/PJB/MIS-WINS/X/2025"/>
    <s v="PT. MIS / 1 / 500"/>
    <x v="2"/>
    <x v="1"/>
    <s v="6 Roda"/>
    <d v="2025-11-04T00:00:00"/>
    <n v="13760"/>
    <n v="4050"/>
    <n v="9710"/>
    <n v="9650"/>
    <d v="1899-12-30T09:43:00"/>
    <d v="1899-12-30T10:40:00"/>
    <s v="samsira"/>
    <m/>
    <n v="494"/>
    <m/>
    <s v="Pomala"/>
  </r>
  <r>
    <n v="1"/>
    <s v="000071"/>
    <s v="CPO000071MIS"/>
    <s v="DP 8994 GH"/>
    <s v="215/PJB/MIS-WINS/X/2025"/>
    <s v="PT. MIS / 1 / 500"/>
    <x v="2"/>
    <x v="1"/>
    <s v="6 Roda"/>
    <d v="2025-11-04T00:00:00"/>
    <n v="13570"/>
    <n v="3910"/>
    <n v="9660"/>
    <n v="9640"/>
    <d v="1899-12-30T17:30:00"/>
    <d v="1899-12-30T18:15:00"/>
    <s v="samsira"/>
    <m/>
    <n v="494"/>
    <m/>
    <s v="Pomala"/>
  </r>
  <r>
    <n v="1"/>
    <s v="000072"/>
    <s v="CPO000072MIS"/>
    <s v="DP 9859 GA"/>
    <s v="215/PJB/MIS-WINS/X/2025"/>
    <s v="PT. MIS / 1 / 500"/>
    <x v="2"/>
    <x v="1"/>
    <s v="6 Roda"/>
    <d v="2025-11-04T00:00:00"/>
    <n v="14230"/>
    <n v="4170"/>
    <n v="10060"/>
    <n v="10030"/>
    <d v="1899-12-30T17:31:00"/>
    <d v="1899-12-30T18:17:00"/>
    <s v="samsira"/>
    <m/>
    <n v="494"/>
    <m/>
    <s v="Pomala"/>
  </r>
  <r>
    <n v="1"/>
    <s v="000073"/>
    <s v="CPO000073MIS"/>
    <s v="DP 8606 GE"/>
    <s v="215/PJB/MIS-WINS/X/2025"/>
    <s v="PT. MIS / 1 / 500"/>
    <x v="2"/>
    <x v="1"/>
    <s v="6 Roda"/>
    <d v="2025-11-05T00:00:00"/>
    <n v="13910"/>
    <n v="4030"/>
    <n v="9880"/>
    <n v="9860"/>
    <d v="1899-12-30T16:57:00"/>
    <d v="1899-12-30T17:43:00"/>
    <s v="samsira"/>
    <m/>
    <n v="494"/>
    <m/>
    <s v="Pomala"/>
  </r>
  <r>
    <n v="1"/>
    <s v="000074"/>
    <s v="CPO000074MIS"/>
    <s v="DD 8574 YE"/>
    <s v="215/PJB/MIS-WINS/X/2025"/>
    <s v="PT. MIS / 1 / 500"/>
    <x v="2"/>
    <x v="1"/>
    <s v="6 Roda"/>
    <d v="2025-11-05T00:00:00"/>
    <n v="13520"/>
    <n v="4030"/>
    <n v="9490"/>
    <n v="9510"/>
    <d v="1899-12-30T17:20:00"/>
    <d v="1899-12-30T18:07:00"/>
    <s v="samsira"/>
    <m/>
    <n v="494"/>
    <m/>
    <s v="Pomala"/>
  </r>
  <r>
    <n v="1"/>
    <s v="000075"/>
    <s v="CPO000075MIS"/>
    <s v="DP 8951 GB"/>
    <s v="215/PJB/MIS-WINS/X/2025"/>
    <s v="PT. MIS / 1 / 500"/>
    <x v="2"/>
    <x v="1"/>
    <s v="6 Roda"/>
    <d v="2025-11-05T00:00:00"/>
    <n v="13680"/>
    <n v="4160"/>
    <n v="9520"/>
    <n v="9590"/>
    <d v="1899-12-30T22:07:00"/>
    <d v="1899-12-30T00:12:00"/>
    <s v="samsira"/>
    <m/>
    <n v="494"/>
    <m/>
    <s v="Pomala"/>
  </r>
  <r>
    <n v="1"/>
    <s v="000076"/>
    <s v="CPO000076MIS"/>
    <s v="DP 8036 GK"/>
    <s v="215/PJB/MIS-WINS/X/2025"/>
    <s v="PT. MIS / 1 / 500"/>
    <x v="2"/>
    <x v="1"/>
    <s v="6 Roda"/>
    <d v="2025-11-05T00:00:00"/>
    <n v="13390"/>
    <n v="3990"/>
    <n v="9400"/>
    <n v="9340"/>
    <d v="1899-12-30T22:08:00"/>
    <d v="1899-12-30T23:25:00"/>
    <s v="samsira"/>
    <m/>
    <n v="494"/>
    <m/>
    <s v="Pomala"/>
  </r>
  <r>
    <n v="1"/>
    <s v="000077"/>
    <s v="CPO000077MIS"/>
    <s v="DP 8821 GL "/>
    <s v="215/PJB/MIS-WINS/X/2025"/>
    <s v="PT. MIS / 1 / 500"/>
    <x v="2"/>
    <x v="1"/>
    <s v="6 Roda"/>
    <d v="2025-11-05T00:00:00"/>
    <n v="13280"/>
    <n v="3750"/>
    <n v="9530"/>
    <n v="9510"/>
    <d v="1899-12-30T22:10:00"/>
    <d v="1899-12-30T23:51:00"/>
    <s v="samsira"/>
    <m/>
    <n v="494"/>
    <m/>
    <s v="Pomala"/>
  </r>
  <r>
    <n v="1"/>
    <s v="000078"/>
    <s v="CPO000078MIS"/>
    <s v="DP 9846 GA"/>
    <s v="215/PJB/MIS-WINS/X/2025"/>
    <s v="PT. MIS / 1 / 500"/>
    <x v="2"/>
    <x v="1"/>
    <s v="6 Roda"/>
    <d v="2025-11-05T00:00:00"/>
    <n v="13160"/>
    <n v="3670"/>
    <n v="9490"/>
    <n v="9530"/>
    <d v="1899-12-30T08:32:00"/>
    <d v="1899-12-30T09:26:00"/>
    <s v="samsira"/>
    <m/>
    <n v="494"/>
    <m/>
    <s v="Pomala"/>
  </r>
  <r>
    <n v="1"/>
    <s v="000079"/>
    <s v="CPO000079MIS"/>
    <s v="DD 8862 GG"/>
    <s v="215/PJB/MIS-WINS/X/2025"/>
    <s v="PT. MIS / 1 / 500"/>
    <x v="2"/>
    <x v="1"/>
    <s v="6 Roda"/>
    <d v="2025-11-05T00:00:00"/>
    <n v="13440"/>
    <n v="3750"/>
    <n v="9690"/>
    <n v="9780"/>
    <d v="1899-12-30T08:33:00"/>
    <d v="1899-12-30T09:29:00"/>
    <s v="samsira"/>
    <m/>
    <n v="494"/>
    <m/>
    <s v="Pomala"/>
  </r>
  <r>
    <n v="1"/>
    <s v="000080"/>
    <s v="CPO000080MIS"/>
    <s v="DP 8004 GJ"/>
    <s v="215/PJB/MIS-WINS/X/2025"/>
    <s v="PT. MIS / 1 / 500"/>
    <x v="2"/>
    <x v="1"/>
    <s v="6 Roda"/>
    <d v="2025-11-07T00:00:00"/>
    <n v="13430"/>
    <n v="4130"/>
    <n v="9300"/>
    <n v="9320"/>
    <d v="1899-12-30T08:16:00"/>
    <d v="1899-12-30T10:48:00"/>
    <s v="samsira"/>
    <m/>
    <n v="494"/>
    <m/>
    <s v="Pomala"/>
  </r>
  <r>
    <n v="1"/>
    <s v="000081"/>
    <s v="CPO000081MIS"/>
    <s v="DD 8671 YD"/>
    <s v="215/PJB/MIS-WINS/X/2025"/>
    <s v="PT. MIS / 1 / 500"/>
    <x v="2"/>
    <x v="1"/>
    <s v="6 Roda"/>
    <d v="2025-11-07T00:00:00"/>
    <n v="14290"/>
    <n v="4680"/>
    <n v="9610"/>
    <n v="9630"/>
    <d v="1899-12-30T08:18:00"/>
    <d v="1899-12-30T09:15:00"/>
    <s v="samsira"/>
    <m/>
    <n v="494"/>
    <m/>
    <s v="Pomala"/>
  </r>
  <r>
    <n v="1"/>
    <s v="000082"/>
    <s v="CPO000082MIS"/>
    <s v="DN 8813 EB "/>
    <s v="215/PJB/MIS-WINS/X/2025"/>
    <s v="PT. MIS / 1 / 500"/>
    <x v="2"/>
    <x v="1"/>
    <s v="6 Roda"/>
    <d v="2025-11-07T00:00:00"/>
    <n v="13720"/>
    <n v="4060"/>
    <n v="9660"/>
    <n v="9660"/>
    <d v="1899-12-30T08:19:00"/>
    <d v="1899-12-30T09:06:00"/>
    <s v="samsira"/>
    <m/>
    <n v="494"/>
    <m/>
    <s v="Pomala"/>
  </r>
  <r>
    <n v="1"/>
    <s v="000083"/>
    <s v="CPO000083MIS"/>
    <s v="DP 8928 GM"/>
    <s v="215/PJB/MIS-WINS/X/2025"/>
    <s v="PT. MIS / 1 / 500"/>
    <x v="2"/>
    <x v="1"/>
    <s v="6 Roda"/>
    <d v="2025-11-07T00:00:00"/>
    <n v="13830"/>
    <n v="3890"/>
    <n v="9940"/>
    <n v="9980"/>
    <d v="1899-12-30T08:20:00"/>
    <d v="1899-12-30T09:52:00"/>
    <s v="samsira"/>
    <m/>
    <n v="494"/>
    <m/>
    <s v="Pomala"/>
  </r>
  <r>
    <n v="1"/>
    <s v="000084"/>
    <s v="CPO000084MIS"/>
    <s v="DP 8662 GH"/>
    <s v="215/PJB/MIS-WINS/X/2025"/>
    <s v="PT. MIS / 1 / 500"/>
    <x v="2"/>
    <x v="1"/>
    <s v="6 Roda"/>
    <d v="2025-11-07T00:00:00"/>
    <n v="13950"/>
    <n v="4010"/>
    <n v="9940"/>
    <n v="10030"/>
    <d v="1899-12-30T08:21:00"/>
    <d v="1899-12-30T09:59:00"/>
    <s v="samsira"/>
    <m/>
    <n v="494"/>
    <m/>
    <s v="Pomala"/>
  </r>
  <r>
    <n v="1"/>
    <s v="000085"/>
    <s v="CPO000085MIS"/>
    <s v="DP 8906 GB"/>
    <s v="215/PJB/MIS-WINS/X/2025"/>
    <s v="PT. MIS / 1 / 500"/>
    <x v="2"/>
    <x v="1"/>
    <s v="6 Roda"/>
    <d v="2025-11-07T00:00:00"/>
    <n v="12210"/>
    <n v="3830"/>
    <n v="8380"/>
    <n v="8390"/>
    <d v="1899-12-30T08:24:00"/>
    <d v="1899-12-30T10:51:00"/>
    <s v="samsira"/>
    <m/>
    <n v="494"/>
    <m/>
    <s v="Pomala"/>
  </r>
  <r>
    <n v="1"/>
    <s v="000086"/>
    <s v="CPO000086MIS"/>
    <s v="DP 8798 GH"/>
    <s v="215/PJB/MIS-WINS/X/2025"/>
    <s v="PT. MIS / 1 / 500"/>
    <x v="2"/>
    <x v="1"/>
    <s v="6 Roda"/>
    <d v="2025-11-07T00:00:00"/>
    <n v="13420"/>
    <n v="3980"/>
    <n v="9440"/>
    <n v="9400"/>
    <d v="1899-12-30T19:10:00"/>
    <d v="1899-12-30T20:22:00"/>
    <s v="samsira"/>
    <m/>
    <n v="494"/>
    <m/>
    <s v="Pomala"/>
  </r>
  <r>
    <n v="1"/>
    <s v="000087"/>
    <s v="CPO000087MIS"/>
    <s v="DP 8762 GH"/>
    <s v="215/PJB/MIS-WINS/X/2025"/>
    <s v="PT. MIS / 1 / 500"/>
    <x v="2"/>
    <x v="1"/>
    <s v="6 Roda"/>
    <d v="2025-11-07T00:00:00"/>
    <n v="13100"/>
    <n v="3840"/>
    <n v="9260"/>
    <n v="9280"/>
    <d v="1899-12-30T19:11:00"/>
    <d v="1899-12-30T20:14:00"/>
    <s v="samsira"/>
    <m/>
    <n v="494"/>
    <m/>
    <s v="Pomala"/>
  </r>
  <r>
    <n v="1"/>
    <s v="000088"/>
    <s v="CPO000088MIS"/>
    <s v="DP 9826 GA"/>
    <s v="215/PJB/MIS-WINS/X/2025"/>
    <s v="PT. MIS / 1 / 500"/>
    <x v="2"/>
    <x v="1"/>
    <s v="6 Roda"/>
    <d v="2025-11-07T00:00:00"/>
    <n v="13850"/>
    <n v="4080"/>
    <n v="9770"/>
    <n v="9800"/>
    <d v="1899-12-30T19:12:00"/>
    <d v="1899-12-30T20:53:00"/>
    <s v="samsira"/>
    <m/>
    <n v="494"/>
    <m/>
    <s v="Pomala"/>
  </r>
  <r>
    <n v="1"/>
    <s v="000089"/>
    <s v="CPO000089MIS"/>
    <s v="DP 8817 GB"/>
    <s v="215/PJB/MIS-WINS/X/2025"/>
    <s v="PT. MIS / 1 / 500"/>
    <x v="2"/>
    <x v="1"/>
    <s v="6 Roda"/>
    <d v="2025-11-08T00:00:00"/>
    <n v="13130"/>
    <n v="3670"/>
    <n v="9460"/>
    <n v="9500"/>
    <d v="1899-12-30T08:50:00"/>
    <d v="1899-12-30T10:05:00"/>
    <s v="samsira"/>
    <m/>
    <n v="494"/>
    <m/>
    <s v="Pomala"/>
  </r>
  <r>
    <n v="1"/>
    <s v="000006"/>
    <s v="CPO000006JAS"/>
    <s v="DD 9236 XX"/>
    <s v="001/CPO/JM-WINS/XI/2025"/>
    <s v="PT. JAS MULIA / 1 / 512"/>
    <x v="3"/>
    <x v="1"/>
    <s v="12 Roda"/>
    <d v="2025-11-10T00:00:00"/>
    <n v="45780"/>
    <n v="17430"/>
    <n v="28350"/>
    <n v="28370"/>
    <d v="1899-12-30T16:16:00"/>
    <d v="1899-12-30T17:59:00"/>
    <s v="samsira"/>
    <s v="IBRAHIM"/>
    <n v="68"/>
    <s v="WIL"/>
    <s v="Bone Bone"/>
  </r>
  <r>
    <n v="1"/>
    <s v="000740"/>
    <s v="CPO000740PN"/>
    <s v="BM 8315 QO"/>
    <s v="0095/R2/HO-PALM/CPO-L/I/2026"/>
    <s v="PT. PN / 5 / 1.000"/>
    <x v="4"/>
    <x v="1"/>
    <s v="12 Roda"/>
    <d v="2026-02-03T00:00:00"/>
    <n v="45840"/>
    <n v="17540"/>
    <n v="28300"/>
    <n v="28370"/>
    <d v="1899-12-30T19:48:00"/>
    <d v="1899-12-30T21:13:00"/>
    <s v="samsira"/>
    <s v="IQBAL"/>
    <n v="99"/>
    <m/>
    <s v="Burau"/>
  </r>
  <r>
    <n v="1"/>
    <s v="000008"/>
    <s v="CPO000008JAS"/>
    <s v="DD 8711 XX"/>
    <s v="001/CPO/JM-WINS/XI/2025"/>
    <s v="PT. JAS MULIA / 1 / 512"/>
    <x v="3"/>
    <x v="1"/>
    <s v="10 Roda"/>
    <d v="2025-11-10T00:00:00"/>
    <n v="25090"/>
    <n v="10860"/>
    <n v="14230"/>
    <n v="14180"/>
    <d v="1899-12-30T16:29:00"/>
    <d v="1899-12-30T18:25:00"/>
    <s v="samsira"/>
    <s v="RONI RAKAN"/>
    <n v="68"/>
    <s v="WIL"/>
    <s v="Bone Bone"/>
  </r>
  <r>
    <n v="1"/>
    <s v="000009"/>
    <s v="CPO000009JAS"/>
    <s v="B 1918 SXX"/>
    <s v="001/CPO/JM-WINS/XI/2025"/>
    <s v="PT. JAS MULIA / 1 / 512"/>
    <x v="3"/>
    <x v="1"/>
    <s v="10 Roda"/>
    <d v="2025-11-10T00:00:00"/>
    <n v="26510"/>
    <n v="11650"/>
    <n v="14860"/>
    <n v="14870"/>
    <d v="1899-12-30T16:30:00"/>
    <d v="1899-12-30T18:44:00"/>
    <s v="samsira"/>
    <s v="WALDI"/>
    <n v="68"/>
    <s v="WIL"/>
    <s v="Bone Bone"/>
  </r>
  <r>
    <n v="1"/>
    <s v="000010"/>
    <s v="CPO000010JAS"/>
    <s v="BH 8459 MY"/>
    <s v="001/CPO/JM-WINS/XI/2025"/>
    <s v="PT. JAS MULIA / 1 / 512"/>
    <x v="3"/>
    <x v="1"/>
    <s v="10 Roda"/>
    <d v="2025-11-11T00:00:00"/>
    <n v="26630"/>
    <n v="12110"/>
    <n v="14520"/>
    <n v="14540"/>
    <d v="1899-12-30T08:03:00"/>
    <d v="1899-12-30T09:03:00"/>
    <s v="samsira"/>
    <s v="ERWIN"/>
    <n v="68"/>
    <s v="WIL"/>
    <s v="Bone Bone"/>
  </r>
  <r>
    <n v="1"/>
    <s v="000011"/>
    <s v="CPO000011JAS"/>
    <s v="B 1918 SXX"/>
    <s v="001/CPO/JM-WINS/XI/2025"/>
    <s v="PT. JAS MULIA / 1 / 512"/>
    <x v="3"/>
    <x v="1"/>
    <s v="10 Roda"/>
    <d v="2025-11-11T00:00:00"/>
    <n v="26500"/>
    <n v="11690"/>
    <n v="14810"/>
    <n v="14870"/>
    <d v="1899-12-30T13:40:00"/>
    <d v="1899-12-30T14:57:00"/>
    <s v="samsira"/>
    <s v="WALDI"/>
    <n v="68"/>
    <s v="WIL"/>
    <s v="Bone Bone"/>
  </r>
  <r>
    <n v="1"/>
    <s v="000012"/>
    <s v="CPO000012JAS"/>
    <s v="DD 8711 XX"/>
    <s v="001/CPO/JM-WINS/XI/2025"/>
    <s v="PT. JAS MULIA / 1 / 512"/>
    <x v="3"/>
    <x v="1"/>
    <s v="10 Roda"/>
    <d v="2025-11-11T00:00:00"/>
    <n v="25140"/>
    <n v="10820"/>
    <n v="14320"/>
    <n v="14270"/>
    <d v="1899-12-30T13:42:00"/>
    <d v="1899-12-30T15:36:00"/>
    <s v="samsira"/>
    <s v="RONI RAKAN"/>
    <n v="68"/>
    <s v="WIL"/>
    <s v="Bone Bone"/>
  </r>
  <r>
    <n v="1"/>
    <s v="000013"/>
    <s v="CPO000013JAS"/>
    <s v="DD 9236 XX"/>
    <s v="001/CPO/JM-WINS/XI/2025"/>
    <s v="PT. JAS MULIA / 1 / 512"/>
    <x v="3"/>
    <x v="1"/>
    <s v="12 Roda"/>
    <d v="2025-11-11T00:00:00"/>
    <n v="45950"/>
    <n v="17730"/>
    <n v="28220"/>
    <n v="28300"/>
    <d v="1899-12-30T13:44:00"/>
    <d v="1899-12-30T15:15:00"/>
    <s v="samsira"/>
    <s v="IBRAHIM"/>
    <n v="68"/>
    <s v="WIL"/>
    <s v="Bone Bone"/>
  </r>
  <r>
    <n v="1"/>
    <s v="000014"/>
    <s v="CPO000014JAS"/>
    <s v="BH 8459 MY"/>
    <s v="001/CPO/JM-WINS/XI/2025"/>
    <s v="PT. JAS MULIA / 1 / 512"/>
    <x v="3"/>
    <x v="1"/>
    <s v="10 Roda"/>
    <d v="2025-11-11T00:00:00"/>
    <n v="26570"/>
    <n v="12130"/>
    <n v="14440"/>
    <n v="14470"/>
    <d v="1899-12-30T14:41:00"/>
    <d v="1899-12-30T16:21:00"/>
    <s v="samsira"/>
    <s v="ERWIN"/>
    <n v="68"/>
    <s v="WIL"/>
    <s v="Bone Bone"/>
  </r>
  <r>
    <n v="1"/>
    <s v="000015"/>
    <s v="CPO000015JAS"/>
    <s v="BM 8315 QO"/>
    <s v="001/CPO/JM-WINS/XI/2025"/>
    <s v="PT. JAS MULIA / 1 / 512"/>
    <x v="3"/>
    <x v="1"/>
    <s v="12 Roda"/>
    <d v="2025-11-11T00:00:00"/>
    <n v="45750"/>
    <n v="17460"/>
    <n v="28290"/>
    <n v="28300"/>
    <d v="1899-12-30T14:45:00"/>
    <d v="1899-12-30T16:24:00"/>
    <s v="samsira"/>
    <s v="IQBAL"/>
    <n v="68"/>
    <s v="WIL"/>
    <s v="Bone Bone"/>
  </r>
  <r>
    <n v="1"/>
    <s v="000016"/>
    <s v="CPO000016JAS"/>
    <s v="DD 9236 XX"/>
    <s v="001/CPO/JM-WINS/XI/2025"/>
    <s v="PT. JAS MULIA / 1 / 512"/>
    <x v="3"/>
    <x v="1"/>
    <s v="12 Roda"/>
    <d v="2025-11-11T00:00:00"/>
    <n v="45840"/>
    <n v="17690"/>
    <n v="28150"/>
    <n v="28070"/>
    <d v="1899-12-30T20:47:00"/>
    <d v="1899-12-30T23:26:00"/>
    <s v="samsira"/>
    <s v="IBRAHIM"/>
    <n v="68"/>
    <s v="WIL"/>
    <s v="Bone Bone"/>
  </r>
  <r>
    <n v="1"/>
    <s v="000017"/>
    <s v="CPO000017JAS"/>
    <s v="DD 8711 XX"/>
    <s v="001/CPO/JM-WINS/XI/2025"/>
    <s v="PT. JAS MULIA / 1 / 512"/>
    <x v="3"/>
    <x v="1"/>
    <s v="10 Roda"/>
    <d v="2025-11-11T00:00:00"/>
    <n v="25030"/>
    <n v="10790"/>
    <n v="14240"/>
    <n v="14190"/>
    <d v="1899-12-30T21:02:00"/>
    <d v="1899-12-30T23:54:00"/>
    <s v="samsira"/>
    <s v="RONI RAKAN"/>
    <n v="68"/>
    <s v="WIL"/>
    <s v="Bone Bone"/>
  </r>
  <r>
    <n v="1"/>
    <s v="000018"/>
    <s v="CPO000018JAS"/>
    <s v="B 1918 SXX"/>
    <s v="001/CPO/JM-WINS/XI/2025"/>
    <s v="PT. JAS MULIA / 1 / 512"/>
    <x v="3"/>
    <x v="1"/>
    <s v="10 Roda"/>
    <d v="2025-11-11T00:00:00"/>
    <n v="26490"/>
    <n v="11660"/>
    <n v="14830"/>
    <n v="14800"/>
    <d v="1899-12-30T21:15:00"/>
    <d v="1899-12-30T22:57:00"/>
    <s v="samsira"/>
    <s v="WALDI"/>
    <n v="68"/>
    <s v="WIL"/>
    <s v="Bone Bone"/>
  </r>
  <r>
    <n v="1"/>
    <s v="000019"/>
    <s v="CPO000019JAS"/>
    <s v="BH 8459 MY"/>
    <s v="001/CPO/JM-WINS/XI/2025"/>
    <s v="PT. JAS MULIA / 1 / 512"/>
    <x v="3"/>
    <x v="1"/>
    <s v="10 Roda"/>
    <d v="2025-11-11T00:00:00"/>
    <n v="26640"/>
    <n v="12090"/>
    <n v="14550"/>
    <n v="14530"/>
    <d v="1899-12-30T22:01:00"/>
    <d v="1899-12-30T23:56:00"/>
    <s v="samsira"/>
    <s v="ERWIN"/>
    <n v="68"/>
    <s v="WIL"/>
    <s v="Bone Bone"/>
  </r>
  <r>
    <n v="1"/>
    <s v="000020"/>
    <s v="CPO000020JAS"/>
    <s v="BM 8315 QO"/>
    <s v="001/CPO/JM-WINS/XI/2025"/>
    <s v="PT. JAS MULIA / 1 / 512"/>
    <x v="3"/>
    <x v="1"/>
    <s v="12 Roda"/>
    <d v="2025-11-11T00:00:00"/>
    <n v="45890"/>
    <n v="17640"/>
    <n v="28250"/>
    <n v="28230"/>
    <d v="1899-12-30T22:31:00"/>
    <d v="1899-12-30T23:50:00"/>
    <s v="samsira"/>
    <s v="IQBAL"/>
    <n v="68"/>
    <s v="WIL"/>
    <s v="Bone Bone"/>
  </r>
  <r>
    <n v="1"/>
    <s v="000596"/>
    <s v="CPO000596KMP"/>
    <s v="BM 8315 QO"/>
    <s v="KMP01022026"/>
    <s v="PT. KMP / 7 / 500"/>
    <x v="1"/>
    <x v="1"/>
    <s v="12 Roda"/>
    <d v="2026-02-03T00:00:00"/>
    <n v="45680"/>
    <n v="17380"/>
    <n v="28300"/>
    <n v="28360"/>
    <d v="1899-12-30T19:28:00"/>
    <d v="1899-12-30T20:34:00"/>
    <s v="samsira"/>
    <s v="IQBAL"/>
    <n v="53"/>
    <s v="WIL"/>
    <s v="Masamba"/>
  </r>
  <r>
    <n v="1"/>
    <s v="000022"/>
    <s v="CPO000022JAS"/>
    <s v="BM 8315 QO"/>
    <s v="001/CPO/JM-WINS/XI/2025"/>
    <s v="PT. JAS MULIA / 1 / 512"/>
    <x v="3"/>
    <x v="1"/>
    <s v="12 Roda"/>
    <d v="2025-11-12T00:00:00"/>
    <n v="45920"/>
    <n v="17680"/>
    <n v="28240"/>
    <n v="28230"/>
    <d v="1899-12-30T16:24:00"/>
    <d v="1899-12-30T18:31:00"/>
    <s v="samsira"/>
    <s v="IQBAL"/>
    <n v="68"/>
    <s v="WIL"/>
    <s v="Bone Bone"/>
  </r>
  <r>
    <n v="1"/>
    <s v="000090"/>
    <s v="CPO000090PN"/>
    <s v="B 1918 SXX"/>
    <s v="227/KPBN/TRD/CPO-L/WINS/XI/2025"/>
    <s v="PT. PN / 1 / 100"/>
    <x v="4"/>
    <x v="1"/>
    <s v="10 Roda"/>
    <d v="2025-11-12T00:00:00"/>
    <n v="25820"/>
    <n v="11690"/>
    <n v="14130"/>
    <n v="14190"/>
    <d v="1899-12-30T13:38:00"/>
    <d v="1899-12-30T16:56:00"/>
    <s v="samsira"/>
    <s v="WALDI"/>
    <n v="99"/>
    <m/>
    <s v="Burau"/>
  </r>
  <r>
    <n v="1"/>
    <s v="000091"/>
    <s v="CPO000091PN"/>
    <s v="BH 8459 MY"/>
    <s v="227/KPBN/TRD/CPO-L/WINS/XI/2025"/>
    <s v="PT. PN / 1 / 100"/>
    <x v="4"/>
    <x v="1"/>
    <s v="10 Roda"/>
    <d v="2025-11-12T00:00:00"/>
    <n v="26320"/>
    <n v="12090"/>
    <n v="14230"/>
    <n v="14270"/>
    <d v="1899-12-30T13:40:00"/>
    <d v="1899-12-30T15:31:00"/>
    <s v="samsira"/>
    <s v="ERWIN"/>
    <n v="99"/>
    <m/>
    <s v="Burau"/>
  </r>
  <r>
    <n v="1"/>
    <s v="000092"/>
    <s v="CPO000092PN"/>
    <s v="DD 8711 XX"/>
    <s v="227/KPBN/TRD/CPO-L/WINS/XI/2025"/>
    <s v="PT. PN / 1 / 100"/>
    <x v="4"/>
    <x v="1"/>
    <s v="10 Roda"/>
    <d v="2025-11-12T00:00:00"/>
    <n v="24910"/>
    <n v="10780"/>
    <n v="14130"/>
    <n v="14150"/>
    <d v="1899-12-30T14:14:00"/>
    <d v="1899-12-30T16:38:00"/>
    <s v="samsira"/>
    <s v="RONI RAKAN"/>
    <n v="99"/>
    <m/>
    <s v="Burau"/>
  </r>
  <r>
    <n v="1"/>
    <s v="000094"/>
    <s v="CPO000094PN"/>
    <s v="BH 8459 MY"/>
    <s v="227/KPBN/TRD/CPO-L/WINS/XI/2025"/>
    <s v="PT. PN / 1 / 100"/>
    <x v="4"/>
    <x v="1"/>
    <s v="10 Roda"/>
    <d v="2025-11-12T00:00:00"/>
    <n v="26310"/>
    <n v="12090"/>
    <n v="14220"/>
    <n v="14230"/>
    <d v="1899-12-30T17:14:00"/>
    <d v="1899-12-30T18:41:00"/>
    <s v="samsira"/>
    <s v="ERWIN"/>
    <n v="99"/>
    <m/>
    <s v="Burau"/>
  </r>
  <r>
    <n v="1"/>
    <s v="000095"/>
    <s v="CPO000095PN"/>
    <s v="DD 8711 XX"/>
    <s v="227/KPBN/TRD/CPO-L/WINS/XI/2025"/>
    <s v="PT. PN / 1 / 100"/>
    <x v="4"/>
    <x v="1"/>
    <s v="10 Roda"/>
    <d v="2025-11-12T00:00:00"/>
    <n v="24830"/>
    <n v="10870"/>
    <n v="13960"/>
    <n v="14080"/>
    <d v="1899-12-30T18:36:00"/>
    <d v="1899-12-30T21:41:00"/>
    <s v="samsira"/>
    <s v="RONI RAKAN"/>
    <n v="99"/>
    <m/>
    <s v="Burau"/>
  </r>
  <r>
    <n v="1"/>
    <s v="000096"/>
    <s v="CPO000096PN"/>
    <s v="B 1918 SXX"/>
    <s v="227/KPBN/TRD/CPO-L/WINS/XI/2025"/>
    <s v="PT. PN / 1 / 100"/>
    <x v="4"/>
    <x v="1"/>
    <s v="10 Roda"/>
    <d v="2025-11-12T00:00:00"/>
    <n v="25680"/>
    <n v="11690"/>
    <n v="13990"/>
    <n v="14020"/>
    <d v="1899-12-30T19:56:00"/>
    <d v="1899-12-30T22:01:00"/>
    <s v="samsira"/>
    <s v="WALDI"/>
    <n v="99"/>
    <m/>
    <s v="Burau"/>
  </r>
  <r>
    <n v="1"/>
    <s v="000097"/>
    <s v="CPO000097PN"/>
    <s v="BH 8459 MY"/>
    <s v="227/KPBN/TRD/CPO-L/WINS/XI/2025"/>
    <s v="PT. PN / 1 / 100"/>
    <x v="4"/>
    <x v="1"/>
    <s v="10 Roda"/>
    <d v="2025-11-12T00:00:00"/>
    <n v="26320"/>
    <n v="12210"/>
    <n v="14110"/>
    <n v="14270"/>
    <d v="1899-12-30T20:44:00"/>
    <d v="1899-12-30T22:08:00"/>
    <s v="samsira"/>
    <s v="ERWIN"/>
    <n v="99"/>
    <m/>
    <s v="Burau"/>
  </r>
  <r>
    <n v="1"/>
    <s v="000299"/>
    <s v="CPO000299MIS"/>
    <s v="DP 8036 GK"/>
    <s v="265/PJB/MIS-WINS/XII/2025"/>
    <s v="PT. MIS / 3 / 600"/>
    <x v="2"/>
    <x v="1"/>
    <s v="6 Roda"/>
    <d v="2025-11-12T00:00:00"/>
    <n v="13490"/>
    <n v="4000"/>
    <n v="9490"/>
    <n v="9440"/>
    <d v="1899-12-30T22:52:00"/>
    <d v="1899-12-30T23:36:00"/>
    <s v="Datu"/>
    <m/>
    <n v="494"/>
    <m/>
    <s v="Pomala"/>
  </r>
  <r>
    <n v="1"/>
    <s v="000300"/>
    <s v="CPO000300MIS"/>
    <s v="DP 8951 GB"/>
    <s v="265/PJB/MIS-WINS/XII/2025"/>
    <s v="PT. MIS / 3 / 600"/>
    <x v="2"/>
    <x v="1"/>
    <s v="6 Roda"/>
    <d v="2025-11-12T00:00:00"/>
    <n v="13740"/>
    <n v="4110"/>
    <n v="9630"/>
    <n v="9590"/>
    <d v="1899-12-30T22:54:00"/>
    <d v="1899-12-30T23:31:00"/>
    <s v="Datu"/>
    <m/>
    <n v="494"/>
    <m/>
    <s v="Pomala"/>
  </r>
  <r>
    <n v="1"/>
    <s v="000289"/>
    <s v="CPO000289KMP"/>
    <s v="DD 9236 XX"/>
    <s v="KMP03112025"/>
    <s v="PT. KMP / 4 / 500"/>
    <x v="1"/>
    <x v="1"/>
    <s v="12 Roda"/>
    <d v="2025-11-12T00:00:00"/>
    <n v="45990"/>
    <n v="17860"/>
    <n v="28130"/>
    <n v="28160"/>
    <d v="1899-12-30T09:25:00"/>
    <d v="1899-12-30T11:33:00"/>
    <s v="samsira"/>
    <s v="IBRAHIM"/>
    <n v="53"/>
    <s v="WIL"/>
    <s v="Masamba"/>
  </r>
  <r>
    <n v="1"/>
    <s v="000290"/>
    <s v="CPO000290KMP"/>
    <s v="BM 8315 QO"/>
    <s v="KMP03112025"/>
    <s v="PT. KMP / 4 / 500"/>
    <x v="1"/>
    <x v="1"/>
    <s v="12 Roda"/>
    <d v="2025-11-12T00:00:00"/>
    <n v="45800"/>
    <n v="17670"/>
    <n v="28130"/>
    <n v="28180"/>
    <d v="1899-12-30T09:59:00"/>
    <d v="1899-12-30T11:35:00"/>
    <s v="samsira"/>
    <s v="IQBAL"/>
    <n v="53"/>
    <s v="WIL"/>
    <s v="Masamba"/>
  </r>
  <r>
    <n v="1"/>
    <s v="000291"/>
    <s v="CPO000291JAS"/>
    <s v="DD 8711 XX"/>
    <s v="004/CPO/JM-WINS/XII/2025"/>
    <s v="PT. JAS MULIA / 4 / 500"/>
    <x v="3"/>
    <x v="1"/>
    <s v="10 Roda"/>
    <d v="2025-11-12T00:00:00"/>
    <n v="25090"/>
    <n v="10890"/>
    <n v="14200"/>
    <n v="14180"/>
    <d v="1899-12-30T11:58:00"/>
    <d v="1899-12-30T14:21:00"/>
    <s v="samsira"/>
    <s v="RONI RAKAN"/>
    <n v="68"/>
    <s v="WIL"/>
    <s v="Bone Bone"/>
  </r>
  <r>
    <n v="1"/>
    <s v="000292"/>
    <s v="CPO000292JAS"/>
    <s v="BH 8459 MY"/>
    <s v="004/CPO/JM-WINS/XII/2025"/>
    <s v="PT. JAS MULIA / 4 / 500"/>
    <x v="3"/>
    <x v="1"/>
    <s v="10 Roda"/>
    <d v="2025-11-12T00:00:00"/>
    <n v="26600"/>
    <n v="12120"/>
    <n v="14480"/>
    <n v="14450"/>
    <d v="1899-12-30T12:02:00"/>
    <d v="1899-12-30T15:03:00"/>
    <s v="samsira"/>
    <s v="ERWIN"/>
    <n v="68"/>
    <s v="WIL"/>
    <s v="Bone Bone"/>
  </r>
  <r>
    <n v="1"/>
    <s v="000293"/>
    <s v="CPO000293JAS"/>
    <s v="B 1918 SXX"/>
    <s v="004/CPO/JM-WINS/XII/2025"/>
    <s v="PT. JAS MULIA / 4 / 500"/>
    <x v="3"/>
    <x v="1"/>
    <s v="10 Roda"/>
    <d v="2025-11-12T00:00:00"/>
    <n v="26620"/>
    <n v="11890"/>
    <n v="14730"/>
    <n v="14720"/>
    <d v="1899-12-30T12:03:00"/>
    <d v="1899-12-30T15:07:00"/>
    <s v="samsira"/>
    <s v="WALDI"/>
    <n v="68"/>
    <s v="WIL"/>
    <s v="Bone Bone"/>
  </r>
  <r>
    <n v="1"/>
    <s v="000294"/>
    <s v="CPO000294KMP"/>
    <s v="DD 9236 XX"/>
    <s v="KMP03112025"/>
    <s v="PT. KMP / 4 / 500"/>
    <x v="1"/>
    <x v="1"/>
    <s v="12 Roda"/>
    <d v="2025-11-12T00:00:00"/>
    <n v="45730"/>
    <n v="17800"/>
    <n v="27930"/>
    <n v="27920"/>
    <d v="1899-12-30T15:21:00"/>
    <d v="1899-12-30T16:32:00"/>
    <s v="samsira"/>
    <s v="IBRAHIM"/>
    <n v="53"/>
    <s v="WIL"/>
    <s v="Masamba"/>
  </r>
  <r>
    <n v="1"/>
    <s v="000295"/>
    <s v="CPO000295KMP"/>
    <s v="BM 8315 QO"/>
    <s v="KMP03112025"/>
    <s v="PT. KMP / 4 / 500"/>
    <x v="1"/>
    <x v="1"/>
    <s v="12 Roda"/>
    <d v="2025-11-12T00:00:00"/>
    <n v="45540"/>
    <n v="17590"/>
    <n v="27950"/>
    <n v="27900"/>
    <d v="1899-12-30T15:54:00"/>
    <d v="1899-12-30T17:05:00"/>
    <s v="samsira"/>
    <s v="IQBAL"/>
    <n v="53"/>
    <s v="WIL"/>
    <s v="Masamba"/>
  </r>
  <r>
    <n v="1"/>
    <s v="000296"/>
    <s v="CPO000296JAS"/>
    <s v="B 1918 SXX"/>
    <s v="004/CPO/JM-WINS/XII/2025"/>
    <s v="PT. JAS MULIA / 4 / 500"/>
    <x v="3"/>
    <x v="1"/>
    <s v="10 Roda"/>
    <d v="2025-11-12T00:00:00"/>
    <n v="26590"/>
    <n v="11820"/>
    <n v="14770"/>
    <n v="14700"/>
    <d v="1899-12-30T19:46:00"/>
    <d v="1899-12-30T21:10:00"/>
    <s v="Datu"/>
    <s v="WALDI"/>
    <n v="68"/>
    <s v="WIL"/>
    <s v="Bone Bone"/>
  </r>
  <r>
    <n v="1"/>
    <s v="000297"/>
    <s v="CPO000297JAS"/>
    <s v="DD 8711 XX"/>
    <s v="004/CPO/JM-WINS/XII/2025"/>
    <s v="PT. JAS MULIA / 4 / 500"/>
    <x v="3"/>
    <x v="1"/>
    <s v="10 Roda"/>
    <d v="2025-11-12T00:00:00"/>
    <n v="25100"/>
    <n v="10820"/>
    <n v="14280"/>
    <n v="14210"/>
    <d v="1899-12-30T19:48:00"/>
    <d v="1899-12-30T21:02:00"/>
    <s v="Datu"/>
    <s v="RONI RAKAN"/>
    <n v="68"/>
    <s v="WIL"/>
    <s v="Bone Bone"/>
  </r>
  <r>
    <n v="1"/>
    <s v="000298"/>
    <s v="CPO000298JAS"/>
    <s v="BH 8459 MY"/>
    <s v="004/CPO/JM-WINS/XII/2025"/>
    <s v="PT. JAS MULIA / 4 / 500"/>
    <x v="3"/>
    <x v="1"/>
    <s v="10 Roda"/>
    <d v="2025-11-12T00:00:00"/>
    <n v="26570"/>
    <n v="12080"/>
    <n v="14490"/>
    <n v="14430"/>
    <d v="1899-12-30T20:02:00"/>
    <d v="1899-12-30T22:00:00"/>
    <s v="Datu"/>
    <s v="ERWIN"/>
    <n v="68"/>
    <s v="WIL"/>
    <s v="Bone Bone"/>
  </r>
  <r>
    <n v="1"/>
    <s v="000023"/>
    <s v="CPO000023JAS"/>
    <s v="DD 9236 XX"/>
    <s v="001/CPO/JM-WINS/XI/2025"/>
    <s v="PT. JAS MULIA / 1 / 512"/>
    <x v="3"/>
    <x v="1"/>
    <s v="12 Roda"/>
    <d v="2025-11-13T00:00:00"/>
    <n v="45780"/>
    <n v="17620"/>
    <n v="28160"/>
    <n v="28250"/>
    <d v="1899-12-30T23:52:00"/>
    <d v="1899-12-30T01:26:00"/>
    <s v="samsira"/>
    <s v="IBRAHIM"/>
    <n v="68"/>
    <s v="WIL"/>
    <s v="Bone Bone"/>
  </r>
  <r>
    <n v="1"/>
    <s v="000024"/>
    <s v="CPO000024JAS"/>
    <s v="BM 8315 QO"/>
    <s v="001/CPO/JM-WINS/XI/2025"/>
    <s v="PT. JAS MULIA / 1 / 512"/>
    <x v="3"/>
    <x v="1"/>
    <s v="12 Roda"/>
    <d v="2025-11-13T00:00:00"/>
    <n v="45850"/>
    <n v="17640"/>
    <n v="28210"/>
    <n v="28150"/>
    <d v="1899-12-30T00:36:00"/>
    <d v="1899-12-30T01:52:00"/>
    <s v="samsira"/>
    <s v="IQBAL"/>
    <n v="68"/>
    <s v="WIL"/>
    <s v="Bone Bone"/>
  </r>
  <r>
    <n v="1"/>
    <s v="000025"/>
    <s v="CPO000025JAS"/>
    <s v="B 1918 SXX"/>
    <s v="001/CPO/JM-WINS/XI/2025"/>
    <s v="PT. JAS MULIA / 1 / 512"/>
    <x v="3"/>
    <x v="1"/>
    <s v="10 Roda"/>
    <d v="2025-11-13T00:00:00"/>
    <n v="26600"/>
    <n v="11760"/>
    <n v="14840"/>
    <n v="14760"/>
    <d v="1899-12-30T13:18:00"/>
    <d v="1899-12-30T15:10:00"/>
    <s v="samsira"/>
    <s v="WALDI"/>
    <n v="68"/>
    <s v="WIL"/>
    <s v="Bone Bone"/>
  </r>
  <r>
    <n v="1"/>
    <s v="000026"/>
    <s v="CPO000026JAS"/>
    <s v="BH 8459 MY"/>
    <s v="001/CPO/JM-WINS/XI/2025"/>
    <s v="PT. JAS MULIA / 1 / 512"/>
    <x v="3"/>
    <x v="1"/>
    <s v="10 Roda"/>
    <d v="2025-11-13T00:00:00"/>
    <n v="26570"/>
    <n v="12040"/>
    <n v="14530"/>
    <n v="14340"/>
    <d v="1899-12-30T13:55:00"/>
    <d v="1899-12-30T15:28:00"/>
    <s v="samsira"/>
    <s v="ERWIN"/>
    <n v="68"/>
    <s v="WIL"/>
    <s v="Bone Bone"/>
  </r>
  <r>
    <n v="1"/>
    <s v="000027"/>
    <s v="CPO000027JAS"/>
    <s v="DD 8711 XX"/>
    <s v="001/CPO/JM-WINS/XI/2025"/>
    <s v="PT. JAS MULIA / 1 / 512"/>
    <x v="3"/>
    <x v="1"/>
    <s v="10 Roda"/>
    <d v="2025-11-13T00:00:00"/>
    <n v="25150"/>
    <n v="10940"/>
    <n v="14210"/>
    <n v="14110"/>
    <d v="1899-12-30T14:09:00"/>
    <d v="1899-12-30T17:31:00"/>
    <s v="samsira"/>
    <s v="RONI RAKAN"/>
    <n v="68"/>
    <s v="WIL"/>
    <s v="Bone Bone"/>
  </r>
  <r>
    <n v="1"/>
    <s v="000028"/>
    <s v="CPO000028JAS"/>
    <s v="DD 9236 XX"/>
    <s v="001/CPO/JM-WINS/XI/2025"/>
    <s v="PT. JAS MULIA / 1 / 512"/>
    <x v="3"/>
    <x v="1"/>
    <s v="12 Roda"/>
    <d v="2025-11-13T00:00:00"/>
    <n v="45940"/>
    <n v="17630"/>
    <n v="28310"/>
    <n v="28020"/>
    <d v="1899-12-30T14:23:00"/>
    <d v="1899-12-30T16:30:00"/>
    <s v="samsira"/>
    <s v="IBRAHIM"/>
    <n v="68"/>
    <s v="WIL"/>
    <s v="Bone Bone"/>
  </r>
  <r>
    <n v="1"/>
    <s v="000029"/>
    <s v="CPO000029JAS"/>
    <s v="BM 8315 QO"/>
    <s v="001/CPO/JM-WINS/XI/2025"/>
    <s v="PT. JAS MULIA / 1 / 512"/>
    <x v="3"/>
    <x v="1"/>
    <s v="12 Roda"/>
    <d v="2025-11-13T00:00:00"/>
    <n v="45720"/>
    <n v="17510"/>
    <n v="28210"/>
    <n v="28060"/>
    <d v="1899-12-30T15:13:00"/>
    <d v="1899-12-30T17:07:00"/>
    <s v="samsira"/>
    <s v="IQBAL"/>
    <n v="68"/>
    <s v="WIL"/>
    <s v="Bone Bone"/>
  </r>
  <r>
    <n v="1"/>
    <s v="000098"/>
    <s v="CPO000098KMP"/>
    <s v="B 1918 SXX"/>
    <s v="KMP01112025"/>
    <s v="PT. KMP / 2 / 500"/>
    <x v="1"/>
    <x v="1"/>
    <s v="10 Roda"/>
    <d v="2025-11-14T00:00:00"/>
    <n v="26490"/>
    <n v="11710"/>
    <n v="14780"/>
    <n v="14730"/>
    <d v="1899-12-30T13:15:00"/>
    <d v="1899-12-30T15:10:00"/>
    <s v="samsira"/>
    <s v="WALDI"/>
    <n v="53"/>
    <s v="WIL"/>
    <s v="Masamba"/>
  </r>
  <r>
    <n v="1"/>
    <s v="000099"/>
    <s v="CPO000099KMP"/>
    <s v="DD 8711 XX"/>
    <s v="KMP01112025"/>
    <s v="PT. KMP / 2 / 500"/>
    <x v="1"/>
    <x v="1"/>
    <s v="10 Roda"/>
    <d v="2025-11-14T00:00:00"/>
    <n v="25060"/>
    <n v="10810"/>
    <n v="14250"/>
    <n v="14120"/>
    <d v="1899-12-30T13:17:00"/>
    <d v="1899-12-30T15:51:00"/>
    <s v="samsira"/>
    <s v="RONI RAKAN"/>
    <n v="53"/>
    <s v="WIL"/>
    <s v="Masamba"/>
  </r>
  <r>
    <n v="1"/>
    <s v="000100"/>
    <s v="CPO000100KMP"/>
    <s v="DD 9236 XX"/>
    <s v="KMP01112025"/>
    <s v="PT. KMP / 2 / 500"/>
    <x v="1"/>
    <x v="1"/>
    <s v="12 Roda"/>
    <d v="2025-11-14T00:00:00"/>
    <n v="45820"/>
    <n v="17540"/>
    <n v="28280"/>
    <n v="28180"/>
    <d v="1899-12-30T13:46:00"/>
    <d v="1899-12-30T15:16:00"/>
    <s v="samsira"/>
    <s v="IBRAHIM"/>
    <n v="53"/>
    <s v="WIL"/>
    <s v="Masamba"/>
  </r>
  <r>
    <n v="1"/>
    <s v="000101"/>
    <s v="CPO000101KMP"/>
    <s v="BH 8459 MY"/>
    <s v="KMP01112025"/>
    <s v="PT. KMP / 2 / 500"/>
    <x v="1"/>
    <x v="1"/>
    <s v="10 Roda"/>
    <d v="2025-11-14T00:00:00"/>
    <n v="26630"/>
    <n v="12130"/>
    <n v="14500"/>
    <n v="14430"/>
    <d v="1899-12-30T14:05:00"/>
    <d v="1899-12-30T16:09:00"/>
    <s v="samsira"/>
    <s v="ERWIN"/>
    <n v="53"/>
    <s v="WIL"/>
    <s v="Masamba"/>
  </r>
  <r>
    <n v="1"/>
    <s v="000102"/>
    <s v="CPO000102KMP"/>
    <s v="BM 8315 QO"/>
    <s v="KMP01112025"/>
    <s v="PT. KMP / 2 / 500"/>
    <x v="1"/>
    <x v="1"/>
    <s v="12 Roda"/>
    <d v="2025-11-14T00:00:00"/>
    <n v="45660"/>
    <n v="17410"/>
    <n v="28250"/>
    <n v="28140"/>
    <d v="1899-12-30T14:20:00"/>
    <d v="1899-12-30T15:39:00"/>
    <s v="samsira"/>
    <s v="IQBAL"/>
    <n v="53"/>
    <s v="WIL"/>
    <s v="Masamba"/>
  </r>
  <r>
    <n v="1"/>
    <s v="000103"/>
    <s v="CPO000103KMP"/>
    <s v="DD 9236 XX"/>
    <s v="KMP01112025"/>
    <s v="PT. KMP / 2 / 500"/>
    <x v="1"/>
    <x v="1"/>
    <s v="12 Roda"/>
    <d v="2025-11-14T00:00:00"/>
    <n v="45800"/>
    <n v="17520"/>
    <n v="28280"/>
    <n v="28230"/>
    <d v="1899-12-30T20:40:00"/>
    <d v="1899-12-30T22:02:00"/>
    <s v="samsira"/>
    <s v="IBRAHIM"/>
    <n v="53"/>
    <s v="WIL"/>
    <s v="Masamba"/>
  </r>
  <r>
    <n v="1"/>
    <s v="000104"/>
    <s v="CPO000104KMP"/>
    <s v="B 1918 SXX"/>
    <s v="KMP01112025"/>
    <s v="PT. KMP / 2 / 500"/>
    <x v="1"/>
    <x v="1"/>
    <s v="10 Roda"/>
    <d v="2025-11-16T00:00:00"/>
    <n v="26510"/>
    <n v="11720"/>
    <n v="14790"/>
    <n v="14860"/>
    <d v="1899-12-30T23:21:00"/>
    <d v="1899-12-30T00:34:00"/>
    <s v="samsira"/>
    <s v="WALDI"/>
    <n v="53"/>
    <s v="WIL"/>
    <s v="Masamba"/>
  </r>
  <r>
    <n v="1"/>
    <s v="000105"/>
    <s v="CPO000105KMP"/>
    <s v="DD 9236 XX"/>
    <s v="KMP01112025"/>
    <s v="PT. KMP / 2 / 500"/>
    <x v="1"/>
    <x v="1"/>
    <s v="12 Roda"/>
    <d v="2025-11-16T00:00:00"/>
    <n v="45690"/>
    <n v="17510"/>
    <n v="28180"/>
    <n v="28280"/>
    <d v="1899-12-30T23:42:00"/>
    <d v="1899-12-30T00:48:00"/>
    <s v="samsira"/>
    <s v="IBRAHIM"/>
    <n v="53"/>
    <s v="WIL"/>
    <s v="Masamba"/>
  </r>
  <r>
    <n v="1"/>
    <s v="000106"/>
    <s v="CPO000106KMP"/>
    <s v="DD 8711 XX"/>
    <s v="KMP01112025"/>
    <s v="PT. KMP / 2 / 500"/>
    <x v="1"/>
    <x v="1"/>
    <s v="10 Roda"/>
    <d v="2025-11-16T00:00:00"/>
    <n v="24990"/>
    <n v="10900"/>
    <n v="14090"/>
    <n v="14240"/>
    <d v="1899-12-30T00:16:00"/>
    <d v="1899-12-30T01:52:00"/>
    <s v="samsira"/>
    <s v="RONI RAKAN"/>
    <n v="53"/>
    <s v="WIL"/>
    <s v="Masamba"/>
  </r>
  <r>
    <n v="1"/>
    <s v="000107"/>
    <s v="CPO000107KMP"/>
    <s v="BH 8459 MY"/>
    <s v="KMP01112025"/>
    <s v="PT. KMP / 2 / 500"/>
    <x v="1"/>
    <x v="1"/>
    <s v="10 Roda"/>
    <d v="2025-11-16T00:00:00"/>
    <n v="26590"/>
    <n v="12130"/>
    <n v="14460"/>
    <n v="14520"/>
    <d v="1899-12-30T00:30:00"/>
    <d v="1899-12-30T01:35:00"/>
    <s v="samsira"/>
    <s v="ERWIN"/>
    <n v="53"/>
    <s v="WIL"/>
    <s v="Masamba"/>
  </r>
  <r>
    <n v="1"/>
    <s v="000108"/>
    <s v="CPO000108KMP"/>
    <s v="BM 8315 QO"/>
    <s v="KMP01112025"/>
    <s v="PT. KMP / 2 / 500"/>
    <x v="1"/>
    <x v="1"/>
    <s v="12 Roda"/>
    <d v="2025-11-16T00:00:00"/>
    <n v="45420"/>
    <n v="17410"/>
    <n v="28010"/>
    <n v="28120"/>
    <d v="1899-12-30T00:37:00"/>
    <d v="1899-12-30T01:38:00"/>
    <s v="samsira"/>
    <s v="IQBAL"/>
    <n v="53"/>
    <s v="WIL"/>
    <s v="Masamba"/>
  </r>
  <r>
    <n v="1"/>
    <s v="000109"/>
    <s v="CPO000109KMP"/>
    <s v="DD 8711 XX"/>
    <s v="KMP01112025"/>
    <s v="PT. KMP / 2 / 500"/>
    <x v="1"/>
    <x v="1"/>
    <s v="10 Roda"/>
    <d v="2025-11-16T00:00:00"/>
    <n v="24980"/>
    <n v="10820"/>
    <n v="14160"/>
    <n v="14140"/>
    <d v="1899-12-30T13:40:00"/>
    <d v="1899-12-30T15:04:00"/>
    <s v="samsira"/>
    <s v="RONI RAKAN"/>
    <n v="53"/>
    <s v="WIL"/>
    <s v="Masamba"/>
  </r>
  <r>
    <n v="1"/>
    <s v="000110"/>
    <s v="CPO000110KMP"/>
    <s v="BH 8459 MY"/>
    <s v="KMP01112025"/>
    <s v="PT. KMP / 2 / 500"/>
    <x v="1"/>
    <x v="1"/>
    <s v="10 Roda"/>
    <d v="2025-11-16T00:00:00"/>
    <n v="26550"/>
    <n v="12060"/>
    <n v="14490"/>
    <n v="14480"/>
    <d v="1899-12-30T13:42:00"/>
    <d v="1899-12-30T15:18:00"/>
    <s v="samsira"/>
    <s v="ERWIN"/>
    <n v="53"/>
    <s v="WIL"/>
    <s v="Masamba"/>
  </r>
  <r>
    <n v="1"/>
    <s v="000111"/>
    <s v="CPO000111KMP"/>
    <s v="B 1918 SXX"/>
    <s v="KMP01112025"/>
    <s v="PT. KMP / 2 / 500"/>
    <x v="1"/>
    <x v="1"/>
    <s v="10 Roda"/>
    <d v="2025-11-16T00:00:00"/>
    <n v="26440"/>
    <n v="11660"/>
    <n v="14780"/>
    <n v="14800"/>
    <d v="1899-12-30T13:43:00"/>
    <d v="1899-12-30T16:00:00"/>
    <s v="samsira"/>
    <s v="WALDI"/>
    <n v="53"/>
    <s v="WIL"/>
    <s v="Masamba"/>
  </r>
  <r>
    <n v="1"/>
    <s v="000112"/>
    <s v="CPO000112KMP"/>
    <s v="DD 9236 XX"/>
    <s v="KMP01112025"/>
    <s v="PT. KMP / 2 / 500"/>
    <x v="1"/>
    <x v="1"/>
    <s v="12 Roda"/>
    <d v="2025-11-16T00:00:00"/>
    <n v="45520"/>
    <n v="17430"/>
    <n v="28090"/>
    <n v="28140"/>
    <d v="1899-12-30T13:59:00"/>
    <d v="1899-12-30T14:58:00"/>
    <s v="samsira"/>
    <s v="IBRAHIM"/>
    <n v="53"/>
    <s v="WIL"/>
    <s v="Masamba"/>
  </r>
  <r>
    <n v="1"/>
    <s v="000113"/>
    <s v="CPO000113KMP"/>
    <s v="BM 8315 QO"/>
    <s v="KMP01112025"/>
    <s v="PT. KMP / 2 / 500"/>
    <x v="1"/>
    <x v="1"/>
    <s v="12 Roda"/>
    <d v="2025-11-16T00:00:00"/>
    <n v="45680"/>
    <n v="17600"/>
    <n v="28080"/>
    <n v="28100"/>
    <d v="1899-12-30T14:53:00"/>
    <d v="1899-12-30T15:54:00"/>
    <s v="samsira"/>
    <s v="IQBAL"/>
    <n v="53"/>
    <s v="WIL"/>
    <s v="Masamba"/>
  </r>
  <r>
    <n v="1"/>
    <s v="000114"/>
    <s v="CPO000114KMP"/>
    <s v="DD 8711 XX"/>
    <s v="KMP01112025"/>
    <s v="PT. KMP / 2 / 500"/>
    <x v="1"/>
    <x v="1"/>
    <s v="10 Roda"/>
    <d v="2025-11-17T00:00:00"/>
    <n v="24990"/>
    <n v="10900"/>
    <n v="14090"/>
    <n v="14220"/>
    <d v="1899-12-30T13:19:00"/>
    <d v="1899-12-30T14:56:00"/>
    <s v="samsira"/>
    <s v="RONI RAKAN"/>
    <n v="53"/>
    <s v="WIL"/>
    <s v="Masamba"/>
  </r>
  <r>
    <n v="1"/>
    <s v="000115"/>
    <s v="CPO000115KMP"/>
    <s v="DD 9236 XX"/>
    <s v="KMP01112025"/>
    <s v="PT. KMP / 2 / 500"/>
    <x v="1"/>
    <x v="1"/>
    <s v="12 Roda"/>
    <d v="2025-11-17T00:00:00"/>
    <n v="45680"/>
    <n v="17430"/>
    <n v="28250"/>
    <n v="28360"/>
    <d v="1899-12-30T13:25:00"/>
    <d v="1899-12-30T14:53:00"/>
    <s v="samsira"/>
    <s v="IBRAHIM"/>
    <n v="53"/>
    <s v="WIL"/>
    <s v="Masamba"/>
  </r>
  <r>
    <n v="1"/>
    <s v="000116"/>
    <s v="CPO000116KMP"/>
    <s v="BM 8315 QO"/>
    <s v="KMP01112025"/>
    <s v="PT. KMP / 2 / 500"/>
    <x v="1"/>
    <x v="1"/>
    <s v="12 Roda"/>
    <d v="2025-11-17T00:00:00"/>
    <n v="45770"/>
    <n v="17560"/>
    <n v="28210"/>
    <n v="28280"/>
    <d v="1899-12-30T13:46:00"/>
    <d v="1899-12-30T14:50:00"/>
    <s v="samsira"/>
    <s v="IQBAL"/>
    <n v="53"/>
    <s v="WIL"/>
    <s v="Masamba"/>
  </r>
  <r>
    <n v="1"/>
    <s v="000117"/>
    <s v="CPO000117KMP"/>
    <s v="B 1918 SXX"/>
    <s v="KMP01112025"/>
    <s v="PT. KMP / 2 / 500"/>
    <x v="1"/>
    <x v="1"/>
    <s v="10 Roda"/>
    <d v="2025-11-17T00:00:00"/>
    <n v="26460"/>
    <n v="11740"/>
    <n v="14720"/>
    <n v="14840"/>
    <d v="1899-12-30T13:48:00"/>
    <d v="1899-12-30T16:06:00"/>
    <s v="samsira"/>
    <s v="WALDI"/>
    <n v="53"/>
    <s v="WIL"/>
    <s v="Masamba"/>
  </r>
  <r>
    <n v="1"/>
    <s v="000118"/>
    <s v="CPO000118KMP"/>
    <s v="BH 8459 MY"/>
    <s v="KMP01112025"/>
    <s v="PT. KMP / 2 / 500"/>
    <x v="1"/>
    <x v="1"/>
    <s v="10 Roda"/>
    <d v="2025-11-17T00:00:00"/>
    <n v="26570"/>
    <n v="12070"/>
    <n v="14500"/>
    <n v="14540"/>
    <d v="1899-12-30T16:24:00"/>
    <d v="1899-12-30T17:31:00"/>
    <s v="samsira"/>
    <s v="ERWIN"/>
    <n v="53"/>
    <s v="WIL"/>
    <s v="Masamba"/>
  </r>
  <r>
    <n v="1"/>
    <s v="000119"/>
    <s v="CPO000119KMP"/>
    <s v="DD 9236 XX"/>
    <s v="KMP01112025"/>
    <s v="PT. KMP / 2 / 500"/>
    <x v="1"/>
    <x v="1"/>
    <s v="12 Roda"/>
    <d v="2025-11-18T00:00:00"/>
    <n v="45890"/>
    <n v="17520"/>
    <n v="28370"/>
    <n v="28440"/>
    <d v="1899-12-30T13:26:00"/>
    <d v="1899-12-30T14:38:00"/>
    <s v="samsira"/>
    <s v="IBRAHIM"/>
    <n v="53"/>
    <s v="WIL"/>
    <s v="Masamba"/>
  </r>
  <r>
    <n v="1"/>
    <s v="000120"/>
    <s v="CPO000120KMP"/>
    <s v="DD 8711 XX"/>
    <s v="KMP01112025"/>
    <s v="PT. KMP / 2 / 500"/>
    <x v="1"/>
    <x v="1"/>
    <s v="10 Roda"/>
    <d v="2025-11-18T00:00:00"/>
    <n v="25080"/>
    <n v="10880"/>
    <n v="14200"/>
    <n v="14120"/>
    <d v="1899-12-30T13:30:00"/>
    <d v="1899-12-30T16:05:00"/>
    <s v="samsira"/>
    <s v="RONI RAKAN"/>
    <n v="53"/>
    <s v="WIL"/>
    <s v="Masamba"/>
  </r>
  <r>
    <n v="1"/>
    <s v="000121"/>
    <s v="CPO000121KMP"/>
    <s v="BH 8459 MY"/>
    <s v="KMP01112025"/>
    <s v="PT. KMP / 2 / 500"/>
    <x v="1"/>
    <x v="1"/>
    <s v="10 Roda"/>
    <d v="2025-11-18T00:00:00"/>
    <n v="26660"/>
    <n v="12180"/>
    <n v="14480"/>
    <n v="14560"/>
    <d v="1899-12-30T13:36:00"/>
    <d v="1899-12-30T15:23:00"/>
    <s v="samsira"/>
    <s v="ERWIN"/>
    <n v="53"/>
    <s v="WIL"/>
    <s v="Masamba"/>
  </r>
  <r>
    <n v="1"/>
    <s v="000122"/>
    <s v="CPO000122KMP"/>
    <s v="B 1918 SXX"/>
    <s v="KMP01112025"/>
    <s v="PT. KMP / 2 / 500"/>
    <x v="1"/>
    <x v="1"/>
    <s v="10 Roda"/>
    <d v="2025-11-18T00:00:00"/>
    <n v="26550"/>
    <n v="11710"/>
    <n v="14840"/>
    <n v="14780"/>
    <d v="1899-12-30T13:40:00"/>
    <d v="1899-12-30T15:31:00"/>
    <s v="samsira"/>
    <s v="WALDI"/>
    <n v="53"/>
    <s v="WIL"/>
    <s v="Masamba"/>
  </r>
  <r>
    <n v="1"/>
    <s v="000123"/>
    <s v="CPO000123PN"/>
    <s v="BH 8459 MY"/>
    <s v="249/KPBN/TRD/CPO-L/WINS/XI/2025"/>
    <s v="PT. PN / 2 / 100"/>
    <x v="4"/>
    <x v="1"/>
    <s v="10 Roda"/>
    <d v="2025-11-22T00:00:00"/>
    <n v="26420"/>
    <n v="12120"/>
    <n v="14300"/>
    <n v="14260"/>
    <d v="1899-12-30T13:59:00"/>
    <d v="1899-12-30T15:34:00"/>
    <s v="samsira"/>
    <s v="ERWIN"/>
    <n v="99"/>
    <m/>
    <s v="Burau"/>
  </r>
  <r>
    <n v="1"/>
    <s v="000124"/>
    <s v="CPO000124PN"/>
    <s v="B 1918 SXX"/>
    <s v="249/KPBN/TRD/CPO-L/WINS/XI/2025"/>
    <s v="PT. PN / 2 / 100"/>
    <x v="4"/>
    <x v="1"/>
    <s v="10 Roda"/>
    <d v="2025-11-22T00:00:00"/>
    <n v="26300"/>
    <n v="11690"/>
    <n v="14610"/>
    <n v="14620"/>
    <d v="1899-12-30T14:08:00"/>
    <d v="1899-12-30T15:52:00"/>
    <s v="samsira"/>
    <s v="WALDI"/>
    <n v="99"/>
    <m/>
    <s v="Burau"/>
  </r>
  <r>
    <n v="1"/>
    <s v="000125"/>
    <s v="CPO000125PN"/>
    <s v="DD 8711 XX"/>
    <s v="249/KPBN/TRD/CPO-L/WINS/XI/2025"/>
    <s v="PT. PN / 2 / 100"/>
    <x v="4"/>
    <x v="1"/>
    <s v="10 Roda"/>
    <d v="2025-11-22T00:00:00"/>
    <n v="24860"/>
    <n v="10810"/>
    <n v="14050"/>
    <n v="13990"/>
    <d v="1899-12-30T14:34:00"/>
    <d v="1899-12-30T16:21:00"/>
    <s v="samsira"/>
    <s v="RONI RAKAN"/>
    <n v="99"/>
    <m/>
    <s v="Burau"/>
  </r>
  <r>
    <n v="1"/>
    <s v="000126"/>
    <s v="CPO000126PN"/>
    <s v="BH 8459 MY"/>
    <s v="249/KPBN/TRD/CPO-L/WINS/XI/2025"/>
    <s v="PT. PN / 2 / 100"/>
    <x v="4"/>
    <x v="1"/>
    <s v="10 Roda"/>
    <d v="2025-11-22T00:00:00"/>
    <n v="26500"/>
    <n v="12160"/>
    <n v="14340"/>
    <n v="14410"/>
    <d v="1899-12-30T17:31:00"/>
    <d v="1899-12-30T18:46:00"/>
    <s v="samsira"/>
    <s v="ERWIN"/>
    <n v="99"/>
    <m/>
    <s v="Burau"/>
  </r>
  <r>
    <n v="1"/>
    <s v="000127"/>
    <s v="CPO000127PN"/>
    <s v="B 1918 SXX"/>
    <s v="249/KPBN/TRD/CPO-L/WINS/XI/2025"/>
    <s v="PT. PN / 2 / 100"/>
    <x v="4"/>
    <x v="1"/>
    <s v="10 Roda"/>
    <d v="2025-11-22T00:00:00"/>
    <n v="26320"/>
    <n v="11700"/>
    <n v="14620"/>
    <n v="14660"/>
    <d v="1899-12-30T18:12:00"/>
    <d v="1899-12-30T19:18:00"/>
    <s v="samsira"/>
    <s v="WALDI"/>
    <n v="99"/>
    <m/>
    <s v="Burau"/>
  </r>
  <r>
    <n v="1"/>
    <s v="000128"/>
    <s v="CPO000128PN"/>
    <s v="DD 8711 XX"/>
    <s v="249/KPBN/TRD/CPO-L/WINS/XI/2025"/>
    <s v="PT. PN / 2 / 100"/>
    <x v="4"/>
    <x v="1"/>
    <s v="10 Roda"/>
    <d v="2025-11-22T00:00:00"/>
    <n v="24890"/>
    <n v="10830"/>
    <n v="14060"/>
    <n v="14100"/>
    <d v="1899-12-30T18:37:00"/>
    <d v="1899-12-30T20:36:00"/>
    <s v="samsira"/>
    <s v="RONI RAKAN"/>
    <n v="99"/>
    <m/>
    <s v="Burau"/>
  </r>
  <r>
    <n v="1"/>
    <s v="000129"/>
    <s v="CPO000129PN"/>
    <s v="B 1918 SXX"/>
    <s v="249/KPBN/TRD/CPO-L/WINS/XI/2025"/>
    <s v="PT. PN / 2 / 100"/>
    <x v="4"/>
    <x v="1"/>
    <s v="10 Roda"/>
    <d v="2025-11-22T00:00:00"/>
    <n v="26440"/>
    <n v="11700"/>
    <n v="14740"/>
    <n v="14750"/>
    <d v="1899-12-30T22:13:00"/>
    <d v="1899-12-30T23:19:00"/>
    <s v="samsira"/>
    <s v="WALDI"/>
    <n v="99"/>
    <m/>
    <s v="Burau"/>
  </r>
  <r>
    <n v="1"/>
    <s v="000130"/>
    <s v="CPO000130JAS"/>
    <s v="DD 8711 XX"/>
    <s v="002/CPO/JM-WINS/XI/2025"/>
    <s v="PT. JAS MULIA / 2 / 500"/>
    <x v="3"/>
    <x v="1"/>
    <s v="10 Roda"/>
    <d v="2025-11-27T00:00:00"/>
    <n v="25050"/>
    <n v="10970"/>
    <n v="14080"/>
    <n v="14220"/>
    <d v="1899-12-30T09:37:00"/>
    <d v="1899-12-30T10:58:00"/>
    <s v="samsira"/>
    <s v="RONI RAKAN"/>
    <n v="68"/>
    <s v="WIL"/>
    <s v="Bone Bone"/>
  </r>
  <r>
    <n v="1"/>
    <s v="000131"/>
    <s v="CPO000131JAS"/>
    <s v="BH 8459 MY"/>
    <s v="002/CPO/JM-WINS/XI/2025"/>
    <s v="PT. JAS MULIA / 2 / 500"/>
    <x v="3"/>
    <x v="1"/>
    <s v="10 Roda"/>
    <d v="2025-11-27T00:00:00"/>
    <n v="26600"/>
    <n v="12100"/>
    <n v="14500"/>
    <n v="14460"/>
    <d v="1899-12-30T09:49:00"/>
    <d v="1899-12-30T11:35:00"/>
    <s v="samsira"/>
    <s v="ERWIN"/>
    <n v="68"/>
    <s v="WIL"/>
    <s v="Bone Bone"/>
  </r>
  <r>
    <n v="1"/>
    <s v="000132"/>
    <s v="CPO000132KMP"/>
    <s v="BM 8315 QO"/>
    <s v="KMP02112025"/>
    <s v="PT. KMP / 3 / 500"/>
    <x v="1"/>
    <x v="1"/>
    <s v="12 Roda"/>
    <d v="2025-11-27T00:00:00"/>
    <n v="45680"/>
    <n v="17530"/>
    <n v="28150"/>
    <n v="28200"/>
    <d v="1899-12-30T10:24:00"/>
    <d v="1899-12-30T13:13:00"/>
    <s v="samsira"/>
    <s v="IQBAL"/>
    <n v="53"/>
    <s v="WIL"/>
    <s v="Masamba"/>
  </r>
  <r>
    <n v="1"/>
    <s v="000133"/>
    <s v="CPO000133KMP"/>
    <s v="DD 9236 XX"/>
    <s v="KMP02112025"/>
    <s v="PT. KMP / 3 / 500"/>
    <x v="1"/>
    <x v="1"/>
    <s v="12 Roda"/>
    <d v="2025-11-27T00:00:00"/>
    <n v="45570"/>
    <n v="17450"/>
    <n v="28120"/>
    <n v="28140"/>
    <d v="1899-12-30T13:04:00"/>
    <d v="1899-12-30T14:52:00"/>
    <s v="samsira"/>
    <s v="IBRAHIM"/>
    <n v="53"/>
    <s v="WIL"/>
    <s v="Masamba"/>
  </r>
  <r>
    <n v="1"/>
    <s v="000134"/>
    <s v="CPO000134JAS"/>
    <s v="B 1918 SXX"/>
    <s v="002/CPO/JM-WINS/XI/2025"/>
    <s v="PT. JAS MULIA / 2 / 500"/>
    <x v="3"/>
    <x v="1"/>
    <s v="10 Roda"/>
    <d v="2025-11-27T00:00:00"/>
    <n v="26610"/>
    <n v="11760"/>
    <n v="14850"/>
    <n v="14800"/>
    <d v="1899-12-30T13:06:00"/>
    <d v="1899-12-30T14:42:00"/>
    <s v="samsira"/>
    <s v="WALDI"/>
    <n v="68"/>
    <s v="WIL"/>
    <s v="Bone Bone"/>
  </r>
  <r>
    <n v="1"/>
    <s v="000135"/>
    <s v="CPO000135KMP"/>
    <s v="BM 8315 QO"/>
    <s v="KMP02112025"/>
    <s v="PT. KMP / 3 / 500"/>
    <x v="1"/>
    <x v="1"/>
    <s v="12 Roda"/>
    <d v="2025-11-27T00:00:00"/>
    <n v="45470"/>
    <n v="17490"/>
    <n v="27980"/>
    <n v="28020"/>
    <d v="1899-12-30T16:52:00"/>
    <d v="1899-12-30T18:55:00"/>
    <s v="Datu"/>
    <s v="IQBAL"/>
    <n v="53"/>
    <s v="WIL"/>
    <s v="Masamba"/>
  </r>
  <r>
    <n v="1"/>
    <s v="000136"/>
    <s v="CPO000136JAS"/>
    <s v="DD 8711 XX"/>
    <s v="002/CPO/JM-WINS/XI/2025"/>
    <s v="PT. JAS MULIA / 2 / 500"/>
    <x v="3"/>
    <x v="1"/>
    <s v="10 Roda"/>
    <d v="2025-11-27T00:00:00"/>
    <n v="25150"/>
    <n v="10900"/>
    <n v="14250"/>
    <n v="14020"/>
    <d v="1899-12-30T17:25:00"/>
    <d v="1899-12-30T19:38:00"/>
    <s v="Datu"/>
    <s v="RONI RAKAN"/>
    <n v="68"/>
    <s v="WIL"/>
    <s v="Bone Bone"/>
  </r>
  <r>
    <n v="1"/>
    <s v="000137"/>
    <s v="CPO000137JAS"/>
    <s v="BH 8459 MY"/>
    <s v="002/CPO/JM-WINS/XI/2025"/>
    <s v="PT. JAS MULIA / 2 / 500"/>
    <x v="3"/>
    <x v="1"/>
    <s v="10 Roda"/>
    <d v="2025-11-27T00:00:00"/>
    <n v="26730"/>
    <n v="12240"/>
    <n v="14490"/>
    <n v="14450"/>
    <d v="1899-12-30T17:52:00"/>
    <d v="1899-12-30T19:51:00"/>
    <s v="Datu"/>
    <s v="ERWIN"/>
    <n v="68"/>
    <s v="WIL"/>
    <s v="Bone Bone"/>
  </r>
  <r>
    <n v="1"/>
    <s v="000138"/>
    <s v="CPO000138KMP"/>
    <s v="DD 9236 XX"/>
    <s v="KMP02112025"/>
    <s v="PT. KMP / 3 / 500"/>
    <x v="1"/>
    <x v="1"/>
    <s v="12 Roda"/>
    <d v="2025-11-27T00:00:00"/>
    <n v="45650"/>
    <n v="17430"/>
    <n v="28220"/>
    <n v="28280"/>
    <d v="1899-12-30T18:28:00"/>
    <d v="1899-12-30T19:27:00"/>
    <s v="Datu"/>
    <s v="IBRAHIM"/>
    <n v="53"/>
    <s v="WIL"/>
    <s v="Masamba"/>
  </r>
  <r>
    <n v="1"/>
    <s v="000139"/>
    <s v="CPO000139JAS"/>
    <s v="B 1918 SXX"/>
    <s v="002/CPO/JM-WINS/XI/2025"/>
    <s v="PT. JAS MULIA / 2 / 500"/>
    <x v="3"/>
    <x v="1"/>
    <s v="10 Roda"/>
    <d v="2025-11-27T00:00:00"/>
    <n v="26550"/>
    <n v="11720"/>
    <n v="14830"/>
    <n v="14770"/>
    <d v="1899-12-30T19:33:00"/>
    <d v="1899-12-30T20:21:00"/>
    <s v="Datu"/>
    <s v="WALDI"/>
    <n v="68"/>
    <s v="WIL"/>
    <s v="Bone Bone"/>
  </r>
  <r>
    <n v="1"/>
    <s v="000031"/>
    <s v="CPO000031KMP"/>
    <s v="DD 9236 XX"/>
    <s v="KMP02112025"/>
    <s v="PT. KMP / 3 / 500"/>
    <x v="1"/>
    <x v="1"/>
    <s v="12 Roda"/>
    <d v="2025-11-28T00:00:00"/>
    <n v="45830"/>
    <n v="17570"/>
    <n v="28260"/>
    <n v="28260"/>
    <d v="1899-12-30T17:09:00"/>
    <d v="1899-12-30T18:49:00"/>
    <s v="Datu"/>
    <s v="IBRAHIM"/>
    <n v="53"/>
    <s v="WIL"/>
    <s v="Masamba"/>
  </r>
  <r>
    <n v="1"/>
    <s v="000033"/>
    <s v="CPO000033KMP"/>
    <s v="BM 8315 QO"/>
    <s v="KMP02112025"/>
    <s v="PT. KMP / 3 / 500"/>
    <x v="1"/>
    <x v="1"/>
    <s v="12 Roda"/>
    <d v="2025-11-28T00:00:00"/>
    <n v="45690"/>
    <n v="17580"/>
    <n v="28110"/>
    <n v="28100"/>
    <d v="1899-12-30T17:40:00"/>
    <d v="1899-12-30T18:55:00"/>
    <s v="Datu"/>
    <s v="IQBAL"/>
    <n v="53"/>
    <s v="WIL"/>
    <s v="Masamba"/>
  </r>
  <r>
    <n v="1"/>
    <s v="000037"/>
    <s v="CPO000037KMP"/>
    <s v="DD 9236 XX"/>
    <s v="KMP02112025"/>
    <s v="PT. KMP / 3 / 500"/>
    <x v="1"/>
    <x v="1"/>
    <s v="12 Roda"/>
    <d v="2025-11-28T00:00:00"/>
    <n v="45680"/>
    <n v="17550"/>
    <n v="28130"/>
    <n v="28180"/>
    <d v="1899-12-30T22:18:00"/>
    <d v="1899-12-30T23:04:00"/>
    <s v="Datu"/>
    <s v="IBRAHIM"/>
    <n v="53"/>
    <s v="WIL"/>
    <s v="Masamba"/>
  </r>
  <r>
    <n v="1"/>
    <s v="000030"/>
    <s v="CPO000030PN"/>
    <s v="DD 8711 XX"/>
    <s v="249/KPBN/TRD/CPO-L/WINS/XI/2025"/>
    <s v="PT. PN / 3 / 100"/>
    <x v="4"/>
    <x v="1"/>
    <s v="10 Roda"/>
    <d v="2025-11-28T00:00:00"/>
    <n v="24990"/>
    <n v="10810"/>
    <n v="14180"/>
    <n v="14180"/>
    <d v="1899-12-30T17:07:00"/>
    <d v="1899-12-30T20:16:00"/>
    <s v="Datu"/>
    <s v="RONI RAKAN"/>
    <n v="99"/>
    <m/>
    <s v="Burau"/>
  </r>
  <r>
    <n v="1"/>
    <s v="000032"/>
    <s v="CPO000032PN"/>
    <s v="B 1918 SXX"/>
    <s v="249/KPBN/TRD/CPO-L/WINS/XI/2025"/>
    <s v="PT. PN / 3 / 100"/>
    <x v="4"/>
    <x v="1"/>
    <s v="10 Roda"/>
    <d v="2025-11-28T00:00:00"/>
    <n v="26520"/>
    <n v="11780"/>
    <n v="14740"/>
    <n v="14770"/>
    <d v="1899-12-30T17:34:00"/>
    <d v="1899-12-30T19:36:00"/>
    <s v="Datu"/>
    <s v="WALDI"/>
    <n v="99"/>
    <m/>
    <s v="Burau"/>
  </r>
  <r>
    <n v="1"/>
    <s v="000034"/>
    <s v="CPO000034PN"/>
    <s v="BH 8459 MY"/>
    <s v="249/KPBN/TRD/CPO-L/WINS/XI/2025"/>
    <s v="PT. PN / 3 / 100"/>
    <x v="4"/>
    <x v="1"/>
    <s v="10 Roda"/>
    <d v="2025-11-28T00:00:00"/>
    <n v="26360"/>
    <n v="12130"/>
    <n v="14230"/>
    <n v="14260"/>
    <d v="1899-12-30T18:11:00"/>
    <d v="1899-12-30T20:45:00"/>
    <s v="Datu"/>
    <s v="ERWIN"/>
    <n v="99"/>
    <m/>
    <s v="Burau"/>
  </r>
  <r>
    <n v="1"/>
    <s v="000146"/>
    <s v="CPO000146PN"/>
    <s v="DD 8711 XX"/>
    <s v="249/KPBN/TRD/CPO-L/WINS/XI/2025"/>
    <s v="PT. PN / 3 / 100"/>
    <x v="4"/>
    <x v="1"/>
    <s v="10 Roda"/>
    <d v="2025-11-28T00:00:00"/>
    <n v="24920"/>
    <n v="10850"/>
    <n v="14070"/>
    <n v="14100"/>
    <d v="1899-12-30T11:50:00"/>
    <d v="1899-12-30T14:59:00"/>
    <s v="samsira"/>
    <s v="RONI RAKAN"/>
    <n v="99"/>
    <m/>
    <s v="Burau"/>
  </r>
  <r>
    <n v="1"/>
    <s v="000147"/>
    <s v="CPO000147PN"/>
    <s v="B 1918 SXX"/>
    <s v="249/KPBN/TRD/CPO-L/WINS/XI/2025"/>
    <s v="PT. PN / 3 / 100"/>
    <x v="4"/>
    <x v="1"/>
    <s v="10 Roda"/>
    <d v="2025-11-28T00:00:00"/>
    <n v="26460"/>
    <n v="11810"/>
    <n v="14650"/>
    <n v="14690"/>
    <d v="1899-12-30T13:37:00"/>
    <d v="1899-12-30T15:19:00"/>
    <s v="samsira"/>
    <s v="WALDI"/>
    <n v="99"/>
    <m/>
    <s v="Burau"/>
  </r>
  <r>
    <n v="1"/>
    <s v="000148"/>
    <s v="CPO000148PN"/>
    <s v="BH 8459 MY"/>
    <s v="249/KPBN/TRD/CPO-L/WINS/XI/2025"/>
    <s v="PT. PN / 3 / 100"/>
    <x v="4"/>
    <x v="1"/>
    <s v="10 Roda"/>
    <d v="2025-11-28T00:00:00"/>
    <n v="26580"/>
    <n v="12160"/>
    <n v="14420"/>
    <n v="14430"/>
    <d v="1899-12-30T15:01:00"/>
    <d v="1899-12-30T16:11:00"/>
    <s v="samsira"/>
    <s v="ERWIN"/>
    <n v="99"/>
    <m/>
    <s v="Burau"/>
  </r>
  <r>
    <n v="1"/>
    <s v="000140"/>
    <s v="CPO000140KMP"/>
    <s v="BM 8315 QO"/>
    <s v="KMP02112025"/>
    <s v="PT. KMP / 3 / 500"/>
    <x v="1"/>
    <x v="1"/>
    <s v="12 Roda"/>
    <d v="2025-11-28T00:00:00"/>
    <n v="45460"/>
    <n v="17430"/>
    <n v="28030"/>
    <n v="28080"/>
    <d v="1899-12-30T22:57:00"/>
    <d v="1899-12-30T00:22:00"/>
    <s v="Datu"/>
    <s v="IQBAL"/>
    <n v="53"/>
    <s v="WIL"/>
    <s v="Masamba"/>
  </r>
  <r>
    <n v="1"/>
    <s v="000141"/>
    <s v="CPO000141JAS"/>
    <s v="DD 8711 XX"/>
    <s v="002/CPO/JM-WINS/XI/2025"/>
    <s v="PT. JAS MULIA / 2 / 500"/>
    <x v="3"/>
    <x v="1"/>
    <s v="10 Roda"/>
    <d v="2025-11-28T00:00:00"/>
    <n v="25090"/>
    <n v="10860"/>
    <n v="14230"/>
    <n v="14180"/>
    <d v="1899-12-30T00:02:00"/>
    <d v="1899-12-30T01:21:00"/>
    <s v="Datu"/>
    <s v="RONI RAKAN"/>
    <n v="68"/>
    <s v="WIL"/>
    <s v="Bone Bone"/>
  </r>
  <r>
    <n v="1"/>
    <s v="000142"/>
    <s v="CPO000142JAS"/>
    <s v="B 1918 SXX"/>
    <s v="002/CPO/JM-WINS/XI/2025"/>
    <s v="PT. JAS MULIA / 2 / 500"/>
    <x v="3"/>
    <x v="1"/>
    <s v="10 Roda"/>
    <d v="2025-11-28T00:00:00"/>
    <n v="26480"/>
    <n v="11670"/>
    <n v="14810"/>
    <n v="14740"/>
    <d v="1899-12-30T00:26:00"/>
    <d v="1899-12-30T01:46:00"/>
    <s v="Datu"/>
    <s v="WALDI"/>
    <n v="68"/>
    <s v="WIL"/>
    <s v="Bone Bone"/>
  </r>
  <r>
    <n v="1"/>
    <s v="000143"/>
    <s v="CPO000143JAS"/>
    <s v="BH 8459 MY"/>
    <s v="002/CPO/JM-WINS/XI/2025"/>
    <s v="PT. JAS MULIA / 2 / 500"/>
    <x v="3"/>
    <x v="1"/>
    <s v="10 Roda"/>
    <d v="2025-11-28T00:00:00"/>
    <n v="26640"/>
    <n v="12160"/>
    <n v="14480"/>
    <n v="14400"/>
    <d v="1899-12-30T01:16:00"/>
    <d v="1899-12-30T02:08:00"/>
    <s v="Datu"/>
    <s v="ERWIN"/>
    <n v="68"/>
    <s v="WIL"/>
    <s v="Bone Bone"/>
  </r>
  <r>
    <n v="1"/>
    <s v="000144"/>
    <s v="CPO000144KMP"/>
    <s v="DD 9236 XX"/>
    <s v="KMP02112025"/>
    <s v="PT. KMP / 3 / 500"/>
    <x v="1"/>
    <x v="1"/>
    <s v="12 Roda"/>
    <d v="2025-11-28T00:00:00"/>
    <n v="45810"/>
    <n v="17630"/>
    <n v="28180"/>
    <n v="28240"/>
    <d v="1899-12-30T11:01:00"/>
    <d v="1899-12-30T13:35:00"/>
    <s v="samsira"/>
    <s v="IBRAHIM"/>
    <n v="53"/>
    <s v="WIL"/>
    <s v="Masamba"/>
  </r>
  <r>
    <n v="1"/>
    <s v="000145"/>
    <s v="CPO000145KMP"/>
    <s v="BM 8315 QO"/>
    <s v="KMP02112025"/>
    <s v="PT. KMP / 3 / 500"/>
    <x v="1"/>
    <x v="1"/>
    <s v="12 Roda"/>
    <d v="2025-11-28T00:00:00"/>
    <n v="45670"/>
    <n v="17430"/>
    <n v="28240"/>
    <n v="28320"/>
    <d v="1899-12-30T11:09:00"/>
    <d v="1899-12-30T13:38:00"/>
    <s v="samsira"/>
    <s v="IQBAL"/>
    <n v="53"/>
    <s v="WIL"/>
    <s v="Masamba"/>
  </r>
  <r>
    <n v="1"/>
    <s v="000038"/>
    <s v="CPO000038KMP"/>
    <s v="BM 8315 QO"/>
    <s v="KMP02112025"/>
    <s v="PT. KMP / 3 / 500"/>
    <x v="1"/>
    <x v="1"/>
    <s v="12 Roda"/>
    <d v="2025-11-29T00:00:00"/>
    <n v="45580"/>
    <n v="17540"/>
    <n v="28040"/>
    <n v="28060"/>
    <d v="1899-12-30T23:18:00"/>
    <d v="1899-12-30T00:07:00"/>
    <s v="Datu"/>
    <s v="IQBAL"/>
    <n v="53"/>
    <s v="WIL"/>
    <s v="Masamba"/>
  </r>
  <r>
    <n v="1"/>
    <s v="000036"/>
    <s v="CPO000036PN"/>
    <s v="B 1918 SXX"/>
    <s v="249/KPBN/TRD/CPO-L/WINS/XI/2025"/>
    <s v="PT. PN / 3 / 100"/>
    <x v="4"/>
    <x v="1"/>
    <s v="10 Roda"/>
    <d v="2025-11-29T00:00:00"/>
    <n v="25310"/>
    <n v="11780"/>
    <n v="13530"/>
    <n v="13570"/>
    <d v="1899-12-30T21:59:00"/>
    <d v="1899-12-30T00:11:00"/>
    <s v="Datu"/>
    <s v="WALDI"/>
    <n v="99"/>
    <m/>
    <s v="Burau"/>
  </r>
  <r>
    <n v="1"/>
    <s v="000149"/>
    <s v="CPO000149JAS"/>
    <s v="B 1918 SXX"/>
    <s v="002/CPO/JM-WINS/XI/2025"/>
    <s v="PT. JAS MULIA / 2 / 500"/>
    <x v="3"/>
    <x v="1"/>
    <s v="10 Roda"/>
    <d v="2025-11-29T00:00:00"/>
    <n v="26590"/>
    <n v="11770"/>
    <n v="14820"/>
    <n v="14470"/>
    <d v="1899-12-30T09:37:00"/>
    <d v="1899-12-30T10:35:00"/>
    <s v="samsira"/>
    <s v="WALDI"/>
    <n v="68"/>
    <s v="WIL"/>
    <s v="Bone Bone"/>
  </r>
  <r>
    <n v="1"/>
    <s v="000150"/>
    <s v="CPO000150JAS"/>
    <s v="DD 8711 XX"/>
    <s v="002/CPO/JM-WINS/XI/2025"/>
    <s v="PT. JAS MULIA / 2 / 500"/>
    <x v="3"/>
    <x v="1"/>
    <s v="10 Roda"/>
    <d v="2025-11-29T00:00:00"/>
    <n v="25040"/>
    <n v="10790"/>
    <n v="14250"/>
    <n v="14770"/>
    <d v="1899-12-30T10:04:00"/>
    <d v="1899-12-30T12:04:00"/>
    <s v="samsira"/>
    <s v="RONI RAKAN"/>
    <n v="68"/>
    <s v="WIL"/>
    <s v="Bone Bone"/>
  </r>
  <r>
    <n v="1"/>
    <s v="000151"/>
    <s v="CPO000151KMP"/>
    <s v="DD 9236 XX"/>
    <s v="KMP02112025"/>
    <s v="PT. KMP / 3 / 500"/>
    <x v="1"/>
    <x v="1"/>
    <s v="12 Roda"/>
    <d v="2025-11-29T00:00:00"/>
    <n v="45820"/>
    <n v="17640"/>
    <n v="28180"/>
    <n v="28120"/>
    <d v="1899-12-30T10:20:00"/>
    <d v="1899-12-30T13:44:00"/>
    <s v="samsira"/>
    <s v="IBRAHIM"/>
    <n v="53"/>
    <s v="WIL"/>
    <s v="Masamba"/>
  </r>
  <r>
    <n v="1"/>
    <s v="000152"/>
    <s v="CPO000152JAS"/>
    <s v="BH 8459 MY"/>
    <s v="002/CPO/JM-WINS/XI/2025"/>
    <s v="PT. JAS MULIA / 2 / 500"/>
    <x v="3"/>
    <x v="1"/>
    <s v="10 Roda"/>
    <d v="2025-11-29T00:00:00"/>
    <n v="26620"/>
    <n v="12110"/>
    <n v="14510"/>
    <n v="14780"/>
    <d v="1899-12-30T10:26:00"/>
    <d v="1899-12-30T12:02:00"/>
    <s v="samsira"/>
    <s v="ERWIN"/>
    <n v="68"/>
    <s v="WIL"/>
    <s v="Bone Bone"/>
  </r>
  <r>
    <n v="1"/>
    <s v="000153"/>
    <s v="CPO000153KMP"/>
    <s v="BM 8315 QO"/>
    <s v="KMP02112025"/>
    <s v="PT. KMP / 3 / 500"/>
    <x v="1"/>
    <x v="1"/>
    <s v="12 Roda"/>
    <d v="2025-11-29T00:00:00"/>
    <n v="45630"/>
    <n v="17540"/>
    <n v="28090"/>
    <n v="28320"/>
    <d v="1899-12-30T10:50:00"/>
    <d v="1899-12-30T14:00:00"/>
    <s v="samsira"/>
    <s v="IQBAL"/>
    <n v="53"/>
    <s v="WIL"/>
    <s v="Masamba"/>
  </r>
  <r>
    <n v="1"/>
    <s v="000154"/>
    <s v="CPO000154JAS"/>
    <s v="B 1918 SXX"/>
    <s v="002/CPO/JM-WINS/XI/2025"/>
    <s v="PT. JAS MULIA / 2 / 500"/>
    <x v="3"/>
    <x v="1"/>
    <s v="10 Roda"/>
    <d v="2025-11-29T00:00:00"/>
    <n v="26560"/>
    <n v="11710"/>
    <n v="14850"/>
    <n v="14470"/>
    <d v="1899-12-30T15:05:00"/>
    <d v="1899-12-30T16:06:00"/>
    <s v="samsira"/>
    <s v="WALDI"/>
    <n v="68"/>
    <s v="WIL"/>
    <s v="Bone Bone"/>
  </r>
  <r>
    <n v="1"/>
    <s v="000155"/>
    <s v="CPO000155KMP"/>
    <s v="DD 9236 XX"/>
    <s v="KMP02112025"/>
    <s v="PT. KMP / 3 / 500"/>
    <x v="1"/>
    <x v="1"/>
    <s v="12 Roda"/>
    <d v="2025-11-29T00:00:00"/>
    <n v="45710"/>
    <n v="17720"/>
    <n v="27990"/>
    <n v="28140"/>
    <d v="1899-12-30T17:03:00"/>
    <d v="1899-12-30T19:34:00"/>
    <s v="Datu"/>
    <s v="IBRAHIM"/>
    <n v="53"/>
    <s v="WIL"/>
    <s v="Masamba"/>
  </r>
  <r>
    <n v="1"/>
    <s v="000156"/>
    <s v="CPO000156JAS"/>
    <s v="BH 8459 MY"/>
    <s v="002/CPO/JM-WINS/XI/2025"/>
    <s v="PT. JAS MULIA / 2 / 500"/>
    <x v="3"/>
    <x v="1"/>
    <s v="10 Roda"/>
    <d v="2025-11-29T00:00:00"/>
    <n v="26720"/>
    <n v="12210"/>
    <n v="14510"/>
    <n v="14190"/>
    <d v="1899-12-30T17:13:00"/>
    <d v="1899-12-30T18:20:00"/>
    <s v="Datu"/>
    <s v="ERWIN"/>
    <n v="68"/>
    <s v="WIL"/>
    <s v="Bone Bone"/>
  </r>
  <r>
    <n v="1"/>
    <s v="000157"/>
    <s v="CPO000157KMP"/>
    <s v="BM 8315 QO"/>
    <s v="KMP02112025"/>
    <s v="PT. KMP / 3 / 500"/>
    <x v="1"/>
    <x v="1"/>
    <s v="12 Roda"/>
    <d v="2025-11-29T00:00:00"/>
    <n v="45310"/>
    <n v="17490"/>
    <n v="27820"/>
    <n v="27840"/>
    <d v="1899-12-30T17:42:00"/>
    <d v="1899-12-30T19:36:00"/>
    <s v="Datu"/>
    <s v="IQBAL"/>
    <n v="53"/>
    <s v="WIL"/>
    <s v="Masamba"/>
  </r>
  <r>
    <n v="1"/>
    <s v="000158"/>
    <s v="CPO000158JAS"/>
    <s v="DD 8711 XX"/>
    <s v="002/CPO/JM-WINS/XI/2025"/>
    <s v="PT. JAS MULIA / 2 / 500"/>
    <x v="3"/>
    <x v="1"/>
    <s v="10 Roda"/>
    <d v="2025-11-29T00:00:00"/>
    <n v="25150"/>
    <n v="10880"/>
    <n v="14270"/>
    <n v="14820"/>
    <d v="1899-12-30T17:46:00"/>
    <d v="1899-12-30T19:01:00"/>
    <s v="Datu"/>
    <s v="RONI RAKAN"/>
    <n v="68"/>
    <s v="WIL"/>
    <s v="Bone Bone"/>
  </r>
  <r>
    <n v="1"/>
    <s v="000159"/>
    <s v="CPO000159JAS"/>
    <s v="B 1918 SXX"/>
    <s v="002/CPO/JM-WINS/XI/2025"/>
    <s v="PT. JAS MULIA / 2 / 500"/>
    <x v="3"/>
    <x v="1"/>
    <s v="10 Roda"/>
    <d v="2025-11-29T00:00:00"/>
    <n v="26660"/>
    <n v="11800"/>
    <n v="14860"/>
    <n v="14220"/>
    <d v="1899-12-30T20:36:00"/>
    <d v="1899-12-30T21:50:00"/>
    <s v="Datu"/>
    <s v="WALDI"/>
    <n v="68"/>
    <s v="WIL"/>
    <s v="Bone Bone"/>
  </r>
  <r>
    <n v="1"/>
    <s v="000160"/>
    <s v="CPO000160KMP"/>
    <s v="DD 9236 XX"/>
    <s v="KMP02112025"/>
    <s v="PT. KMP / 3 / 500"/>
    <x v="1"/>
    <x v="1"/>
    <s v="12 Roda"/>
    <d v="2025-11-30T00:00:00"/>
    <n v="45760"/>
    <n v="17690"/>
    <n v="28070"/>
    <n v="28100"/>
    <d v="1899-12-30T23:08:00"/>
    <d v="1899-12-30T00:05:00"/>
    <s v="Datu"/>
    <s v="IBRAHIM"/>
    <n v="53"/>
    <s v="WIL"/>
    <s v="Masamba"/>
  </r>
  <r>
    <n v="1"/>
    <s v="000161"/>
    <s v="CPO000161KMP"/>
    <s v="BM 8315 QO"/>
    <s v="KMP02112025"/>
    <s v="PT. KMP / 3 / 500"/>
    <x v="1"/>
    <x v="1"/>
    <s v="12 Roda"/>
    <d v="2025-11-30T00:00:00"/>
    <n v="45420"/>
    <n v="17460"/>
    <n v="27960"/>
    <n v="27980"/>
    <d v="1899-12-30T23:52:00"/>
    <d v="1899-12-30T00:39:00"/>
    <s v="Datu"/>
    <s v="IQBAL"/>
    <n v="53"/>
    <s v="WIL"/>
    <s v="Masamba"/>
  </r>
  <r>
    <n v="1"/>
    <s v="000162"/>
    <s v="CPO000162JAS"/>
    <s v="DD 8711 XX"/>
    <s v="002/CPO/JM-WINS/XI/2025"/>
    <s v="PT. JAS MULIA / 2 / 500"/>
    <x v="3"/>
    <x v="1"/>
    <s v="10 Roda"/>
    <d v="2025-11-30T00:00:00"/>
    <n v="25110"/>
    <n v="10860"/>
    <n v="14250"/>
    <n v="14220"/>
    <d v="1899-12-30T23:55:00"/>
    <d v="1899-12-30T04:05:00"/>
    <s v="Datu"/>
    <s v="RONI RAKAN"/>
    <n v="68"/>
    <s v="WIL"/>
    <s v="Bone Bone"/>
  </r>
  <r>
    <n v="1"/>
    <s v="000163"/>
    <s v="CPO000163JAS"/>
    <s v="BH 8459 MY"/>
    <s v="002/CPO/JM-WINS/XI/2025"/>
    <s v="PT. JAS MULIA / 2 / 500"/>
    <x v="3"/>
    <x v="1"/>
    <s v="10 Roda"/>
    <d v="2025-11-30T00:00:00"/>
    <n v="26700"/>
    <n v="12190"/>
    <n v="14510"/>
    <n v="14490"/>
    <d v="1899-12-30T23:58:00"/>
    <d v="1899-12-30T02:17:00"/>
    <s v="Datu"/>
    <s v="ERWIN"/>
    <n v="68"/>
    <s v="WIL"/>
    <s v="Bone Bone"/>
  </r>
  <r>
    <n v="1"/>
    <s v="000164"/>
    <s v="CPO000164KMP"/>
    <s v="DD 9236 XX"/>
    <s v="KMP02112025"/>
    <s v="PT. KMP / 3 / 500"/>
    <x v="1"/>
    <x v="1"/>
    <s v="12 Roda"/>
    <d v="2025-11-30T00:00:00"/>
    <n v="39830"/>
    <n v="17670"/>
    <n v="22160"/>
    <n v="22240"/>
    <d v="1899-12-30T04:01:00"/>
    <d v="1899-12-30T04:57:00"/>
    <s v="Datu"/>
    <s v="IBRAHIM"/>
    <n v="53"/>
    <s v="WIL"/>
    <s v="Masamba"/>
  </r>
  <r>
    <n v="1"/>
    <s v="000165"/>
    <s v="CPO000165JAS"/>
    <s v="DD 9236 XX"/>
    <s v="002/CPO/JM-WINS/XI/2025"/>
    <s v="PT. JAS MULIA / 2 / 500"/>
    <x v="3"/>
    <x v="1"/>
    <s v="12 Roda"/>
    <d v="2025-11-30T00:00:00"/>
    <n v="45940"/>
    <n v="17680"/>
    <n v="28260"/>
    <n v="28230"/>
    <d v="1899-12-30T10:41:00"/>
    <d v="1899-12-30T14:54:00"/>
    <s v="samsira"/>
    <s v="IBRAHIM"/>
    <n v="68"/>
    <s v="WIL"/>
    <s v="Bone Bone"/>
  </r>
  <r>
    <n v="1"/>
    <s v="000166"/>
    <s v="CPO000166JAS"/>
    <s v="BH 8459 MY"/>
    <s v="002/CPO/JM-WINS/XI/2025"/>
    <s v="PT. JAS MULIA / 2 / 500"/>
    <x v="3"/>
    <x v="1"/>
    <s v="10 Roda"/>
    <d v="2025-11-30T00:00:00"/>
    <n v="26640"/>
    <n v="12120"/>
    <n v="14520"/>
    <n v="14460"/>
    <d v="1899-12-30T10:52:00"/>
    <d v="1899-12-30T13:35:00"/>
    <s v="samsira"/>
    <s v="ERWIN"/>
    <n v="68"/>
    <s v="WIL"/>
    <s v="Bone Bone"/>
  </r>
  <r>
    <n v="1"/>
    <s v="000167"/>
    <s v="CPO000167JAS"/>
    <s v="B 1918 SXX"/>
    <s v="002/CPO/JM-WINS/XI/2025"/>
    <s v="PT. JAS MULIA / 2 / 500"/>
    <x v="3"/>
    <x v="1"/>
    <s v="10 Roda"/>
    <d v="2025-11-30T00:00:00"/>
    <n v="26600"/>
    <n v="11780"/>
    <n v="14820"/>
    <n v="14790"/>
    <d v="1899-12-30T11:03:00"/>
    <d v="1899-12-30T13:32:00"/>
    <s v="samsira"/>
    <s v="WALDI"/>
    <n v="68"/>
    <s v="WIL"/>
    <s v="Bone Bone"/>
  </r>
  <r>
    <n v="1"/>
    <s v="000168"/>
    <s v="CPO000168JAS"/>
    <s v="DD 8711 XX"/>
    <s v="002/CPO/JM-WINS/XI/2025"/>
    <s v="PT. JAS MULIA / 2 / 500"/>
    <x v="3"/>
    <x v="1"/>
    <s v="10 Roda"/>
    <d v="2025-11-30T00:00:00"/>
    <n v="25070"/>
    <n v="10820"/>
    <n v="14250"/>
    <n v="14220"/>
    <d v="1899-12-30T11:23:00"/>
    <d v="1899-12-30T13:33:00"/>
    <s v="samsira"/>
    <s v="RONI RAKAN"/>
    <n v="68"/>
    <s v="WIL"/>
    <s v="Bone Bone"/>
  </r>
  <r>
    <n v="1"/>
    <s v="000169"/>
    <s v="CPO000169JAS"/>
    <s v="BM 8315 QO"/>
    <s v="002/CPO/JM-WINS/XI/2025"/>
    <s v="PT. JAS MULIA / 2 / 500"/>
    <x v="3"/>
    <x v="1"/>
    <s v="12 Roda"/>
    <d v="2025-11-30T00:00:00"/>
    <n v="45700"/>
    <n v="17430"/>
    <n v="28270"/>
    <n v="28240"/>
    <d v="1899-12-30T13:27:00"/>
    <d v="1899-12-30T14:38:00"/>
    <s v="samsira"/>
    <s v="IQBAL"/>
    <n v="68"/>
    <s v="WIL"/>
    <s v="Bone Bone"/>
  </r>
  <r>
    <n v="1"/>
    <s v="000170"/>
    <s v="CPO000170JAS"/>
    <s v="DD 8711 XX"/>
    <s v="002/CPO/JM-WINS/XI/2025"/>
    <s v="PT. JAS MULIA / 2 / 500"/>
    <x v="3"/>
    <x v="1"/>
    <s v="10 Roda"/>
    <d v="2025-11-30T00:00:00"/>
    <n v="25050"/>
    <n v="10930"/>
    <n v="14120"/>
    <n v="14240"/>
    <d v="1899-12-30T17:57:00"/>
    <d v="1899-12-30T20:04:00"/>
    <s v="Datu"/>
    <s v="RONI RAKAN"/>
    <n v="68"/>
    <s v="WIL"/>
    <s v="Bone Bone"/>
  </r>
  <r>
    <n v="1"/>
    <s v="000171"/>
    <s v="CPO000171JAS"/>
    <s v="B 1918 SXX"/>
    <s v="002/CPO/JM-WINS/XI/2025"/>
    <s v="PT. JAS MULIA / 2 / 500"/>
    <x v="3"/>
    <x v="1"/>
    <s v="10 Roda"/>
    <d v="2025-11-30T00:00:00"/>
    <n v="26570"/>
    <n v="11720"/>
    <n v="14850"/>
    <n v="14780"/>
    <d v="1899-12-30T18:00:00"/>
    <d v="1899-12-30T19:57:00"/>
    <s v="Datu"/>
    <s v="WALDI"/>
    <n v="68"/>
    <s v="WIL"/>
    <s v="Bone Bone"/>
  </r>
  <r>
    <n v="1"/>
    <s v="000172"/>
    <s v="CPO000172JAS"/>
    <s v="BH 8459 MY"/>
    <s v="002/CPO/JM-WINS/XI/2025"/>
    <s v="PT. JAS MULIA / 2 / 500"/>
    <x v="3"/>
    <x v="1"/>
    <s v="10 Roda"/>
    <d v="2025-11-30T00:00:00"/>
    <n v="26720"/>
    <n v="12260"/>
    <n v="14460"/>
    <n v="14460"/>
    <d v="1899-12-30T18:34:00"/>
    <d v="1899-12-30T20:03:00"/>
    <s v="Datu"/>
    <s v="ERWIN"/>
    <n v="68"/>
    <s v="WIL"/>
    <s v="Bone Bone"/>
  </r>
  <r>
    <n v="1"/>
    <s v="000173"/>
    <s v="CPO000173JAS"/>
    <s v="DD 9236 XX"/>
    <s v="002/CPO/JM-WINS/XI/2025"/>
    <s v="PT. JAS MULIA / 2 / 500"/>
    <x v="3"/>
    <x v="1"/>
    <s v="12 Roda"/>
    <d v="2025-11-30T00:00:00"/>
    <n v="45900"/>
    <n v="17620"/>
    <n v="28280"/>
    <n v="28200"/>
    <d v="1899-12-30T19:48:00"/>
    <d v="1899-12-30T20:55:00"/>
    <s v="Datu"/>
    <s v="IBRAHIM"/>
    <n v="68"/>
    <s v="WIL"/>
    <s v="Bone Bone"/>
  </r>
  <r>
    <n v="1"/>
    <s v="000174"/>
    <s v="CPO000174JAS"/>
    <s v="BM 8315 QO"/>
    <s v="002/CPO/JM-WINS/XI/2025"/>
    <s v="PT. JAS MULIA / 2 / 500"/>
    <x v="3"/>
    <x v="1"/>
    <s v="12 Roda"/>
    <d v="2025-11-30T00:00:00"/>
    <n v="45940"/>
    <n v="17650"/>
    <n v="28290"/>
    <n v="28230"/>
    <d v="1899-12-30T20:20:00"/>
    <d v="1899-12-30T21:12:00"/>
    <s v="Datu"/>
    <s v="IQBAL"/>
    <n v="68"/>
    <s v="WIL"/>
    <s v="Bone Bone"/>
  </r>
  <r>
    <n v="1"/>
    <s v="000178"/>
    <s v="CPO000178MIS"/>
    <s v="DP 8004 GJ"/>
    <s v="245/PJB/MIS-WINS/XI/2025"/>
    <s v="PT. MIS / 2 / 600"/>
    <x v="2"/>
    <x v="1"/>
    <s v="6 Roda"/>
    <d v="2025-12-01T00:00:00"/>
    <n v="13470"/>
    <n v="4070"/>
    <n v="9400"/>
    <n v="9400"/>
    <d v="1899-12-30T16:44:00"/>
    <d v="1899-12-30T17:48:00"/>
    <s v="Datu"/>
    <m/>
    <n v="494"/>
    <m/>
    <s v="Pomala"/>
  </r>
  <r>
    <n v="1"/>
    <s v="000179"/>
    <s v="CPO000179MIS"/>
    <s v="DP 9859 GA"/>
    <s v="245/PJB/MIS-WINS/XI/2025"/>
    <s v="PT. MIS / 2 / 600"/>
    <x v="2"/>
    <x v="1"/>
    <s v="6 Roda"/>
    <d v="2025-12-01T00:00:00"/>
    <n v="14210"/>
    <n v="4170"/>
    <n v="10040"/>
    <n v="10020"/>
    <d v="1899-12-30T16:56:00"/>
    <d v="1899-12-30T17:44:00"/>
    <s v="Datu"/>
    <m/>
    <n v="494"/>
    <m/>
    <s v="Pomala"/>
  </r>
  <r>
    <n v="1"/>
    <s v="000180"/>
    <s v="CPO000180MIS"/>
    <s v="DP 8994 GH"/>
    <s v="245/PJB/MIS-WINS/XI/2025"/>
    <s v="PT. MIS / 2 / 600"/>
    <x v="2"/>
    <x v="1"/>
    <s v="6 Roda"/>
    <d v="2025-12-01T00:00:00"/>
    <n v="13520"/>
    <n v="3880"/>
    <n v="9640"/>
    <n v="9620"/>
    <d v="1899-12-30T21:16:00"/>
    <d v="1899-12-30T22:32:00"/>
    <s v="samsira"/>
    <m/>
    <n v="494"/>
    <m/>
    <s v="Pomala"/>
  </r>
  <r>
    <n v="1"/>
    <s v="000181"/>
    <s v="CPO000181MIS"/>
    <s v="DP 8951 GB"/>
    <s v="245/PJB/MIS-WINS/XI/2025"/>
    <s v="PT. MIS / 2 / 600"/>
    <x v="2"/>
    <x v="1"/>
    <s v="6 Roda"/>
    <d v="2025-12-01T00:00:00"/>
    <n v="13710"/>
    <n v="4090"/>
    <n v="9620"/>
    <n v="9590"/>
    <d v="1899-12-30T21:17:00"/>
    <d v="1899-12-30T22:34:00"/>
    <s v="samsira"/>
    <m/>
    <n v="494"/>
    <m/>
    <s v="Pomala"/>
  </r>
  <r>
    <n v="1"/>
    <s v="000182"/>
    <s v="CPO000182MIS"/>
    <s v="DP 8674 GC"/>
    <s v="245/PJB/MIS-WINS/XI/2025"/>
    <s v="PT. MIS / 2 / 600"/>
    <x v="2"/>
    <x v="1"/>
    <s v="6 Roda"/>
    <d v="2025-12-01T00:00:00"/>
    <n v="13780"/>
    <n v="3910"/>
    <n v="9870"/>
    <n v="9840"/>
    <d v="1899-12-30T21:20:00"/>
    <d v="1899-12-30T23:45:00"/>
    <s v="samsira"/>
    <m/>
    <n v="494"/>
    <m/>
    <s v="Pomala"/>
  </r>
  <r>
    <n v="1"/>
    <s v="000175"/>
    <s v="CPO000175JAS"/>
    <s v="B 1918 SXX"/>
    <s v="002/CPO/JM-WINS/XI/2025"/>
    <s v="PT. JAS MULIA / 2 / 500"/>
    <x v="3"/>
    <x v="1"/>
    <s v="10 Roda"/>
    <d v="2025-12-01T00:00:00"/>
    <n v="26550"/>
    <n v="11700"/>
    <n v="14850"/>
    <n v="14830"/>
    <d v="1899-12-30T01:14:00"/>
    <d v="1899-12-30T02:03:00"/>
    <s v="Datu"/>
    <s v="WALDI"/>
    <n v="68"/>
    <s v="WIL"/>
    <s v="Bone Bone"/>
  </r>
  <r>
    <n v="1"/>
    <s v="000176"/>
    <s v="CPO000176JAS"/>
    <s v="DD 8711 XX"/>
    <s v="002/CPO/JM-WINS/XI/2025"/>
    <s v="PT. JAS MULIA / 2 / 500"/>
    <x v="3"/>
    <x v="1"/>
    <s v="10 Roda"/>
    <d v="2025-12-01T00:00:00"/>
    <n v="25130"/>
    <n v="10870"/>
    <n v="14260"/>
    <n v="14220"/>
    <d v="1899-12-30T01:20:00"/>
    <d v="1899-12-30T02:35:00"/>
    <s v="Datu"/>
    <s v="RONI RAKAN"/>
    <n v="68"/>
    <s v="WIL"/>
    <s v="Bone Bone"/>
  </r>
  <r>
    <n v="1"/>
    <s v="000177"/>
    <s v="CPO000177JAS"/>
    <s v="BH 8459 MY"/>
    <s v="002/CPO/JM-WINS/XI/2025"/>
    <s v="PT. JAS MULIA / 2 / 500"/>
    <x v="3"/>
    <x v="1"/>
    <s v="10 Roda"/>
    <d v="2025-12-01T00:00:00"/>
    <n v="26690"/>
    <n v="12210"/>
    <n v="14480"/>
    <n v="14440"/>
    <d v="1899-12-30T01:41:00"/>
    <d v="1899-12-30T02:49:00"/>
    <s v="Datu"/>
    <s v="ERWIN"/>
    <n v="68"/>
    <s v="WIL"/>
    <s v="Bone Bone"/>
  </r>
  <r>
    <n v="1"/>
    <s v="000183"/>
    <s v="CPO000183MIS"/>
    <s v="DP 8036 GK"/>
    <s v="245/PJB/MIS-WINS/XI/2025"/>
    <s v="PT. MIS / 2 / 600"/>
    <x v="2"/>
    <x v="1"/>
    <s v="6 Roda"/>
    <d v="2025-12-02T00:00:00"/>
    <n v="13410"/>
    <n v="4010"/>
    <n v="9400"/>
    <n v="9380"/>
    <d v="1899-12-30T01:14:00"/>
    <d v="1899-12-30T02:08:00"/>
    <s v="samsira"/>
    <m/>
    <n v="494"/>
    <m/>
    <s v="Pomala"/>
  </r>
  <r>
    <n v="1"/>
    <s v="000184"/>
    <s v="CPO000184MIS"/>
    <s v="DP 8821 GL"/>
    <s v="245/PJB/MIS-WINS/XI/2025"/>
    <s v="PT. MIS / 2 / 600"/>
    <x v="2"/>
    <x v="1"/>
    <s v="6 Roda"/>
    <d v="2025-12-02T00:00:00"/>
    <n v="13360"/>
    <n v="3740"/>
    <n v="9620"/>
    <n v="9520"/>
    <d v="1899-12-30T01:53:00"/>
    <d v="1899-12-30T02:31:00"/>
    <s v="samsira"/>
    <m/>
    <n v="494"/>
    <m/>
    <s v="Pomala"/>
  </r>
  <r>
    <n v="1"/>
    <s v="000185"/>
    <s v="CPO000185MIS"/>
    <s v="DP 9846 GA"/>
    <s v="245/PJB/MIS-WINS/XI/2025"/>
    <s v="PT. MIS / 2 / 600"/>
    <x v="2"/>
    <x v="1"/>
    <s v="6 Roda"/>
    <d v="2025-12-02T00:00:00"/>
    <n v="13220"/>
    <n v="3630"/>
    <n v="9590"/>
    <n v="9560"/>
    <d v="1899-12-30T01:55:00"/>
    <d v="1899-12-30T02:38:00"/>
    <s v="samsira"/>
    <m/>
    <n v="494"/>
    <m/>
    <s v="Pomala"/>
  </r>
  <r>
    <n v="1"/>
    <s v="000186"/>
    <s v="CPO000186MIS"/>
    <s v="DP 8928 GM"/>
    <s v="245/PJB/MIS-WINS/XI/2025"/>
    <s v="PT. MIS / 2 / 600"/>
    <x v="2"/>
    <x v="1"/>
    <s v="6 Roda"/>
    <d v="2025-12-02T00:00:00"/>
    <n v="13930"/>
    <n v="3890"/>
    <n v="10040"/>
    <n v="10010"/>
    <d v="1899-12-30T09:22:00"/>
    <d v="1899-12-30T09:52:00"/>
    <s v="Datu"/>
    <m/>
    <n v="494"/>
    <m/>
    <s v="Pomala"/>
  </r>
  <r>
    <n v="1"/>
    <s v="000187"/>
    <s v="CPO000187MIS"/>
    <s v="DP 8798 GH"/>
    <s v="245/PJB/MIS-WINS/XI/2025"/>
    <s v="PT. MIS / 2 / 600"/>
    <x v="2"/>
    <x v="1"/>
    <s v="6 Roda"/>
    <d v="2025-12-02T00:00:00"/>
    <n v="13420"/>
    <n v="3980"/>
    <n v="9440"/>
    <n v="9420"/>
    <d v="1899-12-30T09:40:00"/>
    <d v="1899-12-30T10:06:00"/>
    <s v="Datu"/>
    <m/>
    <n v="494"/>
    <m/>
    <s v="Pomala"/>
  </r>
  <r>
    <n v="1"/>
    <s v="000188"/>
    <s v="CPO000188MIS"/>
    <s v="DP 8862 GG"/>
    <s v="245/PJB/MIS-WINS/XI/2025"/>
    <s v="PT. MIS / 2 / 600"/>
    <x v="2"/>
    <x v="1"/>
    <s v="6 Roda"/>
    <d v="2025-12-02T00:00:00"/>
    <n v="13470"/>
    <n v="3630"/>
    <n v="9840"/>
    <n v="9810"/>
    <d v="1899-12-30T17:20:00"/>
    <d v="1899-12-30T18:18:00"/>
    <s v="Datu"/>
    <m/>
    <n v="494"/>
    <m/>
    <s v="Pomala"/>
  </r>
  <r>
    <n v="1"/>
    <s v="000189"/>
    <s v="CPO000189MIS"/>
    <s v="DD 8671 YD"/>
    <s v="245/PJB/MIS-WINS/XI/2025"/>
    <s v="PT. MIS / 2 / 600"/>
    <x v="2"/>
    <x v="1"/>
    <s v="6 Roda"/>
    <d v="2025-12-02T00:00:00"/>
    <n v="14320"/>
    <n v="4630"/>
    <n v="9690"/>
    <n v="9680"/>
    <d v="1899-12-30T17:48:00"/>
    <d v="1899-12-30T18:39:00"/>
    <s v="Datu"/>
    <m/>
    <n v="494"/>
    <m/>
    <s v="Pomala"/>
  </r>
  <r>
    <n v="1"/>
    <s v="000190"/>
    <s v="CPO000190MIS"/>
    <s v="DN 8813 EB"/>
    <s v="245/PJB/MIS-WINS/XI/2025"/>
    <s v="PT. MIS / 2 / 600"/>
    <x v="2"/>
    <x v="1"/>
    <s v="6 Roda"/>
    <d v="2025-12-02T00:00:00"/>
    <n v="13800"/>
    <n v="4050"/>
    <n v="9750"/>
    <n v="9720"/>
    <d v="1899-12-30T17:49:00"/>
    <d v="1899-12-30T19:07:00"/>
    <s v="Datu"/>
    <m/>
    <n v="494"/>
    <m/>
    <s v="Pomala"/>
  </r>
  <r>
    <n v="1"/>
    <s v="000191"/>
    <s v="CPO000191MIS"/>
    <s v="DP 8662 GH "/>
    <s v="245/PJB/MIS-WINS/XI/2025"/>
    <s v="PT. MIS / 2 / 600"/>
    <x v="2"/>
    <x v="1"/>
    <s v="6 Roda"/>
    <d v="2025-12-03T00:00:00"/>
    <n v="13960"/>
    <n v="3880"/>
    <n v="10080"/>
    <n v="10070"/>
    <d v="1899-12-30T08:13:00"/>
    <d v="1899-12-30T08:57:00"/>
    <s v="Datu"/>
    <m/>
    <n v="494"/>
    <m/>
    <s v="Pomala"/>
  </r>
  <r>
    <n v="1"/>
    <s v="000192"/>
    <s v="CPO000192MIS"/>
    <s v="DD 8574 YE"/>
    <s v="245/PJB/MIS-WINS/XI/2025"/>
    <s v="PT. MIS / 2 / 600"/>
    <x v="2"/>
    <x v="1"/>
    <s v="6 Roda"/>
    <d v="2025-12-03T00:00:00"/>
    <n v="13580"/>
    <n v="3970"/>
    <n v="9610"/>
    <n v="9600"/>
    <d v="1899-12-30T08:19:00"/>
    <d v="1899-12-30T09:11:00"/>
    <s v="Datu"/>
    <m/>
    <n v="494"/>
    <m/>
    <s v="Pomala"/>
  </r>
  <r>
    <n v="1"/>
    <s v="000193"/>
    <s v="CPO000193MIS"/>
    <s v="DP 8935 UA"/>
    <s v="245/PJB/MIS-WINS/XI/2025"/>
    <s v="PT. MIS / 2 / 600"/>
    <x v="2"/>
    <x v="1"/>
    <s v="6 Roda"/>
    <d v="2025-12-03T00:00:00"/>
    <n v="13980"/>
    <n v="3980"/>
    <n v="10000"/>
    <n v="9990"/>
    <d v="1899-12-30T08:22:00"/>
    <d v="1899-12-30T09:42:00"/>
    <s v="Datu"/>
    <m/>
    <n v="494"/>
    <m/>
    <s v="Pomala"/>
  </r>
  <r>
    <n v="1"/>
    <s v="000194"/>
    <s v="CPO000194MIS"/>
    <s v="DP 8446 GC"/>
    <s v="245/PJB/MIS-WINS/XI/2025"/>
    <s v="PT. MIS / 2 / 600"/>
    <x v="2"/>
    <x v="1"/>
    <s v="6 Roda"/>
    <d v="2025-12-03T00:00:00"/>
    <n v="13490"/>
    <n v="3940"/>
    <n v="9550"/>
    <n v="9560"/>
    <d v="1899-12-30T08:25:00"/>
    <d v="1899-12-30T09:51:00"/>
    <s v="Datu"/>
    <m/>
    <n v="494"/>
    <m/>
    <s v="Pomala"/>
  </r>
  <r>
    <n v="1"/>
    <s v="000195"/>
    <s v="CPO000195MIS"/>
    <s v="DP 8762 GH"/>
    <s v="245/PJB/MIS-WINS/XI/2025"/>
    <s v="PT. MIS / 2 / 600"/>
    <x v="2"/>
    <x v="1"/>
    <s v="6 Roda"/>
    <d v="2025-12-03T00:00:00"/>
    <n v="13080"/>
    <n v="3750"/>
    <n v="9330"/>
    <n v="9330"/>
    <d v="1899-12-30T09:14:00"/>
    <d v="1899-12-30T10:32:00"/>
    <s v="Datu"/>
    <m/>
    <n v="494"/>
    <m/>
    <s v="Pomala"/>
  </r>
  <r>
    <n v="1"/>
    <s v="000196"/>
    <s v="CPO000196MIS"/>
    <s v="DP 9826 GA"/>
    <s v="245/PJB/MIS-WINS/XI/2025"/>
    <s v="PT. MIS / 2 / 600"/>
    <x v="2"/>
    <x v="1"/>
    <s v="6 Roda"/>
    <d v="2025-12-03T00:00:00"/>
    <n v="13870"/>
    <n v="4040"/>
    <n v="9830"/>
    <n v="9800"/>
    <d v="1899-12-30T09:46:00"/>
    <d v="1899-12-30T10:36:00"/>
    <s v="Datu"/>
    <m/>
    <n v="494"/>
    <m/>
    <s v="Pomala"/>
  </r>
  <r>
    <n v="1"/>
    <s v="000200"/>
    <s v="CPO000200MIS"/>
    <s v="DP 8951 GB"/>
    <s v="245/PJB/MIS-WINS/XI/2025"/>
    <s v="PT. MIS / 2 / 600"/>
    <x v="2"/>
    <x v="1"/>
    <s v="6 Roda"/>
    <d v="2025-12-03T00:00:00"/>
    <n v="13650"/>
    <n v="4090"/>
    <n v="9560"/>
    <n v="9550"/>
    <d v="1899-12-30T21:53:00"/>
    <d v="1899-12-30T22:39:00"/>
    <s v="samsira"/>
    <m/>
    <n v="494"/>
    <m/>
    <s v="Pomala"/>
  </r>
  <r>
    <n v="1"/>
    <s v="000201"/>
    <s v="CPO000201MIS"/>
    <s v="DP 8674 GC"/>
    <s v="245/PJB/MIS-WINS/XI/2025"/>
    <s v="PT. MIS / 2 / 600"/>
    <x v="2"/>
    <x v="1"/>
    <s v="6 Roda"/>
    <d v="2025-12-03T00:00:00"/>
    <n v="13780"/>
    <n v="3910"/>
    <n v="9870"/>
    <n v="9820"/>
    <d v="1899-12-30T21:55:00"/>
    <d v="1899-12-30T22:46:00"/>
    <s v="samsira"/>
    <m/>
    <n v="494"/>
    <m/>
    <s v="Pomala"/>
  </r>
  <r>
    <n v="1"/>
    <s v="000202"/>
    <s v="CPO000202MIS"/>
    <s v="DP 8036 GK"/>
    <s v="245/PJB/MIS-WINS/XI/2025"/>
    <s v="PT. MIS / 2 / 600"/>
    <x v="2"/>
    <x v="1"/>
    <s v="6 Roda"/>
    <d v="2025-12-03T00:00:00"/>
    <n v="13400"/>
    <n v="3990"/>
    <n v="9410"/>
    <n v="9350"/>
    <d v="1899-12-30T21:58:00"/>
    <d v="1899-12-30T23:18:00"/>
    <s v="samsira"/>
    <m/>
    <n v="494"/>
    <m/>
    <s v="Pomala"/>
  </r>
  <r>
    <n v="1"/>
    <s v="000197"/>
    <s v="CPO000197JAS"/>
    <s v="BH 8459 MY"/>
    <s v="003/CPO/JM-WINS/XI/2025"/>
    <s v="PT. JAS MULIA / 3 / 500"/>
    <x v="3"/>
    <x v="1"/>
    <s v="10 Roda"/>
    <d v="2025-12-03T00:00:00"/>
    <n v="26630"/>
    <n v="12180"/>
    <n v="14450"/>
    <n v="14400"/>
    <d v="1899-12-30T19:24:00"/>
    <d v="1899-12-30T20:18:00"/>
    <s v="samsira"/>
    <s v="ERWIN"/>
    <n v="68"/>
    <s v="WIL"/>
    <s v="Bone Bone"/>
  </r>
  <r>
    <n v="1"/>
    <s v="000198"/>
    <s v="CPO000198JAS"/>
    <s v="DD 9236 XX"/>
    <s v="003/CPO/JM-WINS/XI/2025"/>
    <s v="PT. JAS MULIA / 3 / 500"/>
    <x v="3"/>
    <x v="1"/>
    <s v="12 Roda"/>
    <d v="2025-12-03T00:00:00"/>
    <n v="45720"/>
    <n v="17590"/>
    <n v="28130"/>
    <n v="28090"/>
    <d v="1899-12-30T19:51:00"/>
    <d v="1899-12-30T21:01:00"/>
    <s v="samsira"/>
    <s v="IBRAHIM"/>
    <n v="68"/>
    <s v="WIL"/>
    <s v="Bone Bone"/>
  </r>
  <r>
    <n v="1"/>
    <s v="000199"/>
    <s v="CPO000199JAS"/>
    <s v="DD 8711 XX"/>
    <s v="003/CPO/JM-WINS/XI/2025"/>
    <s v="PT. JAS MULIA / 3 / 500"/>
    <x v="3"/>
    <x v="1"/>
    <s v="10 Roda"/>
    <d v="2025-12-03T00:00:00"/>
    <n v="25040"/>
    <n v="10830"/>
    <n v="14210"/>
    <n v="14170"/>
    <d v="1899-12-30T20:50:00"/>
    <d v="1899-12-30T22:00:00"/>
    <s v="samsira"/>
    <s v="RONI RAKAN"/>
    <n v="68"/>
    <s v="WIL"/>
    <s v="Bone Bone"/>
  </r>
  <r>
    <n v="1"/>
    <s v="000203"/>
    <s v="CPO000203JAS"/>
    <s v="B 1918 SXX"/>
    <s v="003/CPO/JM-WINS/XI/2025"/>
    <s v="PT. JAS MULIA / 3 / 500"/>
    <x v="3"/>
    <x v="1"/>
    <s v="10 Roda"/>
    <d v="2025-12-03T00:00:00"/>
    <n v="26640"/>
    <n v="11810"/>
    <n v="14830"/>
    <n v="14760"/>
    <d v="1899-12-30T22:03:00"/>
    <d v="1899-12-30T23:15:00"/>
    <s v="samsira"/>
    <s v="WALDI"/>
    <n v="68"/>
    <s v="WIL"/>
    <s v="Bone Bone"/>
  </r>
  <r>
    <n v="1"/>
    <s v="000204"/>
    <s v="CPO000204JAS"/>
    <s v="BM 8315 QO"/>
    <s v="003/CPO/JM-WINS/XI/2025"/>
    <s v="PT. JAS MULIA / 3 / 500"/>
    <x v="3"/>
    <x v="1"/>
    <s v="12 Roda"/>
    <d v="2025-12-03T00:00:00"/>
    <n v="45810"/>
    <n v="17640"/>
    <n v="28170"/>
    <n v="28140"/>
    <d v="1899-12-30T22:05:00"/>
    <d v="1899-12-30T23:42:00"/>
    <s v="samsira"/>
    <s v="IQBAL"/>
    <n v="68"/>
    <s v="WIL"/>
    <s v="Bone Bone"/>
  </r>
  <r>
    <n v="1"/>
    <s v="000205"/>
    <s v="CPO000205MIS"/>
    <s v="DP 8994 GH"/>
    <s v="245/PJB/MIS-WINS/XI/2025"/>
    <s v="PT. MIS / 2 / 600"/>
    <x v="2"/>
    <x v="1"/>
    <s v="6 Roda"/>
    <d v="2025-12-04T00:00:00"/>
    <n v="13550"/>
    <n v="3970"/>
    <n v="9580"/>
    <n v="9600"/>
    <d v="1899-12-30T08:08:00"/>
    <d v="1899-12-30T09:12:00"/>
    <s v="Datu"/>
    <m/>
    <n v="494"/>
    <m/>
    <s v="Pomala"/>
  </r>
  <r>
    <n v="1"/>
    <s v="000206"/>
    <s v="CPO000206MIS"/>
    <s v="DP 8004 GJ"/>
    <s v="245/PJB/MIS-WINS/XI/2025"/>
    <s v="PT. MIS / 2 / 600"/>
    <x v="2"/>
    <x v="1"/>
    <s v="6 Roda"/>
    <d v="2025-12-04T00:00:00"/>
    <n v="13470"/>
    <n v="4130"/>
    <n v="9340"/>
    <n v="9360"/>
    <d v="1899-12-30T08:10:00"/>
    <d v="1899-12-30T09:49:00"/>
    <s v="Datu"/>
    <m/>
    <n v="494"/>
    <m/>
    <s v="Pomala"/>
  </r>
  <r>
    <n v="1"/>
    <s v="000207"/>
    <s v="CPO000207MIS"/>
    <s v="DP 9859 GA"/>
    <s v="245/PJB/MIS-WINS/XI/2025"/>
    <s v="PT. MIS / 2 / 600"/>
    <x v="2"/>
    <x v="1"/>
    <s v="6 Roda"/>
    <d v="2025-12-04T00:00:00"/>
    <n v="14190"/>
    <n v="4250"/>
    <n v="9940"/>
    <n v="9960"/>
    <d v="1899-12-30T08:14:00"/>
    <d v="1899-12-30T09:01:00"/>
    <s v="Datu"/>
    <m/>
    <n v="494"/>
    <m/>
    <s v="Pomala"/>
  </r>
  <r>
    <n v="1"/>
    <s v="000213"/>
    <s v="CPO000213MIS"/>
    <s v="DP 8798 GH"/>
    <s v="245/PJB/MIS-WINS/XI/2025"/>
    <s v="PT. MIS / 2 / 600"/>
    <x v="2"/>
    <x v="1"/>
    <s v="6 Roda"/>
    <d v="2025-12-04T00:00:00"/>
    <n v="13490"/>
    <n v="4050"/>
    <n v="9440"/>
    <n v="9420"/>
    <d v="1899-12-30T18:34:00"/>
    <d v="1899-12-30T19:15:00"/>
    <s v="samsira"/>
    <m/>
    <n v="494"/>
    <m/>
    <s v="Pomala"/>
  </r>
  <r>
    <n v="1"/>
    <s v="000219"/>
    <s v="CPO000219MIS"/>
    <s v="DP 8821 GL"/>
    <s v="245/PJB/MIS-WINS/XI/2025"/>
    <s v="PT. MIS / 2 / 600"/>
    <x v="2"/>
    <x v="1"/>
    <s v="6 Roda"/>
    <d v="2025-12-04T00:00:00"/>
    <n v="13290"/>
    <n v="3720"/>
    <n v="9570"/>
    <n v="9540"/>
    <d v="1899-12-30T23:16:00"/>
    <d v="1899-12-30T23:55:00"/>
    <s v="samsira"/>
    <m/>
    <n v="494"/>
    <m/>
    <s v="Pomala"/>
  </r>
  <r>
    <n v="1"/>
    <s v="000220"/>
    <s v="CPO000220MIS"/>
    <s v="DP 9846 GA"/>
    <s v="245/PJB/MIS-WINS/XI/2025"/>
    <s v="PT. MIS / 2 / 600"/>
    <x v="2"/>
    <x v="1"/>
    <s v="6 Roda"/>
    <d v="2025-12-04T00:00:00"/>
    <n v="13260"/>
    <n v="3620"/>
    <n v="9640"/>
    <n v="9590"/>
    <d v="1899-12-30T23:18:00"/>
    <d v="1899-12-30T23:59:00"/>
    <s v="samsira"/>
    <m/>
    <n v="494"/>
    <m/>
    <s v="Pomala"/>
  </r>
  <r>
    <n v="1"/>
    <s v="000208"/>
    <s v="CPO000208JAS"/>
    <s v="DD 9236 XX"/>
    <s v="003/CPO/JM-WINS/XI/2025"/>
    <s v="PT. JAS MULIA / 3 / 500"/>
    <x v="3"/>
    <x v="1"/>
    <s v="12 Roda"/>
    <d v="2025-12-04T00:00:00"/>
    <n v="45790"/>
    <n v="17560"/>
    <n v="28230"/>
    <n v="28200"/>
    <d v="1899-12-30T11:52:00"/>
    <d v="1899-12-30T14:30:00"/>
    <s v="Datu"/>
    <s v="IBRAHIM"/>
    <n v="68"/>
    <s v="WIL"/>
    <s v="Bone Bone"/>
  </r>
  <r>
    <n v="1"/>
    <s v="000209"/>
    <s v="CPO000209JAS"/>
    <s v="B 1918 SXX"/>
    <s v="003/CPO/JM-WINS/XI/2025"/>
    <s v="PT. JAS MULIA / 3 / 500"/>
    <x v="3"/>
    <x v="1"/>
    <s v="10 Roda"/>
    <d v="2025-12-04T00:00:00"/>
    <n v="26570"/>
    <n v="11750"/>
    <n v="14820"/>
    <n v="14770"/>
    <d v="1899-12-30T13:17:00"/>
    <d v="1899-12-30T14:41:00"/>
    <s v="Datu"/>
    <s v="WALDI"/>
    <n v="68"/>
    <s v="WIL"/>
    <s v="Bone Bone"/>
  </r>
  <r>
    <n v="1"/>
    <s v="000210"/>
    <s v="CPO000210JAS"/>
    <s v="DD 8711 XX"/>
    <s v="003/CPO/JM-WINS/XI/2025"/>
    <s v="PT. JAS MULIA / 3 / 500"/>
    <x v="3"/>
    <x v="1"/>
    <s v="10 Roda"/>
    <d v="2025-12-04T00:00:00"/>
    <n v="25110"/>
    <n v="10890"/>
    <n v="14220"/>
    <n v="14140"/>
    <d v="1899-12-30T13:19:00"/>
    <d v="1899-12-30T14:39:00"/>
    <s v="Datu"/>
    <s v="RONI RAKAN"/>
    <n v="68"/>
    <s v="WIL"/>
    <s v="Bone Bone"/>
  </r>
  <r>
    <n v="1"/>
    <s v="000211"/>
    <s v="CPO000211JAS"/>
    <s v="BH 8459 MY"/>
    <s v="003/CPO/JM-WINS/XI/2025"/>
    <s v="PT. JAS MULIA / 3 / 500"/>
    <x v="3"/>
    <x v="1"/>
    <s v="10 Roda"/>
    <d v="2025-12-04T00:00:00"/>
    <n v="26710"/>
    <n v="12240"/>
    <n v="14470"/>
    <n v="14400"/>
    <d v="1899-12-30T13:21:00"/>
    <d v="1899-12-30T15:27:00"/>
    <s v="Datu"/>
    <s v="ERWIN"/>
    <n v="68"/>
    <s v="WIL"/>
    <s v="Bone Bone"/>
  </r>
  <r>
    <n v="1"/>
    <s v="000212"/>
    <s v="CPO000212JAS"/>
    <s v="BM 8315 QO"/>
    <s v="003/CPO/JM-WINS/XI/2025"/>
    <s v="PT. JAS MULIA / 3 / 500"/>
    <x v="3"/>
    <x v="1"/>
    <s v="12 Roda"/>
    <d v="2025-12-04T00:00:00"/>
    <n v="45790"/>
    <n v="17560"/>
    <n v="28230"/>
    <n v="28140"/>
    <d v="1899-12-30T13:23:00"/>
    <d v="1899-12-30T14:37:00"/>
    <s v="Datu"/>
    <s v="IQBAL"/>
    <n v="68"/>
    <s v="WIL"/>
    <s v="Bone Bone"/>
  </r>
  <r>
    <n v="1"/>
    <s v="000214"/>
    <s v="CPO000214JAS"/>
    <s v="B 1918 SXX"/>
    <s v="003/CPO/JM-WINS/XI/2025"/>
    <s v="PT. JAS MULIA / 3 / 500"/>
    <x v="3"/>
    <x v="1"/>
    <s v="10 Roda"/>
    <d v="2025-12-04T00:00:00"/>
    <n v="26540"/>
    <n v="11700"/>
    <n v="14840"/>
    <n v="14780"/>
    <d v="1899-12-30T18:49:00"/>
    <d v="1899-12-30T19:31:00"/>
    <s v="samsira"/>
    <s v="WALDI"/>
    <n v="68"/>
    <s v="WIL"/>
    <s v="Bone Bone"/>
  </r>
  <r>
    <n v="1"/>
    <s v="000215"/>
    <s v="CPO000215JAS"/>
    <s v="DD 8711 XX"/>
    <s v="003/CPO/JM-WINS/XI/2025"/>
    <s v="PT. JAS MULIA / 3 / 500"/>
    <x v="3"/>
    <x v="1"/>
    <s v="10 Roda"/>
    <d v="2025-12-04T00:00:00"/>
    <n v="25090"/>
    <n v="10850"/>
    <n v="14240"/>
    <n v="14210"/>
    <d v="1899-12-30T19:11:00"/>
    <d v="1899-12-30T20:27:00"/>
    <s v="samsira"/>
    <s v="RONI RAKAN"/>
    <n v="68"/>
    <s v="WIL"/>
    <s v="Bone Bone"/>
  </r>
  <r>
    <n v="1"/>
    <s v="000216"/>
    <s v="CPO000216JAS"/>
    <s v="DD 9236 XX"/>
    <s v="003/CPO/JM-WINS/XI/2025"/>
    <s v="PT. JAS MULIA / 3 / 500"/>
    <x v="3"/>
    <x v="1"/>
    <s v="12 Roda"/>
    <d v="2025-12-04T00:00:00"/>
    <n v="45990"/>
    <n v="17750"/>
    <n v="28240"/>
    <n v="28120"/>
    <d v="1899-12-30T20:02:00"/>
    <d v="1899-12-30T20:58:00"/>
    <s v="samsira"/>
    <s v="IBRAHIM"/>
    <n v="68"/>
    <s v="WIL"/>
    <s v="Bone Bone"/>
  </r>
  <r>
    <n v="1"/>
    <s v="000217"/>
    <s v="CPO000217JAS"/>
    <s v="BM 8315 QO"/>
    <s v="003/CPO/JM-WINS/XI/2025"/>
    <s v="PT. JAS MULIA / 3 / 500"/>
    <x v="3"/>
    <x v="1"/>
    <s v="12 Roda"/>
    <d v="2025-12-04T00:00:00"/>
    <n v="45750"/>
    <n v="17520"/>
    <n v="28230"/>
    <n v="28170"/>
    <d v="1899-12-30T20:24:00"/>
    <d v="1899-12-30T21:19:00"/>
    <s v="samsira"/>
    <s v="IQBAL"/>
    <n v="68"/>
    <s v="WIL"/>
    <s v="Bone Bone"/>
  </r>
  <r>
    <n v="1"/>
    <s v="000218"/>
    <s v="CPO000218JAS"/>
    <s v="BH 8459 MY"/>
    <s v="003/CPO/JM-WINS/XI/2025"/>
    <s v="PT. JAS MULIA / 3 / 500"/>
    <x v="3"/>
    <x v="1"/>
    <s v="10 Roda"/>
    <d v="2025-12-04T00:00:00"/>
    <n v="26660"/>
    <n v="12200"/>
    <n v="14460"/>
    <n v="14420"/>
    <d v="1899-12-30T20:31:00"/>
    <d v="1899-12-30T21:27:00"/>
    <s v="samsira"/>
    <s v="ERWIN"/>
    <n v="68"/>
    <s v="WIL"/>
    <s v="Bone Bone"/>
  </r>
  <r>
    <n v="1"/>
    <s v="000221"/>
    <s v="CPO000221MIS"/>
    <s v="DP 8862 GG"/>
    <s v="245/PJB/MIS-WINS/XI/2025"/>
    <s v="PT. MIS / 2 / 600"/>
    <x v="2"/>
    <x v="1"/>
    <s v="6 Roda"/>
    <d v="2025-12-05T00:00:00"/>
    <n v="13440"/>
    <n v="3600"/>
    <n v="9840"/>
    <n v="9800"/>
    <d v="1899-12-30T23:20:00"/>
    <d v="1899-12-30T00:33:00"/>
    <s v="samsira"/>
    <m/>
    <n v="494"/>
    <m/>
    <s v="Pomala"/>
  </r>
  <r>
    <n v="1"/>
    <s v="000222"/>
    <s v="CPO000222MIS"/>
    <s v="DP 8928 GM"/>
    <s v="245/PJB/MIS-WINS/XI/2025"/>
    <s v="PT. MIS / 2 / 600"/>
    <x v="2"/>
    <x v="1"/>
    <s v="6 Roda"/>
    <d v="2025-12-05T00:00:00"/>
    <n v="13880"/>
    <n v="3790"/>
    <n v="10090"/>
    <n v="10050"/>
    <d v="1899-12-30T23:38:00"/>
    <d v="1899-12-30T00:35:00"/>
    <s v="samsira"/>
    <m/>
    <n v="494"/>
    <m/>
    <s v="Pomala"/>
  </r>
  <r>
    <n v="1"/>
    <s v="000230"/>
    <s v="CPO000230MIS"/>
    <s v="DP 8662 GH"/>
    <s v="245/PJB/MIS-WINS/XI/2025"/>
    <s v="PT. MIS / 2 / 600"/>
    <x v="2"/>
    <x v="1"/>
    <s v="6 Roda"/>
    <d v="2025-12-05T00:00:00"/>
    <n v="13940"/>
    <n v="3910"/>
    <n v="10030"/>
    <n v="10050"/>
    <d v="1899-12-30T21:39:00"/>
    <d v="1899-12-30T22:45:00"/>
    <s v="samsira"/>
    <m/>
    <n v="494"/>
    <m/>
    <s v="Pomala"/>
  </r>
  <r>
    <n v="1"/>
    <s v="000231"/>
    <s v="CPO000231MIS"/>
    <s v="DP 8446 GC"/>
    <s v="245/PJB/MIS-WINS/XI/2025"/>
    <s v="PT. MIS / 2 / 600"/>
    <x v="2"/>
    <x v="1"/>
    <s v="6 Roda"/>
    <d v="2025-12-05T00:00:00"/>
    <n v="13520"/>
    <n v="3940"/>
    <n v="9580"/>
    <n v="9500"/>
    <d v="1899-12-30T21:40:00"/>
    <d v="1899-12-30T22:52:00"/>
    <s v="samsira"/>
    <m/>
    <n v="494"/>
    <m/>
    <s v="Pomala"/>
  </r>
  <r>
    <n v="1"/>
    <s v="000232"/>
    <s v="CPO000232MIS"/>
    <s v="DD 8671 YD"/>
    <s v="245/PJB/MIS-WINS/XI/2025"/>
    <s v="PT. MIS / 2 / 600"/>
    <x v="2"/>
    <x v="1"/>
    <s v="6 Roda"/>
    <d v="2025-12-05T00:00:00"/>
    <n v="14340"/>
    <n v="4620"/>
    <n v="9720"/>
    <n v="9680"/>
    <d v="1899-12-30T21:42:00"/>
    <d v="1899-12-30T23:16:00"/>
    <s v="samsira"/>
    <m/>
    <n v="494"/>
    <m/>
    <s v="Pomala"/>
  </r>
  <r>
    <n v="1"/>
    <s v="000233"/>
    <s v="CPO000233MIS"/>
    <s v="DP 8951 GB"/>
    <s v="245/PJB/MIS-WINS/XI/2025"/>
    <s v="PT. MIS / 2 / 600"/>
    <x v="2"/>
    <x v="1"/>
    <s v="6 Roda"/>
    <d v="2025-12-05T00:00:00"/>
    <n v="13710"/>
    <n v="4130"/>
    <n v="9580"/>
    <n v="9550"/>
    <d v="1899-12-30T22:05:00"/>
    <d v="1899-12-30T23:21:00"/>
    <s v="samsira"/>
    <m/>
    <n v="494"/>
    <m/>
    <s v="Pomala"/>
  </r>
  <r>
    <n v="1"/>
    <s v="000234"/>
    <s v="CPO000234MIS"/>
    <s v="DP 9826 GA"/>
    <s v="245/PJB/MIS-WINS/XI/2025"/>
    <s v="PT. MIS / 2 / 600"/>
    <x v="2"/>
    <x v="1"/>
    <s v="6 Roda"/>
    <d v="2025-12-05T00:00:00"/>
    <n v="13910"/>
    <n v="4030"/>
    <n v="9880"/>
    <n v="9850"/>
    <d v="1899-12-30T22:09:00"/>
    <d v="1899-12-30T23:43:00"/>
    <s v="samsira"/>
    <m/>
    <n v="494"/>
    <m/>
    <s v="Pomala"/>
  </r>
  <r>
    <n v="1"/>
    <s v="000223"/>
    <s v="CPO000223JAS"/>
    <s v="DD 9236 XX"/>
    <s v="003/CPO/JM-WINS/XI/2025"/>
    <s v="PT. JAS MULIA / 3 / 500"/>
    <x v="3"/>
    <x v="1"/>
    <s v="12 Roda"/>
    <d v="2025-12-05T00:00:00"/>
    <n v="45960"/>
    <n v="17710"/>
    <n v="28250"/>
    <n v="28190"/>
    <d v="1899-12-30T14:14:00"/>
    <d v="1899-12-30T15:24:00"/>
    <s v="Datu"/>
    <s v="IBRAHIM"/>
    <n v="68"/>
    <s v="WIL"/>
    <s v="Bone Bone"/>
  </r>
  <r>
    <n v="1"/>
    <s v="000224"/>
    <s v="CPO000224JAS"/>
    <s v="DD 8711 XX"/>
    <s v="003/CPO/JM-WINS/XI/2025"/>
    <s v="PT. JAS MULIA / 3 / 500"/>
    <x v="3"/>
    <x v="1"/>
    <s v="10 Roda"/>
    <d v="2025-12-05T00:00:00"/>
    <n v="25030"/>
    <n v="10780"/>
    <n v="14250"/>
    <n v="14190"/>
    <d v="1899-12-30T14:16:00"/>
    <d v="1899-12-30T15:26:00"/>
    <s v="Datu"/>
    <s v="RONI RAKAN"/>
    <n v="68"/>
    <s v="WIL"/>
    <s v="Bone Bone"/>
  </r>
  <r>
    <n v="1"/>
    <s v="000225"/>
    <s v="CPO000225JAS"/>
    <s v="BH 8459 MY"/>
    <s v="003/CPO/JM-WINS/XI/2025"/>
    <s v="PT. JAS MULIA / 3 / 500"/>
    <x v="3"/>
    <x v="1"/>
    <s v="10 Roda"/>
    <d v="2025-12-05T00:00:00"/>
    <n v="26610"/>
    <n v="12150"/>
    <n v="14460"/>
    <n v="14410"/>
    <d v="1899-12-30T14:18:00"/>
    <d v="1899-12-30T16:12:00"/>
    <s v="Datu"/>
    <s v="ERWIN"/>
    <n v="68"/>
    <s v="WIL"/>
    <s v="Bone Bone"/>
  </r>
  <r>
    <n v="1"/>
    <s v="000226"/>
    <s v="CPO000226JAS"/>
    <s v="BM 8315 QO"/>
    <s v="003/CPO/JM-WINS/XI/2025"/>
    <s v="PT. JAS MULIA / 3 / 500"/>
    <x v="3"/>
    <x v="1"/>
    <s v="12 Roda"/>
    <d v="2025-12-05T00:00:00"/>
    <n v="45640"/>
    <n v="17450"/>
    <n v="28190"/>
    <n v="28080"/>
    <d v="1899-12-30T14:19:00"/>
    <d v="1899-12-30T15:28:00"/>
    <s v="Datu"/>
    <s v="IQBAL"/>
    <n v="68"/>
    <s v="WIL"/>
    <s v="Bone Bone"/>
  </r>
  <r>
    <n v="1"/>
    <s v="000227"/>
    <s v="CPO000227JAS"/>
    <s v="B 1918 SXX"/>
    <s v="003/CPO/JM-WINS/XI/2025"/>
    <s v="PT. JAS MULIA / 3 / 500"/>
    <x v="3"/>
    <x v="1"/>
    <s v="10 Roda"/>
    <d v="2025-12-05T00:00:00"/>
    <n v="26580"/>
    <n v="11760"/>
    <n v="14820"/>
    <n v="14730"/>
    <d v="1899-12-30T15:03:00"/>
    <d v="1899-12-30T16:17:00"/>
    <s v="Datu"/>
    <s v="WALDI"/>
    <n v="68"/>
    <s v="WIL"/>
    <s v="Bone Bone"/>
  </r>
  <r>
    <n v="1"/>
    <s v="000228"/>
    <s v="CPO000228JAS"/>
    <s v="DD 9236 XX"/>
    <s v="003/CPO/JM-WINS/XI/2025"/>
    <s v="PT. JAS MULIA / 3 / 500"/>
    <x v="3"/>
    <x v="1"/>
    <s v="12 Roda"/>
    <d v="2025-12-05T00:00:00"/>
    <n v="45800"/>
    <n v="17650"/>
    <n v="28150"/>
    <n v="28030"/>
    <d v="1899-12-30T21:06:00"/>
    <d v="1899-12-30T22:01:00"/>
    <s v="samsira"/>
    <s v="IBRAHIM"/>
    <n v="68"/>
    <s v="WIL"/>
    <s v="Bone Bone"/>
  </r>
  <r>
    <n v="1"/>
    <s v="000229"/>
    <s v="CPO000229JAS"/>
    <s v="DD 8711 XX"/>
    <s v="003/CPO/JM-WINS/XI/2025"/>
    <s v="PT. JAS MULIA / 3 / 500"/>
    <x v="3"/>
    <x v="1"/>
    <s v="10 Roda"/>
    <d v="2025-12-05T00:00:00"/>
    <n v="25110"/>
    <n v="10870"/>
    <n v="14240"/>
    <n v="14190"/>
    <d v="1899-12-30T21:28:00"/>
    <d v="1899-12-30T22:30:00"/>
    <s v="samsira"/>
    <s v="RONI RAKAN"/>
    <n v="68"/>
    <s v="WIL"/>
    <s v="Bone Bone"/>
  </r>
  <r>
    <n v="1"/>
    <s v="000236"/>
    <s v="CPO000236JAS"/>
    <s v="B 1918 SXX"/>
    <s v="003/CPO/JM-WINS/XI/2025"/>
    <s v="PT. JAS MULIA / 3 / 500"/>
    <x v="3"/>
    <x v="1"/>
    <s v="10 Roda"/>
    <d v="2025-12-05T00:00:00"/>
    <n v="26550"/>
    <n v="11730"/>
    <n v="14820"/>
    <n v="14760"/>
    <d v="1899-12-30T22:19:00"/>
    <d v="1899-12-30T23:14:00"/>
    <s v="samsira"/>
    <s v="WALDI"/>
    <n v="68"/>
    <s v="WIL"/>
    <s v="Bone Bone"/>
  </r>
  <r>
    <n v="1"/>
    <s v="000245"/>
    <s v="CPO000245PN"/>
    <s v="DD 8711 XX"/>
    <s v="249/KPBN/TRD/CPO-L/WINS/XI/2025"/>
    <s v="PT. PN / 4 / 500"/>
    <x v="4"/>
    <x v="1"/>
    <s v="10 Roda"/>
    <d v="2025-12-06T00:00:00"/>
    <n v="25080"/>
    <n v="10840"/>
    <n v="14240"/>
    <n v="14230"/>
    <d v="1899-12-30T18:42:00"/>
    <d v="1899-12-30T20:39:00"/>
    <s v="samsira"/>
    <s v="RONI RAKAN"/>
    <n v="99"/>
    <m/>
    <s v="Burau"/>
  </r>
  <r>
    <n v="1"/>
    <s v="000246"/>
    <s v="CPO000246PN"/>
    <s v="B 1918 SXX"/>
    <s v="249/KPBN/TRD/CPO-L/WINS/XI/2025"/>
    <s v="PT. PN / 4 / 500"/>
    <x v="4"/>
    <x v="1"/>
    <s v="10 Roda"/>
    <d v="2025-12-06T00:00:00"/>
    <n v="26610"/>
    <n v="11800"/>
    <n v="14810"/>
    <n v="14800"/>
    <d v="1899-12-30T18:44:00"/>
    <d v="1899-12-30T20:32:00"/>
    <s v="samsira"/>
    <s v="WALDI"/>
    <n v="99"/>
    <m/>
    <s v="Burau"/>
  </r>
  <r>
    <n v="1"/>
    <s v="000235"/>
    <s v="CPO000235MIS"/>
    <s v="DP 8036 GK"/>
    <s v="245/PJB/MIS-WINS/XI/2025"/>
    <s v="PT. MIS / 2 / 600"/>
    <x v="2"/>
    <x v="1"/>
    <s v="6 Roda"/>
    <d v="2025-12-06T00:00:00"/>
    <n v="13440"/>
    <n v="3990"/>
    <n v="9450"/>
    <n v="9410"/>
    <d v="1899-12-30T22:11:00"/>
    <d v="1899-12-30T00:18:00"/>
    <s v="samsira"/>
    <m/>
    <n v="494"/>
    <m/>
    <s v="Pomala"/>
  </r>
  <r>
    <n v="1"/>
    <s v="000238"/>
    <s v="CPO000238MIS"/>
    <s v="DD 8574 YE"/>
    <s v="245/PJB/MIS-WINS/XI/2025"/>
    <s v="PT. MIS / 2 / 600"/>
    <x v="2"/>
    <x v="1"/>
    <s v="6 Roda"/>
    <d v="2025-12-06T00:00:00"/>
    <n v="13540"/>
    <n v="3960"/>
    <n v="9580"/>
    <n v="9550"/>
    <d v="1899-12-30T22:34:00"/>
    <d v="1899-12-30T00:56:00"/>
    <s v="samsira"/>
    <m/>
    <n v="494"/>
    <m/>
    <s v="Pomala"/>
  </r>
  <r>
    <n v="1"/>
    <s v="000239"/>
    <s v="CPO000239MIS"/>
    <s v="DP 8762 GH"/>
    <s v="245/PJB/MIS-WINS/XI/2025"/>
    <s v="PT. MIS / 2 / 600"/>
    <x v="2"/>
    <x v="1"/>
    <s v="6 Roda"/>
    <d v="2025-12-06T00:00:00"/>
    <n v="13090"/>
    <n v="3770"/>
    <n v="9320"/>
    <n v="9320"/>
    <d v="1899-12-30T22:42:00"/>
    <d v="1899-12-30T01:01:00"/>
    <s v="samsira"/>
    <m/>
    <n v="494"/>
    <m/>
    <s v="Pomala"/>
  </r>
  <r>
    <n v="1"/>
    <s v="000240"/>
    <s v="CPO000240MIS"/>
    <s v="DP 8935 UA"/>
    <s v="245/PJB/MIS-WINS/XI/2025"/>
    <s v="PT. MIS / 2 / 600"/>
    <x v="2"/>
    <x v="1"/>
    <s v="6 Roda"/>
    <d v="2025-12-06T00:00:00"/>
    <n v="13970"/>
    <n v="4050"/>
    <n v="9920"/>
    <n v="10000"/>
    <d v="1899-12-30T22:43:00"/>
    <d v="1899-12-30T01:23:00"/>
    <s v="samsira"/>
    <m/>
    <n v="494"/>
    <m/>
    <s v="Pomala"/>
  </r>
  <r>
    <n v="1"/>
    <s v="000242"/>
    <s v="CPO000242MIS"/>
    <s v="DP 9859 GA"/>
    <s v="245/PJB/MIS-WINS/XI/2025"/>
    <s v="PT. MIS / 2 / 600"/>
    <x v="2"/>
    <x v="1"/>
    <s v="6 Roda"/>
    <d v="2025-12-06T00:00:00"/>
    <n v="14260"/>
    <n v="4190"/>
    <n v="10070"/>
    <n v="10060"/>
    <d v="1899-12-30T17:02:00"/>
    <d v="1899-12-30T17:59:00"/>
    <s v="samsira"/>
    <m/>
    <n v="494"/>
    <m/>
    <s v="Pomala"/>
  </r>
  <r>
    <n v="1"/>
    <s v="000243"/>
    <s v="CPO000243MIS"/>
    <s v="DP 8004 GJ"/>
    <s v="245/PJB/MIS-WINS/XI/2025"/>
    <s v="PT. MIS / 2 / 600"/>
    <x v="2"/>
    <x v="1"/>
    <s v="6 Roda"/>
    <d v="2025-12-06T00:00:00"/>
    <n v="13510"/>
    <n v="4070"/>
    <n v="9440"/>
    <n v="9440"/>
    <d v="1899-12-30T17:04:00"/>
    <d v="1899-12-30T18:05:00"/>
    <s v="samsira"/>
    <m/>
    <n v="494"/>
    <m/>
    <s v="Pomala"/>
  </r>
  <r>
    <n v="1"/>
    <s v="000244"/>
    <s v="CPO000244MIS"/>
    <s v="DN 8492 CU"/>
    <s v="245/PJB/MIS-WINS/XI/2025"/>
    <s v="PT. MIS / 2 / 600"/>
    <x v="2"/>
    <x v="1"/>
    <s v="6 Roda"/>
    <d v="2025-12-06T00:00:00"/>
    <n v="13600"/>
    <n v="3970"/>
    <n v="9630"/>
    <n v="9620"/>
    <d v="1899-12-30T17:12:00"/>
    <d v="1899-12-30T18:27:00"/>
    <s v="samsira"/>
    <m/>
    <n v="494"/>
    <m/>
    <s v="Pomala"/>
  </r>
  <r>
    <n v="1"/>
    <s v="000237"/>
    <s v="CPO000237JAS"/>
    <s v="BM 8315 QO"/>
    <s v="003/CPO/JM-WINS/XI/2025"/>
    <s v="PT. JAS MULIA / 3 / 500"/>
    <x v="3"/>
    <x v="1"/>
    <s v="12 Roda"/>
    <d v="2025-12-06T00:00:00"/>
    <n v="45860"/>
    <n v="17680"/>
    <n v="28180"/>
    <n v="28090"/>
    <d v="1899-12-30T22:28:00"/>
    <d v="1899-12-30T00:12:00"/>
    <s v="samsira"/>
    <s v="IQBAL"/>
    <n v="68"/>
    <s v="WIL"/>
    <s v="Bone Bone"/>
  </r>
  <r>
    <n v="1"/>
    <s v="000241"/>
    <s v="CPO000241JAS"/>
    <s v="BH 8459 MY"/>
    <s v="003/CPO/JM-WINS/XI/2025"/>
    <s v="PT. JAS MULIA / 3 / 500"/>
    <x v="3"/>
    <x v="1"/>
    <s v="10 Roda"/>
    <d v="2025-12-06T00:00:00"/>
    <n v="26690"/>
    <n v="12260"/>
    <n v="14430"/>
    <n v="14400"/>
    <d v="1899-12-30T23:20:00"/>
    <d v="1899-12-30T00:10:00"/>
    <s v="samsira"/>
    <s v="ERWIN"/>
    <n v="68"/>
    <s v="WIL"/>
    <s v="Bone Bone"/>
  </r>
  <r>
    <n v="1"/>
    <s v="000247"/>
    <s v="CPO000247JAS"/>
    <s v="DD 9236 XX"/>
    <s v="004/CPO/JM-WINS/XII/2025"/>
    <s v="PT. JAS MULIA / 4 / 500"/>
    <x v="3"/>
    <x v="1"/>
    <s v="12 Roda"/>
    <d v="2025-12-06T00:00:00"/>
    <n v="45760"/>
    <n v="17620"/>
    <n v="28140"/>
    <n v="28120"/>
    <d v="1899-12-30T19:45:00"/>
    <d v="1899-12-30T21:11:00"/>
    <s v="samsira"/>
    <s v="IBRAHIM"/>
    <n v="68"/>
    <s v="WIL"/>
    <s v="Bone Bone"/>
  </r>
  <r>
    <n v="1"/>
    <s v="000248"/>
    <s v="CPO000248JAS"/>
    <s v="BH 8459 MY"/>
    <s v="004/CPO/JM-WINS/XII/2025"/>
    <s v="PT. JAS MULIA / 4 / 500"/>
    <x v="3"/>
    <x v="1"/>
    <s v="10 Roda"/>
    <d v="2025-12-06T00:00:00"/>
    <n v="26630"/>
    <n v="12190"/>
    <n v="14440"/>
    <n v="14400"/>
    <d v="1899-12-30T20:24:00"/>
    <d v="1899-12-30T21:31:00"/>
    <s v="samsira"/>
    <s v="ERWIN"/>
    <n v="68"/>
    <s v="WIL"/>
    <s v="Bone Bone"/>
  </r>
  <r>
    <n v="1"/>
    <s v="000249"/>
    <s v="CPO000249JAS"/>
    <s v="BM 8315 QO"/>
    <s v="004/CPO/JM-WINS/XII/2025"/>
    <s v="PT. JAS MULIA / 4 / 500"/>
    <x v="3"/>
    <x v="1"/>
    <s v="12 Roda"/>
    <d v="2025-12-06T00:00:00"/>
    <n v="45840"/>
    <n v="17680"/>
    <n v="28160"/>
    <n v="28100"/>
    <d v="1899-12-30T20:57:00"/>
    <d v="1899-12-30T22:05:00"/>
    <s v="samsira"/>
    <s v="IQBAL"/>
    <n v="68"/>
    <s v="WIL"/>
    <s v="Bone Bone"/>
  </r>
  <r>
    <n v="1"/>
    <s v="000250"/>
    <s v="CPO000250MIS"/>
    <s v="DP 9846 GA"/>
    <s v="245/PJB/MIS-WINS/XI/2025"/>
    <s v="PT. MIS / 2 / 600"/>
    <x v="2"/>
    <x v="1"/>
    <s v="6 Roda"/>
    <d v="2025-12-08T00:00:00"/>
    <n v="13240"/>
    <n v="3630"/>
    <n v="9610"/>
    <n v="9600"/>
    <d v="1899-12-30T09:29:00"/>
    <d v="1899-12-30T10:28:00"/>
    <s v="samsira"/>
    <m/>
    <n v="494"/>
    <m/>
    <s v="Pomala"/>
  </r>
  <r>
    <n v="1"/>
    <s v="000251"/>
    <s v="CPO000251MIS"/>
    <s v="DP 8821 GL"/>
    <s v="245/PJB/MIS-WINS/XI/2025"/>
    <s v="PT. MIS / 2 / 600"/>
    <x v="2"/>
    <x v="1"/>
    <s v="6 Roda"/>
    <d v="2025-12-08T00:00:00"/>
    <n v="13340"/>
    <n v="3800"/>
    <n v="9540"/>
    <n v="9520"/>
    <d v="1899-12-30T09:31:00"/>
    <d v="1899-12-30T10:30:00"/>
    <s v="samsira"/>
    <m/>
    <n v="494"/>
    <m/>
    <s v="Pomala"/>
  </r>
  <r>
    <n v="1"/>
    <s v="000252"/>
    <s v="CPO000252MIS"/>
    <s v="DP 8928 GM"/>
    <s v="245/PJB/MIS-WINS/XI/2025"/>
    <s v="PT. MIS / 2 / 600"/>
    <x v="2"/>
    <x v="1"/>
    <s v="6 Roda"/>
    <d v="2025-12-08T00:00:00"/>
    <n v="14010"/>
    <n v="3990"/>
    <n v="10020"/>
    <n v="10000"/>
    <d v="1899-12-30T09:40:00"/>
    <d v="1899-12-30T11:07:00"/>
    <s v="samsira"/>
    <m/>
    <n v="494"/>
    <m/>
    <s v="Pomala"/>
  </r>
  <r>
    <n v="1"/>
    <s v="000258"/>
    <s v="CPO000258MIS"/>
    <s v="DP 8446 GC"/>
    <s v="245/PJB/MIS-WINS/XI/2025"/>
    <s v="PT. MIS / 2 / 600"/>
    <x v="2"/>
    <x v="1"/>
    <s v="6 Roda"/>
    <d v="2025-12-08T00:00:00"/>
    <n v="13500"/>
    <n v="3960"/>
    <n v="9540"/>
    <n v="9500"/>
    <d v="1899-12-30T16:43:00"/>
    <d v="1899-12-30T17:59:00"/>
    <s v="Datu"/>
    <m/>
    <n v="494"/>
    <m/>
    <s v="Pomala"/>
  </r>
  <r>
    <n v="1"/>
    <s v="000253"/>
    <s v="CPO000253KMP"/>
    <s v="DD 9236 XX"/>
    <s v="KMP03112025"/>
    <s v="PT. KMP / 4 / 500"/>
    <x v="1"/>
    <x v="1"/>
    <s v="12 Roda"/>
    <d v="2025-12-08T00:00:00"/>
    <n v="45680"/>
    <n v="17600"/>
    <n v="28080"/>
    <n v="28080"/>
    <d v="1899-12-30T10:38:00"/>
    <d v="1899-12-30T13:14:00"/>
    <s v="samsira"/>
    <s v="IBRAHIM"/>
    <n v="53"/>
    <s v="WIL"/>
    <s v="Masamba"/>
  </r>
  <r>
    <n v="1"/>
    <s v="000254"/>
    <s v="CPO000254KMP"/>
    <s v="BM 8315 QO"/>
    <s v="KMP03112025"/>
    <s v="PT. KMP / 4 / 500"/>
    <x v="1"/>
    <x v="1"/>
    <s v="12 Roda"/>
    <d v="2025-12-08T00:00:00"/>
    <n v="45710"/>
    <n v="17620"/>
    <n v="28090"/>
    <n v="28100"/>
    <d v="1899-12-30T11:04:00"/>
    <d v="1899-12-30T13:15:00"/>
    <s v="samsira"/>
    <s v="IQBAL"/>
    <n v="53"/>
    <s v="WIL"/>
    <s v="Masamba"/>
  </r>
  <r>
    <n v="1"/>
    <s v="000255"/>
    <s v="CPO000255JAS"/>
    <s v="DD 8711 XX"/>
    <s v="004/CPO/JM-WINS/XII/2025"/>
    <s v="PT. JAS MULIA / 4 / 500"/>
    <x v="3"/>
    <x v="1"/>
    <s v="10 Roda"/>
    <d v="2025-12-08T00:00:00"/>
    <n v="25060"/>
    <n v="10820"/>
    <n v="14240"/>
    <n v="14220"/>
    <d v="1899-12-30T11:06:00"/>
    <d v="1899-12-30T13:16:00"/>
    <s v="samsira"/>
    <s v="RONI RAKAN"/>
    <n v="68"/>
    <s v="WIL"/>
    <s v="Bone Bone"/>
  </r>
  <r>
    <n v="1"/>
    <s v="000256"/>
    <s v="CPO000256JAS"/>
    <s v="BH 8459 MY"/>
    <s v="004/CPO/JM-WINS/XII/2025"/>
    <s v="PT. JAS MULIA / 4 / 500"/>
    <x v="3"/>
    <x v="1"/>
    <s v="10 Roda"/>
    <d v="2025-12-08T00:00:00"/>
    <n v="26600"/>
    <n v="12310"/>
    <n v="14290"/>
    <n v="14430"/>
    <d v="1899-12-30T11:32:00"/>
    <d v="1899-12-30T13:37:00"/>
    <s v="samsira"/>
    <s v="ERWIN"/>
    <n v="68"/>
    <s v="WIL"/>
    <s v="Bone Bone"/>
  </r>
  <r>
    <n v="1"/>
    <s v="000257"/>
    <s v="CPO000257JAS"/>
    <s v="B 1918 SXX"/>
    <s v="004/CPO/JM-WINS/XII/2025"/>
    <s v="PT. JAS MULIA / 4 / 500"/>
    <x v="3"/>
    <x v="1"/>
    <s v="10 Roda"/>
    <d v="2025-12-08T00:00:00"/>
    <n v="26590"/>
    <n v="11890"/>
    <n v="14700"/>
    <n v="14640"/>
    <d v="1899-12-30T12:09:00"/>
    <d v="1899-12-30T14:09:00"/>
    <s v="samsira"/>
    <s v="WALDI"/>
    <n v="68"/>
    <s v="WIL"/>
    <s v="Bone Bone"/>
  </r>
  <r>
    <n v="1"/>
    <s v="000259"/>
    <s v="CPO000259KMP"/>
    <s v="DD 9236 XX"/>
    <s v="KMP03112025"/>
    <s v="PT. KMP / 4 / 500"/>
    <x v="1"/>
    <x v="1"/>
    <s v="12 Roda"/>
    <d v="2025-12-08T00:00:00"/>
    <n v="45600"/>
    <n v="17540"/>
    <n v="28060"/>
    <n v="28080"/>
    <d v="1899-12-30T17:05:00"/>
    <d v="1899-12-30T19:11:00"/>
    <s v="Datu"/>
    <s v="IBRAHIM"/>
    <n v="53"/>
    <s v="WIL"/>
    <s v="Masamba"/>
  </r>
  <r>
    <n v="1"/>
    <s v="000260"/>
    <s v="CPO000260KMP"/>
    <s v="BM 8315 QO"/>
    <s v="KMP03112025"/>
    <s v="PT. KMP / 4 / 500"/>
    <x v="1"/>
    <x v="1"/>
    <s v="12 Roda"/>
    <d v="2025-12-08T00:00:00"/>
    <n v="45650"/>
    <n v="17610"/>
    <n v="28040"/>
    <n v="28060"/>
    <d v="1899-12-30T17:35:00"/>
    <d v="1899-12-30T19:05:00"/>
    <s v="Datu"/>
    <s v="IQBAL"/>
    <n v="53"/>
    <s v="WIL"/>
    <s v="Masamba"/>
  </r>
  <r>
    <n v="1"/>
    <s v="000261"/>
    <s v="CPO000261JAS"/>
    <s v="DD 8711 XX"/>
    <s v="004/CPO/JM-WINS/XII/2025"/>
    <s v="PT. JAS MULIA / 4 / 500"/>
    <x v="3"/>
    <x v="1"/>
    <s v="10 Roda"/>
    <d v="2025-12-08T00:00:00"/>
    <n v="24980"/>
    <n v="10750"/>
    <n v="14230"/>
    <n v="14150"/>
    <d v="1899-12-30T17:52:00"/>
    <d v="1899-12-30T19:17:00"/>
    <s v="Datu"/>
    <s v="RONI RAKAN"/>
    <n v="68"/>
    <s v="WIL"/>
    <s v="Bone Bone"/>
  </r>
  <r>
    <n v="1"/>
    <s v="000262"/>
    <s v="CPO000262JAS"/>
    <s v="BH 8459 MY"/>
    <s v="004/CPO/JM-WINS/XII/2025"/>
    <s v="PT. JAS MULIA / 4 / 500"/>
    <x v="3"/>
    <x v="1"/>
    <s v="10 Roda"/>
    <d v="2025-12-08T00:00:00"/>
    <n v="26710"/>
    <n v="12280"/>
    <n v="14430"/>
    <n v="14380"/>
    <d v="1899-12-30T18:13:00"/>
    <d v="1899-12-30T19:33:00"/>
    <s v="Datu"/>
    <s v="ERWIN"/>
    <n v="68"/>
    <s v="WIL"/>
    <s v="Bone Bone"/>
  </r>
  <r>
    <n v="1"/>
    <s v="000263"/>
    <s v="CPO000263JAS"/>
    <s v="B 1918 SXX"/>
    <s v="004/CPO/JM-WINS/XII/2025"/>
    <s v="PT. JAS MULIA / 4 / 500"/>
    <x v="3"/>
    <x v="1"/>
    <s v="10 Roda"/>
    <d v="2025-12-08T00:00:00"/>
    <n v="26640"/>
    <n v="11860"/>
    <n v="14780"/>
    <n v="14720"/>
    <d v="1899-12-30T18:22:00"/>
    <d v="1899-12-30T20:16:00"/>
    <s v="Datu"/>
    <s v="WALDI"/>
    <n v="68"/>
    <s v="WIL"/>
    <s v="Bone Bone"/>
  </r>
  <r>
    <n v="1"/>
    <s v="000276"/>
    <s v="CPO000276PN"/>
    <s v="DD 9236 XX"/>
    <s v="249/KPBN/TRD/CPO-L/WINS/XI/2025"/>
    <s v="PT. PN / 4 / 500"/>
    <x v="4"/>
    <x v="1"/>
    <s v="12 Roda"/>
    <d v="2025-12-09T00:00:00"/>
    <n v="45830"/>
    <n v="17890"/>
    <n v="27940"/>
    <n v="28120"/>
    <d v="1899-12-30T19:14:00"/>
    <d v="1899-12-30T20:49:00"/>
    <s v="Datu"/>
    <s v="IBRAHIM"/>
    <n v="99"/>
    <m/>
    <s v="Burau"/>
  </r>
  <r>
    <n v="1"/>
    <s v="000278"/>
    <s v="CPO000278PN"/>
    <s v="B 1918 SXX"/>
    <s v="249/KPBN/TRD/CPO-L/WINS/XI/2025"/>
    <s v="PT. PN / 4 / 500"/>
    <x v="4"/>
    <x v="1"/>
    <s v="10 Roda"/>
    <d v="2025-12-09T00:00:00"/>
    <n v="26590"/>
    <n v="11860"/>
    <n v="14730"/>
    <n v="14810"/>
    <d v="1899-12-30T19:38:00"/>
    <d v="1899-12-30T21:32:00"/>
    <s v="Datu"/>
    <s v="WALDI"/>
    <n v="99"/>
    <m/>
    <s v="Burau"/>
  </r>
  <r>
    <n v="1"/>
    <s v="000279"/>
    <s v="CPO000279PN"/>
    <s v="BM 8315 QO"/>
    <s v="249/KPBN/TRD/CPO-L/WINS/XI/2025"/>
    <s v="PT. PN / 4 / 500"/>
    <x v="4"/>
    <x v="1"/>
    <s v="12 Roda"/>
    <d v="2025-12-09T00:00:00"/>
    <n v="45620"/>
    <n v="17560"/>
    <n v="28060"/>
    <n v="28140"/>
    <d v="1899-12-30T19:42:00"/>
    <d v="1899-12-30T21:14:00"/>
    <s v="Datu"/>
    <s v="IQBAL"/>
    <n v="99"/>
    <m/>
    <s v="Burau"/>
  </r>
  <r>
    <n v="1"/>
    <s v="000264"/>
    <s v="CPO000264MIS"/>
    <s v="DP 8951 GB"/>
    <s v="245/PJB/MIS-WINS/XI/2025"/>
    <s v="PT. MIS / 2 / 600"/>
    <x v="2"/>
    <x v="1"/>
    <s v="6 Roda"/>
    <d v="2025-12-09T00:00:00"/>
    <n v="13730"/>
    <n v="4100"/>
    <n v="9630"/>
    <n v="9570"/>
    <d v="1899-12-30T23:22:00"/>
    <d v="1899-12-30T00:16:00"/>
    <s v="Datu"/>
    <m/>
    <n v="494"/>
    <m/>
    <s v="Pomala"/>
  </r>
  <r>
    <n v="1"/>
    <s v="000265"/>
    <s v="CPO000265MIS"/>
    <s v="DP 8036 GK"/>
    <s v="245/PJB/MIS-WINS/XI/2025"/>
    <s v="PT. MIS / 2 / 600"/>
    <x v="2"/>
    <x v="1"/>
    <s v="6 Roda"/>
    <d v="2025-12-09T00:00:00"/>
    <n v="13490"/>
    <n v="4010"/>
    <n v="9480"/>
    <n v="9430"/>
    <d v="1899-12-30T23:30:00"/>
    <d v="1899-12-30T00:15:00"/>
    <s v="Datu"/>
    <m/>
    <n v="494"/>
    <m/>
    <s v="Pomala"/>
  </r>
  <r>
    <n v="1"/>
    <s v="000266"/>
    <s v="CPO000266MIS"/>
    <s v="DP 8762 GH"/>
    <s v="245/PJB/MIS-WINS/XI/2025"/>
    <s v="PT. MIS / 2 / 600"/>
    <x v="2"/>
    <x v="1"/>
    <s v="6 Roda"/>
    <d v="2025-12-09T00:00:00"/>
    <n v="13160"/>
    <n v="3790"/>
    <n v="9370"/>
    <n v="9350"/>
    <d v="1899-12-30T23:32:00"/>
    <d v="1899-12-30T01:07:00"/>
    <s v="Datu"/>
    <m/>
    <n v="494"/>
    <m/>
    <s v="Pomala"/>
  </r>
  <r>
    <n v="1"/>
    <s v="000268"/>
    <s v="CPO000268MIS"/>
    <s v="DP 8662 GH"/>
    <s v="245/PJB/MIS-WINS/XI/2025"/>
    <s v="PT. MIS / 2 / 600"/>
    <x v="2"/>
    <x v="1"/>
    <s v="6 Roda"/>
    <d v="2025-12-09T00:00:00"/>
    <n v="13990"/>
    <n v="3950"/>
    <n v="10040"/>
    <n v="10090"/>
    <d v="1899-12-30T00:29:00"/>
    <d v="1899-12-30T01:09:00"/>
    <s v="Datu"/>
    <m/>
    <n v="494"/>
    <m/>
    <s v="Pomala"/>
  </r>
  <r>
    <n v="1"/>
    <s v="000269"/>
    <s v="CPO000269MIS"/>
    <s v="DP 8798 GH"/>
    <s v="245/PJB/MIS-WINS/XI/2025"/>
    <s v="PT. MIS / 2 / 600"/>
    <x v="2"/>
    <x v="1"/>
    <s v="6 Roda"/>
    <d v="2025-12-09T00:00:00"/>
    <n v="13410"/>
    <n v="3950"/>
    <n v="9460"/>
    <n v="9410"/>
    <d v="1899-12-30T08:25:00"/>
    <d v="1899-12-30T09:19:00"/>
    <s v="samsira"/>
    <m/>
    <n v="494"/>
    <m/>
    <s v="Pomala"/>
  </r>
  <r>
    <n v="1"/>
    <s v="000270"/>
    <s v="CPO000270MIS"/>
    <s v="DD 8671 YD"/>
    <s v="245/PJB/MIS-WINS/XI/2025"/>
    <s v="PT. MIS / 2 / 600"/>
    <x v="2"/>
    <x v="1"/>
    <s v="6 Roda"/>
    <d v="2025-12-09T00:00:00"/>
    <n v="14270"/>
    <n v="4560"/>
    <n v="9710"/>
    <n v="9670"/>
    <d v="1899-12-30T08:27:00"/>
    <d v="1899-12-30T09:21:00"/>
    <s v="samsira"/>
    <m/>
    <n v="494"/>
    <m/>
    <s v="Pomala"/>
  </r>
  <r>
    <n v="1"/>
    <s v="000271"/>
    <s v="CPO000271MIS"/>
    <s v="DD 8574 YE"/>
    <s v="245/PJB/MIS-WINS/XI/2025"/>
    <s v="PT. MIS / 2 / 600"/>
    <x v="2"/>
    <x v="1"/>
    <s v="6 Roda"/>
    <d v="2025-12-09T00:00:00"/>
    <n v="13610"/>
    <n v="4050"/>
    <n v="9560"/>
    <n v="9610"/>
    <d v="1899-12-30T09:26:00"/>
    <d v="1899-12-30T10:34:00"/>
    <s v="samsira"/>
    <m/>
    <n v="494"/>
    <m/>
    <s v="Pomala"/>
  </r>
  <r>
    <n v="1"/>
    <s v="000274"/>
    <s v="CPO000274MIS"/>
    <s v="DP 9859 GA"/>
    <s v="245/PJB/MIS-WINS/XI/2025"/>
    <s v="PT. MIS / 2 / 600"/>
    <x v="2"/>
    <x v="1"/>
    <s v="6 Roda"/>
    <d v="2025-12-09T00:00:00"/>
    <n v="14220"/>
    <n v="4170"/>
    <n v="10050"/>
    <n v="10000"/>
    <d v="1899-12-30T16:25:00"/>
    <d v="1899-12-30T17:03:00"/>
    <s v="Datu"/>
    <m/>
    <n v="494"/>
    <m/>
    <s v="Pomala"/>
  </r>
  <r>
    <n v="1"/>
    <s v="000272"/>
    <s v="CPO000272JAS"/>
    <s v="BH 8459 MY"/>
    <s v="004/CPO/JM-WINS/XII/2025"/>
    <s v="PT. JAS MULIA / 4 / 500"/>
    <x v="3"/>
    <x v="1"/>
    <s v="10 Roda"/>
    <d v="2025-12-09T00:00:00"/>
    <n v="26670"/>
    <n v="12230"/>
    <n v="14440"/>
    <n v="14400"/>
    <d v="1899-12-30T11:13:00"/>
    <d v="1899-12-30T13:12:00"/>
    <s v="samsira"/>
    <s v="ERWIN"/>
    <n v="68"/>
    <s v="WIL"/>
    <s v="Bone Bone"/>
  </r>
  <r>
    <n v="1"/>
    <s v="000273"/>
    <s v="CPO000273JAS"/>
    <s v="DD 8711 XX"/>
    <s v="004/CPO/JM-WINS/XII/2025"/>
    <s v="PT. JAS MULIA / 4 / 500"/>
    <x v="3"/>
    <x v="1"/>
    <s v="10 Roda"/>
    <d v="2025-12-09T00:00:00"/>
    <n v="25100"/>
    <n v="10870"/>
    <n v="14230"/>
    <n v="14190"/>
    <d v="1899-12-30T11:14:00"/>
    <d v="1899-12-30T13:31:00"/>
    <s v="samsira"/>
    <s v="RONI RAKAN"/>
    <n v="68"/>
    <s v="WIL"/>
    <s v="Bone Bone"/>
  </r>
  <r>
    <n v="1"/>
    <s v="000275"/>
    <s v="CPO000275JAS"/>
    <s v="DD 8711 XX"/>
    <s v="004/CPO/JM-WINS/XII/2025"/>
    <s v="PT. JAS MULIA / 4 / 500"/>
    <x v="3"/>
    <x v="1"/>
    <s v="10 Roda"/>
    <d v="2025-12-09T00:00:00"/>
    <n v="25060"/>
    <n v="10830"/>
    <n v="14230"/>
    <n v="14190"/>
    <d v="1899-12-30T19:00:00"/>
    <d v="1899-12-30T20:16:00"/>
    <s v="Datu"/>
    <s v="RONI RAKAN"/>
    <n v="68"/>
    <s v="WIL"/>
    <s v="Bone Bone"/>
  </r>
  <r>
    <n v="1"/>
    <s v="000277"/>
    <s v="CPO000277JAS"/>
    <s v="BH 8459 MY"/>
    <s v="004/CPO/JM-WINS/XII/2025"/>
    <s v="PT. JAS MULIA / 4 / 500"/>
    <x v="3"/>
    <x v="1"/>
    <s v="10 Roda"/>
    <d v="2025-12-09T00:00:00"/>
    <n v="26600"/>
    <n v="12180"/>
    <n v="14420"/>
    <n v="14380"/>
    <d v="1899-12-30T19:24:00"/>
    <d v="1899-12-30T20:47:00"/>
    <s v="Datu"/>
    <s v="ERWIN"/>
    <n v="68"/>
    <s v="WIL"/>
    <s v="Bone Bone"/>
  </r>
  <r>
    <n v="1"/>
    <s v="000039"/>
    <s v="CPO000039MIS"/>
    <s v="DP 8935 UA"/>
    <s v="245/PJB/MIS-WINS/XI/2025"/>
    <s v="PT. MIS / 2 / 600"/>
    <x v="2"/>
    <x v="1"/>
    <s v="6 Roda"/>
    <d v="2025-12-10T00:00:00"/>
    <n v="13900"/>
    <n v="4020"/>
    <n v="9690"/>
    <n v="9660"/>
    <d v="1899-12-30T08:12:00"/>
    <d v="1899-12-30T09:39:00"/>
    <s v="samsira"/>
    <m/>
    <n v="494"/>
    <m/>
    <s v="Pomala"/>
  </r>
  <r>
    <n v="1"/>
    <s v="000039"/>
    <s v="CPO000039MIS"/>
    <s v="DP 8935 UA"/>
    <s v="245/PJB/MIS-WINS/XI/2025"/>
    <s v="PT. MIS / 2 / 600"/>
    <x v="2"/>
    <x v="1"/>
    <s v="6 Roda"/>
    <d v="2025-12-10T00:00:00"/>
    <n v="14020"/>
    <n v="3980"/>
    <n v="10040"/>
    <n v="9970"/>
    <d v="1899-12-30T08:07:00"/>
    <d v="1899-12-30T09:04:00"/>
    <s v="samsira"/>
    <m/>
    <n v="494"/>
    <m/>
    <s v="Pomala"/>
  </r>
  <r>
    <n v="1"/>
    <s v="000040"/>
    <s v="CPO000040MIS"/>
    <s v="DP 9826 GA"/>
    <s v="245/PJB/MIS-WINS/XI/2025"/>
    <s v="PT. MIS / 2 / 600"/>
    <x v="2"/>
    <x v="1"/>
    <s v="6 Roda"/>
    <d v="2025-12-10T00:00:00"/>
    <n v="13520"/>
    <n v="4060"/>
    <n v="9460"/>
    <n v="9430"/>
    <d v="1899-12-30T08:15:00"/>
    <d v="1899-12-30T10:02:00"/>
    <s v="samsira"/>
    <m/>
    <n v="494"/>
    <m/>
    <s v="Pomala"/>
  </r>
  <r>
    <n v="1"/>
    <s v="000040"/>
    <s v="CPO000040MIS"/>
    <s v="DP 9826 GA"/>
    <s v="265/PJB/MIS-WINS/XII/2025"/>
    <s v="PT. MIS / 3 / 600"/>
    <x v="2"/>
    <x v="1"/>
    <s v="6 Roda"/>
    <d v="2025-12-10T00:00:00"/>
    <n v="13900"/>
    <n v="13710"/>
    <n v="190"/>
    <n v="190"/>
    <d v="1899-12-30T08:12:00"/>
    <d v="1899-12-30T09:39:00"/>
    <s v="samsira"/>
    <m/>
    <n v="494"/>
    <m/>
    <s v="Pomala"/>
  </r>
  <r>
    <n v="1"/>
    <s v="000280"/>
    <s v="CPO000280PN"/>
    <s v="B 1918 SXX"/>
    <s v="249/KPBN/TRD/CPO-L/WINS/XI/2025"/>
    <s v="PT. PN / 4 / 500"/>
    <x v="4"/>
    <x v="1"/>
    <s v="10 Roda"/>
    <d v="2025-12-10T00:00:00"/>
    <n v="26630"/>
    <n v="11900"/>
    <n v="14730"/>
    <n v="14680"/>
    <d v="1899-12-30T14:52:00"/>
    <d v="1899-12-30T16:36:00"/>
    <s v="samsira"/>
    <s v="WALDI"/>
    <n v="99"/>
    <m/>
    <s v="Burau"/>
  </r>
  <r>
    <n v="1"/>
    <s v="000281"/>
    <s v="CPO000281PN"/>
    <s v="BH 8459 MY"/>
    <s v="249/KPBN/TRD/CPO-L/WINS/XI/2025"/>
    <s v="PT. PN / 4 / 500"/>
    <x v="4"/>
    <x v="1"/>
    <s v="10 Roda"/>
    <d v="2025-12-10T00:00:00"/>
    <n v="26570"/>
    <n v="12170"/>
    <n v="14400"/>
    <n v="14310"/>
    <d v="1899-12-30T15:06:00"/>
    <d v="1899-12-30T16:46:00"/>
    <s v="samsira"/>
    <s v="ERWIN"/>
    <n v="99"/>
    <m/>
    <s v="Burau"/>
  </r>
  <r>
    <n v="1"/>
    <s v="000282"/>
    <s v="CPO000282PN"/>
    <s v="BM 8315 QO"/>
    <s v="249/KPBN/TRD/CPO-L/WINS/XI/2025"/>
    <s v="PT. PN / 4 / 500"/>
    <x v="4"/>
    <x v="1"/>
    <s v="12 Roda"/>
    <d v="2025-12-10T00:00:00"/>
    <n v="45660"/>
    <n v="17660"/>
    <n v="28000"/>
    <n v="28030"/>
    <d v="1899-12-30T17:28:00"/>
    <d v="1899-12-30T19:13:00"/>
    <s v="samsira"/>
    <s v="IQBAL"/>
    <n v="99"/>
    <m/>
    <s v="Burau"/>
  </r>
  <r>
    <n v="1"/>
    <s v="000283"/>
    <s v="CPO000283PN"/>
    <s v="DD 9236 XX"/>
    <s v="249/KPBN/TRD/CPO-L/WINS/XI/2025"/>
    <s v="PT. PN / 4 / 500"/>
    <x v="4"/>
    <x v="1"/>
    <s v="12 Roda"/>
    <d v="2025-12-10T00:00:00"/>
    <n v="45840"/>
    <n v="17870"/>
    <n v="27970"/>
    <n v="27920"/>
    <d v="1899-12-30T18:01:00"/>
    <d v="1899-12-30T19:59:00"/>
    <s v="samsira"/>
    <s v="IBRAHIM"/>
    <n v="99"/>
    <m/>
    <s v="Burau"/>
  </r>
  <r>
    <n v="1"/>
    <s v="000284"/>
    <s v="CPO000284PN"/>
    <s v="DD 8711 XX"/>
    <s v="249/KPBN/TRD/CPO-L/WINS/XI/2025"/>
    <s v="PT. PN / 4 / 500"/>
    <x v="4"/>
    <x v="1"/>
    <s v="10 Roda"/>
    <d v="2025-12-10T00:00:00"/>
    <n v="24950"/>
    <n v="10780"/>
    <n v="14170"/>
    <n v="14160"/>
    <d v="1899-12-30T18:04:00"/>
    <d v="1899-12-30T20:01:00"/>
    <s v="samsira"/>
    <s v="RONI RAKAN"/>
    <n v="99"/>
    <m/>
    <s v="Burau"/>
  </r>
  <r>
    <n v="1"/>
    <s v="000041"/>
    <s v="CPO000041MIS"/>
    <s v="DP 8004 GJ"/>
    <s v="245/PJB/MIS-WINS/XI/2025"/>
    <s v="PT. MIS / 2 / 600"/>
    <x v="2"/>
    <x v="1"/>
    <s v="6 Roda"/>
    <d v="2025-12-10T00:00:00"/>
    <n v="13580"/>
    <n v="3980"/>
    <n v="9600"/>
    <n v="9570"/>
    <d v="1899-12-30T08:17:00"/>
    <d v="1899-12-30T10:27:00"/>
    <s v="samsira"/>
    <m/>
    <n v="494"/>
    <m/>
    <s v="Pomala"/>
  </r>
  <r>
    <n v="1"/>
    <s v="000042"/>
    <s v="CPO000042MIS"/>
    <s v="DN 8492 CU"/>
    <s v="245/PJB/MIS-WINS/XI/2025"/>
    <s v="PT. MIS / 2 / 600"/>
    <x v="2"/>
    <x v="1"/>
    <s v="6 Roda"/>
    <d v="2025-12-10T00:00:00"/>
    <n v="14110"/>
    <n v="4110"/>
    <n v="10000"/>
    <n v="9970"/>
    <d v="1899-12-30T08:18:00"/>
    <d v="1899-12-30T11:05:00"/>
    <s v="samsira"/>
    <m/>
    <n v="494"/>
    <m/>
    <s v="Pomala"/>
  </r>
  <r>
    <n v="1"/>
    <s v="000043"/>
    <s v="CPO000043MIS"/>
    <s v="DP 8076 TE"/>
    <s v="245/PJB/MIS-WINS/XI/2025"/>
    <s v="PT. MIS / 2 / 600"/>
    <x v="2"/>
    <x v="1"/>
    <s v="6 Roda"/>
    <d v="2025-12-10T00:00:00"/>
    <n v="13540"/>
    <n v="3920"/>
    <n v="9620"/>
    <n v="10180"/>
    <d v="1899-12-30T08:21:00"/>
    <d v="1899-12-30T11:21:00"/>
    <s v="samsira"/>
    <m/>
    <n v="494"/>
    <m/>
    <s v="Pomala"/>
  </r>
  <r>
    <n v="1"/>
    <s v="000044"/>
    <s v="CPO000044MIS"/>
    <s v="DP 8994 GH"/>
    <s v="245/PJB/MIS-WINS/XI/2025"/>
    <s v="PT. MIS / 2 / 600"/>
    <x v="2"/>
    <x v="1"/>
    <s v="6 Roda"/>
    <d v="2025-12-10T00:00:00"/>
    <n v="13470"/>
    <n v="3630"/>
    <n v="9840"/>
    <n v="9830"/>
    <d v="1899-12-30T10:20:00"/>
    <d v="1899-12-30T12:03:00"/>
    <s v="samsira"/>
    <m/>
    <n v="494"/>
    <m/>
    <s v="Pomala"/>
  </r>
  <r>
    <n v="1"/>
    <s v="000045"/>
    <s v="CPO000045MIS"/>
    <s v="DP 8862 GG"/>
    <s v="245/PJB/MIS-WINS/XI/2025"/>
    <s v="PT. MIS / 2 / 600"/>
    <x v="2"/>
    <x v="1"/>
    <s v="6 Roda"/>
    <d v="2025-12-10T00:00:00"/>
    <n v="14540"/>
    <n v="4370"/>
    <n v="10170"/>
    <n v="9650"/>
    <d v="1899-12-30T10:22:00"/>
    <d v="1899-12-30T12:15:00"/>
    <s v="samsira"/>
    <m/>
    <n v="494"/>
    <m/>
    <s v="Pomala"/>
  </r>
  <r>
    <n v="1"/>
    <s v="000285"/>
    <s v="CPO000285MIS"/>
    <s v="DP 8821 GL"/>
    <s v="265/PJB/MIS-WINS/XII/2025"/>
    <s v="PT. MIS / 3 / 600"/>
    <x v="2"/>
    <x v="1"/>
    <s v="6 Roda"/>
    <d v="2025-12-11T00:00:00"/>
    <n v="13290"/>
    <n v="3760"/>
    <n v="9530"/>
    <n v="9520"/>
    <d v="1899-12-30T23:22:00"/>
    <d v="1899-12-30T00:02:00"/>
    <s v="Datu"/>
    <m/>
    <n v="494"/>
    <m/>
    <s v="Pomala"/>
  </r>
  <r>
    <n v="1"/>
    <s v="000286"/>
    <s v="CPO000286MIS"/>
    <s v="DN 8813 EB"/>
    <s v="265/PJB/MIS-WINS/XII/2025"/>
    <s v="PT. MIS / 3 / 600"/>
    <x v="2"/>
    <x v="1"/>
    <s v="6 Roda"/>
    <d v="2025-12-11T00:00:00"/>
    <n v="13910"/>
    <n v="4220"/>
    <n v="9690"/>
    <n v="9630"/>
    <d v="1899-12-30T23:24:00"/>
    <d v="1899-12-30T00:13:00"/>
    <s v="Datu"/>
    <m/>
    <n v="494"/>
    <m/>
    <s v="Pomala"/>
  </r>
  <r>
    <n v="1"/>
    <s v="000287"/>
    <s v="CPO000287MIS"/>
    <s v="DP 9846 GA"/>
    <s v="265/PJB/MIS-WINS/XII/2025"/>
    <s v="PT. MIS / 3 / 600"/>
    <x v="2"/>
    <x v="1"/>
    <s v="6 Roda"/>
    <d v="2025-12-11T00:00:00"/>
    <n v="13240"/>
    <n v="3600"/>
    <n v="9640"/>
    <n v="9590"/>
    <d v="1899-12-30T23:58:00"/>
    <d v="1899-12-30T00:31:00"/>
    <s v="Datu"/>
    <m/>
    <n v="494"/>
    <m/>
    <s v="Pomala"/>
  </r>
  <r>
    <n v="1"/>
    <s v="000288"/>
    <s v="CPO000288MIS"/>
    <s v="DP 8928 GM"/>
    <s v="265/PJB/MIS-WINS/XII/2025"/>
    <s v="PT. MIS / 3 / 600"/>
    <x v="2"/>
    <x v="1"/>
    <s v="6 Roda"/>
    <d v="2025-12-11T00:00:00"/>
    <n v="13960"/>
    <n v="3920"/>
    <n v="10040"/>
    <n v="9960"/>
    <d v="1899-12-30T00:00:00"/>
    <d v="1899-12-30T00:33:00"/>
    <s v="Datu"/>
    <m/>
    <n v="494"/>
    <m/>
    <s v="Pomala"/>
  </r>
  <r>
    <n v="1"/>
    <s v="000311"/>
    <s v="CPO000311MIS"/>
    <s v="DP 8662 GH"/>
    <s v="265/PJB/MIS-WINS/XII/2025"/>
    <s v="PT. MIS / 3 / 600"/>
    <x v="2"/>
    <x v="1"/>
    <s v="6 Roda"/>
    <d v="2025-12-12T00:00:00"/>
    <n v="14050"/>
    <n v="3900"/>
    <n v="10150"/>
    <n v="10140"/>
    <d v="1899-12-30T23:04:00"/>
    <d v="1899-12-30T23:33:00"/>
    <s v="Datu"/>
    <m/>
    <n v="494"/>
    <m/>
    <s v="Pomala"/>
  </r>
  <r>
    <n v="1"/>
    <s v="000301"/>
    <s v="CPO000301KMP"/>
    <s v="DD 9236 XX"/>
    <s v="KMP03112025"/>
    <s v="PT. KMP / 4 / 500"/>
    <x v="1"/>
    <x v="1"/>
    <s v="12 Roda"/>
    <d v="2025-12-12T00:00:00"/>
    <n v="45730"/>
    <n v="17770"/>
    <n v="27960"/>
    <n v="27980"/>
    <d v="1899-12-30T09:30:00"/>
    <d v="1899-12-30T11:29:00"/>
    <s v="samsira"/>
    <s v="IBRAHIM"/>
    <n v="53"/>
    <s v="WIL"/>
    <s v="Masamba"/>
  </r>
  <r>
    <n v="1"/>
    <s v="000302"/>
    <s v="CPO000302KMP"/>
    <s v="BM 8315 QO"/>
    <s v="KMP03112025"/>
    <s v="PT. KMP / 4 / 500"/>
    <x v="1"/>
    <x v="1"/>
    <s v="12 Roda"/>
    <d v="2025-12-12T00:00:00"/>
    <n v="45690"/>
    <n v="17580"/>
    <n v="28110"/>
    <n v="28120"/>
    <d v="1899-12-30T10:04:00"/>
    <d v="1899-12-30T11:31:00"/>
    <s v="samsira"/>
    <s v="IQBAL"/>
    <n v="53"/>
    <s v="WIL"/>
    <s v="Masamba"/>
  </r>
  <r>
    <n v="1"/>
    <s v="000303"/>
    <s v="CPO000303JAS"/>
    <s v="DD 8711 XX"/>
    <s v="004/CPO/JM-WINS/XII/2025"/>
    <s v="PT. JAS MULIA / 4 / 500"/>
    <x v="3"/>
    <x v="1"/>
    <s v="10 Roda"/>
    <d v="2025-12-12T00:00:00"/>
    <n v="25080"/>
    <n v="10830"/>
    <n v="14250"/>
    <n v="14240"/>
    <d v="1899-12-30T11:34:00"/>
    <d v="1899-12-30T14:48:00"/>
    <s v="samsira"/>
    <s v="RONI RAKAN"/>
    <n v="68"/>
    <s v="WIL"/>
    <s v="Bone Bone"/>
  </r>
  <r>
    <n v="1"/>
    <s v="000304"/>
    <s v="CPO000304JAS"/>
    <s v="B 1918 SXX"/>
    <s v="004/CPO/JM-WINS/XII/2025"/>
    <s v="PT. JAS MULIA / 4 / 500"/>
    <x v="3"/>
    <x v="1"/>
    <s v="10 Roda"/>
    <d v="2025-12-12T00:00:00"/>
    <n v="26710"/>
    <n v="11930"/>
    <n v="14780"/>
    <n v="14750"/>
    <d v="1899-12-30T13:49:00"/>
    <d v="1899-12-30T15:04:00"/>
    <s v="samsira"/>
    <s v="WALDI"/>
    <n v="68"/>
    <s v="WIL"/>
    <s v="Bone Bone"/>
  </r>
  <r>
    <n v="1"/>
    <s v="000305"/>
    <s v="CPO000305JAS"/>
    <s v="BH 8459 MY"/>
    <s v="004/CPO/JM-WINS/XII/2025"/>
    <s v="PT. JAS MULIA / 4 / 500"/>
    <x v="3"/>
    <x v="1"/>
    <s v="10 Roda"/>
    <d v="2025-12-12T00:00:00"/>
    <n v="26710"/>
    <n v="12230"/>
    <n v="14480"/>
    <n v="14450"/>
    <d v="1899-12-30T14:00:00"/>
    <d v="1899-12-30T15:43:00"/>
    <s v="samsira"/>
    <s v="ERWIN"/>
    <n v="68"/>
    <s v="WIL"/>
    <s v="Bone Bone"/>
  </r>
  <r>
    <n v="1"/>
    <s v="000306"/>
    <s v="CPO000306KMP"/>
    <s v="DD 9236 XX"/>
    <s v="KMP03112025"/>
    <s v="PT. KMP / 4 / 500"/>
    <x v="1"/>
    <x v="1"/>
    <s v="12 Roda"/>
    <d v="2025-12-12T00:00:00"/>
    <n v="45730"/>
    <n v="17720"/>
    <n v="28010"/>
    <n v="27960"/>
    <d v="1899-12-30T17:24:00"/>
    <d v="1899-12-30T18:15:00"/>
    <s v="Datu"/>
    <s v="IBRAHIM"/>
    <n v="53"/>
    <s v="WIL"/>
    <s v="Masamba"/>
  </r>
  <r>
    <n v="1"/>
    <s v="000307"/>
    <s v="CPO000307KMP"/>
    <s v="BM 8315 QO"/>
    <s v="KMP03112025"/>
    <s v="PT. KMP / 4 / 500"/>
    <x v="1"/>
    <x v="1"/>
    <s v="12 Roda"/>
    <d v="2025-12-12T00:00:00"/>
    <n v="45580"/>
    <n v="17530"/>
    <n v="28050"/>
    <n v="28000"/>
    <d v="1899-12-30T18:00:00"/>
    <d v="1899-12-30T18:50:00"/>
    <s v="Datu"/>
    <s v="IQBAL"/>
    <n v="53"/>
    <s v="WIL"/>
    <s v="Masamba"/>
  </r>
  <r>
    <n v="1"/>
    <s v="000308"/>
    <s v="CPO000308JAS"/>
    <s v="B 1918 SXX"/>
    <s v="004/CPO/JM-WINS/XII/2025"/>
    <s v="PT. JAS MULIA / 4 / 500"/>
    <x v="3"/>
    <x v="1"/>
    <s v="10 Roda"/>
    <d v="2025-12-12T00:00:00"/>
    <n v="26640"/>
    <n v="11900"/>
    <n v="14740"/>
    <n v="14700"/>
    <d v="1899-12-30T19:53:00"/>
    <d v="1899-12-30T21:27:00"/>
    <s v="Datu"/>
    <s v="WALDI"/>
    <n v="68"/>
    <s v="WIL"/>
    <s v="Bone Bone"/>
  </r>
  <r>
    <n v="1"/>
    <s v="000309"/>
    <s v="CPO000309JAS"/>
    <s v="DD 8711 XX"/>
    <s v="004/CPO/JM-WINS/XII/2025"/>
    <s v="PT. JAS MULIA / 4 / 500"/>
    <x v="3"/>
    <x v="1"/>
    <s v="10 Roda"/>
    <d v="2025-12-12T00:00:00"/>
    <n v="25110"/>
    <n v="10860"/>
    <n v="14250"/>
    <n v="14150"/>
    <d v="1899-12-30T20:19:00"/>
    <d v="1899-12-30T21:34:00"/>
    <s v="Datu"/>
    <s v="RONI RAKAN"/>
    <n v="68"/>
    <s v="WIL"/>
    <s v="Bone Bone"/>
  </r>
  <r>
    <n v="1"/>
    <s v="000310"/>
    <s v="CPO000310JAS"/>
    <s v="BH 8459 MY"/>
    <s v="004/CPO/JM-WINS/XII/2025"/>
    <s v="PT. JAS MULIA / 4 / 500"/>
    <x v="3"/>
    <x v="1"/>
    <s v="10 Roda"/>
    <d v="2025-12-12T00:00:00"/>
    <n v="26650"/>
    <n v="12170"/>
    <n v="14480"/>
    <n v="14430"/>
    <d v="1899-12-30T21:10:00"/>
    <d v="1899-12-30T22:29:00"/>
    <s v="Datu"/>
    <s v="ERWIN"/>
    <n v="68"/>
    <s v="WIL"/>
    <s v="Bone Bone"/>
  </r>
  <r>
    <n v="1"/>
    <s v="000312"/>
    <s v="CPO000312MIS"/>
    <s v="DD 8574 YE"/>
    <s v="265/PJB/MIS-WINS/XII/2025"/>
    <s v="PT. MIS / 3 / 600"/>
    <x v="2"/>
    <x v="1"/>
    <s v="6 Roda"/>
    <d v="2025-12-13T00:00:00"/>
    <n v="13610"/>
    <n v="3940"/>
    <n v="9670"/>
    <n v="9570"/>
    <d v="1899-12-30T23:20:00"/>
    <d v="1899-12-30T00:04:00"/>
    <s v="Datu"/>
    <m/>
    <n v="494"/>
    <m/>
    <s v="Pomala"/>
  </r>
  <r>
    <n v="1"/>
    <s v="000313"/>
    <s v="CPO000313MIS"/>
    <s v="DP 8762 GH"/>
    <s v="265/PJB/MIS-WINS/XII/2025"/>
    <s v="PT. MIS / 3 / 600"/>
    <x v="2"/>
    <x v="1"/>
    <s v="6 Roda"/>
    <d v="2025-12-13T00:00:00"/>
    <n v="13190"/>
    <n v="3780"/>
    <n v="9410"/>
    <n v="9400"/>
    <d v="1899-12-30T23:37:00"/>
    <d v="1899-12-30T00:08:00"/>
    <s v="Datu"/>
    <m/>
    <n v="494"/>
    <m/>
    <s v="Pomala"/>
  </r>
  <r>
    <n v="1"/>
    <s v="000314"/>
    <s v="CPO000314MIS"/>
    <s v="DP 8798 GH"/>
    <s v="265/PJB/MIS-WINS/XII/2025"/>
    <s v="PT. MIS / 3 / 600"/>
    <x v="2"/>
    <x v="1"/>
    <s v="6 Roda"/>
    <d v="2025-12-13T00:00:00"/>
    <n v="13490"/>
    <n v="3970"/>
    <n v="9520"/>
    <n v="9490"/>
    <d v="1899-12-30T09:15:00"/>
    <d v="1899-12-30T09:59:00"/>
    <s v="samsira"/>
    <m/>
    <n v="494"/>
    <m/>
    <s v="Pomala"/>
  </r>
  <r>
    <n v="1"/>
    <s v="000323"/>
    <s v="CPO000323MIS"/>
    <s v="DP 9846 GA"/>
    <s v="265/PJB/MIS-WINS/XII/2025"/>
    <s v="PT. MIS / 3 / 600"/>
    <x v="2"/>
    <x v="1"/>
    <s v="6 Roda"/>
    <d v="2025-12-13T00:00:00"/>
    <n v="13300"/>
    <n v="3670"/>
    <n v="9630"/>
    <n v="9600"/>
    <d v="1899-12-30T16:33:00"/>
    <d v="1899-12-30T18:03:00"/>
    <s v="samsira"/>
    <m/>
    <n v="494"/>
    <m/>
    <s v="Pomala"/>
  </r>
  <r>
    <n v="1"/>
    <s v="000324"/>
    <s v="CPO000324MIS"/>
    <s v="DN 8813 EB"/>
    <s v="265/PJB/MIS-WINS/XII/2025"/>
    <s v="PT. MIS / 3 / 600"/>
    <x v="2"/>
    <x v="1"/>
    <s v="6 Roda"/>
    <d v="2025-12-13T00:00:00"/>
    <n v="13790"/>
    <n v="4060"/>
    <n v="9730"/>
    <n v="9690"/>
    <d v="1899-12-30T16:35:00"/>
    <d v="1899-12-30T17:57:00"/>
    <s v="samsira"/>
    <m/>
    <n v="494"/>
    <m/>
    <s v="Pomala"/>
  </r>
  <r>
    <n v="1"/>
    <s v="000326"/>
    <s v="CPO000326MIS"/>
    <s v="DP 8862 GG"/>
    <s v="265/PJB/MIS-WINS/XII/2025"/>
    <s v="PT. MIS / 3 / 600"/>
    <x v="2"/>
    <x v="1"/>
    <s v="6 Roda"/>
    <d v="2025-12-13T00:00:00"/>
    <n v="13470"/>
    <n v="3590"/>
    <n v="9880"/>
    <n v="9840"/>
    <d v="1899-12-30T18:00:00"/>
    <d v="1899-12-30T19:01:00"/>
    <s v="samsira"/>
    <m/>
    <n v="494"/>
    <m/>
    <s v="Pomala"/>
  </r>
  <r>
    <n v="1"/>
    <s v="000327"/>
    <s v="CPO000327MIS"/>
    <s v="DP 8928 GM"/>
    <s v="265/PJB/MIS-WINS/XII/2025"/>
    <s v="PT. MIS / 3 / 600"/>
    <x v="2"/>
    <x v="1"/>
    <s v="6 Roda"/>
    <d v="2025-12-13T00:00:00"/>
    <n v="13980"/>
    <n v="3950"/>
    <n v="10030"/>
    <n v="9980"/>
    <d v="1899-12-30T18:02:00"/>
    <d v="1899-12-30T18:50:00"/>
    <s v="samsira"/>
    <m/>
    <n v="494"/>
    <m/>
    <s v="Pomala"/>
  </r>
  <r>
    <n v="1"/>
    <s v="000329"/>
    <s v="CPO000329MIS"/>
    <s v="DP 8446 GC"/>
    <s v="265/PJB/MIS-WINS/XII/2025"/>
    <s v="PT. MIS / 3 / 600"/>
    <x v="2"/>
    <x v="1"/>
    <s v="6 Roda"/>
    <d v="2025-12-13T00:00:00"/>
    <n v="13540"/>
    <n v="3960"/>
    <n v="9580"/>
    <n v="9560"/>
    <d v="1899-12-30T21:10:00"/>
    <d v="1899-12-30T22:21:00"/>
    <s v="Datu"/>
    <m/>
    <n v="494"/>
    <m/>
    <s v="Pomala"/>
  </r>
  <r>
    <n v="1"/>
    <s v="000330"/>
    <s v="CPO000330MIS"/>
    <s v="DD 8983 UC"/>
    <s v="265/PJB/MIS-WINS/XII/2025"/>
    <s v="PT. MIS / 3 / 600"/>
    <x v="2"/>
    <x v="1"/>
    <s v="6 Roda"/>
    <d v="2025-12-13T00:00:00"/>
    <n v="14520"/>
    <n v="4350"/>
    <n v="10170"/>
    <n v="10100"/>
    <d v="1899-12-30T21:12:00"/>
    <d v="1899-12-30T22:13:00"/>
    <s v="Datu"/>
    <m/>
    <n v="494"/>
    <m/>
    <s v="Pomala"/>
  </r>
  <r>
    <n v="1"/>
    <s v="000331"/>
    <s v="CPO000331MIS"/>
    <s v="DP 8935 UA"/>
    <s v="265/PJB/MIS-WINS/XII/2025"/>
    <s v="PT. MIS / 3 / 600"/>
    <x v="2"/>
    <x v="1"/>
    <s v="6 Roda"/>
    <d v="2025-12-13T00:00:00"/>
    <n v="14050"/>
    <n v="3980"/>
    <n v="10070"/>
    <n v="10030"/>
    <d v="1899-12-30T21:42:00"/>
    <d v="1899-12-30T23:07:00"/>
    <s v="Datu"/>
    <m/>
    <n v="494"/>
    <m/>
    <s v="Pomala"/>
  </r>
  <r>
    <n v="1"/>
    <s v="000332"/>
    <s v="CPO000332MIS"/>
    <s v="DP 8821 GL"/>
    <s v="265/PJB/MIS-WINS/XII/2025"/>
    <s v="PT. MIS / 3 / 600"/>
    <x v="2"/>
    <x v="1"/>
    <s v="6 Roda"/>
    <d v="2025-12-13T00:00:00"/>
    <n v="13330"/>
    <n v="3750"/>
    <n v="9580"/>
    <n v="9560"/>
    <d v="1899-12-30T21:44:00"/>
    <d v="1899-12-30T23:02:00"/>
    <s v="Datu"/>
    <m/>
    <n v="494"/>
    <m/>
    <s v="Pomala"/>
  </r>
  <r>
    <n v="1"/>
    <s v="000315"/>
    <s v="CPO000315JAS"/>
    <s v="DD 8711 XX"/>
    <s v="004/CPO/JM-WINS/XII/2025"/>
    <s v="PT. JAS MULIA / 4 / 500"/>
    <x v="3"/>
    <x v="1"/>
    <s v="10 Roda"/>
    <d v="2025-12-13T00:00:00"/>
    <n v="25080"/>
    <n v="11120"/>
    <n v="13960"/>
    <n v="14210"/>
    <d v="1899-12-30T09:47:00"/>
    <d v="1899-12-30T11:45:00"/>
    <s v="samsira"/>
    <s v="RONI RAKAN"/>
    <n v="68"/>
    <s v="WIL"/>
    <s v="Bone Bone"/>
  </r>
  <r>
    <n v="1"/>
    <s v="000316"/>
    <s v="CPO000316KMP"/>
    <s v="BM 8315 QO"/>
    <s v="KMP03112025"/>
    <s v="PT. KMP / 4 / 500"/>
    <x v="1"/>
    <x v="1"/>
    <s v="12 Roda"/>
    <d v="2025-12-13T00:00:00"/>
    <n v="45990"/>
    <n v="17770"/>
    <n v="28220"/>
    <n v="28240"/>
    <d v="1899-12-30T09:54:00"/>
    <d v="1899-12-30T11:34:00"/>
    <s v="samsira"/>
    <s v="IQBAL"/>
    <n v="53"/>
    <s v="WIL"/>
    <s v="Masamba"/>
  </r>
  <r>
    <n v="1"/>
    <s v="000317"/>
    <s v="CPO000317KMP"/>
    <s v="DD 9236 XX"/>
    <s v="KMP03112025"/>
    <s v="PT. KMP / 4 / 500"/>
    <x v="1"/>
    <x v="1"/>
    <s v="12 Roda"/>
    <d v="2025-12-13T00:00:00"/>
    <n v="46000"/>
    <n v="17920"/>
    <n v="28080"/>
    <n v="28100"/>
    <d v="1899-12-30T09:56:00"/>
    <d v="1899-12-30T11:31:00"/>
    <s v="samsira"/>
    <s v="IBRAHIM"/>
    <n v="53"/>
    <s v="WIL"/>
    <s v="Masamba"/>
  </r>
  <r>
    <n v="1"/>
    <s v="000318"/>
    <s v="CPO000318JAS"/>
    <s v="B 1918 SXX"/>
    <s v="004/CPO/JM-WINS/XII/2025"/>
    <s v="PT. JAS MULIA / 4 / 500"/>
    <x v="3"/>
    <x v="1"/>
    <s v="10 Roda"/>
    <d v="2025-12-13T00:00:00"/>
    <n v="26610"/>
    <n v="11860"/>
    <n v="14750"/>
    <n v="14710"/>
    <d v="1899-12-30T09:58:00"/>
    <d v="1899-12-30T11:57:00"/>
    <s v="samsira"/>
    <s v="WALDI"/>
    <n v="68"/>
    <s v="WIL"/>
    <s v="Bone Bone"/>
  </r>
  <r>
    <n v="1"/>
    <s v="000319"/>
    <s v="CPO000319JAS"/>
    <s v="BH 8459 MY"/>
    <s v="004/CPO/JM-WINS/XII/2025"/>
    <s v="PT. JAS MULIA / 4 / 500"/>
    <x v="3"/>
    <x v="1"/>
    <s v="10 Roda"/>
    <d v="2025-12-13T00:00:00"/>
    <n v="26590"/>
    <n v="12270"/>
    <n v="14320"/>
    <n v="14430"/>
    <d v="1899-12-30T10:27:00"/>
    <d v="1899-12-30T13:39:00"/>
    <s v="samsira"/>
    <s v="ERWIN"/>
    <n v="68"/>
    <s v="WIL"/>
    <s v="Bone Bone"/>
  </r>
  <r>
    <n v="1"/>
    <s v="000320"/>
    <s v="CPO000320JAS"/>
    <s v="DD 8711 XX"/>
    <s v="004/CPO/JM-WINS/XII/2025"/>
    <s v="PT. JAS MULIA / 4 / 500"/>
    <x v="3"/>
    <x v="1"/>
    <s v="10 Roda"/>
    <d v="2025-12-13T00:00:00"/>
    <n v="25010"/>
    <n v="10770"/>
    <n v="14240"/>
    <n v="13900"/>
    <d v="1899-12-30T16:12:00"/>
    <d v="1899-12-30T17:33:00"/>
    <s v="Datu"/>
    <s v="RONI RAKAN"/>
    <n v="68"/>
    <s v="WIL"/>
    <s v="Bone Bone"/>
  </r>
  <r>
    <n v="1"/>
    <s v="000321"/>
    <s v="CPO000321KMP"/>
    <s v="DD 9236 XX"/>
    <s v="KMP03112025"/>
    <s v="PT. KMP / 4 / 500"/>
    <x v="1"/>
    <x v="1"/>
    <s v="12 Roda"/>
    <d v="2025-12-13T00:00:00"/>
    <n v="45900"/>
    <n v="17860"/>
    <n v="28040"/>
    <n v="27980"/>
    <d v="1899-12-30T16:17:00"/>
    <d v="1899-12-30T17:18:00"/>
    <s v="Datu"/>
    <s v="IBRAHIM"/>
    <n v="53"/>
    <s v="WIL"/>
    <s v="Masamba"/>
  </r>
  <r>
    <n v="1"/>
    <s v="000322"/>
    <s v="CPO000322KMP"/>
    <s v="BM 8315 QO"/>
    <s v="KMP03112025"/>
    <s v="PT. KMP / 4 / 500"/>
    <x v="1"/>
    <x v="1"/>
    <s v="12 Roda"/>
    <d v="2025-12-13T00:00:00"/>
    <n v="45810"/>
    <n v="17680"/>
    <n v="28130"/>
    <n v="28060"/>
    <d v="1899-12-30T16:21:00"/>
    <d v="1899-12-30T17:20:00"/>
    <s v="samsira"/>
    <s v="IQBAL"/>
    <n v="53"/>
    <s v="WIL"/>
    <s v="Masamba"/>
  </r>
  <r>
    <n v="1"/>
    <s v="000325"/>
    <s v="CPO000325JAS"/>
    <s v="B 1918 SXX"/>
    <s v="004/CPO/JM-WINS/XII/2025"/>
    <s v="PT. JAS MULIA / 4 / 500"/>
    <x v="3"/>
    <x v="1"/>
    <s v="10 Roda"/>
    <d v="2025-12-13T00:00:00"/>
    <n v="26510"/>
    <n v="11820"/>
    <n v="14690"/>
    <n v="14680"/>
    <d v="1899-12-30T16:37:00"/>
    <d v="1899-12-30T17:38:00"/>
    <s v="samsira"/>
    <s v="WALDI"/>
    <n v="68"/>
    <s v="WIL"/>
    <s v="Bone Bone"/>
  </r>
  <r>
    <n v="1"/>
    <s v="000328"/>
    <s v="CPO000328JAS"/>
    <s v="BH 8459 MY"/>
    <s v="004/CPO/JM-WINS/XII/2025"/>
    <s v="PT. JAS MULIA / 4 / 500"/>
    <x v="3"/>
    <x v="1"/>
    <s v="10 Roda"/>
    <d v="2025-12-13T00:00:00"/>
    <n v="26690"/>
    <n v="12210"/>
    <n v="14480"/>
    <n v="14430"/>
    <d v="1899-12-30T18:05:00"/>
    <d v="1899-12-30T18:56:00"/>
    <s v="samsira"/>
    <s v="ERWIN"/>
    <n v="68"/>
    <s v="WIL"/>
    <s v="Bone Bone"/>
  </r>
  <r>
    <n v="1"/>
    <s v="000333"/>
    <s v="CPO000333MIS"/>
    <s v="DP 8076 TE"/>
    <s v="265/PJB/MIS-WINS/XII/2025"/>
    <s v="PT. MIS / 3 / 600"/>
    <x v="2"/>
    <x v="1"/>
    <s v="6 Roda"/>
    <d v="2025-12-15T00:00:00"/>
    <n v="14140"/>
    <n v="4190"/>
    <n v="9950"/>
    <n v="10000"/>
    <d v="1899-12-30T07:59:00"/>
    <d v="1899-12-30T09:08:00"/>
    <s v="samsira"/>
    <m/>
    <n v="494"/>
    <m/>
    <s v="Pomala"/>
  </r>
  <r>
    <n v="1"/>
    <s v="000334"/>
    <s v="CPO000334MIS"/>
    <s v="DN 8492 CU"/>
    <s v="265/PJB/MIS-WINS/XII/2025"/>
    <s v="PT. MIS / 3 / 600"/>
    <x v="2"/>
    <x v="1"/>
    <s v="6 Roda"/>
    <d v="2025-12-15T00:00:00"/>
    <n v="13620"/>
    <n v="3980"/>
    <n v="9640"/>
    <n v="9590"/>
    <d v="1899-12-30T08:01:00"/>
    <d v="1899-12-30T09:09:00"/>
    <s v="samsira"/>
    <m/>
    <n v="494"/>
    <m/>
    <s v="Pomala"/>
  </r>
  <r>
    <n v="1"/>
    <s v="000335"/>
    <s v="CPO000335MIS"/>
    <s v="DP 8004 GJ"/>
    <s v="265/PJB/MIS-WINS/XII/2025"/>
    <s v="PT. MIS / 3 / 600"/>
    <x v="2"/>
    <x v="1"/>
    <s v="6 Roda"/>
    <d v="2025-12-15T00:00:00"/>
    <n v="13540"/>
    <n v="4090"/>
    <n v="9450"/>
    <n v="9390"/>
    <d v="1899-12-30T08:02:00"/>
    <d v="1899-12-30T09:45:00"/>
    <s v="samsira"/>
    <m/>
    <n v="494"/>
    <m/>
    <s v="Pomala"/>
  </r>
  <r>
    <n v="1"/>
    <s v="000336"/>
    <s v="CPO000336MIS"/>
    <s v="DP 9826 GA"/>
    <s v="265/PJB/MIS-WINS/XII/2025"/>
    <s v="PT. MIS / 3 / 600"/>
    <x v="2"/>
    <x v="1"/>
    <s v="6 Roda"/>
    <d v="2025-12-15T00:00:00"/>
    <n v="13940"/>
    <n v="4040"/>
    <n v="9900"/>
    <n v="9870"/>
    <d v="1899-12-30T08:03:00"/>
    <d v="1899-12-30T09:57:00"/>
    <s v="samsira"/>
    <m/>
    <n v="494"/>
    <m/>
    <s v="Pomala"/>
  </r>
  <r>
    <n v="1"/>
    <s v="000337"/>
    <s v="CPO000337MIS"/>
    <s v="DP 8994 GH"/>
    <s v="265/PJB/MIS-WINS/XII/2025"/>
    <s v="PT. MIS / 3 / 600"/>
    <x v="2"/>
    <x v="1"/>
    <s v="6 Roda"/>
    <d v="2025-12-15T00:00:00"/>
    <n v="13520"/>
    <n v="3940"/>
    <n v="9580"/>
    <n v="9630"/>
    <d v="1899-12-30T09:15:00"/>
    <d v="1899-12-30T10:09:00"/>
    <s v="samsira"/>
    <m/>
    <n v="494"/>
    <m/>
    <s v="Pomala"/>
  </r>
  <r>
    <n v="1"/>
    <s v="000338"/>
    <s v="CPO000338MIS"/>
    <s v="DP 9859 GA"/>
    <s v="265/PJB/MIS-WINS/XII/2025"/>
    <s v="PT. MIS / 3 / 600"/>
    <x v="2"/>
    <x v="1"/>
    <s v="6 Roda"/>
    <d v="2025-12-15T00:00:00"/>
    <n v="14320"/>
    <n v="4250"/>
    <n v="10070"/>
    <n v="10040"/>
    <d v="1899-12-30T09:16:00"/>
    <d v="1899-12-30T09:50:00"/>
    <s v="samsira"/>
    <m/>
    <n v="494"/>
    <m/>
    <s v="Pomala"/>
  </r>
  <r>
    <n v="1"/>
    <s v="000339"/>
    <s v="CPO000339MIS"/>
    <s v="DP 8951 GB"/>
    <s v="265/PJB/MIS-WINS/XII/2025"/>
    <s v="PT. MIS / 3 / 600"/>
    <x v="2"/>
    <x v="1"/>
    <s v="6 Roda"/>
    <d v="2025-12-15T00:00:00"/>
    <n v="13750"/>
    <n v="4090"/>
    <n v="9660"/>
    <n v="9620"/>
    <d v="1899-12-30T09:21:00"/>
    <d v="1899-12-30T10:23:00"/>
    <s v="samsira"/>
    <m/>
    <n v="494"/>
    <m/>
    <s v="Pomala"/>
  </r>
  <r>
    <n v="1"/>
    <s v="000340"/>
    <s v="CPO000340MIS"/>
    <s v="DP 8674 GC"/>
    <s v="265/PJB/MIS-WINS/XII/2025"/>
    <s v="PT. MIS / 3 / 600"/>
    <x v="2"/>
    <x v="1"/>
    <s v="6 Roda"/>
    <d v="2025-12-15T00:00:00"/>
    <n v="13850"/>
    <n v="3920"/>
    <n v="9930"/>
    <n v="9900"/>
    <d v="1899-12-30T09:23:00"/>
    <d v="1899-12-30T10:33:00"/>
    <s v="samsira"/>
    <m/>
    <n v="494"/>
    <m/>
    <s v="Pomala"/>
  </r>
  <r>
    <n v="1"/>
    <s v="000341"/>
    <s v="CPO000341MIS"/>
    <s v="DP 8036 GK"/>
    <s v="265/PJB/MIS-WINS/XII/2025"/>
    <s v="PT. MIS / 3 / 600"/>
    <x v="2"/>
    <x v="1"/>
    <s v="6 Roda"/>
    <d v="2025-12-15T00:00:00"/>
    <n v="13450"/>
    <n v="4010"/>
    <n v="9440"/>
    <n v="9420"/>
    <d v="1899-12-30T09:44:00"/>
    <d v="1899-12-30T10:27:00"/>
    <s v="samsira"/>
    <m/>
    <n v="494"/>
    <m/>
    <s v="Pomala"/>
  </r>
  <r>
    <n v="1"/>
    <s v="000346"/>
    <s v="CPO000346MIS"/>
    <s v="DP 8662 GH"/>
    <s v="265/PJB/MIS-WINS/XII/2025"/>
    <s v="PT. MIS / 3 / 600"/>
    <x v="2"/>
    <x v="1"/>
    <s v="6 Roda"/>
    <d v="2025-12-15T00:00:00"/>
    <n v="14040"/>
    <n v="3910"/>
    <n v="10130"/>
    <n v="10130"/>
    <d v="1899-12-30T21:19:00"/>
    <d v="1899-12-30T21:54:00"/>
    <s v="samsira"/>
    <m/>
    <n v="494"/>
    <m/>
    <s v="Pomala"/>
  </r>
  <r>
    <n v="1"/>
    <s v="000342"/>
    <s v="CPO000342KMP"/>
    <s v="DD 9236 XX"/>
    <s v="KMP03112025"/>
    <s v="PT. KMP / 4 / 500"/>
    <x v="1"/>
    <x v="1"/>
    <s v="12 Roda"/>
    <d v="2025-12-15T00:00:00"/>
    <n v="45880"/>
    <n v="17890"/>
    <n v="27990"/>
    <n v="28040"/>
    <d v="1899-12-30T11:07:00"/>
    <d v="1899-12-30T12:16:00"/>
    <s v="Datu"/>
    <s v="IBRAHIM"/>
    <n v="53"/>
    <s v="WIL"/>
    <s v="Masamba"/>
  </r>
  <r>
    <n v="1"/>
    <s v="000343"/>
    <s v="CPO000343KMP"/>
    <s v="BM 8315 QO"/>
    <s v="KMP03112025"/>
    <s v="PT. KMP / 4 / 500"/>
    <x v="1"/>
    <x v="1"/>
    <s v="12 Roda"/>
    <d v="2025-12-15T00:00:00"/>
    <n v="45780"/>
    <n v="17660"/>
    <n v="28120"/>
    <n v="28100"/>
    <d v="1899-12-30T12:31:00"/>
    <d v="1899-12-30T14:55:00"/>
    <s v="Datu"/>
    <s v="IQBAL"/>
    <n v="53"/>
    <s v="WIL"/>
    <s v="Masamba"/>
  </r>
  <r>
    <n v="1"/>
    <s v="000344"/>
    <s v="CPO000344JAS"/>
    <s v="BH 8459 MY"/>
    <s v="004/CPO/JM-WINS/XII/2025"/>
    <s v="PT. JAS MULIA / 4 / 500"/>
    <x v="3"/>
    <x v="1"/>
    <s v="10 Roda"/>
    <d v="2025-12-15T00:00:00"/>
    <n v="26610"/>
    <n v="12150"/>
    <n v="14460"/>
    <n v="14400"/>
    <d v="1899-12-30T16:54:00"/>
    <d v="1899-12-30T17:43:00"/>
    <s v="Datu"/>
    <s v="ERWIN"/>
    <n v="68"/>
    <s v="WIL"/>
    <s v="Bone Bone"/>
  </r>
  <r>
    <n v="1"/>
    <s v="000345"/>
    <s v="CPO000345JAS"/>
    <s v="DD 8711 XX"/>
    <s v="004/CPO/JM-WINS/XII/2025"/>
    <s v="PT. JAS MULIA / 4 / 500"/>
    <x v="3"/>
    <x v="1"/>
    <s v="10 Roda"/>
    <d v="2025-12-15T00:00:00"/>
    <n v="24970"/>
    <n v="10730"/>
    <n v="14240"/>
    <n v="14190"/>
    <d v="1899-12-30T17:47:00"/>
    <d v="1899-12-30T19:21:00"/>
    <s v="Datu"/>
    <s v="RONI RAKAN"/>
    <n v="68"/>
    <s v="WIL"/>
    <s v="Bone Bone"/>
  </r>
  <r>
    <n v="1"/>
    <s v="000350"/>
    <s v="CPO000350PN"/>
    <s v="DD 8711 XX"/>
    <s v="249/KPBN/TRD/CPO-L/WINS/XI/2025"/>
    <s v="PT. PN / 4 / 500"/>
    <x v="4"/>
    <x v="1"/>
    <s v="10 Roda"/>
    <d v="2025-12-16T00:00:00"/>
    <n v="25070"/>
    <n v="10890"/>
    <n v="14180"/>
    <n v="14230"/>
    <d v="1899-12-30T13:20:00"/>
    <d v="1899-12-30T14:59:00"/>
    <s v="Datu"/>
    <s v="RONI RAKAN"/>
    <n v="99"/>
    <m/>
    <s v="Burau"/>
  </r>
  <r>
    <n v="1"/>
    <s v="000351"/>
    <s v="CPO000351PN"/>
    <s v="DD 9236 XX"/>
    <s v="249/KPBN/TRD/CPO-L/WINS/XI/2025"/>
    <s v="PT. PN / 4 / 500"/>
    <x v="4"/>
    <x v="1"/>
    <s v="12 Roda"/>
    <d v="2025-12-16T00:00:00"/>
    <n v="45740"/>
    <n v="17780"/>
    <n v="27960"/>
    <n v="28000"/>
    <d v="1899-12-30T13:26:00"/>
    <d v="1899-12-30T15:06:00"/>
    <s v="Datu"/>
    <s v="IBRAHIM"/>
    <n v="99"/>
    <m/>
    <s v="Burau"/>
  </r>
  <r>
    <n v="1"/>
    <s v="000352"/>
    <s v="CPO000352PN"/>
    <s v="BH 8459 MY"/>
    <s v="249/KPBN/TRD/CPO-L/WINS/XI/2025"/>
    <s v="PT. PN / 4 / 500"/>
    <x v="4"/>
    <x v="1"/>
    <s v="10 Roda"/>
    <d v="2025-12-16T00:00:00"/>
    <n v="26550"/>
    <n v="12150"/>
    <n v="14400"/>
    <n v="14480"/>
    <d v="1899-12-30T14:25:00"/>
    <d v="1899-12-30T16:10:00"/>
    <s v="Datu"/>
    <s v="ERWIN"/>
    <n v="99"/>
    <m/>
    <s v="Burau"/>
  </r>
  <r>
    <n v="1"/>
    <s v="000353"/>
    <s v="CPO000353PN"/>
    <s v="B 1918 SXX"/>
    <s v="249/KPBN/TRD/CPO-L/WINS/XI/2025"/>
    <s v="PT. PN / 4 / 500"/>
    <x v="4"/>
    <x v="1"/>
    <s v="10 Roda"/>
    <d v="2025-12-16T00:00:00"/>
    <n v="26630"/>
    <n v="11870"/>
    <n v="14760"/>
    <n v="14780"/>
    <d v="1899-12-30T14:30:00"/>
    <d v="1899-12-30T15:57:00"/>
    <s v="Datu"/>
    <s v="WALDI"/>
    <n v="99"/>
    <m/>
    <s v="Burau"/>
  </r>
  <r>
    <n v="1"/>
    <s v="000354"/>
    <s v="CPO000354PN"/>
    <s v="BM 8315 QO"/>
    <s v="249/KPBN/TRD/CPO-L/WINS/XI/2025"/>
    <s v="PT. PN / 4 / 500"/>
    <x v="4"/>
    <x v="1"/>
    <s v="12 Roda"/>
    <d v="2025-12-16T00:00:00"/>
    <n v="45720"/>
    <n v="17660"/>
    <n v="28060"/>
    <n v="28210"/>
    <d v="1899-12-30T14:34:00"/>
    <d v="1899-12-30T15:40:00"/>
    <s v="Datu"/>
    <s v="IQBAL"/>
    <n v="99"/>
    <m/>
    <s v="Burau"/>
  </r>
  <r>
    <n v="1"/>
    <s v="000347"/>
    <s v="CPO000347MIS"/>
    <s v="DP 8762 GH"/>
    <s v="265/PJB/MIS-WINS/XII/2025"/>
    <s v="PT. MIS / 3 / 600"/>
    <x v="2"/>
    <x v="1"/>
    <s v="6 Roda"/>
    <d v="2025-12-16T00:00:00"/>
    <n v="13190"/>
    <n v="3800"/>
    <n v="9390"/>
    <n v="9380"/>
    <d v="1899-12-30T08:12:00"/>
    <d v="1899-12-30T09:05:00"/>
    <s v="Datu"/>
    <m/>
    <n v="494"/>
    <m/>
    <s v="Pomala"/>
  </r>
  <r>
    <n v="1"/>
    <s v="000348"/>
    <s v="CPO000348MIS"/>
    <s v="DD 8574 YE"/>
    <s v="265/PJB/MIS-WINS/XII/2025"/>
    <s v="PT. MIS / 3 / 600"/>
    <x v="2"/>
    <x v="1"/>
    <s v="6 Roda"/>
    <d v="2025-12-16T00:00:00"/>
    <n v="13610"/>
    <n v="3960"/>
    <n v="9650"/>
    <n v="9610"/>
    <d v="1899-12-30T08:15:00"/>
    <d v="1899-12-30T09:13:00"/>
    <s v="Datu"/>
    <m/>
    <n v="494"/>
    <m/>
    <s v="Pomala"/>
  </r>
  <r>
    <n v="1"/>
    <s v="000349"/>
    <s v="CPO000349MIS"/>
    <s v="DP 8798 GH"/>
    <s v="265/PJB/MIS-WINS/XII/2025"/>
    <s v="PT. MIS / 3 / 600"/>
    <x v="2"/>
    <x v="1"/>
    <s v="6 Roda"/>
    <d v="2025-12-16T00:00:00"/>
    <n v="13460"/>
    <n v="3960"/>
    <n v="9500"/>
    <n v="9470"/>
    <d v="1899-12-30T08:18:00"/>
    <d v="1899-12-30T09:16:00"/>
    <s v="Datu"/>
    <m/>
    <n v="494"/>
    <m/>
    <s v="Pomala"/>
  </r>
  <r>
    <n v="1"/>
    <s v="000355"/>
    <s v="CPO000355MIS"/>
    <s v="DP 8821 GL"/>
    <s v="265/PJB/MIS-WINS/XII/2025"/>
    <s v="PT. MIS / 3 / 600"/>
    <x v="2"/>
    <x v="1"/>
    <s v="6 Roda"/>
    <d v="2025-12-16T00:00:00"/>
    <n v="13320"/>
    <n v="3750"/>
    <n v="9570"/>
    <n v="9550"/>
    <d v="1899-12-30T21:44:00"/>
    <d v="1899-12-30T22:24:00"/>
    <s v="samsira"/>
    <m/>
    <n v="494"/>
    <m/>
    <s v="Pomala"/>
  </r>
  <r>
    <n v="1"/>
    <s v="000365"/>
    <s v="CPO000365MIS"/>
    <s v="DP 8004 GJ"/>
    <s v="265/PJB/MIS-WINS/XII/2025"/>
    <s v="PT. MIS / 3 / 600"/>
    <x v="2"/>
    <x v="1"/>
    <s v="6 Roda"/>
    <d v="2025-12-16T00:00:00"/>
    <n v="13480"/>
    <n v="4090"/>
    <n v="9390"/>
    <n v="9360"/>
    <d v="1899-12-30T16:42:00"/>
    <d v="1899-12-30T17:24:00"/>
    <s v="Datu"/>
    <m/>
    <n v="494"/>
    <m/>
    <s v="Pomala"/>
  </r>
  <r>
    <n v="1"/>
    <s v="000359"/>
    <s v="CPO000359PN"/>
    <s v="DD 8711 XX"/>
    <s v="249/KPBN/TRD/CPO-L/WINS/XI/2025"/>
    <s v="PT. PN / 4 / 500"/>
    <x v="4"/>
    <x v="1"/>
    <s v="10 Roda"/>
    <d v="2025-12-17T00:00:00"/>
    <n v="25010"/>
    <n v="10860"/>
    <n v="14150"/>
    <n v="14210"/>
    <d v="1899-12-30T14:43:00"/>
    <d v="1899-12-30T16:33:00"/>
    <s v="Datu"/>
    <s v="RONI RAKAN"/>
    <n v="99"/>
    <m/>
    <s v="Burau"/>
  </r>
  <r>
    <n v="1"/>
    <s v="000360"/>
    <s v="CPO000360PN"/>
    <s v="BH 8459 MY"/>
    <s v="249/KPBN/TRD/CPO-L/WINS/XI/2025"/>
    <s v="PT. PN / 4 / 500"/>
    <x v="4"/>
    <x v="1"/>
    <s v="10 Roda"/>
    <d v="2025-12-17T00:00:00"/>
    <n v="26640"/>
    <n v="12260"/>
    <n v="14380"/>
    <n v="14400"/>
    <d v="1899-12-30T14:48:00"/>
    <d v="1899-12-30T16:40:00"/>
    <s v="Datu"/>
    <s v="ERWIN"/>
    <n v="99"/>
    <m/>
    <s v="Burau"/>
  </r>
  <r>
    <n v="1"/>
    <s v="000361"/>
    <s v="CPO000361PN"/>
    <s v="BM 8315 QO"/>
    <s v="249/KPBN/TRD/CPO-L/WINS/XI/2025"/>
    <s v="PT. PN / 4 / 500"/>
    <x v="4"/>
    <x v="1"/>
    <s v="12 Roda"/>
    <d v="2025-12-17T00:00:00"/>
    <n v="45840"/>
    <n v="17820"/>
    <n v="28020"/>
    <n v="28110"/>
    <d v="1899-12-30T14:58:00"/>
    <d v="1899-12-30T16:30:00"/>
    <s v="Datu"/>
    <s v="IQBAL"/>
    <n v="99"/>
    <m/>
    <s v="Burau"/>
  </r>
  <r>
    <n v="1"/>
    <s v="000362"/>
    <s v="CPO000362PN"/>
    <s v="B 1918 SXX"/>
    <s v="249/KPBN/TRD/CPO-L/WINS/XI/2025"/>
    <s v="PT. PN / 4 / 500"/>
    <x v="4"/>
    <x v="1"/>
    <s v="10 Roda"/>
    <d v="2025-12-17T00:00:00"/>
    <n v="26550"/>
    <n v="11870"/>
    <n v="14680"/>
    <n v="14760"/>
    <d v="1899-12-30T15:06:00"/>
    <d v="1899-12-30T17:43:00"/>
    <s v="Datu"/>
    <s v="WALDI"/>
    <n v="99"/>
    <m/>
    <s v="Burau"/>
  </r>
  <r>
    <n v="1"/>
    <s v="000363"/>
    <s v="CPO000363PN"/>
    <s v="DD 9236 XX"/>
    <s v="249/KPBN/TRD/CPO-L/WINS/XI/2025"/>
    <s v="PT. PN / 4 / 500"/>
    <x v="4"/>
    <x v="1"/>
    <s v="12 Roda"/>
    <d v="2025-12-17T00:00:00"/>
    <n v="45880"/>
    <n v="17920"/>
    <n v="27960"/>
    <n v="27990"/>
    <d v="1899-12-30T15:41:00"/>
    <d v="1899-12-30T16:57:00"/>
    <s v="Datu"/>
    <s v="IBRAHIM"/>
    <n v="99"/>
    <m/>
    <s v="Burau"/>
  </r>
  <r>
    <n v="1"/>
    <s v="000356"/>
    <s v="CPO000356MIS"/>
    <s v="DP 8862 GG"/>
    <s v="265/PJB/MIS-WINS/XII/2025"/>
    <s v="PT. MIS / 3 / 600"/>
    <x v="2"/>
    <x v="1"/>
    <s v="6 Roda"/>
    <d v="2025-12-17T00:00:00"/>
    <n v="13370"/>
    <n v="3630"/>
    <n v="9740"/>
    <n v="9690"/>
    <d v="1899-12-30T09:19:00"/>
    <d v="1899-12-30T10:29:00"/>
    <s v="Datu"/>
    <m/>
    <n v="494"/>
    <m/>
    <s v="Pomala"/>
  </r>
  <r>
    <n v="1"/>
    <s v="000357"/>
    <s v="CPO000357MIS"/>
    <s v="DP 9846 GA"/>
    <s v="265/PJB/MIS-WINS/XII/2025"/>
    <s v="PT. MIS / 3 / 600"/>
    <x v="2"/>
    <x v="1"/>
    <s v="6 Roda"/>
    <d v="2025-12-17T00:00:00"/>
    <n v="13120"/>
    <n v="3660"/>
    <n v="9460"/>
    <n v="9500"/>
    <d v="1899-12-30T09:22:00"/>
    <d v="1899-12-30T10:26:00"/>
    <s v="Datu"/>
    <m/>
    <n v="494"/>
    <m/>
    <s v="Pomala"/>
  </r>
  <r>
    <n v="1"/>
    <s v="000358"/>
    <s v="CPO000358MIS"/>
    <s v="DP 8928 GM"/>
    <s v="265/PJB/MIS-WINS/XII/2025"/>
    <s v="PT. MIS / 3 / 600"/>
    <x v="2"/>
    <x v="1"/>
    <s v="6 Roda"/>
    <d v="2025-12-17T00:00:00"/>
    <n v="14090"/>
    <n v="4120"/>
    <n v="9970"/>
    <n v="9930"/>
    <d v="1899-12-30T09:23:00"/>
    <d v="1899-12-30T10:32:00"/>
    <s v="Datu"/>
    <m/>
    <n v="494"/>
    <m/>
    <s v="Pomala"/>
  </r>
  <r>
    <n v="1"/>
    <s v="000364"/>
    <s v="CPO000364MIS"/>
    <s v="DP 9859 GA"/>
    <s v="265/PJB/MIS-WINS/XII/2025"/>
    <s v="PT. MIS / 3 / 600"/>
    <x v="2"/>
    <x v="1"/>
    <s v="6 Roda"/>
    <d v="2025-12-17T00:00:00"/>
    <n v="14150"/>
    <n v="4270"/>
    <n v="9880"/>
    <n v="9930"/>
    <d v="1899-12-30T16:23:00"/>
    <d v="1899-12-30T17:09:00"/>
    <s v="Datu"/>
    <m/>
    <n v="494"/>
    <m/>
    <s v="Pomala"/>
  </r>
  <r>
    <n v="1"/>
    <s v="000366"/>
    <s v="CPO000366MIS"/>
    <s v="DP 8446 GC"/>
    <s v="265/PJB/MIS-WINS/XII/2025"/>
    <s v="PT. MIS / 3 / 600"/>
    <x v="2"/>
    <x v="1"/>
    <s v="6 Roda"/>
    <d v="2025-12-17T00:00:00"/>
    <n v="13410"/>
    <n v="3950"/>
    <n v="9460"/>
    <n v="9430"/>
    <d v="1899-12-30T21:20:00"/>
    <d v="1899-12-30T21:59:00"/>
    <s v="Datu"/>
    <m/>
    <n v="494"/>
    <m/>
    <s v="Pomala"/>
  </r>
  <r>
    <n v="1"/>
    <s v="000377"/>
    <s v="CPO000377PN"/>
    <s v="DD 9236 XX"/>
    <s v="249/KPBN/TRD/CPO-L/WINS/XI/2025"/>
    <s v="PT. PN / 4 / 500"/>
    <x v="4"/>
    <x v="1"/>
    <s v="12 Roda"/>
    <d v="2025-12-18T00:00:00"/>
    <n v="45850"/>
    <n v="18170"/>
    <n v="27680"/>
    <n v="28040"/>
    <d v="1899-12-30T19:07:00"/>
    <d v="1899-12-30T20:26:00"/>
    <s v="samsira"/>
    <s v="IBRAHIM"/>
    <n v="99"/>
    <m/>
    <s v="Burau"/>
  </r>
  <r>
    <n v="1"/>
    <s v="000367"/>
    <s v="CPO000367MIS"/>
    <s v="DP 8935 UA"/>
    <s v="265/PJB/MIS-WINS/XII/2025"/>
    <s v="PT. MIS / 3 / 600"/>
    <x v="2"/>
    <x v="1"/>
    <s v="6 Roda"/>
    <d v="2025-12-18T00:00:00"/>
    <n v="13920"/>
    <n v="4150"/>
    <n v="9770"/>
    <n v="9910"/>
    <d v="1899-12-30T08:12:00"/>
    <d v="1899-12-30T09:14:00"/>
    <s v="Datu"/>
    <m/>
    <n v="494"/>
    <m/>
    <s v="Pomala"/>
  </r>
  <r>
    <n v="1"/>
    <s v="000368"/>
    <s v="CPO000368MIS"/>
    <s v="DD 8983 UC"/>
    <s v="265/PJB/MIS-WINS/XII/2025"/>
    <s v="PT. MIS / 3 / 600"/>
    <x v="2"/>
    <x v="1"/>
    <s v="6 Roda"/>
    <d v="2025-12-18T00:00:00"/>
    <n v="14440"/>
    <n v="4420"/>
    <n v="10020"/>
    <n v="10070"/>
    <d v="1899-12-30T08:14:00"/>
    <d v="1899-12-30T09:27:00"/>
    <s v="Datu"/>
    <m/>
    <n v="494"/>
    <m/>
    <s v="Pomala"/>
  </r>
  <r>
    <n v="1"/>
    <s v="000369"/>
    <s v="CPO000369MIS"/>
    <s v="DP 8746 GC"/>
    <s v="265/PJB/MIS-WINS/XII/2025"/>
    <s v="PT. MIS / 3 / 600"/>
    <x v="2"/>
    <x v="1"/>
    <s v="6 Roda"/>
    <d v="2025-12-18T00:00:00"/>
    <n v="13730"/>
    <n v="3960"/>
    <n v="9770"/>
    <n v="9750"/>
    <d v="1899-12-30T08:22:00"/>
    <d v="1899-12-30T09:20:00"/>
    <s v="Datu"/>
    <m/>
    <n v="494"/>
    <m/>
    <s v="Pomala"/>
  </r>
  <r>
    <n v="1"/>
    <s v="000370"/>
    <s v="CPO000370MIS"/>
    <s v="DP 8036 GK"/>
    <s v="265/PJB/MIS-WINS/XII/2025"/>
    <s v="PT. MIS / 3 / 600"/>
    <x v="2"/>
    <x v="1"/>
    <s v="6 Roda"/>
    <d v="2025-12-18T00:00:00"/>
    <n v="13380"/>
    <n v="4040"/>
    <n v="9340"/>
    <n v="9300"/>
    <d v="1899-12-30T08:27:00"/>
    <d v="1899-12-30T09:19:00"/>
    <s v="Datu"/>
    <m/>
    <n v="494"/>
    <m/>
    <s v="Pomala"/>
  </r>
  <r>
    <n v="1"/>
    <s v="000371"/>
    <s v="CPO000371MIS"/>
    <s v="DP 8951 GB"/>
    <s v="265/PJB/MIS-WINS/XII/2025"/>
    <s v="PT. MIS / 3 / 600"/>
    <x v="2"/>
    <x v="1"/>
    <s v="6 Roda"/>
    <d v="2025-12-18T00:00:00"/>
    <n v="13670"/>
    <n v="4140"/>
    <n v="9530"/>
    <n v="9520"/>
    <d v="1899-12-30T08:28:00"/>
    <d v="1899-12-30T09:47:00"/>
    <s v="Datu"/>
    <m/>
    <n v="494"/>
    <m/>
    <s v="Pomala"/>
  </r>
  <r>
    <n v="1"/>
    <s v="000378"/>
    <s v="CPO000378PN"/>
    <s v="DD 8711 XX"/>
    <s v="249/KPBN/TRD/CPO-L/WINS/XI/2025"/>
    <s v="PT. PN / 4 / 500"/>
    <x v="4"/>
    <x v="1"/>
    <s v="10 Roda"/>
    <d v="2025-12-18T00:00:00"/>
    <n v="25010"/>
    <n v="10850"/>
    <n v="14160"/>
    <n v="14120"/>
    <d v="1899-12-30T19:09:00"/>
    <d v="1899-12-30T20:54:00"/>
    <s v="samsira"/>
    <s v="RONI RAKAN"/>
    <n v="99"/>
    <m/>
    <s v="Burau"/>
  </r>
  <r>
    <n v="1"/>
    <s v="000379"/>
    <s v="CPO000379PN"/>
    <s v="B 1918 SXX"/>
    <s v="249/KPBN/TRD/CPO-L/WINS/XI/2025"/>
    <s v="PT. PN / 4 / 500"/>
    <x v="4"/>
    <x v="1"/>
    <s v="10 Roda"/>
    <d v="2025-12-18T00:00:00"/>
    <n v="26600"/>
    <n v="11870"/>
    <n v="14730"/>
    <n v="14780"/>
    <d v="1899-12-30T19:41:00"/>
    <d v="1899-12-30T21:03:00"/>
    <s v="samsira"/>
    <s v="WALDI"/>
    <n v="99"/>
    <m/>
    <s v="Burau"/>
  </r>
  <r>
    <n v="1"/>
    <s v="000380"/>
    <s v="CPO000380PN"/>
    <s v="BH 8459 MY"/>
    <s v="249/KPBN/TRD/CPO-L/WINS/XI/2025"/>
    <s v="PT. PN / 4 / 500"/>
    <x v="4"/>
    <x v="1"/>
    <s v="10 Roda"/>
    <d v="2025-12-18T00:00:00"/>
    <n v="26560"/>
    <n v="12150"/>
    <n v="14410"/>
    <n v="14420"/>
    <d v="1899-12-30T19:46:00"/>
    <d v="1899-12-30T22:06:00"/>
    <s v="samsira"/>
    <s v="ERWIN"/>
    <n v="99"/>
    <m/>
    <s v="Burau"/>
  </r>
  <r>
    <n v="1"/>
    <s v="000381"/>
    <s v="CPO000381PN"/>
    <s v="BM 8315 QO"/>
    <s v="249/KPBN/TRD/CPO-L/WINS/XI/2025"/>
    <s v="PT. PN / 4 / 500"/>
    <x v="4"/>
    <x v="1"/>
    <s v="12 Roda"/>
    <d v="2025-12-18T00:00:00"/>
    <n v="45740"/>
    <n v="17710"/>
    <n v="28030"/>
    <n v="28080"/>
    <d v="1899-12-30T19:52:00"/>
    <d v="1899-12-30T21:10:00"/>
    <s v="samsira"/>
    <s v="IQBAL"/>
    <n v="99"/>
    <m/>
    <s v="Burau"/>
  </r>
  <r>
    <n v="1"/>
    <s v="000372"/>
    <s v="CPO000372KMP"/>
    <s v="DD 9236 XX"/>
    <s v="KMP01122025"/>
    <s v="PT. KMP / 5 / 200"/>
    <x v="1"/>
    <x v="1"/>
    <s v="12 Roda"/>
    <d v="2025-12-18T00:00:00"/>
    <n v="45870"/>
    <n v="17910"/>
    <n v="27960"/>
    <n v="27980"/>
    <d v="1899-12-30T09:23:00"/>
    <d v="1899-12-30T11:22:00"/>
    <s v="Datu"/>
    <s v="IBRAHIM"/>
    <n v="53"/>
    <s v="WIL"/>
    <s v="Masamba"/>
  </r>
  <r>
    <n v="1"/>
    <s v="000373"/>
    <s v="CPO000373KMP"/>
    <s v="BM 8315 QO"/>
    <s v="KMP01122025"/>
    <s v="PT. KMP / 5 / 200"/>
    <x v="1"/>
    <x v="1"/>
    <s v="12 Roda"/>
    <d v="2025-12-18T00:00:00"/>
    <n v="45740"/>
    <n v="17780"/>
    <n v="27960"/>
    <n v="27940"/>
    <d v="1899-12-30T10:03:00"/>
    <d v="1899-12-30T11:19:00"/>
    <s v="Datu"/>
    <s v="IQBAL"/>
    <n v="53"/>
    <s v="WIL"/>
    <s v="Masamba"/>
  </r>
  <r>
    <n v="1"/>
    <s v="000374"/>
    <s v="CPO000374KMP"/>
    <s v="B 1918 SXX"/>
    <s v="KMP01122025"/>
    <s v="PT. KMP / 5 / 200"/>
    <x v="1"/>
    <x v="1"/>
    <s v="10 Roda"/>
    <d v="2025-12-18T00:00:00"/>
    <n v="26430"/>
    <n v="11750"/>
    <n v="14680"/>
    <n v="14620"/>
    <d v="1899-12-30T10:05:00"/>
    <d v="1899-12-30T11:11:00"/>
    <s v="Datu"/>
    <s v="WALDI"/>
    <n v="53"/>
    <s v="WIL"/>
    <s v="Masamba"/>
  </r>
  <r>
    <n v="1"/>
    <s v="000375"/>
    <s v="CPO000375KMP"/>
    <s v="DD 8711 XX"/>
    <s v="KMP01122025"/>
    <s v="PT. KMP / 5 / 200"/>
    <x v="1"/>
    <x v="1"/>
    <s v="10 Roda"/>
    <d v="2025-12-18T00:00:00"/>
    <n v="25050"/>
    <n v="10970"/>
    <n v="14080"/>
    <n v="14080"/>
    <d v="1899-12-30T10:14:00"/>
    <d v="1899-12-30T11:51:00"/>
    <s v="Datu"/>
    <s v="RONI RAKAN"/>
    <n v="53"/>
    <s v="WIL"/>
    <s v="Masamba"/>
  </r>
  <r>
    <n v="1"/>
    <s v="000376"/>
    <s v="CPO000376KMP"/>
    <s v="BH 8459 MY"/>
    <s v="KMP01122025"/>
    <s v="PT. KMP / 5 / 200"/>
    <x v="1"/>
    <x v="1"/>
    <s v="10 Roda"/>
    <d v="2025-12-18T00:00:00"/>
    <n v="26560"/>
    <n v="12210"/>
    <n v="14350"/>
    <n v="14300"/>
    <d v="1899-12-30T10:28:00"/>
    <d v="1899-12-30T12:05:00"/>
    <s v="Datu"/>
    <s v="ERWIN"/>
    <n v="53"/>
    <s v="WIL"/>
    <s v="Masamba"/>
  </r>
  <r>
    <n v="1"/>
    <s v="000382"/>
    <s v="CPO000382MIS"/>
    <s v="DP 8994 GH"/>
    <s v="265/PJB/MIS-WINS/XII/2025"/>
    <s v="PT. MIS / 3 / 600"/>
    <x v="2"/>
    <x v="1"/>
    <s v="6 Roda"/>
    <d v="2025-12-19T00:00:00"/>
    <n v="13530"/>
    <n v="3970"/>
    <n v="9560"/>
    <n v="9650"/>
    <d v="1899-12-30T08:26:00"/>
    <d v="1899-12-30T10:06:00"/>
    <s v="Datu"/>
    <m/>
    <n v="494"/>
    <m/>
    <s v="Pomala"/>
  </r>
  <r>
    <n v="1"/>
    <s v="000383"/>
    <s v="CPO000383MIS"/>
    <s v="DP 9826 GA"/>
    <s v="265/PJB/MIS-WINS/XII/2025"/>
    <s v="PT. MIS / 3 / 600"/>
    <x v="2"/>
    <x v="1"/>
    <s v="6 Roda"/>
    <d v="2025-12-19T00:00:00"/>
    <n v="13880"/>
    <n v="4050"/>
    <n v="9830"/>
    <n v="9840"/>
    <d v="1899-12-30T08:28:00"/>
    <d v="1899-12-30T10:04:00"/>
    <s v="Datu"/>
    <m/>
    <n v="494"/>
    <m/>
    <s v="Pomala"/>
  </r>
  <r>
    <n v="1"/>
    <s v="000384"/>
    <s v="CPO000384MIS"/>
    <s v="DN 8492 CU"/>
    <s v="265/PJB/MIS-WINS/XII/2025"/>
    <s v="PT. MIS / 3 / 600"/>
    <x v="2"/>
    <x v="1"/>
    <s v="6 Roda"/>
    <d v="2025-12-19T00:00:00"/>
    <n v="13590"/>
    <n v="4000"/>
    <n v="9590"/>
    <n v="9550"/>
    <d v="1899-12-30T08:30:00"/>
    <d v="1899-12-30T10:03:00"/>
    <s v="Datu"/>
    <m/>
    <n v="494"/>
    <m/>
    <s v="Pomala"/>
  </r>
  <r>
    <n v="1"/>
    <s v="000395"/>
    <s v="CPO000395MIS"/>
    <s v="DP 8662 GH"/>
    <s v="265/PJB/MIS-WINS/XII/2025"/>
    <s v="PT. MIS / 3 / 600"/>
    <x v="2"/>
    <x v="1"/>
    <s v="6 Roda"/>
    <d v="2025-12-19T00:00:00"/>
    <n v="13900"/>
    <n v="3990"/>
    <n v="9910"/>
    <n v="9970"/>
    <d v="1899-12-30T21:45:00"/>
    <d v="1899-12-30T22:24:00"/>
    <s v="samsira"/>
    <m/>
    <n v="494"/>
    <m/>
    <s v="Pomala"/>
  </r>
  <r>
    <n v="1"/>
    <s v="000396"/>
    <s v="CPO000396MIS"/>
    <s v="DP 9846 GA"/>
    <s v="265/PJB/MIS-WINS/XII/2025"/>
    <s v="PT. MIS / 3 / 600"/>
    <x v="2"/>
    <x v="1"/>
    <s v="6 Roda"/>
    <d v="2025-12-19T00:00:00"/>
    <n v="13140"/>
    <n v="3640"/>
    <n v="9500"/>
    <n v="9440"/>
    <d v="1899-12-30T21:48:00"/>
    <d v="1899-12-30T22:35:00"/>
    <s v="samsira"/>
    <m/>
    <n v="494"/>
    <m/>
    <s v="Pomala"/>
  </r>
  <r>
    <n v="1"/>
    <s v="000397"/>
    <s v="CPO000397MIS"/>
    <s v="DP 8862 GG"/>
    <s v="265/PJB/MIS-WINS/XII/2025"/>
    <s v="PT. MIS / 3 / 600"/>
    <x v="2"/>
    <x v="1"/>
    <s v="6 Roda"/>
    <d v="2025-12-19T00:00:00"/>
    <n v="13400"/>
    <n v="3640"/>
    <n v="9760"/>
    <n v="9710"/>
    <d v="1899-12-30T21:49:00"/>
    <d v="1899-12-30T22:38:00"/>
    <s v="samsira"/>
    <m/>
    <n v="494"/>
    <m/>
    <s v="Pomala"/>
  </r>
  <r>
    <n v="1"/>
    <s v="000385"/>
    <s v="CPO000385KMP"/>
    <s v="DD 8711 XX"/>
    <s v="KMP01122025"/>
    <s v="PT. KMP / 5 / 200"/>
    <x v="1"/>
    <x v="1"/>
    <s v="10 Roda"/>
    <d v="2025-12-19T00:00:00"/>
    <n v="25110"/>
    <n v="10940"/>
    <n v="14170"/>
    <n v="14180"/>
    <d v="1899-12-30T09:10:00"/>
    <d v="1899-12-30T11:19:00"/>
    <s v="Datu"/>
    <s v="RONI RAKAN"/>
    <n v="53"/>
    <s v="WIL"/>
    <s v="Masamba"/>
  </r>
  <r>
    <n v="1"/>
    <s v="000386"/>
    <s v="CPO000386KMP"/>
    <s v="B 1918 SXX"/>
    <s v="KMP01122025"/>
    <s v="PT. KMP / 5 / 200"/>
    <x v="1"/>
    <x v="1"/>
    <s v="10 Roda"/>
    <d v="2025-12-19T00:00:00"/>
    <n v="26520"/>
    <n v="11840"/>
    <n v="14680"/>
    <n v="14660"/>
    <d v="1899-12-30T09:20:00"/>
    <d v="1899-12-30T13:13:00"/>
    <s v="Datu"/>
    <s v="WALDI"/>
    <n v="53"/>
    <s v="WIL"/>
    <s v="Masamba"/>
  </r>
  <r>
    <n v="1"/>
    <s v="000387"/>
    <s v="CPO000387KMP"/>
    <s v="BH 8459 MY"/>
    <s v="KMP01122025"/>
    <s v="PT. KMP / 5 / 200"/>
    <x v="1"/>
    <x v="1"/>
    <s v="10 Roda"/>
    <d v="2025-12-19T00:00:00"/>
    <n v="26670"/>
    <n v="12280"/>
    <n v="14390"/>
    <n v="14360"/>
    <d v="1899-12-30T10:08:00"/>
    <d v="1899-12-30T13:14:00"/>
    <s v="Datu"/>
    <s v="ERWIN"/>
    <n v="53"/>
    <s v="WIL"/>
    <s v="Masamba"/>
  </r>
  <r>
    <n v="1"/>
    <s v="000388"/>
    <s v="CPO000388KMP"/>
    <s v="BM 8315 QO"/>
    <s v="KMP01122025"/>
    <s v="PT. KMP / 5 / 200"/>
    <x v="1"/>
    <x v="1"/>
    <s v="12 Roda"/>
    <d v="2025-12-19T00:00:00"/>
    <n v="45600"/>
    <n v="17650"/>
    <n v="27950"/>
    <n v="27880"/>
    <d v="1899-12-30T10:23:00"/>
    <d v="1899-12-30T13:18:00"/>
    <s v="Datu"/>
    <s v="IQBAL"/>
    <n v="53"/>
    <s v="WIL"/>
    <s v="Masamba"/>
  </r>
  <r>
    <n v="1"/>
    <s v="000389"/>
    <s v="CPO000389KMP"/>
    <s v="DD 9236 XX"/>
    <s v="KMP01122025"/>
    <s v="PT. KMP / 5 / 200"/>
    <x v="1"/>
    <x v="1"/>
    <s v="12 Roda"/>
    <d v="2025-12-19T00:00:00"/>
    <n v="45770"/>
    <n v="18060"/>
    <n v="27710"/>
    <n v="27600"/>
    <d v="1899-12-30T10:39:00"/>
    <d v="1899-12-30T13:15:00"/>
    <s v="Datu"/>
    <s v="IBRAHIM"/>
    <n v="53"/>
    <s v="WIL"/>
    <s v="Masamba"/>
  </r>
  <r>
    <n v="1"/>
    <s v="000390"/>
    <s v="CPO000390JAS"/>
    <s v="DD 8711 XX"/>
    <s v="004/CPO/JM-WINS/XII/2025"/>
    <s v="PT. JAS MULIA / 4 / 500"/>
    <x v="3"/>
    <x v="1"/>
    <s v="10 Roda"/>
    <d v="2025-12-19T00:00:00"/>
    <n v="25050"/>
    <n v="11240"/>
    <n v="13810"/>
    <n v="14120"/>
    <d v="1899-12-30T16:47:00"/>
    <d v="1899-12-30T18:00:00"/>
    <s v="samsira"/>
    <s v="RONI RAKAN"/>
    <n v="68"/>
    <s v="WIL"/>
    <s v="Bone Bone"/>
  </r>
  <r>
    <n v="1"/>
    <s v="000391"/>
    <s v="CPO000391JAS"/>
    <s v="BH 8459 MY"/>
    <s v="005/CPO/JM-WINS/XII/2025"/>
    <s v="PT. JAS MULIA / 5 / 500"/>
    <x v="3"/>
    <x v="1"/>
    <s v="10 Roda"/>
    <d v="2025-12-19T00:00:00"/>
    <n v="26680"/>
    <n v="12240"/>
    <n v="14440"/>
    <n v="14360"/>
    <d v="1899-12-30T18:06:00"/>
    <d v="1899-12-30T20:14:00"/>
    <s v="samsira"/>
    <s v="ERWIN"/>
    <n v="68"/>
    <s v="WIL"/>
    <s v="Bone Bone"/>
  </r>
  <r>
    <n v="1"/>
    <s v="000392"/>
    <s v="CPO000392JAS"/>
    <s v="B 1918 SXX"/>
    <s v="005/CPO/JM-WINS/XII/2025"/>
    <s v="PT. JAS MULIA / 5 / 500"/>
    <x v="3"/>
    <x v="1"/>
    <s v="10 Roda"/>
    <d v="2025-12-19T00:00:00"/>
    <n v="26480"/>
    <n v="11790"/>
    <n v="14690"/>
    <n v="14610"/>
    <d v="1899-12-30T18:14:00"/>
    <d v="1899-12-30T20:17:00"/>
    <s v="samsira"/>
    <s v="WALDI"/>
    <n v="68"/>
    <s v="WIL"/>
    <s v="Bone Bone"/>
  </r>
  <r>
    <n v="1"/>
    <s v="000393"/>
    <s v="CPO000393JAS"/>
    <s v="BM 8315 QO"/>
    <s v="005/CPO/JM-WINS/XII/2025"/>
    <s v="PT. JAS MULIA / 5 / 500"/>
    <x v="3"/>
    <x v="1"/>
    <s v="12 Roda"/>
    <d v="2025-12-19T00:00:00"/>
    <n v="45820"/>
    <n v="17840"/>
    <n v="27980"/>
    <n v="27920"/>
    <d v="1899-12-30T20:10:00"/>
    <d v="1899-12-30T21:18:00"/>
    <s v="samsira"/>
    <s v="IQBAL"/>
    <n v="68"/>
    <s v="WIL"/>
    <s v="Bone Bone"/>
  </r>
  <r>
    <n v="1"/>
    <s v="000394"/>
    <s v="CPO000394JAS"/>
    <s v="DD 9236 XX"/>
    <s v="005/CPO/JM-WINS/XII/2025"/>
    <s v="PT. JAS MULIA / 5 / 500"/>
    <x v="3"/>
    <x v="1"/>
    <s v="12 Roda"/>
    <d v="2025-12-19T00:00:00"/>
    <n v="45930"/>
    <n v="18000"/>
    <n v="27930"/>
    <n v="27660"/>
    <d v="1899-12-30T20:12:00"/>
    <d v="1899-12-30T21:19:00"/>
    <s v="samsira"/>
    <s v="IBRAHIM"/>
    <n v="68"/>
    <s v="WIL"/>
    <s v="Bone Bone"/>
  </r>
  <r>
    <n v="1"/>
    <s v="000398"/>
    <s v="CPO000398MIS"/>
    <s v="DD 8574 YE"/>
    <s v="265/PJB/MIS-WINS/XII/2025"/>
    <s v="PT. MIS / 3 / 600"/>
    <x v="2"/>
    <x v="1"/>
    <s v="6 Roda"/>
    <d v="2025-12-20T00:00:00"/>
    <n v="13510"/>
    <n v="4140"/>
    <n v="9370"/>
    <n v="9500"/>
    <d v="1899-12-30T08:39:00"/>
    <d v="1899-12-30T09:51:00"/>
    <s v="Datu"/>
    <m/>
    <n v="494"/>
    <m/>
    <s v="Pomala"/>
  </r>
  <r>
    <n v="1"/>
    <s v="000399"/>
    <s v="CPO000399MIS"/>
    <s v="DP 8762 GH"/>
    <s v="265/PJB/MIS-WINS/XII/2025"/>
    <s v="PT. MIS / 3 / 600"/>
    <x v="2"/>
    <x v="1"/>
    <s v="6 Roda"/>
    <d v="2025-12-20T00:00:00"/>
    <n v="13050"/>
    <n v="3980"/>
    <n v="9070"/>
    <n v="9210"/>
    <d v="1899-12-30T08:40:00"/>
    <d v="1899-12-30T09:44:00"/>
    <s v="Datu"/>
    <m/>
    <n v="494"/>
    <m/>
    <s v="Pomala"/>
  </r>
  <r>
    <n v="1"/>
    <s v="000400"/>
    <s v="CPO000400MIS"/>
    <s v="DP 8798 GH"/>
    <s v="265/PJB/MIS-WINS/XII/2025"/>
    <s v="PT. MIS / 3 / 600"/>
    <x v="2"/>
    <x v="1"/>
    <s v="6 Roda"/>
    <d v="2025-12-20T00:00:00"/>
    <n v="13350"/>
    <n v="3990"/>
    <n v="9360"/>
    <n v="9360"/>
    <d v="1899-12-30T08:42:00"/>
    <d v="1899-12-30T09:55:00"/>
    <s v="Datu"/>
    <m/>
    <n v="494"/>
    <m/>
    <s v="Pomala"/>
  </r>
  <r>
    <n v="1"/>
    <s v="000405"/>
    <s v="CPO000405MIS"/>
    <s v="DP 8004 GJ"/>
    <s v="265/PJB/MIS-WINS/XII/2025"/>
    <s v="PT. MIS / 3 / 600"/>
    <x v="2"/>
    <x v="1"/>
    <s v="6 Roda"/>
    <d v="2025-12-20T00:00:00"/>
    <n v="13490"/>
    <n v="4140"/>
    <n v="9350"/>
    <n v="9400"/>
    <d v="1899-12-30T16:04:00"/>
    <d v="1899-12-30T17:01:00"/>
    <s v="samsira"/>
    <m/>
    <n v="494"/>
    <m/>
    <s v="Pomala"/>
  </r>
  <r>
    <n v="1"/>
    <s v="000409"/>
    <s v="CPO000409MIS"/>
    <s v="DP 9859 GA"/>
    <s v="265/PJB/MIS-WINS/XII/2025"/>
    <s v="PT. MIS / 3 / 600"/>
    <x v="2"/>
    <x v="1"/>
    <s v="6 Roda"/>
    <d v="2025-12-20T00:00:00"/>
    <n v="14220"/>
    <n v="4200"/>
    <n v="10020"/>
    <n v="10000"/>
    <d v="1899-12-30T17:37:00"/>
    <d v="1899-12-30T18:06:00"/>
    <s v="samsira"/>
    <m/>
    <n v="494"/>
    <m/>
    <s v="Pomala"/>
  </r>
  <r>
    <n v="1"/>
    <s v="000401"/>
    <s v="CPO000401JAS"/>
    <s v="DD 8711 XX"/>
    <s v="005/CPO/JM-WINS/XII/2025"/>
    <s v="PT. JAS MULIA / 5 / 500"/>
    <x v="3"/>
    <x v="1"/>
    <s v="10 Roda"/>
    <d v="2025-12-20T00:00:00"/>
    <n v="25020"/>
    <n v="11170"/>
    <n v="13850"/>
    <n v="13770"/>
    <d v="1899-12-30T09:53:00"/>
    <d v="1899-12-30T11:52:00"/>
    <s v="Datu"/>
    <s v="RONI RAKAN"/>
    <n v="68"/>
    <s v="WIL"/>
    <s v="Bone Bone"/>
  </r>
  <r>
    <n v="1"/>
    <s v="000402"/>
    <s v="CPO000402JAS"/>
    <s v="B 1918 SXX"/>
    <s v="005/CPO/JM-WINS/XII/2025"/>
    <s v="PT. JAS MULIA / 5 / 500"/>
    <x v="3"/>
    <x v="1"/>
    <s v="10 Roda"/>
    <d v="2025-12-20T00:00:00"/>
    <n v="26450"/>
    <n v="11770"/>
    <n v="14680"/>
    <n v="14650"/>
    <d v="1899-12-30T10:37:00"/>
    <d v="1899-12-30T11:50:00"/>
    <s v="Datu"/>
    <s v="WALDI"/>
    <n v="68"/>
    <s v="WIL"/>
    <s v="Bone Bone"/>
  </r>
  <r>
    <n v="1"/>
    <s v="000403"/>
    <s v="CPO000403JAS"/>
    <s v="BM 8315 QO"/>
    <s v="005/CPO/JM-WINS/XII/2025"/>
    <s v="PT. JAS MULIA / 5 / 500"/>
    <x v="3"/>
    <x v="1"/>
    <s v="12 Roda"/>
    <d v="2025-12-20T00:00:00"/>
    <n v="45760"/>
    <n v="17790"/>
    <n v="27970"/>
    <n v="27900"/>
    <d v="1899-12-30T10:40:00"/>
    <d v="1899-12-30T11:58:00"/>
    <s v="Datu"/>
    <s v="IQBAL"/>
    <n v="68"/>
    <s v="WIL"/>
    <s v="Bone Bone"/>
  </r>
  <r>
    <n v="1"/>
    <s v="000404"/>
    <s v="CPO000404JAS"/>
    <s v="BH 8459 MY"/>
    <s v="005/CPO/JM-WINS/XII/2025"/>
    <s v="PT. JAS MULIA / 5 / 500"/>
    <x v="3"/>
    <x v="1"/>
    <s v="10 Roda"/>
    <d v="2025-12-20T00:00:00"/>
    <n v="26570"/>
    <n v="12210"/>
    <n v="14360"/>
    <n v="14330"/>
    <d v="1899-12-30T11:03:00"/>
    <d v="1899-12-30T12:20:00"/>
    <s v="Datu"/>
    <s v="ERWIN"/>
    <n v="68"/>
    <s v="WIL"/>
    <s v="Bone Bone"/>
  </r>
  <r>
    <n v="1"/>
    <s v="000406"/>
    <s v="CPO000406JAS"/>
    <s v="DD 9236 XX"/>
    <s v="005/CPO/JM-WINS/XII/2025"/>
    <s v="PT. JAS MULIA / 5 / 500"/>
    <x v="3"/>
    <x v="1"/>
    <s v="12 Roda"/>
    <d v="2025-12-20T00:00:00"/>
    <n v="45760"/>
    <n v="17420"/>
    <n v="28340"/>
    <n v="28300"/>
    <d v="1899-12-30T16:11:00"/>
    <d v="1899-12-30T17:31:00"/>
    <s v="samsira"/>
    <s v="IBRAHIM"/>
    <n v="68"/>
    <s v="WIL"/>
    <s v="Bone Bone"/>
  </r>
  <r>
    <n v="1"/>
    <s v="000407"/>
    <s v="CPO000407JAS"/>
    <s v="BM 8315 QO"/>
    <s v="005/CPO/JM-WINS/XII/2025"/>
    <s v="PT. JAS MULIA / 5 / 500"/>
    <x v="3"/>
    <x v="1"/>
    <s v="12 Roda"/>
    <d v="2025-12-20T00:00:00"/>
    <n v="45800"/>
    <n v="17710"/>
    <n v="28090"/>
    <n v="28010"/>
    <d v="1899-12-30T17:00:00"/>
    <d v="1899-12-30T17:57:00"/>
    <s v="samsira"/>
    <s v="IQBAL"/>
    <n v="68"/>
    <s v="WIL"/>
    <s v="Bone Bone"/>
  </r>
  <r>
    <n v="1"/>
    <s v="000408"/>
    <s v="CPO000408JAS"/>
    <s v="B 1918 SXX"/>
    <s v="005/CPO/JM-WINS/XII/2025"/>
    <s v="PT. JAS MULIA / 5 / 500"/>
    <x v="3"/>
    <x v="1"/>
    <s v="10 Roda"/>
    <d v="2025-12-20T00:00:00"/>
    <n v="26540"/>
    <n v="11870"/>
    <n v="14670"/>
    <n v="14600"/>
    <d v="1899-12-30T17:07:00"/>
    <d v="1899-12-30T18:04:00"/>
    <s v="samsira"/>
    <s v="WALDI"/>
    <n v="68"/>
    <s v="WIL"/>
    <s v="Bone Bone"/>
  </r>
  <r>
    <n v="1"/>
    <s v="000410"/>
    <s v="CPO000410JAS"/>
    <s v="DD 8711 XX"/>
    <s v="005/CPO/JM-WINS/XII/2025"/>
    <s v="PT. JAS MULIA / 5 / 500"/>
    <x v="3"/>
    <x v="1"/>
    <s v="10 Roda"/>
    <d v="2025-12-20T00:00:00"/>
    <n v="25080"/>
    <n v="10880"/>
    <n v="14200"/>
    <n v="13800"/>
    <d v="1899-12-30T17:55:00"/>
    <d v="1899-12-30T19:03:00"/>
    <s v="samsira"/>
    <s v="RONI RAKAN"/>
    <n v="68"/>
    <s v="WIL"/>
    <s v="Bone Bone"/>
  </r>
  <r>
    <n v="1"/>
    <s v="000411"/>
    <s v="CPO000411JAS"/>
    <s v="DD 8711 XX"/>
    <s v="005/CPO/JM-WINS/XII/2025"/>
    <s v="PT. JAS MULIA / 5 / 500"/>
    <x v="3"/>
    <x v="1"/>
    <s v="10 Roda"/>
    <d v="2025-12-22T00:00:00"/>
    <n v="25060"/>
    <n v="10790"/>
    <n v="14270"/>
    <n v="14190"/>
    <d v="1899-12-30T11:09:00"/>
    <d v="1899-12-30T13:11:00"/>
    <s v="Datu"/>
    <s v="RONI RAKAN"/>
    <n v="68"/>
    <s v="WIL"/>
    <s v="Bone Bone"/>
  </r>
  <r>
    <n v="1"/>
    <s v="000412"/>
    <s v="CPO000412JAS"/>
    <s v="B 1918 SXX"/>
    <s v="005/CPO/JM-WINS/XII/2025"/>
    <s v="PT. JAS MULIA / 5 / 500"/>
    <x v="3"/>
    <x v="1"/>
    <s v="10 Roda"/>
    <d v="2025-12-22T00:00:00"/>
    <n v="26560"/>
    <n v="11840"/>
    <n v="14720"/>
    <n v="14690"/>
    <d v="1899-12-30T11:33:00"/>
    <d v="1899-12-30T13:18:00"/>
    <s v="Datu"/>
    <s v="WALDI"/>
    <n v="68"/>
    <s v="WIL"/>
    <s v="Bone Bone"/>
  </r>
  <r>
    <n v="1"/>
    <s v="000413"/>
    <s v="CPO000413JAS"/>
    <s v="DD 9236 XX"/>
    <s v="005/CPO/JM-WINS/XII/2025"/>
    <s v="PT. JAS MULIA / 5 / 500"/>
    <x v="3"/>
    <x v="1"/>
    <s v="12 Roda"/>
    <d v="2025-12-22T00:00:00"/>
    <n v="45740"/>
    <n v="17370"/>
    <n v="28370"/>
    <n v="28320"/>
    <d v="1899-12-30T12:10:00"/>
    <d v="1899-12-30T13:56:00"/>
    <s v="Datu"/>
    <s v="IBRAHIM"/>
    <n v="68"/>
    <s v="WIL"/>
    <s v="Bone Bone"/>
  </r>
  <r>
    <n v="1"/>
    <s v="000414"/>
    <s v="CPO000414JAS"/>
    <s v="BM 8315 QO"/>
    <s v="005/CPO/JM-WINS/XII/2025"/>
    <s v="PT. JAS MULIA / 5 / 500"/>
    <x v="3"/>
    <x v="1"/>
    <s v="12 Roda"/>
    <d v="2025-12-22T00:00:00"/>
    <n v="45670"/>
    <n v="17640"/>
    <n v="28030"/>
    <n v="27980"/>
    <d v="1899-12-30T13:03:00"/>
    <d v="1899-12-30T14:07:00"/>
    <s v="Datu"/>
    <s v="IQBAL"/>
    <n v="68"/>
    <s v="WIL"/>
    <s v="Bone Bone"/>
  </r>
  <r>
    <n v="1"/>
    <s v="000415"/>
    <s v="CPO000415JAS"/>
    <s v="DD 8711 XX"/>
    <s v="005/CPO/JM-WINS/XII/2025"/>
    <s v="PT. JAS MULIA / 5 / 500"/>
    <x v="3"/>
    <x v="1"/>
    <s v="10 Roda"/>
    <d v="2025-12-22T00:00:00"/>
    <n v="24980"/>
    <n v="10730"/>
    <n v="14250"/>
    <n v="14170"/>
    <d v="1899-12-30T17:52:00"/>
    <d v="1899-12-30T19:32:00"/>
    <s v="samsira"/>
    <s v="RONI RAKAN"/>
    <n v="68"/>
    <s v="WIL"/>
    <s v="Bone Bone"/>
  </r>
  <r>
    <n v="1"/>
    <s v="000416"/>
    <s v="CPO000416JAS"/>
    <s v="B 1918 SXX"/>
    <s v="005/CPO/JM-WINS/XII/2025"/>
    <s v="PT. JAS MULIA / 5 / 500"/>
    <x v="3"/>
    <x v="1"/>
    <s v="10 Roda"/>
    <d v="2025-12-22T00:00:00"/>
    <n v="26530"/>
    <n v="11810"/>
    <n v="14720"/>
    <n v="14680"/>
    <d v="1899-12-30T18:23:00"/>
    <d v="1899-12-30T19:53:00"/>
    <s v="samsira"/>
    <s v="WALDI"/>
    <n v="68"/>
    <s v="WIL"/>
    <s v="Bone Bone"/>
  </r>
  <r>
    <n v="1"/>
    <s v="000622"/>
    <s v="CPO000622KMP"/>
    <s v="DD 9236 XX"/>
    <s v="KMP01022026"/>
    <s v="PT. KMP / 7 / 500"/>
    <x v="1"/>
    <x v="1"/>
    <s v="12 Roda"/>
    <d v="2026-02-05T00:00:00"/>
    <n v="45850"/>
    <n v="17550"/>
    <n v="28300"/>
    <n v="28400"/>
    <d v="1899-12-30T08:23:00"/>
    <d v="1899-12-30T09:38:00"/>
    <s v="Datu"/>
    <s v="IBRAHIM"/>
    <n v="53"/>
    <s v="WIL"/>
    <s v="Masamba"/>
  </r>
  <r>
    <n v="1"/>
    <s v="000418"/>
    <s v="CPO000418JAS"/>
    <s v="BM 8315 QO"/>
    <s v="005/CPO/JM-WINS/XII/2025"/>
    <s v="PT. JAS MULIA / 5 / 500"/>
    <x v="3"/>
    <x v="1"/>
    <s v="12 Roda"/>
    <d v="2025-12-22T00:00:00"/>
    <n v="45890"/>
    <n v="17830"/>
    <n v="28060"/>
    <n v="28000"/>
    <d v="1899-12-30T19:50:00"/>
    <d v="1899-12-30T20:38:00"/>
    <s v="samsira"/>
    <s v="IQBAL"/>
    <n v="68"/>
    <s v="WIL"/>
    <s v="Bone Bone"/>
  </r>
  <r>
    <n v="1"/>
    <s v="000419"/>
    <s v="CPO000419MIS"/>
    <s v="DP 8935 UA"/>
    <s v="265/PJB/MIS-WINS/XII/2025"/>
    <s v="PT. MIS / 3 / 600"/>
    <x v="2"/>
    <x v="1"/>
    <s v="6 Roda"/>
    <d v="2025-12-23T00:00:00"/>
    <n v="13960"/>
    <n v="3980"/>
    <n v="9980"/>
    <n v="9970"/>
    <d v="1899-12-30T08:20:00"/>
    <d v="1899-12-30T09:38:00"/>
    <s v="Datu"/>
    <m/>
    <n v="494"/>
    <m/>
    <s v="Pomala"/>
  </r>
  <r>
    <n v="1"/>
    <s v="000420"/>
    <s v="CPO000420MIS"/>
    <s v="DP 8983 UC"/>
    <s v="265/PJB/MIS-WINS/XII/2025"/>
    <s v="PT. MIS / 3 / 600"/>
    <x v="2"/>
    <x v="1"/>
    <s v="6 Roda"/>
    <d v="2025-12-23T00:00:00"/>
    <n v="14520"/>
    <n v="4390"/>
    <n v="10130"/>
    <n v="10030"/>
    <d v="1899-12-30T08:22:00"/>
    <d v="1899-12-30T09:32:00"/>
    <s v="Datu"/>
    <m/>
    <n v="494"/>
    <m/>
    <s v="Pomala"/>
  </r>
  <r>
    <n v="1"/>
    <s v="000421"/>
    <s v="CPO000421MIS"/>
    <s v="DP 9826 GA"/>
    <s v="265/PJB/MIS-WINS/XII/2025"/>
    <s v="PT. MIS / 3 / 600"/>
    <x v="2"/>
    <x v="1"/>
    <s v="6 Roda"/>
    <d v="2025-12-23T00:00:00"/>
    <n v="13900"/>
    <n v="4040"/>
    <n v="9860"/>
    <n v="9850"/>
    <d v="1899-12-30T08:28:00"/>
    <d v="1899-12-30T10:02:00"/>
    <s v="Datu"/>
    <m/>
    <n v="494"/>
    <m/>
    <s v="Pomala"/>
  </r>
  <r>
    <n v="1"/>
    <s v="000422"/>
    <s v="CPO000422MIS"/>
    <s v="DP 8906 GB"/>
    <s v="265/PJB/MIS-WINS/XII/2025"/>
    <s v="PT. MIS / 3 / 600"/>
    <x v="2"/>
    <x v="1"/>
    <s v="6 Roda"/>
    <d v="2025-12-23T00:00:00"/>
    <n v="12290"/>
    <n v="3810"/>
    <n v="8480"/>
    <n v="8450"/>
    <d v="1899-12-30T08:31:00"/>
    <d v="1899-12-30T10:12:00"/>
    <s v="Datu"/>
    <m/>
    <n v="494"/>
    <m/>
    <s v="Pomala"/>
  </r>
  <r>
    <n v="1"/>
    <s v="000423"/>
    <s v="CPO000423MIS"/>
    <s v="DP 8994 GH "/>
    <s v="265/PJB/MIS-WINS/XII/2025"/>
    <s v="PT. MIS / 3 / 600"/>
    <x v="2"/>
    <x v="1"/>
    <s v="6 Roda"/>
    <d v="2025-12-23T00:00:00"/>
    <n v="13570"/>
    <n v="3840"/>
    <n v="9730"/>
    <n v="9640"/>
    <d v="1899-12-30T08:32:00"/>
    <d v="1899-12-30T10:17:00"/>
    <s v="Datu"/>
    <m/>
    <n v="494"/>
    <m/>
    <s v="Pomala"/>
  </r>
  <r>
    <n v="1"/>
    <s v="000428"/>
    <s v="CPO000428MIS"/>
    <s v="DP 8798 GH"/>
    <s v="265/PJB/MIS-WINS/XII/2025"/>
    <s v="PT. MIS / 3 / 600"/>
    <x v="2"/>
    <x v="1"/>
    <s v="6 Roda"/>
    <d v="2025-12-23T00:00:00"/>
    <n v="13500"/>
    <n v="3970"/>
    <n v="9530"/>
    <n v="9460"/>
    <d v="1899-12-30T19:16:00"/>
    <d v="1899-12-30T20:05:00"/>
    <s v="samsira"/>
    <m/>
    <n v="494"/>
    <m/>
    <s v="Pomala"/>
  </r>
  <r>
    <n v="1"/>
    <s v="000429"/>
    <s v="CPO000429MIS"/>
    <s v="DP 8662 GH"/>
    <s v="265/PJB/MIS-WINS/XII/2025"/>
    <s v="PT. MIS / 3 / 600"/>
    <x v="2"/>
    <x v="1"/>
    <s v="6 Roda"/>
    <d v="2025-12-23T00:00:00"/>
    <n v="14040"/>
    <n v="4030"/>
    <n v="10010"/>
    <n v="10140"/>
    <d v="1899-12-30T22:28:00"/>
    <d v="1899-12-30T22:56:00"/>
    <s v="samsira"/>
    <m/>
    <n v="494"/>
    <m/>
    <s v="Pomala"/>
  </r>
  <r>
    <n v="1"/>
    <s v="000430"/>
    <s v="CPO000430MIS"/>
    <s v="DP 8762 GH"/>
    <s v="265/PJB/MIS-WINS/XII/2025"/>
    <s v="PT. MIS / 3 / 600"/>
    <x v="2"/>
    <x v="1"/>
    <s v="6 Roda"/>
    <d v="2025-12-23T00:00:00"/>
    <n v="13170"/>
    <n v="3760"/>
    <n v="9410"/>
    <n v="9300"/>
    <d v="1899-12-30T22:30:00"/>
    <d v="1899-12-30T23:05:00"/>
    <s v="samsira"/>
    <m/>
    <n v="494"/>
    <m/>
    <s v="Pomala"/>
  </r>
  <r>
    <n v="1"/>
    <s v="000424"/>
    <s v="CPO000424JAS"/>
    <s v="DD 8711 XX"/>
    <s v="005/CPO/JM-WINS/XII/2025"/>
    <s v="PT. JAS MULIA / 5 / 500"/>
    <x v="3"/>
    <x v="1"/>
    <s v="10 Roda"/>
    <d v="2025-12-23T00:00:00"/>
    <n v="25150"/>
    <n v="10850"/>
    <n v="14300"/>
    <n v="14250"/>
    <d v="1899-12-30T11:06:00"/>
    <d v="1899-12-30T13:25:00"/>
    <s v="Datu"/>
    <s v="RONI RAKAN"/>
    <n v="68"/>
    <s v="WIL"/>
    <s v="Bone Bone"/>
  </r>
  <r>
    <n v="1"/>
    <s v="000623"/>
    <s v="CPO000623KMP"/>
    <s v="BM 8315 QO"/>
    <s v="KMP01022026"/>
    <s v="PT. KMP / 7 / 500"/>
    <x v="1"/>
    <x v="1"/>
    <s v="12 Roda"/>
    <d v="2026-02-05T00:00:00"/>
    <n v="45850"/>
    <n v="17550"/>
    <n v="28300"/>
    <n v="28400"/>
    <d v="1899-12-30T08:33:00"/>
    <d v="1899-12-30T09:55:00"/>
    <s v="Datu"/>
    <s v="IQBAL"/>
    <n v="53"/>
    <s v="WIL"/>
    <s v="Masamba"/>
  </r>
  <r>
    <n v="1"/>
    <s v="000426"/>
    <s v="CPO000426JAS"/>
    <s v="B 1918 SXX"/>
    <s v="005/CPO/JM-WINS/XII/2025"/>
    <s v="PT. JAS MULIA / 5 / 500"/>
    <x v="3"/>
    <x v="1"/>
    <s v="10 Roda"/>
    <d v="2025-12-23T00:00:00"/>
    <n v="26450"/>
    <n v="11770"/>
    <n v="14680"/>
    <n v="14670"/>
    <d v="1899-12-30T13:19:00"/>
    <d v="1899-12-30T14:21:00"/>
    <s v="Datu"/>
    <s v="WALDI"/>
    <n v="68"/>
    <s v="WIL"/>
    <s v="Bone Bone"/>
  </r>
  <r>
    <n v="1"/>
    <s v="000427"/>
    <s v="CPO000427JAS"/>
    <s v="BM 8315 QO"/>
    <s v="005/CPO/JM-WINS/XII/2025"/>
    <s v="PT. JAS MULIA / 5 / 500"/>
    <x v="3"/>
    <x v="1"/>
    <s v="12 Roda"/>
    <d v="2025-12-23T00:00:00"/>
    <n v="45880"/>
    <n v="17770"/>
    <n v="28110"/>
    <n v="28030"/>
    <d v="1899-12-30T13:22:00"/>
    <d v="1899-12-30T14:18:00"/>
    <s v="Datu"/>
    <s v="IQBAL"/>
    <n v="68"/>
    <s v="WIL"/>
    <s v="Bone Bone"/>
  </r>
  <r>
    <n v="1"/>
    <s v="000432"/>
    <s v="CPO000432JAS"/>
    <s v="DD 9236 XX"/>
    <s v="006/CPO/JM-WINS/XII/2025"/>
    <s v="PT. JAS MULIA / 6 / 500"/>
    <x v="3"/>
    <x v="1"/>
    <s v="12 Roda"/>
    <d v="2025-12-27T00:00:00"/>
    <n v="45940"/>
    <n v="17510"/>
    <n v="28430"/>
    <n v="28390"/>
    <d v="1899-12-30T13:10:00"/>
    <d v="1899-12-30T14:46:00"/>
    <s v="Datu"/>
    <s v="IBRAHIM"/>
    <n v="68"/>
    <s v="WIL"/>
    <s v="Bone Bone"/>
  </r>
  <r>
    <n v="1"/>
    <s v="000433"/>
    <s v="CPO000433JAS"/>
    <s v="BM 8315 QO"/>
    <s v="006/CPO/JM-WINS/XII/2025"/>
    <s v="PT. JAS MULIA / 6 / 500"/>
    <x v="3"/>
    <x v="1"/>
    <s v="12 Roda"/>
    <d v="2025-12-27T00:00:00"/>
    <n v="45820"/>
    <n v="17720"/>
    <n v="28100"/>
    <n v="28040"/>
    <d v="1899-12-30T13:38:00"/>
    <d v="1899-12-30T14:38:00"/>
    <s v="Datu"/>
    <s v="IQBAL"/>
    <n v="68"/>
    <s v="WIL"/>
    <s v="Bone Bone"/>
  </r>
  <r>
    <n v="1"/>
    <s v="000434"/>
    <s v="CPO000434JAS"/>
    <s v="DD 8711 XX"/>
    <s v="006/CPO/JM-WINS/XII/2025"/>
    <s v="PT. JAS MULIA / 6 / 500"/>
    <x v="3"/>
    <x v="1"/>
    <s v="10 Roda"/>
    <d v="2025-12-27T00:00:00"/>
    <n v="25020"/>
    <n v="10730"/>
    <n v="14290"/>
    <n v="14240"/>
    <d v="1899-12-30T14:02:00"/>
    <d v="1899-12-30T15:42:00"/>
    <s v="Datu"/>
    <s v="RONI RAKAN"/>
    <n v="68"/>
    <s v="WIL"/>
    <s v="Bone Bone"/>
  </r>
  <r>
    <n v="1"/>
    <s v="000435"/>
    <s v="CPO000435JAS"/>
    <s v="BH 8459 MY"/>
    <s v="006/CPO/JM-WINS/XII/2025"/>
    <s v="PT. JAS MULIA / 6 / 500"/>
    <x v="3"/>
    <x v="1"/>
    <s v="10 Roda"/>
    <d v="2025-12-27T00:00:00"/>
    <n v="26730"/>
    <n v="12290"/>
    <n v="14440"/>
    <n v="14390"/>
    <d v="1899-12-30T17:18:00"/>
    <d v="1899-12-30T18:37:00"/>
    <s v="Datu"/>
    <s v="ERWIN"/>
    <n v="68"/>
    <s v="WIL"/>
    <s v="Bone Bone"/>
  </r>
  <r>
    <n v="1"/>
    <s v="000437"/>
    <s v="CPO000437JAS"/>
    <s v="DD 9236 XX"/>
    <s v="006/CPO/JM-WINS/XII/2025"/>
    <s v="PT. JAS MULIA / 6 / 500"/>
    <x v="3"/>
    <x v="1"/>
    <s v="12 Roda"/>
    <d v="2025-12-27T00:00:00"/>
    <n v="45840"/>
    <n v="17470"/>
    <n v="28370"/>
    <n v="28290"/>
    <d v="1899-12-30T21:21:00"/>
    <d v="1899-12-30T22:52:00"/>
    <s v="Datu"/>
    <s v="IBRAHIM"/>
    <n v="68"/>
    <s v="WIL"/>
    <s v="Bone Bone"/>
  </r>
  <r>
    <n v="1"/>
    <s v="000438"/>
    <s v="CPO000438JAS"/>
    <s v="BM 8315 QO"/>
    <s v="006/CPO/JM-WINS/XII/2025"/>
    <s v="PT. JAS MULIA / 6 / 500"/>
    <x v="3"/>
    <x v="1"/>
    <s v="12 Roda"/>
    <d v="2025-12-27T00:00:00"/>
    <n v="45770"/>
    <n v="17700"/>
    <n v="28070"/>
    <n v="28040"/>
    <d v="1899-12-30T21:25:00"/>
    <d v="1899-12-30T22:54:00"/>
    <s v="Datu"/>
    <s v="IQBAL"/>
    <n v="68"/>
    <s v="WIL"/>
    <s v="Bone Bone"/>
  </r>
  <r>
    <n v="1"/>
    <s v="000439"/>
    <s v="CPO000439JAS"/>
    <s v="B 1918 SXX"/>
    <s v="006/CPO/JM-WINS/XII/2025"/>
    <s v="PT. JAS MULIA / 6 / 500"/>
    <x v="3"/>
    <x v="1"/>
    <s v="10 Roda"/>
    <d v="2025-12-27T00:00:00"/>
    <n v="26650"/>
    <n v="11900"/>
    <n v="14750"/>
    <n v="14720"/>
    <d v="1899-12-30T21:27:00"/>
    <d v="1899-12-30T22:58:00"/>
    <s v="Datu"/>
    <s v="WALDI"/>
    <n v="68"/>
    <s v="WIL"/>
    <s v="Bone Bone"/>
  </r>
  <r>
    <n v="1"/>
    <s v="000440"/>
    <s v="CPO000440JAS"/>
    <s v="DD 8711 XX"/>
    <s v="006/CPO/JM-WINS/XII/2025"/>
    <s v="PT. JAS MULIA / 6 / 500"/>
    <x v="3"/>
    <x v="1"/>
    <s v="10 Roda"/>
    <d v="2025-12-29T00:00:00"/>
    <n v="24970"/>
    <n v="10670"/>
    <n v="14300"/>
    <n v="14260"/>
    <d v="1899-12-30T13:56:00"/>
    <d v="1899-12-30T15:39:00"/>
    <s v="Datu"/>
    <s v="RONI RAKAN"/>
    <n v="68"/>
    <s v="WIL"/>
    <s v="Bone Bone"/>
  </r>
  <r>
    <n v="1"/>
    <s v="000441"/>
    <s v="CPO000441JAS"/>
    <s v="B 1918 SXX"/>
    <s v="006/CPO/JM-WINS/XII/2025"/>
    <s v="PT. JAS MULIA / 6 / 500"/>
    <x v="3"/>
    <x v="1"/>
    <s v="10 Roda"/>
    <d v="2025-12-29T00:00:00"/>
    <n v="26550"/>
    <n v="11830"/>
    <n v="14720"/>
    <n v="14670"/>
    <d v="1899-12-30T14:37:00"/>
    <d v="1899-12-30T16:27:00"/>
    <s v="Datu"/>
    <s v="WALDI"/>
    <n v="68"/>
    <s v="WIL"/>
    <s v="Bone Bone"/>
  </r>
  <r>
    <n v="1"/>
    <s v="000442"/>
    <s v="CPO000442JAS"/>
    <s v="DD 9236 XX"/>
    <s v="006/CPO/JM-WINS/XII/2025"/>
    <s v="PT. JAS MULIA / 6 / 500"/>
    <x v="3"/>
    <x v="1"/>
    <s v="12 Roda"/>
    <d v="2025-12-29T00:00:00"/>
    <n v="45770"/>
    <n v="17400"/>
    <n v="28370"/>
    <n v="28290"/>
    <d v="1899-12-30T15:23:00"/>
    <d v="1899-12-30T16:48:00"/>
    <s v="Datu"/>
    <s v="IBRAHIM"/>
    <n v="68"/>
    <s v="WIL"/>
    <s v="Bone Bone"/>
  </r>
  <r>
    <n v="1"/>
    <s v="000443"/>
    <s v="CPO000443JAS"/>
    <s v="BH 8459 MY"/>
    <s v="006/CPO/JM-WINS/XII/2025"/>
    <s v="PT. JAS MULIA / 6 / 500"/>
    <x v="3"/>
    <x v="1"/>
    <s v="10 Roda"/>
    <d v="2025-12-29T00:00:00"/>
    <n v="26630"/>
    <n v="12220"/>
    <n v="14410"/>
    <n v="14370"/>
    <d v="1899-12-30T15:55:00"/>
    <d v="1899-12-30T17:06:00"/>
    <s v="Datu"/>
    <s v="ERWIN"/>
    <n v="68"/>
    <s v="WIL"/>
    <s v="Bone Bone"/>
  </r>
  <r>
    <n v="1"/>
    <s v="000444"/>
    <s v="CPO000444JAS"/>
    <s v="BM 8315 QO"/>
    <s v="006/CPO/JM-WINS/XII/2025"/>
    <s v="PT. JAS MULIA / 6 / 500"/>
    <x v="3"/>
    <x v="1"/>
    <s v="12 Roda"/>
    <d v="2025-12-29T00:00:00"/>
    <n v="45920"/>
    <n v="17850"/>
    <n v="28070"/>
    <n v="28010"/>
    <d v="1899-12-30T17:03:00"/>
    <d v="1899-12-30T18:11:00"/>
    <s v="Datu"/>
    <s v="IQBAL"/>
    <n v="68"/>
    <s v="WIL"/>
    <s v="Bone Bone"/>
  </r>
  <r>
    <n v="1"/>
    <s v="000450"/>
    <s v="CPO000450PN"/>
    <s v="B 1918 SXX"/>
    <s v="249/KPBN/TRD/CPO-L/WINS/XI/2025"/>
    <s v="PT. PN / 4 / 500"/>
    <x v="4"/>
    <x v="1"/>
    <s v="10 Roda"/>
    <d v="2025-12-30T00:00:00"/>
    <n v="13990"/>
    <n v="11800"/>
    <n v="2190"/>
    <n v="2190"/>
    <d v="1899-12-30T19:46:00"/>
    <d v="1899-12-30T21:02:00"/>
    <s v="Datu"/>
    <s v="WALDI"/>
    <n v="99"/>
    <m/>
    <s v="Burau"/>
  </r>
  <r>
    <n v="1"/>
    <s v="000445"/>
    <s v="CPO000445JAS"/>
    <s v="DD 8711 XX"/>
    <s v="006/CPO/JM-WINS/XII/2025"/>
    <s v="PT. JAS MULIA / 6 / 500"/>
    <x v="3"/>
    <x v="1"/>
    <s v="10 Roda"/>
    <d v="2025-12-30T00:00:00"/>
    <n v="25080"/>
    <n v="10780"/>
    <n v="14300"/>
    <n v="14270"/>
    <d v="1899-12-30T11:11:00"/>
    <d v="1899-12-30T12:48:00"/>
    <s v="Datu"/>
    <s v="RONI RAKAN"/>
    <n v="68"/>
    <s v="WIL"/>
    <s v="Bone Bone"/>
  </r>
  <r>
    <n v="1"/>
    <s v="000446"/>
    <s v="CPO000446JAS"/>
    <s v="BM 8315 QO"/>
    <s v="006/CPO/JM-WINS/XII/2025"/>
    <s v="PT. JAS MULIA / 6 / 500"/>
    <x v="3"/>
    <x v="1"/>
    <s v="12 Roda"/>
    <d v="2025-12-30T00:00:00"/>
    <n v="45950"/>
    <n v="17830"/>
    <n v="28120"/>
    <n v="28100"/>
    <d v="1899-12-30T12:09:00"/>
    <d v="1899-12-30T14:25:00"/>
    <s v="Datu"/>
    <s v="IQBAL"/>
    <n v="68"/>
    <s v="WIL"/>
    <s v="Bone Bone"/>
  </r>
  <r>
    <n v="1"/>
    <s v="000447"/>
    <s v="CPO000447JAS"/>
    <s v="BH 8459 MY"/>
    <s v="006/CPO/JM-WINS/XII/2025"/>
    <s v="PT. JAS MULIA / 6 / 500"/>
    <x v="3"/>
    <x v="1"/>
    <s v="10 Roda"/>
    <d v="2025-12-30T00:00:00"/>
    <n v="26610"/>
    <n v="12190"/>
    <n v="14420"/>
    <n v="14400"/>
    <d v="1899-12-30T12:12:00"/>
    <d v="1899-12-30T14:27:00"/>
    <s v="Datu"/>
    <s v="ERWIN"/>
    <n v="68"/>
    <s v="WIL"/>
    <s v="Bone Bone"/>
  </r>
  <r>
    <n v="1"/>
    <s v="000449"/>
    <s v="CPO000449JAS"/>
    <s v="DD 9236 XX"/>
    <s v="006/CPO/JM-WINS/XII/2025"/>
    <s v="PT. JAS MULIA / 6 / 500"/>
    <x v="3"/>
    <x v="1"/>
    <s v="12 Roda"/>
    <d v="2025-12-30T00:00:00"/>
    <n v="45740"/>
    <n v="17370"/>
    <n v="28370"/>
    <n v="28310"/>
    <d v="1899-12-30T12:58:00"/>
    <d v="1899-12-30T14:23:00"/>
    <s v="Datu"/>
    <s v="IBRAHIM"/>
    <n v="68"/>
    <s v="WIL"/>
    <s v="Bone Bone"/>
  </r>
  <r>
    <n v="1"/>
    <s v="000450"/>
    <s v="CPO000450JAS"/>
    <s v="B 1918 SXX"/>
    <s v="006/CPO/JM-WINS/XII/2025"/>
    <s v="PT. JAS MULIA / 6 / 500"/>
    <x v="3"/>
    <x v="1"/>
    <s v="10 Roda"/>
    <d v="2025-12-30T00:00:00"/>
    <n v="24340"/>
    <n v="11800"/>
    <n v="12540"/>
    <n v="12510"/>
    <d v="1899-12-30T19:46:00"/>
    <d v="1899-12-30T21:02:00"/>
    <s v="Datu"/>
    <s v="WALDI"/>
    <n v="68"/>
    <s v="WIL"/>
    <s v="Bone Bone"/>
  </r>
  <r>
    <n v="1"/>
    <s v="000452"/>
    <s v="CPO000452JAS"/>
    <s v="B 1918 SXX"/>
    <s v="006/CPO/JM-WINS/XII/2025"/>
    <s v="PT. JAS MULIA / 6 / 500"/>
    <x v="3"/>
    <x v="1"/>
    <s v="10 Roda"/>
    <d v="2026-01-05T00:00:00"/>
    <n v="26630"/>
    <n v="11930"/>
    <n v="14700"/>
    <n v="14680"/>
    <d v="1899-12-30T12:46:00"/>
    <d v="1899-12-30T17:08:00"/>
    <s v="Datu"/>
    <s v="WALDI"/>
    <n v="68"/>
    <s v="WIL"/>
    <s v="Bone Bone"/>
  </r>
  <r>
    <n v="1"/>
    <s v="000453"/>
    <s v="CPO000453JAS"/>
    <s v="DD 8711 XX"/>
    <s v="006/CPO/JM-WINS/XII/2025"/>
    <s v="PT. JAS MULIA / 6 / 500"/>
    <x v="3"/>
    <x v="1"/>
    <s v="10 Roda"/>
    <d v="2026-01-05T00:00:00"/>
    <n v="24980"/>
    <n v="10710"/>
    <n v="14270"/>
    <n v="14230"/>
    <d v="1899-12-30T13:12:00"/>
    <d v="1899-12-30T17:06:00"/>
    <s v="Datu"/>
    <s v="RONI RAKAN"/>
    <n v="68"/>
    <s v="WIL"/>
    <s v="Bone Bone"/>
  </r>
  <r>
    <n v="1"/>
    <s v="000454"/>
    <s v="CPO000454JAS"/>
    <s v="BM 8315 QO"/>
    <s v="006/CPO/JM-WINS/XII/2025"/>
    <s v="PT. JAS MULIA / 6 / 500"/>
    <x v="3"/>
    <x v="1"/>
    <s v="12 Roda"/>
    <d v="2026-01-05T00:00:00"/>
    <n v="45740"/>
    <n v="17740"/>
    <n v="28000"/>
    <n v="27920"/>
    <d v="1899-12-30T14:03:00"/>
    <d v="1899-12-30T17:43:00"/>
    <s v="Datu"/>
    <s v="IQBAL"/>
    <n v="68"/>
    <s v="WIL"/>
    <s v="Bone Bone"/>
  </r>
  <r>
    <n v="1"/>
    <s v="000455"/>
    <s v="CPO000455JAS"/>
    <s v="DD 9236 XX"/>
    <s v="006/CPO/JM-WINS/XII/2025"/>
    <s v="PT. JAS MULIA / 6 / 500"/>
    <x v="3"/>
    <x v="1"/>
    <s v="12 Roda"/>
    <d v="2026-01-05T00:00:00"/>
    <n v="45890"/>
    <n v="17550"/>
    <n v="28340"/>
    <n v="28260"/>
    <d v="1899-12-30T14:14:00"/>
    <d v="1899-12-30T17:38:00"/>
    <s v="Datu"/>
    <s v="IBRAHIM"/>
    <n v="68"/>
    <s v="WIL"/>
    <s v="Bone Bone"/>
  </r>
  <r>
    <n v="1"/>
    <s v="000456"/>
    <s v="CPO000456JAS"/>
    <s v="BH 8459 MY"/>
    <s v="006/CPO/JM-WINS/XII/2025"/>
    <s v="PT. JAS MULIA / 6 / 500"/>
    <x v="3"/>
    <x v="1"/>
    <s v="10 Roda"/>
    <d v="2026-01-05T00:00:00"/>
    <n v="26660"/>
    <n v="12290"/>
    <n v="14370"/>
    <n v="14350"/>
    <d v="1899-12-30T15:43:00"/>
    <d v="1899-12-30T17:50:00"/>
    <s v="Datu"/>
    <s v="ERWIN"/>
    <n v="68"/>
    <s v="WIL"/>
    <s v="Bone Bone"/>
  </r>
  <r>
    <n v="1"/>
    <s v="000457"/>
    <s v="CPO000457JAS"/>
    <s v="DD 9236 XX"/>
    <s v="006/CPO/JM-WINS/XII/2025"/>
    <s v="PT. JAS MULIA / 6 / 500"/>
    <x v="3"/>
    <x v="1"/>
    <s v="12 Roda"/>
    <d v="2026-01-06T00:00:00"/>
    <n v="45860"/>
    <n v="17470"/>
    <n v="28390"/>
    <n v="28320"/>
    <d v="1899-12-30T13:47:00"/>
    <d v="1899-12-30T15:34:00"/>
    <s v="Datu"/>
    <s v="IBRAHIM"/>
    <n v="68"/>
    <s v="WIL"/>
    <s v="Bone Bone"/>
  </r>
  <r>
    <n v="1"/>
    <s v="000458"/>
    <s v="CPO000458JAS"/>
    <s v="BM 8315 QO"/>
    <s v="006/CPO/JM-WINS/XII/2025"/>
    <s v="PT. JAS MULIA / 6 / 500"/>
    <x v="3"/>
    <x v="1"/>
    <s v="12 Roda"/>
    <d v="2026-01-06T00:00:00"/>
    <n v="45760"/>
    <n v="17680"/>
    <n v="28080"/>
    <n v="28010"/>
    <d v="1899-12-30T14:37:00"/>
    <d v="1899-12-30T15:45:00"/>
    <s v="Datu"/>
    <s v="IQBAL"/>
    <n v="68"/>
    <s v="WIL"/>
    <s v="Bone Bone"/>
  </r>
  <r>
    <n v="1"/>
    <s v="000461"/>
    <s v="CPO000461JAS"/>
    <s v="DD 8711 XX"/>
    <s v="007/CPO/JM-WINS/I/2026"/>
    <s v="PT. JAS MULIA / 7 / 500"/>
    <x v="3"/>
    <x v="1"/>
    <s v="10 Roda"/>
    <d v="2026-01-13T00:00:00"/>
    <n v="25070"/>
    <n v="10820"/>
    <n v="14250"/>
    <n v="14220"/>
    <d v="1899-12-30T11:23:00"/>
    <d v="1899-12-30T12:41:00"/>
    <s v="Datu"/>
    <s v="RONI RAKAN"/>
    <n v="68"/>
    <s v="WIL"/>
    <s v="Bone Bone"/>
  </r>
  <r>
    <n v="1"/>
    <s v="000462"/>
    <s v="CPO000462JAS"/>
    <s v="BH 8459 MY"/>
    <s v="007/CPO/JM-WINS/I/2026"/>
    <s v="PT. JAS MULIA / 7 / 500"/>
    <x v="3"/>
    <x v="1"/>
    <s v="10 Roda"/>
    <d v="2026-01-13T00:00:00"/>
    <n v="26600"/>
    <n v="12220"/>
    <n v="14380"/>
    <n v="14310"/>
    <d v="1899-12-30T11:46:00"/>
    <d v="1899-12-30T13:09:00"/>
    <s v="Datu"/>
    <s v="ERWIN"/>
    <n v="68"/>
    <s v="WIL"/>
    <s v="Bone Bone"/>
  </r>
  <r>
    <n v="1"/>
    <s v="000463"/>
    <s v="CPO000463JAS"/>
    <s v="DD 9236 XX"/>
    <s v="007/CPO/JM-WINS/I/2026"/>
    <s v="PT. JAS MULIA / 7 / 500"/>
    <x v="3"/>
    <x v="1"/>
    <s v="12 Roda"/>
    <d v="2026-01-13T00:00:00"/>
    <n v="45660"/>
    <n v="17380"/>
    <n v="28280"/>
    <n v="28180"/>
    <d v="1899-12-30T12:33:00"/>
    <d v="1899-12-30T13:58:00"/>
    <s v="Datu"/>
    <s v="IBRAHIM"/>
    <n v="68"/>
    <s v="WIL"/>
    <s v="Bone Bone"/>
  </r>
  <r>
    <n v="1"/>
    <s v="000464"/>
    <s v="CPO000464JAS"/>
    <s v="BM 8315 QO"/>
    <s v="007/CPO/JM-WINS/I/2026"/>
    <s v="PT. JAS MULIA / 7 / 500"/>
    <x v="3"/>
    <x v="1"/>
    <s v="12 Roda"/>
    <d v="2026-01-13T00:00:00"/>
    <n v="45770"/>
    <n v="17800"/>
    <n v="27970"/>
    <n v="27880"/>
    <d v="1899-12-30T14:18:00"/>
    <d v="1899-12-30T15:32:00"/>
    <s v="Datu"/>
    <s v="IQBAL"/>
    <n v="68"/>
    <s v="WIL"/>
    <s v="Bone Bone"/>
  </r>
  <r>
    <n v="1"/>
    <s v="000465"/>
    <s v="CPO000465JAS"/>
    <s v="B 1918 SXX"/>
    <s v="007/CPO/JM-WINS/I/2026"/>
    <s v="PT. JAS MULIA / 7 / 500"/>
    <x v="3"/>
    <x v="1"/>
    <s v="10 Roda"/>
    <d v="2026-01-13T00:00:00"/>
    <n v="26490"/>
    <n v="11800"/>
    <n v="14690"/>
    <n v="14640"/>
    <d v="1899-12-30T14:20:00"/>
    <d v="1899-12-30T15:26:00"/>
    <s v="Datu"/>
    <s v="WALDI"/>
    <n v="68"/>
    <s v="WIL"/>
    <s v="Bone Bone"/>
  </r>
  <r>
    <n v="1"/>
    <s v="000466"/>
    <s v="CPO000466JAS"/>
    <s v="DD 8711 XX"/>
    <s v="007/CPO/JM-WINS/I/2026"/>
    <s v="PT. JAS MULIA / 7 / 500"/>
    <x v="3"/>
    <x v="1"/>
    <s v="10 Roda"/>
    <d v="2026-01-13T00:00:00"/>
    <n v="25010"/>
    <n v="10750"/>
    <n v="14260"/>
    <n v="14210"/>
    <d v="1899-12-30T17:36:00"/>
    <d v="1899-12-30T18:18:00"/>
    <s v="samsira"/>
    <s v="RONI RAKAN"/>
    <n v="68"/>
    <s v="WIL"/>
    <s v="Bone Bone"/>
  </r>
  <r>
    <n v="1"/>
    <s v="000467"/>
    <s v="CPO000467JAS"/>
    <s v="BH 8459 MY"/>
    <s v="007/CPO/JM-WINS/I/2026"/>
    <s v="PT. JAS MULIA / 7 / 500"/>
    <x v="3"/>
    <x v="1"/>
    <s v="10 Roda"/>
    <d v="2026-01-13T00:00:00"/>
    <n v="26540"/>
    <n v="12160"/>
    <n v="14380"/>
    <n v="14320"/>
    <d v="1899-12-30T18:09:00"/>
    <d v="1899-12-30T19:18:00"/>
    <s v="samsira"/>
    <s v="ERWIN"/>
    <n v="68"/>
    <s v="WIL"/>
    <s v="Bone Bone"/>
  </r>
  <r>
    <n v="1"/>
    <s v="000468"/>
    <s v="CPO000468JAS"/>
    <s v="DD 9236 XX"/>
    <s v="007/CPO/JM-WINS/I/2026"/>
    <s v="PT. JAS MULIA / 7 / 500"/>
    <x v="3"/>
    <x v="1"/>
    <s v="12 Roda"/>
    <d v="2026-01-13T00:00:00"/>
    <n v="44800"/>
    <n v="17320"/>
    <n v="27480"/>
    <n v="27410"/>
    <d v="1899-12-30T19:15:00"/>
    <d v="1899-12-30T19:55:00"/>
    <s v="samsira"/>
    <s v="IBRAHIM"/>
    <n v="68"/>
    <s v="WIL"/>
    <s v="Bone Bone"/>
  </r>
  <r>
    <n v="1"/>
    <s v="000470"/>
    <s v="CPO000470JAS"/>
    <s v="B 1918 SXX"/>
    <s v="007/CPO/JM-WINS/I/2026"/>
    <s v="PT. JAS MULIA / 7 / 500"/>
    <x v="3"/>
    <x v="1"/>
    <s v="10 Roda"/>
    <d v="2026-01-13T00:00:00"/>
    <n v="26410"/>
    <n v="11780"/>
    <n v="14630"/>
    <n v="14620"/>
    <d v="1899-12-30T20:16:00"/>
    <d v="1899-12-30T21:53:00"/>
    <s v="samsira"/>
    <s v="WALDI"/>
    <n v="68"/>
    <s v="WIL"/>
    <s v="Bone Bone"/>
  </r>
  <r>
    <n v="1"/>
    <s v="000471"/>
    <s v="CPO000471JAS"/>
    <s v="BM 8315 QO"/>
    <s v="007/CPO/JM-WINS/I/2026"/>
    <s v="PT. JAS MULIA / 7 / 500"/>
    <x v="3"/>
    <x v="1"/>
    <s v="12 Roda"/>
    <d v="2026-01-13T00:00:00"/>
    <n v="45740"/>
    <n v="17740"/>
    <n v="28000"/>
    <n v="27920"/>
    <d v="1899-12-30T21:08:00"/>
    <d v="1899-12-30T21:59:00"/>
    <s v="samsira"/>
    <s v="IQBAL"/>
    <n v="68"/>
    <s v="WIL"/>
    <s v="Bone Bone"/>
  </r>
  <r>
    <n v="1"/>
    <s v="000472"/>
    <s v="CPO000472JAS"/>
    <s v="DD 8711 XX"/>
    <s v="007/CPO/JM-WINS/I/2026"/>
    <s v="PT. JAS MULIA / 7 / 500"/>
    <x v="3"/>
    <x v="1"/>
    <s v="10 Roda"/>
    <d v="2026-01-14T00:00:00"/>
    <n v="25010"/>
    <n v="10710"/>
    <n v="14300"/>
    <n v="14250"/>
    <d v="1899-12-30T11:00:00"/>
    <d v="1899-12-30T11:53:00"/>
    <s v="Datu"/>
    <s v="RONI RAKAN"/>
    <n v="68"/>
    <s v="WIL"/>
    <s v="Bone Bone"/>
  </r>
  <r>
    <n v="1"/>
    <s v="000473"/>
    <s v="CPO000473JAS"/>
    <s v="B 1918 SXX"/>
    <s v="007/CPO/JM-WINS/I/2026"/>
    <s v="PT. JAS MULIA / 7 / 500"/>
    <x v="3"/>
    <x v="1"/>
    <s v="10 Roda"/>
    <d v="2026-01-14T00:00:00"/>
    <n v="26230"/>
    <n v="11730"/>
    <n v="14500"/>
    <n v="14470"/>
    <d v="1899-12-30T11:42:00"/>
    <d v="1899-12-30T13:16:00"/>
    <s v="Datu"/>
    <s v="WALDI"/>
    <n v="68"/>
    <s v="WIL"/>
    <s v="Bone Bone"/>
  </r>
  <r>
    <n v="1"/>
    <s v="000474"/>
    <s v="CPO000474JAS"/>
    <s v="BM 8315 QO"/>
    <s v="007/CPO/JM-WINS/I/2026"/>
    <s v="PT. JAS MULIA / 7 / 500"/>
    <x v="3"/>
    <x v="1"/>
    <s v="12 Roda"/>
    <d v="2026-01-14T00:00:00"/>
    <n v="45640"/>
    <n v="17690"/>
    <n v="27950"/>
    <n v="27900"/>
    <d v="1899-12-30T12:44:00"/>
    <d v="1899-12-30T14:01:00"/>
    <s v="Datu"/>
    <s v="IQBAL"/>
    <n v="68"/>
    <s v="WIL"/>
    <s v="Bone Bone"/>
  </r>
  <r>
    <n v="1"/>
    <s v="000475"/>
    <s v="CPO000475JAS"/>
    <s v="BH 8459 MY"/>
    <s v="007/CPO/JM-WINS/I/2026"/>
    <s v="PT. JAS MULIA / 7 / 500"/>
    <x v="3"/>
    <x v="1"/>
    <s v="10 Roda"/>
    <d v="2026-01-14T00:00:00"/>
    <n v="26520"/>
    <n v="12130"/>
    <n v="14390"/>
    <n v="14360"/>
    <d v="1899-12-30T14:10:00"/>
    <d v="1899-12-30T14:51:00"/>
    <s v="Datu"/>
    <s v="ERWIN"/>
    <n v="68"/>
    <s v="WIL"/>
    <s v="Bone Bone"/>
  </r>
  <r>
    <n v="1"/>
    <s v="000476"/>
    <s v="CPO000476JAS"/>
    <s v="DD 9236 XX"/>
    <s v="007/CPO/JM-WINS/I/2026"/>
    <s v="PT. JAS MULIA / 7 / 500"/>
    <x v="3"/>
    <x v="1"/>
    <s v="12 Roda"/>
    <d v="2026-01-14T00:00:00"/>
    <n v="45910"/>
    <n v="17520"/>
    <n v="28390"/>
    <n v="28330"/>
    <d v="1899-12-30T14:24:00"/>
    <d v="1899-12-30T15:13:00"/>
    <s v="Datu"/>
    <s v="IBRAHIM"/>
    <n v="68"/>
    <s v="WIL"/>
    <s v="Bone Bone"/>
  </r>
  <r>
    <n v="1"/>
    <s v="000477"/>
    <s v="CPO000477JAS"/>
    <s v="DD 8711 XX"/>
    <s v="007/CPO/JM-WINS/I/2026"/>
    <s v="PT. JAS MULIA / 7 / 500"/>
    <x v="3"/>
    <x v="1"/>
    <s v="10 Roda"/>
    <d v="2026-01-14T00:00:00"/>
    <n v="25070"/>
    <n v="10810"/>
    <n v="14260"/>
    <n v="14240"/>
    <d v="1899-12-30T16:35:00"/>
    <d v="1899-12-30T17:23:00"/>
    <s v="samsira"/>
    <s v="RONI RAKAN"/>
    <n v="68"/>
    <s v="WIL"/>
    <s v="Bone Bone"/>
  </r>
  <r>
    <n v="1"/>
    <s v="000478"/>
    <s v="CPO000478JAS"/>
    <s v="B 1918 SXX"/>
    <s v="007/CPO/JM-WINS/I/2026"/>
    <s v="PT. JAS MULIA / 7 / 500"/>
    <x v="3"/>
    <x v="1"/>
    <s v="10 Roda"/>
    <d v="2026-01-14T00:00:00"/>
    <n v="26680"/>
    <n v="11880"/>
    <n v="14800"/>
    <n v="14700"/>
    <d v="1899-12-30T18:48:00"/>
    <d v="1899-12-30T21:31:00"/>
    <s v="samsira"/>
    <s v="WALDI"/>
    <n v="68"/>
    <s v="WIL"/>
    <s v="Bone Bone"/>
  </r>
  <r>
    <n v="1"/>
    <s v="000479"/>
    <s v="CPO000479JAS"/>
    <s v="BM 8315 QO"/>
    <s v="007/CPO/JM-WINS/I/2026"/>
    <s v="PT. JAS MULIA / 7 / 500"/>
    <x v="3"/>
    <x v="1"/>
    <s v="12 Roda"/>
    <d v="2026-01-14T00:00:00"/>
    <n v="45680"/>
    <n v="17640"/>
    <n v="28040"/>
    <n v="27980"/>
    <d v="1899-12-30T19:27:00"/>
    <d v="1899-12-30T20:35:00"/>
    <s v="samsira"/>
    <s v="IQBAL"/>
    <n v="68"/>
    <s v="WIL"/>
    <s v="Bone Bone"/>
  </r>
  <r>
    <n v="1"/>
    <s v="000480"/>
    <s v="CPO000480JAS"/>
    <s v="BH 8459 MY"/>
    <s v="007/CPO/JM-WINS/I/2026"/>
    <s v="PT. JAS MULIA / 7 / 500"/>
    <x v="3"/>
    <x v="1"/>
    <s v="10 Roda"/>
    <d v="2026-01-14T00:00:00"/>
    <n v="26650"/>
    <n v="12240"/>
    <n v="14410"/>
    <n v="14370"/>
    <d v="1899-12-30T19:47:00"/>
    <d v="1899-12-30T20:44:00"/>
    <s v="samsira"/>
    <s v="ERWIN"/>
    <n v="68"/>
    <s v="WIL"/>
    <s v="Bone Bone"/>
  </r>
  <r>
    <n v="1"/>
    <s v="000625"/>
    <s v="CPO000625KMP"/>
    <s v="DD 9236 XX"/>
    <s v="KMP01022026"/>
    <s v="PT. KMP / 7 / 500"/>
    <x v="1"/>
    <x v="1"/>
    <s v="12 Roda"/>
    <d v="2026-02-05T00:00:00"/>
    <n v="45790"/>
    <n v="17490"/>
    <n v="28300"/>
    <n v="28320"/>
    <d v="1899-12-30T12:56:00"/>
    <d v="1899-12-30T13:48:00"/>
    <s v="Datu"/>
    <s v="IBRAHIM"/>
    <n v="53"/>
    <s v="WIL"/>
    <s v="Masamba"/>
  </r>
  <r>
    <n v="1"/>
    <s v="000482"/>
    <s v="CPO000482JAS"/>
    <s v="DD 8711 XX"/>
    <s v="007/CPO/JM-WINS/I/2026"/>
    <s v="PT. JAS MULIA / 7 / 500"/>
    <x v="3"/>
    <x v="1"/>
    <s v="10 Roda"/>
    <d v="2026-01-15T00:00:00"/>
    <n v="24980"/>
    <n v="10760"/>
    <n v="14220"/>
    <n v="14200"/>
    <d v="1899-12-30T11:57:00"/>
    <d v="1899-12-30T13:11:00"/>
    <s v="Datu"/>
    <s v="RONI RAKAN"/>
    <n v="68"/>
    <s v="WIL"/>
    <s v="Bone Bone"/>
  </r>
  <r>
    <n v="1"/>
    <s v="000483"/>
    <s v="CPO000483JAS"/>
    <s v="BM 8315 QO"/>
    <s v="007/CPO/JM-WINS/I/2026"/>
    <s v="PT. JAS MULIA / 7 / 500"/>
    <x v="3"/>
    <x v="1"/>
    <s v="12 Roda"/>
    <d v="2026-01-15T00:00:00"/>
    <n v="45590"/>
    <n v="17700"/>
    <n v="27890"/>
    <n v="27950"/>
    <d v="1899-12-30T13:13:00"/>
    <d v="1899-12-30T14:34:00"/>
    <s v="Datu"/>
    <s v="IQBAL"/>
    <n v="68"/>
    <s v="WIL"/>
    <s v="Bone Bone"/>
  </r>
  <r>
    <n v="1"/>
    <s v="000484"/>
    <s v="CPO000484JAS"/>
    <s v="DD 9236 XX"/>
    <s v="007/CPO/JM-WINS/I/2026"/>
    <s v="PT. JAS MULIA / 7 / 500"/>
    <x v="3"/>
    <x v="1"/>
    <s v="12 Roda"/>
    <d v="2026-01-15T00:00:00"/>
    <n v="45540"/>
    <n v="17410"/>
    <n v="28130"/>
    <n v="28110"/>
    <d v="1899-12-30T14:25:00"/>
    <d v="1899-12-30T15:22:00"/>
    <s v="Datu"/>
    <s v="IBRAHIM"/>
    <n v="68"/>
    <s v="WIL"/>
    <s v="Bone Bone"/>
  </r>
  <r>
    <n v="1"/>
    <s v="000485"/>
    <s v="CPO000485JAS"/>
    <s v="B 1918 SXX"/>
    <s v="007/CPO/JM-WINS/I/2026"/>
    <s v="PT. JAS MULIA / 7 / 500"/>
    <x v="3"/>
    <x v="1"/>
    <s v="10 Roda"/>
    <d v="2026-01-15T00:00:00"/>
    <n v="26600"/>
    <n v="11860"/>
    <n v="14740"/>
    <n v="14770"/>
    <d v="1899-12-30T15:44:00"/>
    <d v="1899-12-30T17:12:00"/>
    <s v="samsira"/>
    <s v="WALDI"/>
    <n v="68"/>
    <s v="WIL"/>
    <s v="Bone Bone"/>
  </r>
  <r>
    <n v="1"/>
    <s v="000486"/>
    <s v="CPO000486JAS"/>
    <s v="BH 8459 MY"/>
    <s v="007/CPO/JM-WINS/I/2026"/>
    <s v="PT. JAS MULIA / 7 / 500"/>
    <x v="3"/>
    <x v="1"/>
    <s v="10 Roda"/>
    <d v="2026-01-15T00:00:00"/>
    <n v="26760"/>
    <n v="12270"/>
    <n v="14490"/>
    <n v="14470"/>
    <d v="1899-12-30T15:46:00"/>
    <d v="1899-12-30T16:51:00"/>
    <s v="samsira"/>
    <s v="ERWIN"/>
    <n v="68"/>
    <s v="WIL"/>
    <s v="Bone Bone"/>
  </r>
  <r>
    <n v="1"/>
    <s v="000487"/>
    <s v="CPO000487JAS"/>
    <s v="DD 8711 XX"/>
    <s v="007/CPO/JM-WINS/I/2026"/>
    <s v="PT. JAS MULIA / 7 / 500"/>
    <x v="3"/>
    <x v="1"/>
    <s v="10 Roda"/>
    <d v="2026-01-15T00:00:00"/>
    <n v="24930"/>
    <n v="10710"/>
    <n v="14220"/>
    <n v="14190"/>
    <d v="1899-12-30T19:04:00"/>
    <d v="1899-12-30T19:48:00"/>
    <s v="samsira"/>
    <s v="RONI RAKAN"/>
    <n v="68"/>
    <s v="WIL"/>
    <s v="Bone Bone"/>
  </r>
  <r>
    <n v="1"/>
    <s v="000490"/>
    <s v="CPO000490KMP"/>
    <s v="BM 8315 QO"/>
    <s v="KMP01012026"/>
    <s v="PT. KMP / 6 / 750"/>
    <x v="1"/>
    <x v="1"/>
    <s v="12 Roda"/>
    <d v="2026-01-17T00:00:00"/>
    <n v="45890"/>
    <n v="17500"/>
    <n v="28390"/>
    <n v="28480"/>
    <d v="1899-12-30T10:18:00"/>
    <d v="1899-12-30T11:49:00"/>
    <s v="Datu"/>
    <s v="IQBAL"/>
    <n v="53"/>
    <s v="WIL"/>
    <s v="Masamba"/>
  </r>
  <r>
    <n v="1"/>
    <s v="000491"/>
    <s v="CPO000491KMP"/>
    <s v="DD 8711 XX"/>
    <s v="KMP01012026"/>
    <s v="PT. KMP / 6 / 750"/>
    <x v="1"/>
    <x v="1"/>
    <s v="10 Roda"/>
    <d v="2026-01-17T00:00:00"/>
    <n v="25080"/>
    <n v="10750"/>
    <n v="14330"/>
    <n v="14340"/>
    <d v="1899-12-30T10:20:00"/>
    <d v="1899-12-30T11:33:00"/>
    <s v="Datu"/>
    <s v="RONI RAKAN"/>
    <n v="53"/>
    <s v="WIL"/>
    <s v="Masamba"/>
  </r>
  <r>
    <n v="1"/>
    <s v="000492"/>
    <s v="CPO000492KMP"/>
    <s v="B 1918 SXX"/>
    <s v="KMP01012026"/>
    <s v="PT. KMP / 6 / 750"/>
    <x v="1"/>
    <x v="1"/>
    <s v="10 Roda"/>
    <d v="2026-01-17T00:00:00"/>
    <n v="26670"/>
    <n v="11830"/>
    <n v="14840"/>
    <n v="14880"/>
    <d v="1899-12-30T10:48:00"/>
    <d v="1899-12-30T11:56:00"/>
    <s v="Datu"/>
    <s v="WALDI"/>
    <n v="53"/>
    <s v="WIL"/>
    <s v="Masamba"/>
  </r>
  <r>
    <n v="1"/>
    <s v="000493"/>
    <s v="CPO000493KMP"/>
    <s v="DD 8711 XX"/>
    <s v="KMP01012026"/>
    <s v="PT. KMP / 6 / 750"/>
    <x v="1"/>
    <x v="1"/>
    <s v="10 Roda"/>
    <d v="2026-01-17T00:00:00"/>
    <n v="25030"/>
    <n v="10740"/>
    <n v="14290"/>
    <n v="14340"/>
    <d v="1899-12-30T15:14:00"/>
    <d v="1899-12-30T16:17:00"/>
    <s v="Datu"/>
    <s v="RONI RAKAN"/>
    <n v="53"/>
    <s v="WIL"/>
    <s v="Masamba"/>
  </r>
  <r>
    <n v="1"/>
    <s v="000494"/>
    <s v="CPO000494KMP"/>
    <s v="B 1918 SXX"/>
    <s v="KMP01012026"/>
    <s v="PT. KMP / 6 / 750"/>
    <x v="1"/>
    <x v="1"/>
    <s v="10 Roda"/>
    <d v="2026-01-17T00:00:00"/>
    <n v="26580"/>
    <n v="11790"/>
    <n v="14790"/>
    <n v="14800"/>
    <d v="1899-12-30T17:17:00"/>
    <d v="1899-12-30T18:10:00"/>
    <s v="samsira"/>
    <s v="WALDI"/>
    <n v="53"/>
    <s v="WIL"/>
    <s v="Masamba"/>
  </r>
  <r>
    <n v="1"/>
    <s v="000495"/>
    <s v="CPO000495KMP"/>
    <s v="BM 8315 QO"/>
    <s v="KMP01012026"/>
    <s v="PT. KMP / 6 / 750"/>
    <x v="1"/>
    <x v="1"/>
    <s v="12 Roda"/>
    <d v="2026-01-17T00:00:00"/>
    <n v="45800"/>
    <n v="17410"/>
    <n v="28390"/>
    <n v="28420"/>
    <d v="1899-12-30T17:36:00"/>
    <d v="1899-12-30T18:38:00"/>
    <s v="samsira"/>
    <s v="IQBAL"/>
    <n v="53"/>
    <s v="WIL"/>
    <s v="Masamba"/>
  </r>
  <r>
    <n v="1"/>
    <s v="000496"/>
    <s v="CPO000496KMP"/>
    <s v="DD 8711 XX"/>
    <s v="KMP01012026"/>
    <s v="PT. KMP / 6 / 750"/>
    <x v="1"/>
    <x v="1"/>
    <s v="10 Roda"/>
    <d v="2026-01-19T00:00:00"/>
    <n v="25080"/>
    <n v="10740"/>
    <n v="14340"/>
    <n v="14360"/>
    <d v="1899-12-30T11:00:00"/>
    <d v="1899-12-30T13:11:00"/>
    <s v="Datu"/>
    <s v="RONI RAKAN"/>
    <n v="53"/>
    <s v="WIL"/>
    <s v="Masamba"/>
  </r>
  <r>
    <n v="1"/>
    <s v="000497"/>
    <s v="CPO000497KMP"/>
    <s v="B 1918 SXX"/>
    <s v="KMP01012026"/>
    <s v="PT. KMP / 6 / 750"/>
    <x v="1"/>
    <x v="1"/>
    <s v="10 Roda"/>
    <d v="2026-01-19T00:00:00"/>
    <n v="26760"/>
    <n v="11890"/>
    <n v="14870"/>
    <n v="14900"/>
    <d v="1899-12-30T11:19:00"/>
    <d v="1899-12-30T13:12:00"/>
    <s v="Datu"/>
    <s v="WALDI"/>
    <n v="53"/>
    <s v="WIL"/>
    <s v="Masamba"/>
  </r>
  <r>
    <n v="1"/>
    <s v="000498"/>
    <s v="CPO000498KMP"/>
    <s v="BM 8315 QO"/>
    <s v="KMP01012026"/>
    <s v="PT. KMP / 6 / 750"/>
    <x v="1"/>
    <x v="1"/>
    <s v="12 Roda"/>
    <d v="2026-01-19T00:00:00"/>
    <n v="45830"/>
    <n v="17420"/>
    <n v="28410"/>
    <n v="28520"/>
    <d v="1899-12-30T11:32:00"/>
    <d v="1899-12-30T13:15:00"/>
    <s v="Datu"/>
    <s v="IQBAL"/>
    <n v="53"/>
    <s v="WIL"/>
    <s v="Masamba"/>
  </r>
  <r>
    <n v="1"/>
    <s v="000499"/>
    <s v="CPO000499KMP"/>
    <s v="DD 8711 XX"/>
    <s v="KMP01012026"/>
    <s v="PT. KMP / 6 / 750"/>
    <x v="1"/>
    <x v="1"/>
    <s v="10 Roda"/>
    <d v="2026-01-19T00:00:00"/>
    <n v="24990"/>
    <n v="10660"/>
    <n v="14330"/>
    <n v="14340"/>
    <d v="1899-12-30T17:09:00"/>
    <d v="1899-12-30T18:05:00"/>
    <s v="samsira"/>
    <s v="RONI RAKAN"/>
    <n v="53"/>
    <s v="WIL"/>
    <s v="Masamba"/>
  </r>
  <r>
    <n v="1"/>
    <s v="000500"/>
    <s v="CPO000500KMP"/>
    <s v="B 1918 SXX"/>
    <s v="KMP01012026"/>
    <s v="PT. KMP / 6 / 750"/>
    <x v="1"/>
    <x v="1"/>
    <s v="10 Roda"/>
    <d v="2026-01-19T00:00:00"/>
    <n v="26680"/>
    <n v="11840"/>
    <n v="14840"/>
    <n v="14880"/>
    <d v="1899-12-30T19:57:00"/>
    <d v="1899-12-30T22:05:00"/>
    <s v="samsira"/>
    <s v="WALDI"/>
    <n v="53"/>
    <s v="WIL"/>
    <s v="Masamba"/>
  </r>
  <r>
    <n v="1"/>
    <s v="000649"/>
    <s v="CPO000649KMP"/>
    <s v="BM 8315 QO"/>
    <m/>
    <s v="PT. KMP / 8 / 500"/>
    <x v="1"/>
    <x v="1"/>
    <s v="12 Roda"/>
    <d v="2026-02-07T00:00:00"/>
    <n v="45790"/>
    <n v="17490"/>
    <n v="28300"/>
    <n v="28420"/>
    <d v="1899-12-30T09:31:00"/>
    <d v="1899-12-30T10:52:00"/>
    <s v="Datu"/>
    <s v="IQBAL"/>
    <n v="53"/>
    <s v="WIL"/>
    <s v="Masamba"/>
  </r>
  <r>
    <n v="1"/>
    <s v="000502"/>
    <s v="CPO000502KMP"/>
    <s v="B 1918 SXX"/>
    <s v="KMP01012026"/>
    <s v="PT. KMP / 6 / 750"/>
    <x v="1"/>
    <x v="1"/>
    <s v="10 Roda"/>
    <d v="2026-01-20T00:00:00"/>
    <n v="26700"/>
    <n v="11830"/>
    <n v="14870"/>
    <n v="14900"/>
    <d v="1899-12-30T11:26:00"/>
    <d v="1899-12-30T13:34:00"/>
    <s v="Datu"/>
    <s v="WALDI"/>
    <n v="53"/>
    <s v="WIL"/>
    <s v="Masamba"/>
  </r>
  <r>
    <n v="1"/>
    <s v="000503"/>
    <s v="CPO000503KMP"/>
    <s v="DD 8711 XX"/>
    <s v="KMP01012026"/>
    <s v="PT. KMP / 6 / 750"/>
    <x v="1"/>
    <x v="1"/>
    <s v="10 Roda"/>
    <d v="2026-01-20T00:00:00"/>
    <n v="25100"/>
    <n v="10770"/>
    <n v="14330"/>
    <n v="14380"/>
    <d v="1899-12-30T11:36:00"/>
    <d v="1899-12-30T13:20:00"/>
    <s v="Datu"/>
    <s v="RONI RAKAN"/>
    <n v="53"/>
    <s v="WIL"/>
    <s v="Masamba"/>
  </r>
  <r>
    <n v="1"/>
    <s v="000047"/>
    <s v="CPO000047KMP"/>
    <s v="BM 8315 QO"/>
    <m/>
    <s v="PT. KMP / 8 / 500"/>
    <x v="1"/>
    <x v="1"/>
    <s v="12 Roda"/>
    <d v="2026-02-09T00:00:00"/>
    <n v="45900"/>
    <n v="17600"/>
    <n v="28300"/>
    <n v="28360"/>
    <d v="1899-12-30T13:41:00"/>
    <d v="1899-12-30T15:20:00"/>
    <s v="samsira"/>
    <s v="IQBAL"/>
    <n v="53"/>
    <s v="WIL"/>
    <s v="Masamba"/>
  </r>
  <r>
    <n v="1"/>
    <s v="000505"/>
    <s v="CPO000505KMP"/>
    <s v="DD 8711 XX"/>
    <s v="KMP01012026"/>
    <s v="PT. KMP / 6 / 750"/>
    <x v="1"/>
    <x v="1"/>
    <s v="10 Roda"/>
    <d v="2026-01-20T00:00:00"/>
    <n v="25080"/>
    <n v="10730"/>
    <n v="14350"/>
    <n v="14340"/>
    <d v="1899-12-30T17:14:00"/>
    <d v="1899-12-30T18:18:00"/>
    <s v="samsira"/>
    <s v="RONI RAKAN"/>
    <n v="53"/>
    <s v="WIL"/>
    <s v="Masamba"/>
  </r>
  <r>
    <n v="1"/>
    <s v="000506"/>
    <s v="CPO000506KMP"/>
    <s v="B 1918 SXX"/>
    <s v="KMP01012026"/>
    <s v="PT. KMP / 6 / 750"/>
    <x v="1"/>
    <x v="1"/>
    <s v="10 Roda"/>
    <d v="2026-01-20T00:00:00"/>
    <n v="26660"/>
    <n v="11780"/>
    <n v="14880"/>
    <n v="14880"/>
    <d v="1899-12-30T17:23:00"/>
    <d v="1899-12-30T18:21:00"/>
    <s v="samsira"/>
    <s v="WALDI"/>
    <n v="53"/>
    <s v="WIL"/>
    <s v="Masamba"/>
  </r>
  <r>
    <n v="1"/>
    <s v="000696"/>
    <s v="CPO000696JAS"/>
    <s v="BM 8315 QO"/>
    <s v="009/CPO/JM-WINS/I/2026"/>
    <s v="PT. JAS MULIA / 9 / 500"/>
    <x v="3"/>
    <x v="1"/>
    <s v="12 Roda"/>
    <d v="2026-02-18T00:00:00"/>
    <n v="45810"/>
    <n v="17510"/>
    <n v="28300"/>
    <n v="28230"/>
    <d v="1899-12-30T15:00:00"/>
    <d v="1899-12-30T15:42:00"/>
    <s v="Datu"/>
    <s v="IQBAL"/>
    <n v="68"/>
    <s v="WIL"/>
    <s v="Bone Bone"/>
  </r>
  <r>
    <n v="1"/>
    <s v="000743"/>
    <s v="CPO000743PN"/>
    <s v="BM 8315 QO"/>
    <s v="0095/R2/HO-PALM/CPO-L/I/2026"/>
    <s v="PT. PN / 5 / 1.000"/>
    <x v="4"/>
    <x v="1"/>
    <s v="12 Roda"/>
    <d v="2026-03-03T00:00:00"/>
    <n v="45750"/>
    <n v="17450"/>
    <n v="28300"/>
    <n v="28300"/>
    <d v="1899-12-30T15:01:00"/>
    <d v="1899-12-30T17:12:00"/>
    <s v="samsira"/>
    <s v="IQBAL"/>
    <n v="99"/>
    <m/>
    <s v="Burau"/>
  </r>
  <r>
    <n v="1"/>
    <s v="000511"/>
    <s v="CPO000511KMP"/>
    <s v="BH 8459 MY"/>
    <s v="KMP01012026"/>
    <s v="PT. KMP / 6 / 750"/>
    <x v="1"/>
    <x v="1"/>
    <s v="10 Roda"/>
    <d v="2026-01-21T00:00:00"/>
    <n v="26760"/>
    <n v="11890"/>
    <n v="14870"/>
    <n v="14900"/>
    <d v="1899-12-30T11:34:00"/>
    <d v="1899-12-30T13:17:00"/>
    <s v="Datu"/>
    <s v="ERWIN"/>
    <n v="53"/>
    <s v="WIL"/>
    <s v="Masamba"/>
  </r>
  <r>
    <n v="1"/>
    <s v="000749"/>
    <s v="CPO000749PN"/>
    <s v="DD 9236 XX"/>
    <s v="0095/R2/HO-PALM/CPO-L/I/2026"/>
    <s v="PT. PN / 5 / 1.000"/>
    <x v="4"/>
    <x v="1"/>
    <s v="12 Roda"/>
    <d v="2026-03-04T00:00:00"/>
    <n v="45910"/>
    <n v="17610"/>
    <n v="28300"/>
    <n v="28290"/>
    <d v="1899-12-30T13:51:00"/>
    <d v="1899-12-30T15:31:00"/>
    <s v="Datu"/>
    <s v="IBRAHIM"/>
    <n v="99"/>
    <m/>
    <s v="Burau"/>
  </r>
  <r>
    <n v="1"/>
    <s v="000513"/>
    <s v="CPO000513KMP"/>
    <s v="BM 8315 QO"/>
    <s v="KMP01012026"/>
    <s v="PT. KMP / 6 / 750"/>
    <x v="1"/>
    <x v="1"/>
    <s v="12 Roda"/>
    <d v="2026-01-21T00:00:00"/>
    <n v="45910"/>
    <n v="17520"/>
    <n v="28390"/>
    <n v="28440"/>
    <d v="1899-12-30T12:09:00"/>
    <d v="1899-12-30T13:35:00"/>
    <s v="Datu"/>
    <s v="IQBAL"/>
    <n v="53"/>
    <s v="WIL"/>
    <s v="Masamba"/>
  </r>
  <r>
    <n v="1"/>
    <s v="000514"/>
    <s v="CPO000514KMP"/>
    <s v="DD 8711 XX"/>
    <s v="KMP01012026"/>
    <s v="PT. KMP / 6 / 750"/>
    <x v="1"/>
    <x v="1"/>
    <s v="10 Roda"/>
    <d v="2026-01-21T00:00:00"/>
    <n v="25010"/>
    <n v="10690"/>
    <n v="14320"/>
    <n v="14320"/>
    <d v="1899-12-30T12:17:00"/>
    <d v="1899-12-30T13:38:00"/>
    <s v="Datu"/>
    <s v="RONI RAKAN"/>
    <n v="53"/>
    <s v="WIL"/>
    <s v="Masamba"/>
  </r>
  <r>
    <n v="1"/>
    <s v="000417"/>
    <s v="CPO000417JAS"/>
    <s v="DD 9236 XX"/>
    <s v="005/CPO/JM-WINS/XII/2025"/>
    <s v="PT. JAS MULIA / 5 / 500"/>
    <x v="3"/>
    <x v="1"/>
    <s v="12 Roda"/>
    <d v="2025-12-22T00:00:00"/>
    <n v="45660"/>
    <n v="17340"/>
    <n v="28320"/>
    <n v="28240"/>
    <d v="1899-12-30T19:09:00"/>
    <d v="1899-12-30T20:10:00"/>
    <s v="samsira"/>
    <s v="IBRAHIM"/>
    <n v="68"/>
    <s v="WIL"/>
    <s v="Bone Bone"/>
  </r>
  <r>
    <n v="1"/>
    <s v="000516"/>
    <s v="CPO000516KMP"/>
    <s v="DD 8711 XX"/>
    <s v="KMP01012026"/>
    <s v="PT. KMP / 6 / 750"/>
    <x v="1"/>
    <x v="1"/>
    <s v="10 Roda"/>
    <d v="2026-01-21T00:00:00"/>
    <n v="24980"/>
    <n v="10650"/>
    <n v="14330"/>
    <n v="14340"/>
    <d v="1899-12-30T17:30:00"/>
    <d v="1899-12-30T18:18:00"/>
    <s v="samsira"/>
    <s v="RONI RAKAN"/>
    <n v="53"/>
    <s v="WIL"/>
    <s v="Masamba"/>
  </r>
  <r>
    <n v="1"/>
    <s v="000517"/>
    <s v="CPO000517KMP"/>
    <s v="BM 8315 QO"/>
    <s v="KMP01012026"/>
    <s v="PT. KMP / 6 / 750"/>
    <x v="1"/>
    <x v="1"/>
    <s v="12 Roda"/>
    <d v="2026-01-21T00:00:00"/>
    <n v="45840"/>
    <n v="17480"/>
    <n v="28360"/>
    <n v="28420"/>
    <d v="1899-12-30T17:49:00"/>
    <d v="1899-12-30T19:12:00"/>
    <s v="samsira"/>
    <s v="IQBAL"/>
    <n v="53"/>
    <s v="WIL"/>
    <s v="Masamba"/>
  </r>
  <r>
    <n v="1"/>
    <s v="000518"/>
    <s v="CPO000518KMP"/>
    <s v="B 1918 SXX"/>
    <s v="KMP01012026"/>
    <s v="PT. KMP / 6 / 750"/>
    <x v="1"/>
    <x v="1"/>
    <s v="10 Roda"/>
    <d v="2026-01-21T00:00:00"/>
    <n v="26710"/>
    <n v="11870"/>
    <n v="14840"/>
    <n v="14860"/>
    <d v="1899-12-30T19:09:00"/>
    <d v="1899-12-30T20:05:00"/>
    <s v="samsira"/>
    <s v="WALDI"/>
    <n v="53"/>
    <s v="WIL"/>
    <s v="Masamba"/>
  </r>
  <r>
    <n v="1"/>
    <s v="000519"/>
    <s v="CPO000519KMP"/>
    <s v="BM 8315 QO"/>
    <s v="KMP01012026"/>
    <s v="PT. KMP / 6 / 750"/>
    <x v="1"/>
    <x v="1"/>
    <s v="12 Roda"/>
    <d v="2026-01-22T00:00:00"/>
    <n v="45780"/>
    <n v="17460"/>
    <n v="28320"/>
    <n v="28400"/>
    <d v="1899-12-30T10:33:00"/>
    <d v="1899-12-30T13:06:00"/>
    <s v="Datu"/>
    <s v="IQBAL"/>
    <n v="53"/>
    <s v="WIL"/>
    <s v="Masamba"/>
  </r>
  <r>
    <n v="1"/>
    <s v="000520"/>
    <s v="CPO000520KMP"/>
    <s v="B 1918 SXX"/>
    <s v="KMP01012026"/>
    <s v="PT. KMP / 6 / 750"/>
    <x v="1"/>
    <x v="1"/>
    <s v="10 Roda"/>
    <d v="2026-01-22T00:00:00"/>
    <n v="26630"/>
    <n v="11820"/>
    <n v="14810"/>
    <n v="14840"/>
    <d v="1899-12-30T10:42:00"/>
    <d v="1899-12-30T11:41:00"/>
    <s v="Datu"/>
    <s v="WALDI"/>
    <n v="53"/>
    <s v="WIL"/>
    <s v="Masamba"/>
  </r>
  <r>
    <n v="1"/>
    <s v="000528"/>
    <s v="CPO000528KMP"/>
    <s v="BM 8315 QO"/>
    <s v="KMP01012026"/>
    <s v="PT. KMP / 6 / 750"/>
    <x v="1"/>
    <x v="1"/>
    <s v="12 Roda"/>
    <d v="2026-01-22T00:00:00"/>
    <n v="45720"/>
    <n v="17400"/>
    <n v="28320"/>
    <n v="28340"/>
    <d v="1899-12-30T16:55:00"/>
    <d v="1899-12-30T17:56:00"/>
    <s v="Datu"/>
    <s v="IQBAL"/>
    <n v="53"/>
    <s v="WIL"/>
    <s v="Masamba"/>
  </r>
  <r>
    <n v="1"/>
    <s v="000522"/>
    <s v="CPO000522KMP"/>
    <s v="DD 8711 XX"/>
    <s v="KMP01012026"/>
    <s v="PT. KMP / 6 / 750"/>
    <x v="1"/>
    <x v="1"/>
    <s v="10 Roda"/>
    <d v="2026-01-22T00:00:00"/>
    <n v="25020"/>
    <n v="10760"/>
    <n v="14260"/>
    <n v="14300"/>
    <d v="1899-12-30T11:19:00"/>
    <d v="1899-12-30T12:52:00"/>
    <s v="Datu"/>
    <s v="RONI RAKAN"/>
    <n v="53"/>
    <s v="WIL"/>
    <s v="Masamba"/>
  </r>
  <r>
    <n v="1"/>
    <s v="000525"/>
    <s v="CPO000525KMP"/>
    <s v="BH 8459 MY"/>
    <s v="KMP01012026"/>
    <s v="PT. KMP / 6 / 750"/>
    <x v="1"/>
    <x v="1"/>
    <s v="10 Roda"/>
    <d v="2026-01-22T00:00:00"/>
    <n v="26670"/>
    <n v="12150"/>
    <n v="14520"/>
    <n v="14540"/>
    <d v="1899-12-30T15:22:00"/>
    <d v="1899-12-30T16:34:00"/>
    <s v="Datu"/>
    <s v="ERWIN"/>
    <n v="53"/>
    <s v="WIL"/>
    <s v="Masamba"/>
  </r>
  <r>
    <n v="1"/>
    <s v="000526"/>
    <s v="CPO000526KMP"/>
    <s v="DD 9236 XX"/>
    <s v="KMP01012026"/>
    <s v="PT. KMP / 6 / 750"/>
    <x v="1"/>
    <x v="1"/>
    <s v="12 Roda"/>
    <d v="2026-01-22T00:00:00"/>
    <n v="45650"/>
    <n v="17360"/>
    <n v="28290"/>
    <n v="28360"/>
    <d v="1899-12-30T15:50:00"/>
    <d v="1899-12-30T17:23:00"/>
    <s v="Datu"/>
    <s v="IBRAHIM"/>
    <n v="53"/>
    <s v="WIL"/>
    <s v="Masamba"/>
  </r>
  <r>
    <n v="1"/>
    <s v="000527"/>
    <s v="CPO000527KMP"/>
    <s v="DD 8711 XX"/>
    <s v="KMP01012026"/>
    <s v="PT. KMP / 6 / 750"/>
    <x v="1"/>
    <x v="1"/>
    <s v="10 Roda"/>
    <d v="2026-01-22T00:00:00"/>
    <n v="25000"/>
    <n v="10720"/>
    <n v="14280"/>
    <n v="14280"/>
    <d v="1899-12-30T16:05:00"/>
    <d v="1899-12-30T17:18:00"/>
    <s v="Datu"/>
    <s v="RONI RAKAN"/>
    <n v="53"/>
    <s v="WIL"/>
    <s v="Masamba"/>
  </r>
  <r>
    <n v="1"/>
    <s v="000738"/>
    <s v="CPO000738PN"/>
    <s v="DD 9236 XX"/>
    <s v="0095/R2/HO-PALM/CPO-L/I/2026"/>
    <s v="PT. PN / 5 / 1.000"/>
    <x v="4"/>
    <x v="1"/>
    <s v="12 Roda"/>
    <d v="2026-02-03T00:00:00"/>
    <n v="45840"/>
    <n v="17520"/>
    <n v="28320"/>
    <n v="28370"/>
    <d v="1899-12-30T15:01:00"/>
    <d v="1899-12-30T16:44:00"/>
    <s v="samsira"/>
    <s v="IBRAHIM"/>
    <n v="99"/>
    <m/>
    <s v="Burau"/>
  </r>
  <r>
    <n v="1"/>
    <s v="000529"/>
    <s v="CPO000529KMP"/>
    <s v="DD 9236 XX"/>
    <s v="KMP01012026"/>
    <s v="PT. KMP / 6 / 750"/>
    <x v="1"/>
    <x v="1"/>
    <s v="12 Roda"/>
    <d v="2026-01-22T00:00:00"/>
    <n v="45680"/>
    <n v="17340"/>
    <n v="28340"/>
    <n v="28420"/>
    <d v="1899-12-30T21:29:00"/>
    <d v="1899-12-30T22:30:00"/>
    <s v="samsira"/>
    <s v="IBRAHIM"/>
    <n v="53"/>
    <s v="WIL"/>
    <s v="Masamba"/>
  </r>
  <r>
    <n v="1"/>
    <s v="000523"/>
    <s v="BE000523MLR"/>
    <s v="B 9987 UEL"/>
    <m/>
    <s v="PT MADU LINGGA RAHARJA/1/1000"/>
    <x v="5"/>
    <x v="2"/>
    <s v="10 Roda"/>
    <d v="2026-01-22T00:00:00"/>
    <n v="30970"/>
    <n v="10560"/>
    <n v="20410"/>
    <m/>
    <d v="1899-12-30T12:06:00"/>
    <d v="1899-12-30T15:28:00"/>
    <s v="Datu"/>
    <m/>
    <n v="0"/>
    <m/>
    <n v="0"/>
  </r>
  <r>
    <n v="1"/>
    <s v="000524"/>
    <s v="BE000524MLR"/>
    <s v="L 8122 UL"/>
    <m/>
    <s v="PT MADU LINGGA RAHARJA/1/1000"/>
    <x v="5"/>
    <x v="2"/>
    <s v="10 Roda"/>
    <d v="2026-01-22T00:00:00"/>
    <n v="31910"/>
    <n v="11560"/>
    <n v="20350"/>
    <m/>
    <d v="1899-12-30T13:04:00"/>
    <d v="1899-12-30T15:31:00"/>
    <s v="Datu"/>
    <m/>
    <n v="0"/>
    <m/>
    <n v="0"/>
  </r>
  <r>
    <n v="1"/>
    <s v="000530"/>
    <s v="BE000530MLR"/>
    <s v="DB 8745 QF"/>
    <m/>
    <s v="PT MADU LINGGA RAHARJA/1/1000"/>
    <x v="5"/>
    <x v="2"/>
    <s v="10 Roda"/>
    <d v="2026-01-23T00:00:00"/>
    <n v="32380"/>
    <n v="12180"/>
    <n v="20200"/>
    <m/>
    <d v="1899-12-30T08:22:00"/>
    <d v="1899-12-30T10:18:00"/>
    <s v="samsira"/>
    <m/>
    <n v="0"/>
    <m/>
    <n v="0"/>
  </r>
  <r>
    <n v="1"/>
    <s v="000531"/>
    <s v="BE000531MLR"/>
    <s v="B 9986 UEL"/>
    <m/>
    <s v="PT MADU LINGGA RAHARJA/1/1000"/>
    <x v="5"/>
    <x v="2"/>
    <s v="10 Roda"/>
    <d v="2026-01-23T00:00:00"/>
    <n v="30530"/>
    <n v="10330"/>
    <n v="20200"/>
    <m/>
    <d v="1899-12-30T08:25:00"/>
    <d v="1899-12-30T10:23:00"/>
    <s v="samsira"/>
    <m/>
    <n v="0"/>
    <m/>
    <n v="0"/>
  </r>
  <r>
    <n v="1"/>
    <s v="000532"/>
    <s v="BE000532MLR"/>
    <s v="DD 8765 DC "/>
    <m/>
    <s v="PT MADU LINGGA RAHARJA/1/1000"/>
    <x v="5"/>
    <x v="2"/>
    <s v="10 Roda"/>
    <d v="2026-01-24T00:00:00"/>
    <n v="30410"/>
    <n v="10070"/>
    <n v="20340"/>
    <m/>
    <d v="1899-12-30T07:58:00"/>
    <d v="1899-12-30T08:48:00"/>
    <s v="Datu"/>
    <m/>
    <n v="0"/>
    <m/>
    <n v="0"/>
  </r>
  <r>
    <n v="1"/>
    <s v="000537"/>
    <s v="CPO000537JAS"/>
    <s v="B 1918 SXX"/>
    <s v="008/CPO/JM-WINS/I/2026"/>
    <s v="PT. JAS MULIA / 8 / 500"/>
    <x v="3"/>
    <x v="1"/>
    <s v="10 Roda"/>
    <d v="2026-01-28T00:00:00"/>
    <n v="26680"/>
    <n v="11790"/>
    <n v="14890"/>
    <n v="14850"/>
    <d v="1899-12-30T13:31:00"/>
    <d v="1899-12-30T14:19:00"/>
    <s v="samsira"/>
    <s v="WALDI"/>
    <n v="68"/>
    <s v="WIL"/>
    <s v="Bone Bone"/>
  </r>
  <r>
    <n v="1"/>
    <s v="000538"/>
    <s v="CPO000538JAS"/>
    <s v="BH 8459 MY"/>
    <s v="008/CPO/JM-WINS/I/2026"/>
    <s v="PT. JAS MULIA / 8 / 500"/>
    <x v="3"/>
    <x v="1"/>
    <s v="10 Roda"/>
    <d v="2026-01-28T00:00:00"/>
    <n v="26680"/>
    <n v="12120"/>
    <n v="14560"/>
    <n v="14530"/>
    <d v="1899-12-30T13:50:00"/>
    <d v="1899-12-30T14:29:00"/>
    <s v="samsira"/>
    <s v="ERWIN"/>
    <n v="68"/>
    <s v="WIL"/>
    <s v="Bone Bone"/>
  </r>
  <r>
    <n v="1"/>
    <s v="000539"/>
    <s v="CPO000539JAS"/>
    <s v="DD 8711 XX"/>
    <s v="008/CPO/JM-WINS/I/2026"/>
    <s v="PT. JAS MULIA / 8 / 500"/>
    <x v="3"/>
    <x v="1"/>
    <s v="10 Roda"/>
    <d v="2026-01-28T00:00:00"/>
    <n v="25020"/>
    <n v="10680"/>
    <n v="14340"/>
    <n v="14310"/>
    <d v="1899-12-30T13:51:00"/>
    <d v="1899-12-30T14:38:00"/>
    <s v="samsira"/>
    <s v="RONI RAKAN"/>
    <n v="68"/>
    <s v="WIL"/>
    <s v="Bone Bone"/>
  </r>
  <r>
    <n v="1"/>
    <s v="000651"/>
    <s v="CPO000651KMP"/>
    <s v="DD 9236 XX"/>
    <m/>
    <s v="PT. KMP / 8 / 500"/>
    <x v="1"/>
    <x v="1"/>
    <s v="12 Roda"/>
    <d v="2026-02-07T00:00:00"/>
    <n v="45990"/>
    <n v="17670"/>
    <n v="28320"/>
    <n v="28420"/>
    <d v="1899-12-30T10:01:00"/>
    <d v="1899-12-30T11:34:00"/>
    <s v="Datu"/>
    <s v="IBRAHIM"/>
    <n v="53"/>
    <s v="WIL"/>
    <s v="Masamba"/>
  </r>
  <r>
    <n v="1"/>
    <s v="000068"/>
    <s v="CPO000068PN"/>
    <s v="BM 8315 QO"/>
    <s v="0095/R2/HO-PALM/CPO-L/I/2026"/>
    <s v="PT. PN / 5 / 1.000"/>
    <x v="4"/>
    <x v="1"/>
    <s v="12 Roda"/>
    <d v="2026-02-11T00:00:00"/>
    <n v="45640"/>
    <n v="17320"/>
    <n v="28320"/>
    <n v="28380"/>
    <d v="1899-12-30T19:42:00"/>
    <d v="1899-12-30T20:45:00"/>
    <s v="Datu"/>
    <s v="IQBAL"/>
    <n v="99"/>
    <m/>
    <s v="Burau"/>
  </r>
  <r>
    <n v="1"/>
    <s v="000542"/>
    <s v="CPO000542JAS"/>
    <s v="B 1918 SXX"/>
    <s v="008/CPO/JM-WINS/I/2026"/>
    <s v="PT. JAS MULIA / 8 / 500"/>
    <x v="3"/>
    <x v="1"/>
    <s v="10 Roda"/>
    <d v="2026-01-28T00:00:00"/>
    <n v="26670"/>
    <n v="11950"/>
    <n v="14720"/>
    <n v="14710"/>
    <d v="1899-12-30T18:46:00"/>
    <d v="1899-12-30T19:31:00"/>
    <s v="Datu"/>
    <s v="WALDI"/>
    <n v="68"/>
    <s v="WIL"/>
    <s v="Bone Bone"/>
  </r>
  <r>
    <n v="1"/>
    <s v="000543"/>
    <s v="CPO000543JAS"/>
    <s v="DD 8711 XX"/>
    <s v="008/CPO/JM-WINS/I/2026"/>
    <s v="PT. JAS MULIA / 8 / 500"/>
    <x v="3"/>
    <x v="1"/>
    <s v="10 Roda"/>
    <d v="2026-01-28T00:00:00"/>
    <n v="25080"/>
    <n v="10780"/>
    <n v="14300"/>
    <n v="14250"/>
    <d v="1899-12-30T19:11:00"/>
    <d v="1899-12-30T19:58:00"/>
    <s v="Datu"/>
    <s v="RONI RAKAN"/>
    <n v="68"/>
    <s v="WIL"/>
    <s v="Bone Bone"/>
  </r>
  <r>
    <n v="1"/>
    <s v="000544"/>
    <s v="CPO000544JAS"/>
    <s v="BH 8459 MY"/>
    <s v="008/CPO/JM-WINS/I/2026"/>
    <s v="PT. JAS MULIA / 8 / 500"/>
    <x v="3"/>
    <x v="1"/>
    <s v="10 Roda"/>
    <d v="2026-01-28T00:00:00"/>
    <n v="26780"/>
    <n v="12260"/>
    <n v="14520"/>
    <n v="14480"/>
    <d v="1899-12-30T19:46:00"/>
    <d v="1899-12-30T20:45:00"/>
    <s v="Datu"/>
    <s v="ERWIN"/>
    <n v="68"/>
    <s v="WIL"/>
    <s v="Bone Bone"/>
  </r>
  <r>
    <n v="1"/>
    <s v="000545"/>
    <s v="CPO000545JAS"/>
    <s v="DD 9236 XX"/>
    <s v="008/CPO/JM-WINS/I/2026"/>
    <s v="PT. JAS MULIA / 8 / 500"/>
    <x v="3"/>
    <x v="1"/>
    <s v="12 Roda"/>
    <d v="2026-01-28T00:00:00"/>
    <n v="45840"/>
    <n v="17560"/>
    <n v="28280"/>
    <n v="28210"/>
    <d v="1899-12-30T20:21:00"/>
    <d v="1899-12-30T21:13:00"/>
    <s v="Datu"/>
    <s v="IBRAHIM"/>
    <n v="68"/>
    <s v="WIL"/>
    <s v="Bone Bone"/>
  </r>
  <r>
    <n v="1"/>
    <s v="000546"/>
    <s v="CPO000546MIS"/>
    <s v="DP 9846 GA"/>
    <s v="011/PJB/MIS-WINS/I/2026"/>
    <s v="PT. MIS / 4 / 500"/>
    <x v="2"/>
    <x v="1"/>
    <s v="6 Roda"/>
    <d v="2026-01-29T00:00:00"/>
    <n v="13260"/>
    <n v="3640"/>
    <n v="9620"/>
    <n v="9600"/>
    <d v="1899-12-30T08:29:00"/>
    <d v="1899-12-30T09:18:00"/>
    <s v="samsira"/>
    <m/>
    <n v="494"/>
    <m/>
    <s v="Pomala"/>
  </r>
  <r>
    <n v="1"/>
    <s v="000547"/>
    <s v="CPO000547MIS"/>
    <s v="DD 8862 GG"/>
    <s v="011/PJB/MIS-WINS/I/2026"/>
    <s v="PT. MIS / 4 / 500"/>
    <x v="2"/>
    <x v="1"/>
    <s v="6 Roda"/>
    <d v="2026-01-29T00:00:00"/>
    <n v="13500"/>
    <n v="3670"/>
    <n v="9830"/>
    <n v="9800"/>
    <d v="1899-12-30T08:30:00"/>
    <d v="1899-12-30T09:25:00"/>
    <s v="samsira"/>
    <m/>
    <n v="494"/>
    <m/>
    <s v="Pomala"/>
  </r>
  <r>
    <n v="1"/>
    <s v="000558"/>
    <s v="CPO000558MIS"/>
    <s v="DP 9859 GA "/>
    <s v="011/PJB/MIS-WINS/I/2026"/>
    <s v="PT. MIS / 4 / 500"/>
    <x v="2"/>
    <x v="1"/>
    <s v="6 Roda"/>
    <d v="2026-01-29T00:00:00"/>
    <n v="14180"/>
    <n v="4230"/>
    <n v="9950"/>
    <n v="9970"/>
    <d v="1899-12-30T19:38:00"/>
    <d v="1899-12-30T20:22:00"/>
    <s v="Datu"/>
    <m/>
    <n v="494"/>
    <m/>
    <s v="Pomala"/>
  </r>
  <r>
    <n v="1"/>
    <s v="000559"/>
    <s v="CPO000559MIS"/>
    <s v="DP 8798 GH"/>
    <s v="011/PJB/MIS-WINS/I/2026"/>
    <s v="PT. MIS / 4 / 500"/>
    <x v="2"/>
    <x v="1"/>
    <s v="6 Roda"/>
    <d v="2026-01-29T00:00:00"/>
    <n v="13450"/>
    <n v="3980"/>
    <n v="9470"/>
    <n v="9450"/>
    <d v="1899-12-30T19:50:00"/>
    <d v="1899-12-30T20:28:00"/>
    <s v="Datu"/>
    <m/>
    <n v="494"/>
    <m/>
    <s v="Pomala"/>
  </r>
  <r>
    <n v="1"/>
    <s v="000548"/>
    <s v="CPO000548JAS"/>
    <s v="BM 8315 QO"/>
    <s v="008/CPO/JM-WINS/I/2026"/>
    <s v="PT. JAS MULIA / 8 / 500"/>
    <x v="3"/>
    <x v="1"/>
    <s v="12 Roda"/>
    <d v="2026-01-29T00:00:00"/>
    <n v="45980"/>
    <n v="17580"/>
    <n v="28400"/>
    <n v="28330"/>
    <d v="1899-12-30T11:09:00"/>
    <d v="1899-12-30T13:23:00"/>
    <s v="samsira"/>
    <s v="IQBAL"/>
    <n v="68"/>
    <s v="WIL"/>
    <s v="Bone Bone"/>
  </r>
  <r>
    <n v="1"/>
    <s v="000549"/>
    <s v="CPO000549JAS"/>
    <s v="DD 8711 XX"/>
    <s v="008/CPO/JM-WINS/I/2026"/>
    <s v="PT. JAS MULIA / 8 / 500"/>
    <x v="3"/>
    <x v="1"/>
    <s v="10 Roda"/>
    <d v="2026-01-29T00:00:00"/>
    <n v="24990"/>
    <n v="10720"/>
    <n v="14270"/>
    <n v="14230"/>
    <d v="1899-12-30T11:10:00"/>
    <d v="1899-12-30T13:09:00"/>
    <s v="samsira"/>
    <s v="RONI RAKAN"/>
    <n v="68"/>
    <s v="WIL"/>
    <s v="Bone Bone"/>
  </r>
  <r>
    <n v="1"/>
    <s v="000550"/>
    <s v="CPO000550JAS"/>
    <s v="BH 8459 MY"/>
    <s v="008/CPO/JM-WINS/I/2026"/>
    <s v="PT. JAS MULIA / 8 / 500"/>
    <x v="3"/>
    <x v="1"/>
    <s v="10 Roda"/>
    <d v="2026-01-29T00:00:00"/>
    <n v="26710"/>
    <n v="12200"/>
    <n v="14510"/>
    <n v="14450"/>
    <d v="1899-12-30T11:49:00"/>
    <d v="1899-12-30T13:11:00"/>
    <s v="samsira"/>
    <s v="ERWIN"/>
    <n v="68"/>
    <s v="WIL"/>
    <s v="Bone Bone"/>
  </r>
  <r>
    <n v="1"/>
    <s v="000551"/>
    <s v="CPO000551JAS"/>
    <s v="DD 9236 XX"/>
    <s v="008/CPO/JM-WINS/I/2026"/>
    <s v="PT. JAS MULIA / 8 / 500"/>
    <x v="3"/>
    <x v="1"/>
    <s v="12 Roda"/>
    <d v="2026-01-29T00:00:00"/>
    <n v="45840"/>
    <n v="17500"/>
    <n v="28340"/>
    <n v="28270"/>
    <d v="1899-12-30T11:53:00"/>
    <d v="1899-12-30T13:16:00"/>
    <s v="samsira"/>
    <s v="IBRAHIM"/>
    <n v="68"/>
    <s v="WIL"/>
    <s v="Bone Bone"/>
  </r>
  <r>
    <n v="1"/>
    <s v="000552"/>
    <s v="CPO000552JAS"/>
    <s v="B 1918 SXX"/>
    <s v="008/CPO/JM-WINS/I/2026"/>
    <s v="PT. JAS MULIA / 8 / 500"/>
    <x v="3"/>
    <x v="1"/>
    <s v="10 Roda"/>
    <d v="2026-01-29T00:00:00"/>
    <n v="26710"/>
    <n v="11880"/>
    <n v="14830"/>
    <n v="14760"/>
    <d v="1899-12-30T12:09:00"/>
    <d v="1899-12-30T13:11:00"/>
    <s v="samsira"/>
    <s v="WALDI"/>
    <n v="68"/>
    <s v="WIL"/>
    <s v="Bone Bone"/>
  </r>
  <r>
    <n v="1"/>
    <s v="000553"/>
    <s v="CPO000553JAS"/>
    <s v="B 1918 SXX"/>
    <s v="008/CPO/JM-WINS/I/2026"/>
    <s v="PT. JAS MULIA / 8 / 500"/>
    <x v="3"/>
    <x v="1"/>
    <s v="10 Roda"/>
    <d v="2026-01-29T00:00:00"/>
    <n v="26530"/>
    <n v="11860"/>
    <n v="14670"/>
    <n v="14650"/>
    <d v="1899-12-30T17:18:00"/>
    <d v="1899-12-30T17:48:00"/>
    <s v="Datu"/>
    <s v="WALDI"/>
    <n v="68"/>
    <s v="WIL"/>
    <s v="Bone Bone"/>
  </r>
  <r>
    <n v="1"/>
    <s v="000554"/>
    <s v="CPO000554JAS"/>
    <s v="DD 8711 XX"/>
    <s v="008/CPO/JM-WINS/I/2026"/>
    <s v="PT. JAS MULIA / 8 / 500"/>
    <x v="3"/>
    <x v="1"/>
    <s v="10 Roda"/>
    <d v="2026-01-29T00:00:00"/>
    <n v="24940"/>
    <n v="10690"/>
    <n v="14250"/>
    <n v="14210"/>
    <d v="1899-12-30T17:37:00"/>
    <d v="1899-12-30T18:23:00"/>
    <s v="Datu"/>
    <s v="RONI RAKAN"/>
    <n v="68"/>
    <s v="WIL"/>
    <s v="Bone Bone"/>
  </r>
  <r>
    <n v="1"/>
    <s v="000555"/>
    <s v="CPO000555JAS"/>
    <s v="DD 9236 XX"/>
    <s v="008/CPO/JM-WINS/I/2026"/>
    <s v="PT. JAS MULIA / 8 / 500"/>
    <x v="3"/>
    <x v="1"/>
    <s v="12 Roda"/>
    <d v="2026-01-29T00:00:00"/>
    <n v="45830"/>
    <n v="17590"/>
    <n v="28240"/>
    <n v="28190"/>
    <d v="1899-12-30T18:18:00"/>
    <d v="1899-12-30T19:10:00"/>
    <s v="Datu"/>
    <s v="IBRAHIM"/>
    <n v="68"/>
    <s v="WIL"/>
    <s v="Bone Bone"/>
  </r>
  <r>
    <n v="1"/>
    <s v="000556"/>
    <s v="CPO000556JAS"/>
    <s v="BM 8315 QO"/>
    <s v="008/CPO/JM-WINS/I/2026"/>
    <s v="PT. JAS MULIA / 8 / 500"/>
    <x v="3"/>
    <x v="1"/>
    <s v="12 Roda"/>
    <d v="2026-01-29T00:00:00"/>
    <n v="45820"/>
    <n v="17530"/>
    <n v="28290"/>
    <n v="28220"/>
    <d v="1899-12-30T19:06:00"/>
    <d v="1899-12-30T20:03:00"/>
    <s v="Datu"/>
    <s v="IQBAL"/>
    <n v="68"/>
    <s v="WIL"/>
    <s v="Bone Bone"/>
  </r>
  <r>
    <n v="1"/>
    <s v="000557"/>
    <s v="CPO000557JAS"/>
    <s v="BH 8459 MY"/>
    <s v="008/CPO/JM-WINS/I/2026"/>
    <s v="PT. JAS MULIA / 8 / 500"/>
    <x v="3"/>
    <x v="1"/>
    <s v="10 Roda"/>
    <d v="2026-01-29T00:00:00"/>
    <n v="26640"/>
    <n v="12180"/>
    <n v="14460"/>
    <n v="14420"/>
    <d v="1899-12-30T19:08:00"/>
    <d v="1899-12-30T20:08:00"/>
    <s v="Datu"/>
    <s v="ERWIN"/>
    <n v="68"/>
    <s v="WIL"/>
    <s v="Bone Bone"/>
  </r>
  <r>
    <n v="1"/>
    <s v="000566"/>
    <s v="CPO000566MIS"/>
    <s v="DP 8762 GH"/>
    <s v="011/PJB/MIS-WINS/I/2026"/>
    <s v="PT. MIS / 4 / 500"/>
    <x v="2"/>
    <x v="1"/>
    <s v="6 Roda"/>
    <d v="2026-01-30T00:00:00"/>
    <n v="13140"/>
    <n v="3750"/>
    <n v="9390"/>
    <n v="9350"/>
    <d v="1899-12-30T22:31:00"/>
    <d v="1899-12-30T23:11:00"/>
    <s v="Datu"/>
    <m/>
    <n v="494"/>
    <m/>
    <s v="Pomala"/>
  </r>
  <r>
    <n v="1"/>
    <s v="000567"/>
    <s v="CPO000567MIS"/>
    <s v="DP 8662 GH"/>
    <s v="011/PJB/MIS-WINS/I/2026"/>
    <s v="PT. MIS / 4 / 500"/>
    <x v="2"/>
    <x v="1"/>
    <s v="6 Roda"/>
    <d v="2026-01-30T00:00:00"/>
    <n v="14010"/>
    <n v="3950"/>
    <n v="10060"/>
    <n v="10110"/>
    <d v="1899-12-30T22:39:00"/>
    <d v="1899-12-30T23:13:00"/>
    <s v="Datu"/>
    <m/>
    <n v="494"/>
    <m/>
    <s v="Pomala"/>
  </r>
  <r>
    <n v="1"/>
    <s v="000568"/>
    <s v="CPO000568MIS"/>
    <s v="DD 8574 YE"/>
    <s v="011/PJB/MIS-WINS/I/2026"/>
    <s v="PT. MIS / 4 / 500"/>
    <x v="2"/>
    <x v="1"/>
    <s v="6 Roda"/>
    <d v="2026-01-30T00:00:00"/>
    <n v="13560"/>
    <n v="3940"/>
    <n v="9620"/>
    <n v="9600"/>
    <d v="1899-12-30T22:42:00"/>
    <d v="1899-12-30T23:29:00"/>
    <s v="Datu"/>
    <m/>
    <n v="494"/>
    <m/>
    <s v="Pomala"/>
  </r>
  <r>
    <n v="1"/>
    <s v="000560"/>
    <s v="CPO000560JAS"/>
    <s v="B 1918 SXX"/>
    <s v="008/CPO/JM-WINS/I/2026"/>
    <s v="PT. JAS MULIA / 8 / 500"/>
    <x v="3"/>
    <x v="1"/>
    <s v="10 Roda"/>
    <d v="2026-01-30T00:00:00"/>
    <n v="26600"/>
    <n v="11810"/>
    <n v="14790"/>
    <n v="14740"/>
    <d v="1899-12-30T13:33:00"/>
    <d v="1899-12-30T15:00:00"/>
    <s v="samsira"/>
    <s v="WALDI"/>
    <n v="68"/>
    <s v="WIL"/>
    <s v="Bone Bone"/>
  </r>
  <r>
    <n v="1"/>
    <s v="000561"/>
    <s v="CPO000561JAS"/>
    <s v="DD 8711 XX"/>
    <s v="008/CPO/JM-WINS/I/2026"/>
    <s v="PT. JAS MULIA / 8 / 500"/>
    <x v="3"/>
    <x v="1"/>
    <s v="10 Roda"/>
    <d v="2026-01-30T00:00:00"/>
    <n v="25040"/>
    <n v="10830"/>
    <n v="14210"/>
    <n v="14230"/>
    <d v="1899-12-30T13:34:00"/>
    <d v="1899-12-30T15:03:00"/>
    <s v="samsira"/>
    <s v="RONI RAKAN"/>
    <n v="68"/>
    <s v="WIL"/>
    <s v="Bone Bone"/>
  </r>
  <r>
    <n v="1"/>
    <s v="000562"/>
    <s v="CPO000562JAS"/>
    <s v="BM 8315 QO"/>
    <s v="008/CPO/JM-WINS/I/2026"/>
    <s v="PT. JAS MULIA / 8 / 500"/>
    <x v="3"/>
    <x v="1"/>
    <s v="12 Roda"/>
    <d v="2026-01-30T00:00:00"/>
    <n v="45700"/>
    <n v="17460"/>
    <n v="28240"/>
    <n v="28150"/>
    <d v="1899-12-30T13:36:00"/>
    <d v="1899-12-30T14:40:00"/>
    <s v="samsira"/>
    <s v="IQBAL"/>
    <n v="68"/>
    <s v="WIL"/>
    <s v="Bone Bone"/>
  </r>
  <r>
    <n v="1"/>
    <s v="000563"/>
    <s v="CPO000563JAS"/>
    <s v="BH 8459 MY"/>
    <s v="008/CPO/JM-WINS/I/2026"/>
    <s v="PT. JAS MULIA / 8 / 500"/>
    <x v="3"/>
    <x v="1"/>
    <s v="10 Roda"/>
    <d v="2026-01-30T00:00:00"/>
    <n v="26600"/>
    <n v="12130"/>
    <n v="14470"/>
    <n v="14430"/>
    <d v="1899-12-30T13:51:00"/>
    <d v="1899-12-30T14:59:00"/>
    <s v="samsira"/>
    <s v="ERWIN"/>
    <n v="68"/>
    <s v="WIL"/>
    <s v="Bone Bone"/>
  </r>
  <r>
    <n v="1"/>
    <s v="000564"/>
    <s v="CPO000564JAS"/>
    <s v="DD 9236 XX"/>
    <s v="008/CPO/JM-WINS/I/2026"/>
    <s v="PT. JAS MULIA / 8 / 500"/>
    <x v="3"/>
    <x v="1"/>
    <s v="12 Roda"/>
    <d v="2026-01-30T00:00:00"/>
    <n v="45690"/>
    <n v="17470"/>
    <n v="28220"/>
    <n v="28210"/>
    <d v="1899-12-30T14:45:00"/>
    <d v="1899-12-30T15:35:00"/>
    <s v="samsira"/>
    <s v="IBRAHIM"/>
    <n v="68"/>
    <s v="WIL"/>
    <s v="Bone Bone"/>
  </r>
  <r>
    <n v="1"/>
    <s v="000565"/>
    <s v="CPO000565JAS"/>
    <s v="BM 8315 QO"/>
    <s v="008/CPO/JM-WINS/I/2026"/>
    <s v="PT. JAS MULIA / 8 / 500"/>
    <x v="3"/>
    <x v="1"/>
    <s v="12 Roda"/>
    <d v="2026-01-30T00:00:00"/>
    <n v="45720"/>
    <n v="17380"/>
    <n v="28340"/>
    <n v="28260"/>
    <d v="1899-12-30T20:18:00"/>
    <d v="1899-12-30T21:19:00"/>
    <s v="Datu"/>
    <s v="IQBAL"/>
    <n v="68"/>
    <s v="WIL"/>
    <s v="Bone Bone"/>
  </r>
  <r>
    <n v="1"/>
    <s v="000570"/>
    <s v="CPO000570MIS"/>
    <s v="DP 9846 GA"/>
    <s v="011/PJB/MIS-WINS/I/2026"/>
    <s v="PT. MIS / 4 / 500"/>
    <x v="2"/>
    <x v="1"/>
    <s v="6 Roda"/>
    <d v="2026-01-31T00:00:00"/>
    <n v="13070"/>
    <n v="3620"/>
    <n v="9450"/>
    <n v="9430"/>
    <d v="1899-12-30T16:29:00"/>
    <d v="1899-12-30T17:18:00"/>
    <s v="Datu"/>
    <m/>
    <n v="494"/>
    <m/>
    <s v="Pomala"/>
  </r>
  <r>
    <n v="1"/>
    <s v="000571"/>
    <s v="CPO000571MIS"/>
    <s v="DP 8821 GL"/>
    <s v="011/PJB/MIS-WINS/I/2026"/>
    <s v="PT. MIS / 4 / 500"/>
    <x v="2"/>
    <x v="1"/>
    <s v="6 Roda"/>
    <d v="2026-01-31T00:00:00"/>
    <n v="13310"/>
    <n v="3810"/>
    <n v="9500"/>
    <n v="9480"/>
    <d v="1899-12-30T16:41:00"/>
    <d v="1899-12-30T17:20:00"/>
    <s v="Datu"/>
    <m/>
    <n v="494"/>
    <m/>
    <s v="Pomala"/>
  </r>
  <r>
    <n v="1"/>
    <s v="000572"/>
    <s v="CPO000572MIS"/>
    <s v="DP 8928 GM "/>
    <s v="011/PJB/MIS-WINS/I/2026"/>
    <s v="PT. MIS / 4 / 500"/>
    <x v="2"/>
    <x v="1"/>
    <s v="6 Roda"/>
    <d v="2026-01-31T00:00:00"/>
    <n v="13790"/>
    <n v="3860"/>
    <n v="9930"/>
    <n v="9910"/>
    <d v="1899-12-30T21:59:00"/>
    <d v="1899-12-30T22:43:00"/>
    <s v="Datu"/>
    <m/>
    <n v="494"/>
    <m/>
    <s v="Pomala"/>
  </r>
  <r>
    <n v="1"/>
    <s v="000573"/>
    <s v="CPO000573MIS"/>
    <s v="DP 9821 YE"/>
    <s v="011/PJB/MIS-WINS/I/2026"/>
    <s v="PT. MIS / 4 / 500"/>
    <x v="2"/>
    <x v="1"/>
    <s v="6 Roda"/>
    <d v="2026-01-31T00:00:00"/>
    <n v="13000"/>
    <n v="3730"/>
    <n v="9270"/>
    <n v="9260"/>
    <d v="1899-12-30T22:50:00"/>
    <d v="1899-12-30T23:55:00"/>
    <s v="Datu"/>
    <m/>
    <n v="494"/>
    <m/>
    <s v="Pomala"/>
  </r>
  <r>
    <n v="1"/>
    <s v="000574"/>
    <s v="CPO000574MIS"/>
    <s v="DP 8951 GB"/>
    <s v="011/PJB/MIS-WINS/I/2026"/>
    <s v="PT. MIS / 4 / 500"/>
    <x v="2"/>
    <x v="1"/>
    <s v="6 Roda"/>
    <d v="2026-01-31T00:00:00"/>
    <n v="13740"/>
    <n v="4100"/>
    <n v="9640"/>
    <n v="9590"/>
    <d v="1899-12-30T22:57:00"/>
    <d v="1899-12-30T23:50:00"/>
    <s v="Datu"/>
    <m/>
    <n v="494"/>
    <m/>
    <s v="Pomala"/>
  </r>
  <r>
    <n v="1"/>
    <s v="000575"/>
    <s v="CPO000575MIS"/>
    <s v="DP 8446 GC"/>
    <s v="011/PJB/MIS-WINS/I/2026"/>
    <s v="PT. MIS / 4 / 500"/>
    <x v="2"/>
    <x v="1"/>
    <s v="6 Roda"/>
    <d v="2026-01-31T00:00:00"/>
    <n v="13480"/>
    <n v="3920"/>
    <n v="9560"/>
    <n v="9520"/>
    <d v="1899-12-30T22:58:00"/>
    <d v="1899-12-30T23:53:00"/>
    <s v="Datu"/>
    <m/>
    <n v="494"/>
    <m/>
    <s v="Pomala"/>
  </r>
  <r>
    <n v="1"/>
    <s v="000576"/>
    <s v="CPO000576MIS"/>
    <s v="DP 8674 GC"/>
    <s v="011/PJB/MIS-WINS/I/2026"/>
    <s v="PT. MIS / 4 / 500"/>
    <x v="2"/>
    <x v="1"/>
    <s v="6 Roda"/>
    <d v="2026-01-31T00:00:00"/>
    <n v="13830"/>
    <n v="3910"/>
    <n v="9920"/>
    <n v="9880"/>
    <d v="1899-12-30T23:00:00"/>
    <d v="1899-12-30T23:58:00"/>
    <s v="Datu"/>
    <m/>
    <n v="494"/>
    <m/>
    <s v="Pomala"/>
  </r>
  <r>
    <n v="1"/>
    <s v="000577"/>
    <s v="CPO000577MIS"/>
    <s v="DP 8004 GJ"/>
    <s v="011/PJB/MIS-WINS/I/2026"/>
    <s v="PT. MIS / 4 / 500"/>
    <x v="2"/>
    <x v="1"/>
    <s v="6 Roda"/>
    <d v="2026-02-01T00:00:00"/>
    <n v="13480"/>
    <n v="4140"/>
    <n v="9340"/>
    <n v="9330"/>
    <d v="1899-12-30T01:29:00"/>
    <d v="1899-12-30T02:07:00"/>
    <s v="Datu"/>
    <m/>
    <n v="494"/>
    <m/>
    <s v="Pomala"/>
  </r>
  <r>
    <n v="1"/>
    <s v="000578"/>
    <s v="CPO000578MIS"/>
    <s v="DP 9826 GA "/>
    <s v="011/PJB/MIS-WINS/I/2026"/>
    <s v="PT. MIS / 4 / 500"/>
    <x v="2"/>
    <x v="1"/>
    <s v="6 Roda"/>
    <d v="2026-02-01T00:00:00"/>
    <n v="13920"/>
    <n v="4080"/>
    <n v="9840"/>
    <n v="9820"/>
    <d v="1899-12-30T01:31:00"/>
    <d v="1899-12-30T02:09:00"/>
    <s v="Datu"/>
    <m/>
    <n v="494"/>
    <m/>
    <s v="Pomala"/>
  </r>
  <r>
    <n v="1"/>
    <s v="000579"/>
    <s v="CPO000579MIS"/>
    <s v="DP 8954 HB"/>
    <s v="011/PJB/MIS-WINS/I/2026"/>
    <s v="PT. MIS / 4 / 500"/>
    <x v="2"/>
    <x v="1"/>
    <s v="6 Roda"/>
    <d v="2026-02-01T00:00:00"/>
    <n v="12420"/>
    <n v="3770"/>
    <n v="8650"/>
    <n v="8640"/>
    <d v="1899-12-30T01:39:00"/>
    <d v="1899-12-30T02:25:00"/>
    <s v="Datu"/>
    <m/>
    <n v="494"/>
    <m/>
    <s v="Pomala"/>
  </r>
  <r>
    <n v="1"/>
    <s v="000580"/>
    <s v="CPO000580MIS"/>
    <s v="DP 8076 TE"/>
    <s v="011/PJB/MIS-WINS/I/2026"/>
    <s v="PT. MIS / 4 / 500"/>
    <x v="2"/>
    <x v="1"/>
    <s v="6 Roda"/>
    <d v="2026-02-01T00:00:00"/>
    <n v="14120"/>
    <n v="4140"/>
    <n v="9980"/>
    <n v="9960"/>
    <d v="1899-12-30T01:40:00"/>
    <d v="1899-12-30T02:16:00"/>
    <s v="Datu"/>
    <m/>
    <n v="494"/>
    <m/>
    <s v="Pomala"/>
  </r>
  <r>
    <n v="1"/>
    <s v="000581"/>
    <s v="CPO000581MIS"/>
    <s v="DD 8574 HG"/>
    <s v="011/PJB/MIS-WINS/I/2026"/>
    <s v="PT. MIS / 4 / 500"/>
    <x v="2"/>
    <x v="1"/>
    <s v="6 Roda"/>
    <d v="2026-02-01T00:00:00"/>
    <n v="12760"/>
    <n v="3990"/>
    <n v="8770"/>
    <n v="8750"/>
    <d v="1899-12-30T01:42:00"/>
    <d v="1899-12-30T02:57:00"/>
    <s v="Datu"/>
    <m/>
    <n v="494"/>
    <m/>
    <s v="Pomala"/>
  </r>
  <r>
    <n v="1"/>
    <s v="000582"/>
    <s v="CPO000582MIS"/>
    <s v="DP 8862 GG"/>
    <s v="011/PJB/MIS-WINS/I/2026"/>
    <s v="PT. MIS / 4 / 500"/>
    <x v="2"/>
    <x v="1"/>
    <s v="6 Roda"/>
    <d v="2026-02-02T00:00:00"/>
    <n v="13470"/>
    <n v="3630"/>
    <n v="9840"/>
    <n v="9810"/>
    <d v="1899-12-30T08:33:00"/>
    <d v="1899-12-30T10:12:00"/>
    <s v="Datu"/>
    <m/>
    <n v="494"/>
    <m/>
    <s v="Pomala"/>
  </r>
  <r>
    <n v="1"/>
    <s v="000583"/>
    <s v="CPO000583MIS"/>
    <s v="DD 8983 UC"/>
    <s v="011/PJB/MIS-WINS/I/2026"/>
    <s v="PT. MIS / 4 / 500"/>
    <x v="2"/>
    <x v="1"/>
    <s v="6 Roda"/>
    <d v="2026-02-02T00:00:00"/>
    <n v="14490"/>
    <n v="4390"/>
    <n v="10100"/>
    <n v="10130"/>
    <d v="1899-12-30T08:35:00"/>
    <d v="1899-12-30T10:20:00"/>
    <s v="Datu"/>
    <m/>
    <n v="494"/>
    <m/>
    <s v="Pomala"/>
  </r>
  <r>
    <n v="1"/>
    <s v="000584"/>
    <s v="CPO000584MIS"/>
    <s v="DP 8935 UA"/>
    <s v="011/PJB/MIS-WINS/I/2026"/>
    <s v="PT. MIS / 4 / 500"/>
    <x v="2"/>
    <x v="1"/>
    <s v="6 Roda"/>
    <d v="2026-02-02T00:00:00"/>
    <n v="13970"/>
    <n v="3990"/>
    <n v="9980"/>
    <n v="9990"/>
    <d v="1899-12-30T08:37:00"/>
    <d v="1899-12-30T10:01:00"/>
    <s v="Datu"/>
    <m/>
    <n v="494"/>
    <m/>
    <s v="Pomala"/>
  </r>
  <r>
    <n v="1"/>
    <s v="000585"/>
    <s v="CPO000585MIS"/>
    <s v="DP 9859 GA"/>
    <s v="011/PJB/MIS-WINS/I/2026"/>
    <s v="PT. MIS / 4 / 500"/>
    <x v="2"/>
    <x v="1"/>
    <s v="6 Roda"/>
    <d v="2026-02-02T00:00:00"/>
    <n v="14190"/>
    <n v="4260"/>
    <n v="9930"/>
    <n v="9960"/>
    <d v="1899-12-30T08:39:00"/>
    <d v="1899-12-30T10:04:00"/>
    <s v="Datu"/>
    <m/>
    <n v="494"/>
    <m/>
    <s v="Pomala"/>
  </r>
  <r>
    <n v="1"/>
    <s v="000736"/>
    <s v="CPO000736PN"/>
    <s v="DD 8711 XX"/>
    <s v="0095/R2/HO-PALM/CPO-L/I/2026"/>
    <s v="PT. PN / 5 / 1.000"/>
    <x v="4"/>
    <x v="1"/>
    <s v="10 Roda"/>
    <d v="2026-02-03T00:00:00"/>
    <n v="24990"/>
    <n v="10680"/>
    <n v="14310"/>
    <n v="14290"/>
    <d v="1899-12-30T14:13:00"/>
    <d v="1899-12-30T15:39:00"/>
    <s v="Datu"/>
    <s v="RONI RAKAN"/>
    <n v="99"/>
    <m/>
    <s v="Burau"/>
  </r>
  <r>
    <n v="1"/>
    <s v="000737"/>
    <s v="CPO000737PN"/>
    <s v="B 1918 SXX"/>
    <s v="0095/R2/HO-PALM/CPO-L/I/2026"/>
    <s v="PT. PN / 5 / 1.000"/>
    <x v="4"/>
    <x v="1"/>
    <s v="10 Roda"/>
    <d v="2026-02-03T00:00:00"/>
    <n v="26700"/>
    <n v="11880"/>
    <n v="14820"/>
    <n v="14500"/>
    <d v="1899-12-30T14:58:00"/>
    <d v="1899-12-30T15:48:00"/>
    <s v="Datu"/>
    <s v="WALDI"/>
    <n v="99"/>
    <m/>
    <s v="Burau"/>
  </r>
  <r>
    <n v="1"/>
    <s v="000683"/>
    <s v="CPO000683KMP"/>
    <s v="BM 8315 QO"/>
    <m/>
    <s v="PT. KMP / 8 / 500"/>
    <x v="1"/>
    <x v="1"/>
    <s v="12 Roda"/>
    <d v="2026-02-14T00:00:00"/>
    <n v="45790"/>
    <n v="17470"/>
    <n v="28320"/>
    <n v="28480"/>
    <d v="1899-12-30T18:29:00"/>
    <d v="1899-12-30T19:28:00"/>
    <s v="Datu"/>
    <s v="IQBAL"/>
    <n v="53"/>
    <s v="WIL"/>
    <s v="Masamba"/>
  </r>
  <r>
    <n v="1"/>
    <s v="000739"/>
    <s v="CPO000739PN"/>
    <s v="BH 8459 MY"/>
    <s v="0095/R2/HO-PALM/CPO-L/I/2026"/>
    <s v="PT. PN / 5 / 1.000"/>
    <x v="4"/>
    <x v="1"/>
    <s v="10 Roda"/>
    <d v="2026-02-03T00:00:00"/>
    <n v="26580"/>
    <n v="12070"/>
    <n v="14510"/>
    <n v="14820"/>
    <d v="1899-12-30T15:04:00"/>
    <d v="1899-12-30T16:29:00"/>
    <s v="samsira"/>
    <s v="ERWIN"/>
    <n v="99"/>
    <m/>
    <s v="Burau"/>
  </r>
  <r>
    <n v="1"/>
    <s v="000692"/>
    <s v="CPO000692JAS"/>
    <s v="BM 8315 QO"/>
    <s v="009/CPO/JM-WINS/I/2026"/>
    <s v="PT. JAS MULIA / 9 / 500"/>
    <x v="3"/>
    <x v="1"/>
    <s v="12 Roda"/>
    <d v="2026-02-16T00:00:00"/>
    <n v="45900"/>
    <n v="17580"/>
    <n v="28320"/>
    <n v="28250"/>
    <d v="1899-12-30T17:44:00"/>
    <d v="1899-12-30T18:54:00"/>
    <s v="samsira"/>
    <s v="IQBAL"/>
    <n v="68"/>
    <s v="WIL"/>
    <s v="Bone Bone"/>
  </r>
  <r>
    <n v="1"/>
    <s v="000587"/>
    <s v="CPO000587MIS"/>
    <s v="DP 8821 GL"/>
    <s v="011/PJB/MIS-WINS/I/2026"/>
    <s v="PT. MIS / 4 / 500"/>
    <x v="2"/>
    <x v="1"/>
    <s v="6 Roda"/>
    <d v="2026-02-03T00:00:00"/>
    <n v="13320"/>
    <n v="3790"/>
    <n v="9530"/>
    <n v="9510"/>
    <d v="1899-12-30T06:54:00"/>
    <d v="1899-12-30T08:31:00"/>
    <s v="Datu"/>
    <m/>
    <n v="494"/>
    <m/>
    <s v="Pomala"/>
  </r>
  <r>
    <n v="1"/>
    <s v="000588"/>
    <s v="CPO000588MIS"/>
    <s v="DP 8662 GH"/>
    <s v="011/PJB/MIS-WINS/I/2026"/>
    <s v="PT. MIS / 4 / 500"/>
    <x v="2"/>
    <x v="1"/>
    <s v="6 Roda"/>
    <d v="2026-02-03T00:00:00"/>
    <n v="14080"/>
    <n v="4010"/>
    <n v="10070"/>
    <n v="10100"/>
    <d v="1899-12-30T06:56:00"/>
    <d v="1899-12-30T08:20:00"/>
    <s v="Datu"/>
    <m/>
    <n v="494"/>
    <m/>
    <s v="Pomala"/>
  </r>
  <r>
    <n v="1"/>
    <s v="000589"/>
    <s v="CPO000589MIS"/>
    <s v="DD 8574 YE"/>
    <s v="011/PJB/MIS-WINS/I/2026"/>
    <s v="PT. MIS / 4 / 500"/>
    <x v="2"/>
    <x v="1"/>
    <s v="6 Roda"/>
    <d v="2026-02-03T00:00:00"/>
    <n v="13550"/>
    <n v="3970"/>
    <n v="9580"/>
    <n v="9570"/>
    <d v="1899-12-30T07:03:00"/>
    <d v="1899-12-30T08:28:00"/>
    <s v="Datu"/>
    <m/>
    <n v="494"/>
    <m/>
    <s v="Pomala"/>
  </r>
  <r>
    <n v="1"/>
    <s v="000590"/>
    <s v="CPO000590MIS"/>
    <s v="DP 8762 GH"/>
    <s v="011/PJB/MIS-WINS/I/2026"/>
    <s v="PT. MIS / 4 / 500"/>
    <x v="2"/>
    <x v="1"/>
    <s v="6 Roda"/>
    <d v="2026-02-03T00:00:00"/>
    <n v="13110"/>
    <n v="3760"/>
    <n v="9350"/>
    <n v="9320"/>
    <d v="1899-12-30T07:05:00"/>
    <d v="1899-12-30T08:38:00"/>
    <s v="Datu"/>
    <m/>
    <n v="494"/>
    <m/>
    <s v="Pomala"/>
  </r>
  <r>
    <n v="1"/>
    <s v="000592"/>
    <s v="CPO000592MIS"/>
    <s v="DP 9846 GA"/>
    <s v="011/PJB/MIS-WINS/I/2026"/>
    <s v="PT. MIS / 4 / 500"/>
    <x v="2"/>
    <x v="1"/>
    <s v="6 Roda"/>
    <d v="2026-02-03T00:00:00"/>
    <n v="13210"/>
    <n v="3610"/>
    <n v="9600"/>
    <n v="9540"/>
    <d v="1899-12-30T08:24:00"/>
    <d v="1899-12-30T09:04:00"/>
    <s v="Datu"/>
    <m/>
    <n v="494"/>
    <m/>
    <s v="Pomala"/>
  </r>
  <r>
    <n v="1"/>
    <s v="000597"/>
    <s v="CPO000597MIS"/>
    <s v="DD 8574 HG"/>
    <s v="011/PJB/MIS-WINS/I/2026"/>
    <s v="PT. MIS / 4 / 500"/>
    <x v="2"/>
    <x v="1"/>
    <s v="6 Roda"/>
    <d v="2026-02-03T00:00:00"/>
    <n v="12840"/>
    <n v="3960"/>
    <n v="8880"/>
    <n v="8830"/>
    <d v="1899-12-30T20:23:00"/>
    <d v="1899-12-30T21:15:00"/>
    <s v="samsira"/>
    <m/>
    <n v="494"/>
    <m/>
    <s v="Pomala"/>
  </r>
  <r>
    <n v="1"/>
    <s v="000598"/>
    <s v="CPO000598MIS"/>
    <s v="DP 8954 HB"/>
    <s v="011/PJB/MIS-WINS/I/2026"/>
    <s v="PT. MIS / 4 / 500"/>
    <x v="2"/>
    <x v="1"/>
    <s v="6 Roda"/>
    <d v="2026-02-03T00:00:00"/>
    <n v="12400"/>
    <n v="3770"/>
    <n v="8630"/>
    <n v="8540"/>
    <d v="1899-12-30T20:28:00"/>
    <d v="1899-12-30T21:20:00"/>
    <s v="samsira"/>
    <m/>
    <n v="494"/>
    <m/>
    <s v="Pomala"/>
  </r>
  <r>
    <n v="1"/>
    <s v="000599"/>
    <s v="CPO000599MIS"/>
    <s v="DP 8076 TE"/>
    <s v="011/PJB/MIS-WINS/I/2026"/>
    <s v="PT. MIS / 4 / 500"/>
    <x v="2"/>
    <x v="1"/>
    <s v="6 Roda"/>
    <d v="2026-02-03T00:00:00"/>
    <n v="14130"/>
    <n v="4120"/>
    <n v="10010"/>
    <n v="9980"/>
    <d v="1899-12-30T20:30:00"/>
    <d v="1899-12-30T21:08:00"/>
    <s v="samsira"/>
    <m/>
    <n v="494"/>
    <m/>
    <s v="Pomala"/>
  </r>
  <r>
    <n v="1"/>
    <s v="000600"/>
    <s v="CPO000600MIS"/>
    <s v="DP 8951 GB"/>
    <s v="011/PJB/MIS-WINS/I/2026"/>
    <s v="PT. MIS / 4 / 500"/>
    <x v="2"/>
    <x v="1"/>
    <s v="6 Roda"/>
    <d v="2026-02-03T00:00:00"/>
    <n v="13730"/>
    <n v="4090"/>
    <n v="9640"/>
    <n v="9620"/>
    <d v="1899-12-30T22:22:00"/>
    <d v="1899-12-30T23:09:00"/>
    <s v="samsira"/>
    <m/>
    <n v="494"/>
    <m/>
    <s v="Pomala"/>
  </r>
  <r>
    <n v="1"/>
    <s v="000601"/>
    <s v="CPO000601MIS"/>
    <s v="DP 8928 GM"/>
    <s v="011/PJB/MIS-WINS/I/2026"/>
    <s v="PT. MIS / 4 / 500"/>
    <x v="2"/>
    <x v="1"/>
    <s v="6 Roda"/>
    <d v="2026-02-03T00:00:00"/>
    <n v="13970"/>
    <n v="3870"/>
    <n v="10100"/>
    <n v="10030"/>
    <d v="1899-12-30T22:23:00"/>
    <d v="1899-12-30T23:04:00"/>
    <s v="samsira"/>
    <m/>
    <n v="494"/>
    <m/>
    <s v="Pomala"/>
  </r>
  <r>
    <n v="1"/>
    <s v="000602"/>
    <s v="CPO000602MIS"/>
    <s v="DP 8446 GC"/>
    <s v="011/PJB/MIS-WINS/I/2026"/>
    <s v="PT. MIS / 4 / 500"/>
    <x v="2"/>
    <x v="1"/>
    <s v="6 Roda"/>
    <d v="2026-02-03T00:00:00"/>
    <n v="13490"/>
    <n v="3940"/>
    <n v="9550"/>
    <n v="9520"/>
    <d v="1899-12-30T22:25:00"/>
    <d v="1899-12-30T23:12:00"/>
    <s v="samsira"/>
    <m/>
    <n v="494"/>
    <m/>
    <s v="Pomala"/>
  </r>
  <r>
    <n v="1"/>
    <s v="000603"/>
    <s v="CPO000603MIS"/>
    <s v="DD 8004 GJ"/>
    <s v="011/PJB/MIS-WINS/I/2026"/>
    <s v="PT. MIS / 4 / 500"/>
    <x v="2"/>
    <x v="1"/>
    <s v="6 Roda"/>
    <d v="2026-02-03T00:00:00"/>
    <n v="13570"/>
    <n v="4140"/>
    <n v="9430"/>
    <n v="9380"/>
    <d v="1899-12-30T22:44:00"/>
    <d v="1899-12-30T23:22:00"/>
    <s v="samsira"/>
    <m/>
    <n v="494"/>
    <m/>
    <s v="Pomala"/>
  </r>
  <r>
    <n v="1"/>
    <s v="000604"/>
    <s v="CPO000604MIS"/>
    <s v="DD 8594 GN"/>
    <s v="011/PJB/MIS-WINS/I/2026"/>
    <s v="PT. MIS / 4 / 500"/>
    <x v="2"/>
    <x v="1"/>
    <s v="6 Roda"/>
    <d v="2026-02-03T00:00:00"/>
    <n v="13660"/>
    <n v="4000"/>
    <n v="9660"/>
    <n v="9620"/>
    <d v="1899-12-30T22:51:00"/>
    <d v="1899-12-30T23:28:00"/>
    <s v="samsira"/>
    <m/>
    <n v="494"/>
    <m/>
    <s v="Pomala"/>
  </r>
  <r>
    <n v="1"/>
    <s v="000593"/>
    <s v="CPO000593KMP"/>
    <s v="B 1918 SXX"/>
    <s v="KMP01022026"/>
    <s v="PT. KMP / 7 / 500"/>
    <x v="1"/>
    <x v="1"/>
    <s v="10 Roda"/>
    <d v="2026-02-03T00:00:00"/>
    <n v="26700"/>
    <n v="11900"/>
    <n v="14800"/>
    <n v="14840"/>
    <d v="1899-12-30T17:14:00"/>
    <d v="1899-12-30T18:42:00"/>
    <s v="samsira"/>
    <s v="WALDI"/>
    <n v="53"/>
    <s v="WIL"/>
    <s v="Masamba"/>
  </r>
  <r>
    <n v="1"/>
    <s v="000594"/>
    <s v="CPO000594KMP"/>
    <s v="DD 8711 XX"/>
    <s v="KMP01022026"/>
    <s v="PT. KMP / 7 / 500"/>
    <x v="1"/>
    <x v="1"/>
    <s v="10 Roda"/>
    <d v="2026-02-03T00:00:00"/>
    <n v="24970"/>
    <n v="10690"/>
    <n v="14280"/>
    <n v="14300"/>
    <d v="1899-12-30T18:53:00"/>
    <d v="1899-12-30T19:54:00"/>
    <s v="samsira"/>
    <s v="RONI RAKAN"/>
    <n v="53"/>
    <s v="WIL"/>
    <s v="Masamba"/>
  </r>
  <r>
    <n v="1"/>
    <s v="000595"/>
    <s v="CPO000595KMP"/>
    <s v="DD 9236 XX"/>
    <s v="KMP01022026"/>
    <s v="PT. KMP / 7 / 500"/>
    <x v="1"/>
    <x v="1"/>
    <s v="12 Roda"/>
    <d v="2026-02-03T00:00:00"/>
    <n v="45910"/>
    <n v="17630"/>
    <n v="28280"/>
    <n v="28340"/>
    <d v="1899-12-30T19:04:00"/>
    <d v="1899-12-30T20:11:00"/>
    <s v="samsira"/>
    <s v="IBRAHIM"/>
    <n v="53"/>
    <s v="WIL"/>
    <s v="Masamba"/>
  </r>
  <r>
    <n v="1"/>
    <s v="000856"/>
    <s v="CPO000856JAS"/>
    <s v="BM 8315 QO"/>
    <s v="010/CPO/JM-WINS/I/2026"/>
    <s v="PT. JAS MULIA / 10 / 500"/>
    <x v="3"/>
    <x v="1"/>
    <s v="12 Roda"/>
    <d v="2026-03-31T00:00:00"/>
    <n v="45930"/>
    <n v="17610"/>
    <n v="28320"/>
    <n v="28120"/>
    <d v="1899-12-30T21:08:00"/>
    <d v="1899-12-30T22:48:00"/>
    <s v="samsira"/>
    <s v="IQBAL"/>
    <n v="68"/>
    <s v="WIL"/>
    <s v="Bone Bone"/>
  </r>
  <r>
    <n v="1"/>
    <s v="000605"/>
    <s v="CPO000605MIS"/>
    <s v="DP 8036 GK"/>
    <s v="011/PJB/MIS-WINS/I/2026"/>
    <s v="PT. MIS / 4 / 500"/>
    <x v="2"/>
    <x v="1"/>
    <s v="6 Roda"/>
    <d v="2026-02-04T00:00:00"/>
    <n v="13470"/>
    <n v="4020"/>
    <n v="9450"/>
    <n v="9420"/>
    <d v="1899-12-30T08:13:00"/>
    <d v="1899-12-30T09:12:00"/>
    <s v="Datu"/>
    <m/>
    <n v="494"/>
    <m/>
    <s v="Pomala"/>
  </r>
  <r>
    <n v="1"/>
    <s v="000606"/>
    <s v="CPO000606MIS"/>
    <s v="DP 8674 GC"/>
    <s v="011/PJB/MIS-WINS/I/2026"/>
    <s v="PT. MIS / 4 / 500"/>
    <x v="2"/>
    <x v="1"/>
    <s v="6 Roda"/>
    <d v="2026-02-04T00:00:00"/>
    <n v="13830"/>
    <n v="3920"/>
    <n v="9910"/>
    <n v="9880"/>
    <d v="1899-12-30T08:15:00"/>
    <d v="1899-12-30T09:10:00"/>
    <s v="Datu"/>
    <m/>
    <n v="494"/>
    <m/>
    <s v="Pomala"/>
  </r>
  <r>
    <n v="1"/>
    <s v="000607"/>
    <s v="CPO000607MIS"/>
    <s v="DD 8532 ML"/>
    <s v="011/PJB/MIS-WINS/I/2026"/>
    <s v="PT. MIS / 4 / 500"/>
    <x v="2"/>
    <x v="1"/>
    <s v="6 Roda"/>
    <d v="2026-02-04T00:00:00"/>
    <n v="13070"/>
    <n v="4000"/>
    <n v="9070"/>
    <n v="9040"/>
    <d v="1899-12-30T08:17:00"/>
    <d v="1899-12-30T09:01:00"/>
    <s v="Datu"/>
    <m/>
    <n v="494"/>
    <m/>
    <s v="Pomala"/>
  </r>
  <r>
    <n v="1"/>
    <s v="000608"/>
    <s v="CPO000608MIS"/>
    <s v="DP 9826 GA"/>
    <s v="011/PJB/MIS-WINS/I/2026"/>
    <s v="PT. MIS / 4 / 500"/>
    <x v="2"/>
    <x v="1"/>
    <s v="6 Roda"/>
    <d v="2026-02-04T00:00:00"/>
    <n v="13940"/>
    <n v="4070"/>
    <n v="9870"/>
    <n v="9860"/>
    <d v="1899-12-30T08:20:00"/>
    <d v="1899-12-30T09:03:00"/>
    <s v="Datu"/>
    <m/>
    <n v="494"/>
    <m/>
    <s v="Pomala"/>
  </r>
  <r>
    <n v="1"/>
    <s v="000609"/>
    <s v="CPO000609MIS"/>
    <s v="DP 8994 GH "/>
    <s v="011/PJB/MIS-WINS/I/2026"/>
    <s v="PT. MIS / 4 / 500"/>
    <x v="2"/>
    <x v="1"/>
    <s v="6 Roda"/>
    <d v="2026-02-04T00:00:00"/>
    <n v="13570"/>
    <n v="3930"/>
    <n v="9640"/>
    <n v="9660"/>
    <d v="1899-12-30T09:07:00"/>
    <d v="1899-12-30T10:01:00"/>
    <s v="Datu"/>
    <m/>
    <n v="494"/>
    <m/>
    <s v="Pomala"/>
  </r>
  <r>
    <n v="1"/>
    <s v="000610"/>
    <s v="CPO000610MIS"/>
    <s v="DN 8492 CU"/>
    <s v="011/PJB/MIS-WINS/I/2026"/>
    <s v="PT. MIS / 4 / 500"/>
    <x v="2"/>
    <x v="1"/>
    <s v="6 Roda"/>
    <d v="2026-02-04T00:00:00"/>
    <n v="13580"/>
    <n v="3980"/>
    <n v="9600"/>
    <n v="9600"/>
    <d v="1899-12-30T09:08:00"/>
    <d v="1899-12-30T10:03:00"/>
    <s v="Datu"/>
    <m/>
    <n v="494"/>
    <m/>
    <s v="Pomala"/>
  </r>
  <r>
    <n v="1"/>
    <s v="000620"/>
    <s v="CPO000620MIS"/>
    <s v="DP 9859 GA"/>
    <s v="011/PJB/MIS-WINS/I/2026"/>
    <s v="PT. MIS / 4 / 500"/>
    <x v="2"/>
    <x v="1"/>
    <s v="6 Roda"/>
    <d v="2026-02-04T00:00:00"/>
    <n v="14170"/>
    <n v="4200"/>
    <n v="9970"/>
    <n v="9580"/>
    <d v="1899-12-30T21:49:00"/>
    <d v="1899-12-30T22:34:00"/>
    <s v="samsira"/>
    <m/>
    <n v="494"/>
    <m/>
    <s v="Pomala"/>
  </r>
  <r>
    <n v="1"/>
    <s v="000621"/>
    <s v="CPO000621MIS"/>
    <s v="DP 9821 YE"/>
    <s v="011/PJB/MIS-WINS/I/2026"/>
    <s v="PT. MIS / 4 / 500"/>
    <x v="2"/>
    <x v="1"/>
    <s v="6 Roda"/>
    <d v="2026-02-04T00:00:00"/>
    <n v="13090"/>
    <n v="3780"/>
    <n v="9310"/>
    <n v="9290"/>
    <d v="1899-12-30T22:17:00"/>
    <d v="1899-12-30T22:52:00"/>
    <s v="samsira"/>
    <m/>
    <n v="494"/>
    <m/>
    <s v="Pomala"/>
  </r>
  <r>
    <n v="1"/>
    <s v="000611"/>
    <s v="CPO000611KMP"/>
    <s v="B 1918 SXX"/>
    <s v="KMP01022026"/>
    <s v="PT. KMP / 7 / 500"/>
    <x v="1"/>
    <x v="1"/>
    <s v="10 Roda"/>
    <d v="2026-02-04T00:00:00"/>
    <n v="26710"/>
    <n v="11900"/>
    <n v="14810"/>
    <n v="14840"/>
    <d v="1899-12-30T09:20:00"/>
    <d v="1899-12-30T10:57:00"/>
    <s v="Datu"/>
    <s v="WALDI"/>
    <n v="53"/>
    <s v="WIL"/>
    <s v="Masamba"/>
  </r>
  <r>
    <n v="1"/>
    <s v="000612"/>
    <s v="CPO000612KMP"/>
    <s v="DD 8711 XX"/>
    <s v="KMP01022026"/>
    <s v="PT. KMP / 7 / 500"/>
    <x v="1"/>
    <x v="1"/>
    <s v="10 Roda"/>
    <d v="2026-02-04T00:00:00"/>
    <n v="24970"/>
    <n v="10670"/>
    <n v="14300"/>
    <n v="14320"/>
    <d v="1899-12-30T09:21:00"/>
    <d v="1899-12-30T10:40:00"/>
    <s v="Datu"/>
    <s v="RONI RAKAN"/>
    <n v="53"/>
    <s v="WIL"/>
    <s v="Masamba"/>
  </r>
  <r>
    <n v="1"/>
    <s v="000613"/>
    <s v="CPO000613KMP"/>
    <s v="DD 9236 XX"/>
    <s v="KMP01022026"/>
    <s v="PT. KMP / 7 / 500"/>
    <x v="1"/>
    <x v="1"/>
    <s v="12 Roda"/>
    <d v="2026-02-04T00:00:00"/>
    <n v="45900"/>
    <n v="17610"/>
    <n v="28290"/>
    <n v="28380"/>
    <d v="1899-12-30T09:44:00"/>
    <d v="1899-12-30T11:11:00"/>
    <s v="Datu"/>
    <s v="IBRAHIM"/>
    <n v="53"/>
    <s v="WIL"/>
    <s v="Masamba"/>
  </r>
  <r>
    <n v="1"/>
    <s v="000614"/>
    <s v="CPO000614KMP"/>
    <s v="BM 8315 QO"/>
    <s v="KMP01022026"/>
    <s v="PT. KMP / 7 / 500"/>
    <x v="1"/>
    <x v="1"/>
    <s v="12 Roda"/>
    <d v="2026-02-04T00:00:00"/>
    <n v="45910"/>
    <n v="17650"/>
    <n v="28260"/>
    <n v="28380"/>
    <d v="1899-12-30T10:05:00"/>
    <d v="1899-12-30T11:35:00"/>
    <s v="Datu"/>
    <s v="IQBAL"/>
    <n v="53"/>
    <s v="WIL"/>
    <s v="Masamba"/>
  </r>
  <r>
    <n v="1"/>
    <s v="000616"/>
    <s v="CPO000616KMP"/>
    <s v="DD 9236 XX"/>
    <s v="KMP01022026"/>
    <s v="PT. KMP / 7 / 500"/>
    <x v="1"/>
    <x v="1"/>
    <s v="12 Roda"/>
    <d v="2026-02-04T00:00:00"/>
    <n v="45860"/>
    <n v="17550"/>
    <n v="28310"/>
    <n v="28360"/>
    <d v="1899-12-30T16:02:00"/>
    <d v="1899-12-30T17:29:00"/>
    <s v="samsira"/>
    <s v="IBRAHIM"/>
    <n v="53"/>
    <s v="WIL"/>
    <s v="Masamba"/>
  </r>
  <r>
    <n v="1"/>
    <s v="000617"/>
    <s v="CPO000617KMP"/>
    <s v="B 1918 SXX"/>
    <s v="KMP01022026"/>
    <s v="PT. KMP / 7 / 500"/>
    <x v="1"/>
    <x v="1"/>
    <s v="10 Roda"/>
    <d v="2026-02-04T00:00:00"/>
    <n v="26650"/>
    <n v="11840"/>
    <n v="14810"/>
    <n v="14800"/>
    <d v="1899-12-30T16:19:00"/>
    <d v="1899-12-30T18:06:00"/>
    <s v="samsira"/>
    <s v="WALDI"/>
    <n v="53"/>
    <s v="WIL"/>
    <s v="Masamba"/>
  </r>
  <r>
    <n v="1"/>
    <s v="000618"/>
    <s v="CPO000618KMP"/>
    <s v="BM 8315 QO"/>
    <s v="KMP01022026"/>
    <s v="PT. KMP / 7 / 500"/>
    <x v="1"/>
    <x v="1"/>
    <s v="12 Roda"/>
    <d v="2026-02-04T00:00:00"/>
    <n v="45860"/>
    <n v="17570"/>
    <n v="28290"/>
    <n v="28320"/>
    <d v="1899-12-30T16:21:00"/>
    <d v="1899-12-30T17:46:00"/>
    <s v="samsira"/>
    <s v="IQBAL"/>
    <n v="53"/>
    <s v="WIL"/>
    <s v="Masamba"/>
  </r>
  <r>
    <n v="1"/>
    <s v="000619"/>
    <s v="CPO000619KMP"/>
    <s v="DD 8711 XX"/>
    <s v="KMP01022026"/>
    <s v="PT. KMP / 7 / 500"/>
    <x v="1"/>
    <x v="1"/>
    <s v="10 Roda"/>
    <d v="2026-02-04T00:00:00"/>
    <n v="25040"/>
    <n v="10760"/>
    <n v="14280"/>
    <n v="14300"/>
    <d v="1899-12-30T16:27:00"/>
    <d v="1899-12-30T18:08:00"/>
    <s v="samsira"/>
    <s v="RONI RAKAN"/>
    <n v="53"/>
    <s v="WIL"/>
    <s v="Masamba"/>
  </r>
  <r>
    <n v="1"/>
    <s v="000629"/>
    <s v="CPO000629MIS"/>
    <s v="DP 8935 UA"/>
    <s v="011/PJB/MIS-WINS/I/2026"/>
    <s v="PT. MIS / 4 / 500"/>
    <x v="2"/>
    <x v="1"/>
    <s v="6 Roda"/>
    <d v="2026-02-05T00:00:00"/>
    <n v="13950"/>
    <n v="4000"/>
    <n v="9950"/>
    <n v="9970"/>
    <d v="1899-12-30T22:46:00"/>
    <d v="1899-12-30T23:31:00"/>
    <s v="samsira"/>
    <m/>
    <n v="494"/>
    <m/>
    <s v="Pomala"/>
  </r>
  <r>
    <n v="1"/>
    <s v="000630"/>
    <s v="CPO000630MIS"/>
    <s v="DD 8983 UC"/>
    <s v="011/PJB/MIS-WINS/I/2026"/>
    <s v="PT. MIS / 4 / 500"/>
    <x v="2"/>
    <x v="1"/>
    <s v="6 Roda"/>
    <d v="2026-02-05T00:00:00"/>
    <n v="14460"/>
    <n v="4340"/>
    <n v="10120"/>
    <n v="10130"/>
    <d v="1899-12-30T22:54:00"/>
    <d v="1899-12-30T23:29:00"/>
    <s v="samsira"/>
    <m/>
    <n v="494"/>
    <m/>
    <s v="Pomala"/>
  </r>
  <r>
    <n v="1"/>
    <s v="000631"/>
    <s v="CPO000631MIS"/>
    <s v="DP 8862 GG"/>
    <s v="011/PJB/MIS-WINS/I/2026"/>
    <s v="PT. MIS / 4 / 500"/>
    <x v="2"/>
    <x v="1"/>
    <s v="6 Roda"/>
    <d v="2026-02-05T00:00:00"/>
    <n v="13420"/>
    <n v="3660"/>
    <n v="9760"/>
    <n v="9750"/>
    <d v="1899-12-30T22:56:00"/>
    <d v="1899-12-30T23:32:00"/>
    <s v="samsira"/>
    <m/>
    <n v="494"/>
    <m/>
    <s v="Pomala"/>
  </r>
  <r>
    <n v="1"/>
    <s v="000021"/>
    <s v="CPO000021JAS"/>
    <s v="DD 9236 XX"/>
    <s v="001/CPO/JM-WINS/XI/2025"/>
    <s v="PT. JAS MULIA / 1 / 512"/>
    <x v="3"/>
    <x v="1"/>
    <s v="12 Roda"/>
    <d v="2025-11-12T00:00:00"/>
    <n v="45840"/>
    <n v="17510"/>
    <n v="28330"/>
    <n v="28140"/>
    <d v="1899-12-30T13:25:00"/>
    <d v="1899-12-30T16:27:00"/>
    <s v="samsira"/>
    <s v="IBRAHIM"/>
    <n v="68"/>
    <s v="WIL"/>
    <s v="Bone Bone"/>
  </r>
  <r>
    <n v="1"/>
    <s v="000481"/>
    <s v="CPO000481JAS"/>
    <s v="DD 9236 XX"/>
    <s v="007/CPO/JM-WINS/I/2026"/>
    <s v="PT. JAS MULIA / 7 / 500"/>
    <x v="3"/>
    <x v="1"/>
    <s v="12 Roda"/>
    <d v="2026-01-14T00:00:00"/>
    <n v="45740"/>
    <n v="17410"/>
    <n v="28330"/>
    <n v="28260"/>
    <d v="1899-12-30T20:38:00"/>
    <d v="1899-12-30T21:25:00"/>
    <s v="samsira"/>
    <s v="IBRAHIM"/>
    <n v="68"/>
    <s v="WIL"/>
    <s v="Bone Bone"/>
  </r>
  <r>
    <n v="1"/>
    <s v="000624"/>
    <s v="CPO000624KMP"/>
    <s v="DD 8711 XX"/>
    <s v="KMP01022026"/>
    <s v="PT. KMP / 7 / 500"/>
    <x v="1"/>
    <x v="1"/>
    <s v="10 Roda"/>
    <d v="2026-02-05T00:00:00"/>
    <n v="25040"/>
    <n v="10740"/>
    <n v="14300"/>
    <n v="14340"/>
    <d v="1899-12-30T08:39:00"/>
    <d v="1899-12-30T09:44:00"/>
    <s v="Datu"/>
    <s v="RONI RAKAN"/>
    <n v="53"/>
    <s v="WIL"/>
    <s v="Masamba"/>
  </r>
  <r>
    <n v="1"/>
    <s v="000521"/>
    <s v="CPO000521KMP"/>
    <s v="DD 9236 XX"/>
    <s v="KMP01012026"/>
    <s v="PT. KMP / 6 / 750"/>
    <x v="1"/>
    <x v="1"/>
    <s v="12 Roda"/>
    <d v="2026-01-22T00:00:00"/>
    <n v="45720"/>
    <n v="17390"/>
    <n v="28330"/>
    <n v="28380"/>
    <d v="1899-12-30T10:54:00"/>
    <d v="1899-12-30T12:15:00"/>
    <s v="Datu"/>
    <s v="IBRAHIM"/>
    <n v="53"/>
    <s v="WIL"/>
    <s v="Masamba"/>
  </r>
  <r>
    <n v="1"/>
    <s v="000626"/>
    <s v="CPO000626KMP"/>
    <s v="BM 8315 QO"/>
    <s v="KMP01022026"/>
    <s v="PT. KMP / 7 / 500"/>
    <x v="1"/>
    <x v="1"/>
    <s v="12 Roda"/>
    <d v="2026-02-05T00:00:00"/>
    <n v="45770"/>
    <n v="17500"/>
    <n v="28270"/>
    <n v="28320"/>
    <d v="1899-12-30T14:28:00"/>
    <d v="1899-12-30T15:26:00"/>
    <s v="Datu"/>
    <s v="IQBAL"/>
    <n v="53"/>
    <s v="WIL"/>
    <s v="Masamba"/>
  </r>
  <r>
    <n v="1"/>
    <s v="000627"/>
    <s v="CPO000627KMP"/>
    <s v="DD 8711 XX"/>
    <s v="KMP01022026"/>
    <s v="PT. KMP / 7 / 500"/>
    <x v="1"/>
    <x v="1"/>
    <s v="10 Roda"/>
    <d v="2026-02-05T00:00:00"/>
    <n v="25020"/>
    <n v="10730"/>
    <n v="14290"/>
    <n v="14300"/>
    <d v="1899-12-30T17:19:00"/>
    <d v="1899-12-30T18:30:00"/>
    <s v="samsira"/>
    <s v="RONI RAKAN"/>
    <n v="53"/>
    <s v="WIL"/>
    <s v="Masamba"/>
  </r>
  <r>
    <n v="1"/>
    <s v="000628"/>
    <s v="CPO000628KMP"/>
    <s v="DD 9236 XX"/>
    <s v="KMP01022026"/>
    <s v="PT. KMP / 7 / 500"/>
    <x v="1"/>
    <x v="1"/>
    <s v="12 Roda"/>
    <d v="2026-02-05T00:00:00"/>
    <n v="45870"/>
    <n v="17600"/>
    <n v="28270"/>
    <n v="28380"/>
    <d v="1899-12-30T18:40:00"/>
    <d v="1899-12-30T19:55:00"/>
    <s v="samsira"/>
    <s v="IBRAHIM"/>
    <n v="53"/>
    <s v="WIL"/>
    <s v="Masamba"/>
  </r>
  <r>
    <n v="1"/>
    <s v="000632"/>
    <s v="CPO000632MIS"/>
    <s v="DP 9846 GA"/>
    <s v="011/PJB/MIS-WINS/I/2026"/>
    <s v="PT. MIS / 4 / 500"/>
    <x v="2"/>
    <x v="1"/>
    <s v="6 Roda"/>
    <d v="2026-02-06T00:00:00"/>
    <n v="13260"/>
    <n v="3780"/>
    <n v="9480"/>
    <n v="9510"/>
    <d v="1899-12-30T08:20:00"/>
    <d v="1899-12-30T10:09:00"/>
    <s v="Datu"/>
    <m/>
    <n v="494"/>
    <m/>
    <s v="Pomala"/>
  </r>
  <r>
    <n v="1"/>
    <s v="000633"/>
    <s v="CPO000633MIS"/>
    <s v="DP 8821 GL"/>
    <s v="011/PJB/MIS-WINS/I/2026"/>
    <s v="PT. MIS / 4 / 500"/>
    <x v="2"/>
    <x v="1"/>
    <s v="6 Roda"/>
    <d v="2026-02-06T00:00:00"/>
    <n v="13370"/>
    <n v="3900"/>
    <n v="9470"/>
    <n v="9500"/>
    <d v="1899-12-30T08:22:00"/>
    <d v="1899-12-30T10:00:00"/>
    <s v="Datu"/>
    <m/>
    <n v="494"/>
    <m/>
    <s v="Pomala"/>
  </r>
  <r>
    <n v="1"/>
    <s v="000634"/>
    <s v="CPO000634MIS"/>
    <s v="DP 8762 GH"/>
    <s v="011/PJB/MIS-WINS/I/2026"/>
    <s v="PT. MIS / 4 / 500"/>
    <x v="2"/>
    <x v="1"/>
    <s v="6 Roda"/>
    <d v="2026-02-06T00:00:00"/>
    <n v="13190"/>
    <n v="3900"/>
    <n v="9290"/>
    <n v="9270"/>
    <d v="1899-12-30T08:25:00"/>
    <d v="1899-12-30T10:04:00"/>
    <s v="Datu"/>
    <m/>
    <n v="494"/>
    <m/>
    <s v="Pomala"/>
  </r>
  <r>
    <n v="1"/>
    <s v="000638"/>
    <s v="CPO000638MIS"/>
    <s v="DP 8954 HB"/>
    <s v="027/PJB/MIS-WINS/I/2026"/>
    <s v="PT. MIS / 5 / 500"/>
    <x v="2"/>
    <x v="1"/>
    <s v="6 Roda"/>
    <d v="2026-02-06T00:00:00"/>
    <n v="12380"/>
    <n v="3830"/>
    <n v="8550"/>
    <n v="8620"/>
    <d v="1899-12-30T16:02:00"/>
    <d v="1899-12-30T17:01:00"/>
    <s v="Datu"/>
    <m/>
    <n v="494"/>
    <m/>
    <s v="Pomala"/>
  </r>
  <r>
    <n v="1"/>
    <s v="000639"/>
    <s v="CPO000639MIS"/>
    <s v="DP 8076 TE"/>
    <s v="027/PJB/MIS-WINS/I/2026"/>
    <s v="PT. MIS / 5 / 500"/>
    <x v="2"/>
    <x v="1"/>
    <s v="6 Roda"/>
    <d v="2026-02-06T00:00:00"/>
    <n v="14160"/>
    <n v="4140"/>
    <n v="10020"/>
    <n v="10020"/>
    <d v="1899-12-30T17:29:00"/>
    <d v="1899-12-30T18:07:00"/>
    <s v="samsira"/>
    <m/>
    <n v="494"/>
    <m/>
    <s v="Pomala"/>
  </r>
  <r>
    <n v="1"/>
    <s v="000640"/>
    <s v="CPO000640MIS"/>
    <s v="DD 8574 HG"/>
    <s v="027/PJB/MIS-WINS/I/2026"/>
    <s v="PT. MIS / 5 / 500"/>
    <x v="2"/>
    <x v="1"/>
    <s v="6 Roda"/>
    <d v="2026-02-06T00:00:00"/>
    <n v="12880"/>
    <n v="4000"/>
    <n v="8880"/>
    <n v="8850"/>
    <d v="1899-12-30T17:31:00"/>
    <d v="1899-12-30T18:21:00"/>
    <s v="samsira"/>
    <m/>
    <n v="494"/>
    <m/>
    <s v="Pomala"/>
  </r>
  <r>
    <n v="1"/>
    <s v="000641"/>
    <s v="CPO000641MIS"/>
    <s v="DP 8662 GH"/>
    <s v="011/PJB/MIS-WINS/I/2026"/>
    <s v="PT. MIS / 4 / 500"/>
    <x v="2"/>
    <x v="1"/>
    <s v="6 Roda"/>
    <d v="2026-02-06T00:00:00"/>
    <n v="14040"/>
    <n v="4030"/>
    <n v="10010"/>
    <n v="10050"/>
    <d v="1899-12-30T17:36:00"/>
    <d v="1899-12-30T18:24:00"/>
    <s v="samsira"/>
    <m/>
    <n v="494"/>
    <m/>
    <s v="Pomala"/>
  </r>
  <r>
    <n v="1"/>
    <s v="000642"/>
    <s v="CPO000642MIS"/>
    <s v="DP 8110 GK"/>
    <s v="011/PJB/MIS-WINS/I/2026"/>
    <s v="PT. MIS / 4 / 500"/>
    <x v="2"/>
    <x v="1"/>
    <s v="6 Roda"/>
    <d v="2026-02-06T00:00:00"/>
    <n v="14050"/>
    <n v="4140"/>
    <n v="9910"/>
    <n v="9890"/>
    <d v="1899-12-30T17:38:00"/>
    <d v="1899-12-30T18:23:00"/>
    <s v="samsira"/>
    <m/>
    <n v="494"/>
    <m/>
    <s v="Pomala"/>
  </r>
  <r>
    <n v="1"/>
    <s v="000635"/>
    <s v="CPO000635KMP"/>
    <s v="BM 8315 QO"/>
    <s v="KMP01022026"/>
    <s v="PT. KMP / 7 / 500"/>
    <x v="1"/>
    <x v="1"/>
    <s v="12 Roda"/>
    <d v="2026-02-06T00:00:00"/>
    <n v="45800"/>
    <n v="17490"/>
    <n v="28310"/>
    <n v="28420"/>
    <d v="1899-12-30T09:18:00"/>
    <d v="1899-12-30T11:24:00"/>
    <s v="Datu"/>
    <s v="IQBAL"/>
    <n v="53"/>
    <s v="WIL"/>
    <s v="Masamba"/>
  </r>
  <r>
    <n v="1"/>
    <s v="000636"/>
    <s v="CPO000636KMP"/>
    <s v="DD 8711 XX"/>
    <s v="KMP01022026"/>
    <s v="PT. KMP / 7 / 500"/>
    <x v="1"/>
    <x v="1"/>
    <s v="10 Roda"/>
    <d v="2026-02-06T00:00:00"/>
    <n v="24990"/>
    <n v="10680"/>
    <n v="14310"/>
    <n v="14320"/>
    <d v="1899-12-30T09:46:00"/>
    <d v="1899-12-30T11:02:00"/>
    <s v="Datu"/>
    <s v="RONI RAKAN"/>
    <n v="53"/>
    <s v="WIL"/>
    <s v="Masamba"/>
  </r>
  <r>
    <n v="1"/>
    <s v="000637"/>
    <s v="CPO000637KMP"/>
    <s v="DD 9236 XX"/>
    <s v="KMP01022026"/>
    <s v="PT. KMP / 7 / 500"/>
    <x v="1"/>
    <x v="1"/>
    <s v="12 Roda"/>
    <d v="2026-02-06T00:00:00"/>
    <n v="46060"/>
    <n v="17810"/>
    <n v="28250"/>
    <n v="28340"/>
    <d v="1899-12-30T10:08:00"/>
    <d v="1899-12-30T11:25:00"/>
    <s v="Datu"/>
    <s v="IBRAHIM"/>
    <n v="53"/>
    <s v="WIL"/>
    <s v="Masamba"/>
  </r>
  <r>
    <n v="1"/>
    <s v="000643"/>
    <s v="CPO000643MIS"/>
    <s v="DP 8951 GB"/>
    <s v="027/PJB/MIS-WINS/I/2026"/>
    <s v="PT. MIS / 5 / 500"/>
    <x v="2"/>
    <x v="1"/>
    <s v="6 Roda"/>
    <d v="2026-02-07T00:00:00"/>
    <n v="13720"/>
    <n v="4120"/>
    <n v="9600"/>
    <n v="9570"/>
    <d v="1899-12-30T08:41:00"/>
    <d v="1899-12-30T09:20:00"/>
    <s v="Datu"/>
    <m/>
    <n v="494"/>
    <m/>
    <s v="Pomala"/>
  </r>
  <r>
    <n v="1"/>
    <s v="000644"/>
    <s v="CPO000644MIS"/>
    <s v="DP 8036 GK"/>
    <s v="027/PJB/MIS-WINS/I/2026"/>
    <s v="PT. MIS / 5 / 500"/>
    <x v="2"/>
    <x v="1"/>
    <s v="6 Roda"/>
    <d v="2026-02-07T00:00:00"/>
    <n v="13480"/>
    <n v="4000"/>
    <n v="9480"/>
    <n v="9430"/>
    <d v="1899-12-30T08:43:00"/>
    <d v="1899-12-30T09:23:00"/>
    <s v="Datu"/>
    <m/>
    <n v="494"/>
    <m/>
    <s v="Pomala"/>
  </r>
  <r>
    <n v="1"/>
    <s v="000645"/>
    <s v="CPO000645MIS"/>
    <s v="DP 8004 GJ"/>
    <s v="027/PJB/MIS-WINS/I/2026"/>
    <s v="PT. MIS / 5 / 500"/>
    <x v="2"/>
    <x v="1"/>
    <s v="6 Roda"/>
    <d v="2026-02-07T00:00:00"/>
    <n v="13560"/>
    <n v="4140"/>
    <n v="9420"/>
    <n v="9370"/>
    <d v="1899-12-30T08:45:00"/>
    <d v="1899-12-30T09:29:00"/>
    <s v="Datu"/>
    <m/>
    <n v="494"/>
    <m/>
    <s v="Pomala"/>
  </r>
  <r>
    <n v="1"/>
    <s v="000646"/>
    <s v="CPO000646MIS"/>
    <s v="DP 9826 GA"/>
    <s v="027/PJB/MIS-WINS/I/2026"/>
    <s v="PT. MIS / 5 / 500"/>
    <x v="2"/>
    <x v="1"/>
    <s v="6 Roda"/>
    <d v="2026-02-07T00:00:00"/>
    <n v="13960"/>
    <n v="4090"/>
    <n v="9870"/>
    <n v="9830"/>
    <d v="1899-12-30T08:46:00"/>
    <d v="1899-12-30T09:22:00"/>
    <s v="Datu"/>
    <m/>
    <n v="494"/>
    <m/>
    <s v="Pomala"/>
  </r>
  <r>
    <n v="1"/>
    <s v="000647"/>
    <s v="CPO000647MIS"/>
    <s v="DN 8492 CU"/>
    <s v="027/PJB/MIS-WINS/I/2026"/>
    <s v="PT. MIS / 5 / 500"/>
    <x v="2"/>
    <x v="1"/>
    <s v="6 Roda"/>
    <d v="2026-02-07T00:00:00"/>
    <n v="13580"/>
    <n v="3990"/>
    <n v="9590"/>
    <n v="9560"/>
    <d v="1899-12-30T09:26:00"/>
    <d v="1899-12-30T10:03:00"/>
    <s v="Datu"/>
    <m/>
    <n v="494"/>
    <m/>
    <s v="Pomala"/>
  </r>
  <r>
    <n v="1"/>
    <s v="000648"/>
    <s v="CPO000648MIS"/>
    <s v="DP 8594 GN"/>
    <s v="027/PJB/MIS-WINS/I/2026"/>
    <s v="PT. MIS / 5 / 500"/>
    <x v="2"/>
    <x v="1"/>
    <s v="6 Roda"/>
    <d v="2026-02-07T00:00:00"/>
    <n v="13660"/>
    <n v="4010"/>
    <n v="9650"/>
    <n v="9600"/>
    <d v="1899-12-30T09:28:00"/>
    <d v="1899-12-30T09:58:00"/>
    <s v="Datu"/>
    <m/>
    <n v="494"/>
    <m/>
    <s v="Pomala"/>
  </r>
  <r>
    <n v="1"/>
    <s v="000652"/>
    <s v="CPO000652MIS"/>
    <s v="DP 8928 GM"/>
    <s v="027/PJB/MIS-WINS/I/2026"/>
    <s v="PT. MIS / 5 / 500"/>
    <x v="2"/>
    <x v="1"/>
    <s v="6 Roda"/>
    <d v="2026-02-07T00:00:00"/>
    <n v="14170"/>
    <n v="4060"/>
    <n v="10110"/>
    <n v="10060"/>
    <d v="1899-12-30T10:06:00"/>
    <d v="1899-12-30T10:40:00"/>
    <s v="Datu"/>
    <m/>
    <n v="494"/>
    <m/>
    <s v="Pomala"/>
  </r>
  <r>
    <n v="1"/>
    <s v="000653"/>
    <s v="CPO000653MIS"/>
    <s v="DP 8446 GC"/>
    <s v="027/PJB/MIS-WINS/I/2026"/>
    <s v="PT. MIS / 5 / 500"/>
    <x v="2"/>
    <x v="1"/>
    <s v="6 Roda"/>
    <d v="2026-02-07T00:00:00"/>
    <n v="13600"/>
    <n v="4000"/>
    <n v="9600"/>
    <n v="9570"/>
    <d v="1899-12-30T10:44:00"/>
    <d v="1899-12-30T11:15:00"/>
    <s v="Datu"/>
    <m/>
    <n v="494"/>
    <m/>
    <s v="Pomala"/>
  </r>
  <r>
    <n v="1"/>
    <s v="000654"/>
    <s v="CPO000654MIS"/>
    <s v="DD 8574 YE"/>
    <s v="011/PJB/MIS-WINS/I/2026"/>
    <s v="PT. MIS / 4 / 500"/>
    <x v="2"/>
    <x v="1"/>
    <s v="6 Roda"/>
    <d v="2026-02-07T00:00:00"/>
    <n v="13610"/>
    <n v="13130"/>
    <n v="340"/>
    <n v="340"/>
    <d v="1899-12-30T10:55:00"/>
    <d v="1899-12-30T11:31:00"/>
    <s v="Datu"/>
    <m/>
    <n v="494"/>
    <m/>
    <s v="Pomala"/>
  </r>
  <r>
    <n v="1"/>
    <s v="000654"/>
    <s v="CPO000654MIS"/>
    <s v="DD 8574 YE"/>
    <s v="027/PJB/MIS-WINS/I/2026"/>
    <s v="PT. MIS / 5 / 500"/>
    <x v="2"/>
    <x v="1"/>
    <s v="6 Roda"/>
    <d v="2026-02-07T00:00:00"/>
    <n v="13610"/>
    <n v="4000"/>
    <n v="9610"/>
    <n v="9230"/>
    <d v="1899-12-30T10:55:00"/>
    <d v="1899-12-30T11:31:00"/>
    <s v="Datu"/>
    <m/>
    <n v="494"/>
    <m/>
    <s v="Pomala"/>
  </r>
  <r>
    <n v="1"/>
    <s v="000655"/>
    <s v="CPO000655MIS"/>
    <s v="DP 8817 GB"/>
    <s v="027/PJB/MIS-WINS/I/2026"/>
    <s v="PT. MIS / 5 / 500"/>
    <x v="2"/>
    <x v="1"/>
    <s v="6 Roda"/>
    <d v="2026-02-07T00:00:00"/>
    <n v="13250"/>
    <n v="3810"/>
    <n v="9440"/>
    <n v="9400"/>
    <d v="1899-12-30T11:18:00"/>
    <d v="1899-12-30T12:11:00"/>
    <s v="Datu"/>
    <m/>
    <n v="494"/>
    <m/>
    <s v="Pomala"/>
  </r>
  <r>
    <n v="1"/>
    <s v="000656"/>
    <s v="CPO000656MIS"/>
    <s v="DP 8994 GH"/>
    <s v="027/PJB/MIS-WINS/I/2026"/>
    <s v="PT. MIS / 5 / 500"/>
    <x v="2"/>
    <x v="1"/>
    <s v="6 Roda"/>
    <d v="2026-02-07T00:00:00"/>
    <n v="13640"/>
    <n v="3980"/>
    <n v="9660"/>
    <n v="9670"/>
    <d v="1899-12-30T11:30:00"/>
    <d v="1899-12-30T12:13:00"/>
    <s v="Datu"/>
    <m/>
    <n v="494"/>
    <m/>
    <s v="Pomala"/>
  </r>
  <r>
    <n v="1"/>
    <s v="000660"/>
    <s v="CPO000660MIS"/>
    <s v="DP 9821 YE"/>
    <s v="027/PJB/MIS-WINS/I/2026"/>
    <s v="PT. MIS / 5 / 500"/>
    <x v="2"/>
    <x v="1"/>
    <s v="6 Roda"/>
    <d v="2026-02-07T00:00:00"/>
    <n v="13190"/>
    <n v="3840"/>
    <n v="9350"/>
    <n v="9330"/>
    <d v="1899-12-30T17:12:00"/>
    <d v="1899-12-30T18:13:00"/>
    <s v="samsira"/>
    <m/>
    <n v="494"/>
    <m/>
    <s v="Pomala"/>
  </r>
  <r>
    <n v="1"/>
    <s v="000661"/>
    <s v="CPO000661MIS"/>
    <s v="DP 9859 GA"/>
    <s v="027/PJB/MIS-WINS/I/2026"/>
    <s v="PT. MIS / 5 / 500"/>
    <x v="2"/>
    <x v="1"/>
    <s v="6 Roda"/>
    <d v="2026-02-07T00:00:00"/>
    <n v="14210"/>
    <n v="4250"/>
    <n v="9960"/>
    <n v="9990"/>
    <d v="1899-12-30T17:52:00"/>
    <d v="1899-12-30T18:37:00"/>
    <s v="samsira"/>
    <m/>
    <n v="494"/>
    <m/>
    <s v="Pomala"/>
  </r>
  <r>
    <n v="1"/>
    <s v="000050"/>
    <s v="CPO000050KMP"/>
    <s v="BM 8315 QO"/>
    <m/>
    <s v="PT. KMP / 8 / 500"/>
    <x v="1"/>
    <x v="1"/>
    <s v="12 Roda"/>
    <d v="2026-02-10T00:00:00"/>
    <n v="45890"/>
    <n v="17560"/>
    <n v="28330"/>
    <n v="28380"/>
    <d v="1899-12-30T11:55:00"/>
    <d v="1899-12-30T13:16:00"/>
    <s v="samsira"/>
    <s v="IQBAL"/>
    <n v="53"/>
    <s v="WIL"/>
    <s v="Masamba"/>
  </r>
  <r>
    <n v="1"/>
    <s v="000650"/>
    <s v="CPO000650KMP"/>
    <s v="DD 8711 XX"/>
    <m/>
    <s v="PT. KMP / 8 / 500"/>
    <x v="1"/>
    <x v="1"/>
    <s v="10 Roda"/>
    <d v="2026-02-07T00:00:00"/>
    <n v="25100"/>
    <n v="10800"/>
    <n v="14300"/>
    <n v="14340"/>
    <d v="1899-12-30T09:33:00"/>
    <d v="1899-12-30T11:26:00"/>
    <s v="Datu"/>
    <s v="RONI RAKAN"/>
    <n v="53"/>
    <s v="WIL"/>
    <s v="Masamba"/>
  </r>
  <r>
    <n v="1"/>
    <s v="000085"/>
    <s v="CPO000085JAS"/>
    <s v="BM 8315 QO"/>
    <s v="009/CPO/JM-WINS/I/2026"/>
    <s v="PT. JAS MULIA / 9 / 500"/>
    <x v="3"/>
    <x v="1"/>
    <s v="12 Roda"/>
    <d v="2026-02-25T00:00:00"/>
    <n v="45900"/>
    <n v="17570"/>
    <n v="28330"/>
    <n v="28260"/>
    <d v="1899-12-30T10:24:00"/>
    <d v="1899-12-30T11:34:00"/>
    <s v="samsira"/>
    <s v="IQBAL"/>
    <n v="68"/>
    <s v="WIL"/>
    <s v="Bone Bone"/>
  </r>
  <r>
    <n v="1"/>
    <s v="000657"/>
    <s v="CPO000657KMP"/>
    <s v="DD 8711 XX"/>
    <m/>
    <s v="PT. KMP / 8 / 500"/>
    <x v="1"/>
    <x v="1"/>
    <s v="10 Roda"/>
    <d v="2026-02-07T00:00:00"/>
    <n v="25060"/>
    <n v="10760"/>
    <n v="14300"/>
    <n v="14300"/>
    <d v="1899-12-30T16:58:00"/>
    <d v="1899-12-30T18:04:00"/>
    <s v="samsira"/>
    <s v="RONI RAKAN"/>
    <n v="53"/>
    <s v="WIL"/>
    <s v="Masamba"/>
  </r>
  <r>
    <n v="1"/>
    <s v="000658"/>
    <s v="CPO000658KMP"/>
    <s v="BM 8315 QO"/>
    <m/>
    <s v="PT. KMP / 8 / 500"/>
    <x v="1"/>
    <x v="1"/>
    <s v="12 Roda"/>
    <d v="2026-02-07T00:00:00"/>
    <n v="45910"/>
    <n v="17670"/>
    <n v="28240"/>
    <n v="28340"/>
    <d v="1899-12-30T17:01:00"/>
    <d v="1899-12-30T18:34:00"/>
    <s v="samsira"/>
    <s v="IQBAL"/>
    <n v="53"/>
    <s v="WIL"/>
    <s v="Masamba"/>
  </r>
  <r>
    <n v="1"/>
    <s v="000659"/>
    <s v="CPO000659KMP"/>
    <s v="DD 9236 XX"/>
    <m/>
    <s v="PT. KMP / 8 / 500"/>
    <x v="1"/>
    <x v="1"/>
    <s v="12 Roda"/>
    <d v="2026-02-07T00:00:00"/>
    <n v="45860"/>
    <n v="17630"/>
    <n v="28230"/>
    <n v="28260"/>
    <d v="1899-12-30T17:04:00"/>
    <d v="1899-12-30T18:36:00"/>
    <s v="samsira"/>
    <s v="IBRAHIM"/>
    <n v="53"/>
    <s v="WIL"/>
    <s v="Masamba"/>
  </r>
  <r>
    <n v="1"/>
    <s v="000748"/>
    <s v="CPO000748PN"/>
    <s v="BM 8315 QO"/>
    <s v="0095/R2/HO-PALM/CPO-L/I/2026"/>
    <s v="PT. PN / 5 / 1.000"/>
    <x v="4"/>
    <x v="1"/>
    <s v="12 Roda"/>
    <d v="2026-03-04T00:00:00"/>
    <n v="45760"/>
    <n v="17430"/>
    <n v="28330"/>
    <n v="28390"/>
    <d v="1899-12-30T13:50:00"/>
    <d v="1899-12-30T16:49:00"/>
    <s v="Datu"/>
    <s v="IQBAL"/>
    <n v="99"/>
    <m/>
    <s v="Burau"/>
  </r>
  <r>
    <n v="1"/>
    <s v="000048"/>
    <s v="CPO000048KMP"/>
    <s v="DD 8711 XX"/>
    <m/>
    <s v="PT. KMP / 8 / 500"/>
    <x v="1"/>
    <x v="1"/>
    <s v="10 Roda"/>
    <d v="2026-02-09T00:00:00"/>
    <n v="25000"/>
    <n v="10720"/>
    <n v="14280"/>
    <n v="14320"/>
    <d v="1899-12-30T13:45:00"/>
    <d v="1899-12-30T15:02:00"/>
    <s v="samsira"/>
    <s v="RONI RAKAN"/>
    <n v="53"/>
    <s v="WIL"/>
    <s v="Masamba"/>
  </r>
  <r>
    <n v="1"/>
    <s v="000049"/>
    <s v="CPO000049KMP"/>
    <s v="DD 9236 XX"/>
    <m/>
    <s v="PT. KMP / 8 / 500"/>
    <x v="1"/>
    <x v="1"/>
    <s v="12 Roda"/>
    <d v="2026-02-09T00:00:00"/>
    <n v="45800"/>
    <n v="17560"/>
    <n v="28240"/>
    <n v="28300"/>
    <d v="1899-12-30T13:46:00"/>
    <d v="1899-12-30T15:11:00"/>
    <s v="samsira"/>
    <s v="IBRAHIM"/>
    <n v="53"/>
    <s v="WIL"/>
    <s v="Masamba"/>
  </r>
  <r>
    <n v="1"/>
    <s v="000053"/>
    <s v="RBDPL000053BJL"/>
    <s v="DP 8953 DK"/>
    <s v="001/OLEIN/WINS-BJL/II/2026"/>
    <s v="BJL/1/1000"/>
    <x v="6"/>
    <x v="3"/>
    <s v="6 Roda"/>
    <d v="2026-02-10T00:00:00"/>
    <n v="13440"/>
    <n v="4480"/>
    <n v="8960"/>
    <m/>
    <d v="1899-12-30T17:11:00"/>
    <d v="1899-12-30T17:56:00"/>
    <s v="Datu"/>
    <s v="MUH. ARIF"/>
    <n v="562"/>
    <s v="EXTERNAL"/>
    <s v="Palu"/>
  </r>
  <r>
    <n v="1"/>
    <s v="000007"/>
    <s v="CPO000007JAS"/>
    <s v="BM 8315 QO"/>
    <s v="001/CPO/JM-WINS/XI/2025"/>
    <s v="PT. JAS MULIA / 1 / 512"/>
    <x v="3"/>
    <x v="1"/>
    <s v="12 Roda"/>
    <d v="2025-11-10T00:00:00"/>
    <n v="45890"/>
    <n v="17510"/>
    <n v="28380"/>
    <n v="28350"/>
    <d v="1899-12-30T16:19:00"/>
    <d v="1899-12-30T18:21:00"/>
    <s v="samsira"/>
    <s v="IQBAL"/>
    <n v="68"/>
    <s v="WIL"/>
    <s v="Bone Bone"/>
  </r>
  <r>
    <n v="1"/>
    <s v="000051"/>
    <s v="CPO000051KMP"/>
    <s v="DD 8711 XX"/>
    <m/>
    <s v="PT. KMP / 8 / 500"/>
    <x v="1"/>
    <x v="1"/>
    <s v="10 Roda"/>
    <d v="2026-02-10T00:00:00"/>
    <n v="24960"/>
    <n v="10670"/>
    <n v="14290"/>
    <n v="14280"/>
    <d v="1899-12-30T11:57:00"/>
    <d v="1899-12-30T13:17:00"/>
    <s v="samsira"/>
    <s v="RONI RAKAN"/>
    <n v="53"/>
    <s v="WIL"/>
    <s v="Masamba"/>
  </r>
  <r>
    <n v="1"/>
    <s v="000052"/>
    <s v="CPO000052KMP"/>
    <s v="DD 9236 XX"/>
    <m/>
    <s v="PT. KMP / 8 / 500"/>
    <x v="1"/>
    <x v="1"/>
    <s v="12 Roda"/>
    <d v="2026-02-10T00:00:00"/>
    <n v="45790"/>
    <n v="17540"/>
    <n v="28250"/>
    <n v="28320"/>
    <d v="1899-12-30T13:15:00"/>
    <d v="1899-12-30T14:05:00"/>
    <s v="samsira"/>
    <s v="IBRAHIM"/>
    <n v="53"/>
    <s v="WIL"/>
    <s v="Masamba"/>
  </r>
  <r>
    <n v="1"/>
    <s v="000054"/>
    <s v="CPO000054PN"/>
    <s v="DD 9236 XX"/>
    <s v="0095/R2/HO-PALM/CPO-L/I/2026"/>
    <s v="PT. PN / 5 / 1.000"/>
    <x v="4"/>
    <x v="1"/>
    <s v="12 Roda"/>
    <d v="2026-02-10T00:00:00"/>
    <n v="45760"/>
    <n v="17560"/>
    <n v="28200"/>
    <n v="28100"/>
    <d v="1899-12-30T21:29:00"/>
    <d v="1899-12-30T22:58:00"/>
    <s v="Datu"/>
    <s v="IBRAHIM"/>
    <n v="99"/>
    <m/>
    <s v="Burau"/>
  </r>
  <r>
    <n v="1"/>
    <s v="000058"/>
    <s v="CPO000058PN"/>
    <s v="DD 8711 XX"/>
    <s v="0095/R2/HO-PALM/CPO-L/I/2026"/>
    <s v="PT. PN / 5 / 1.000"/>
    <x v="4"/>
    <x v="1"/>
    <s v="10 Roda"/>
    <d v="2026-02-10T00:00:00"/>
    <n v="24960"/>
    <n v="10730"/>
    <n v="14230"/>
    <n v="14190"/>
    <d v="1899-12-30T21:39:00"/>
    <d v="1899-12-30T23:38:00"/>
    <s v="Datu"/>
    <s v="RONI RAKAN"/>
    <n v="99"/>
    <m/>
    <s v="Burau"/>
  </r>
  <r>
    <n v="1"/>
    <s v="000059"/>
    <s v="CPO000059PN"/>
    <s v="BM 8315 QO"/>
    <s v="0095/R2/HO-PALM/CPO-L/I/2026"/>
    <s v="PT. PN / 5 / 1.000"/>
    <x v="4"/>
    <x v="1"/>
    <s v="12 Roda"/>
    <d v="2026-02-10T00:00:00"/>
    <n v="45590"/>
    <n v="17380"/>
    <n v="28210"/>
    <n v="28090"/>
    <d v="1899-12-30T21:42:00"/>
    <d v="1899-12-30T23:58:00"/>
    <s v="Datu"/>
    <s v="IQBAL"/>
    <n v="99"/>
    <m/>
    <s v="Burau"/>
  </r>
  <r>
    <n v="1"/>
    <s v="000055"/>
    <s v="CPO000055MIS"/>
    <s v="DP 8036 GK"/>
    <s v="027/PJB/MIS-WINS/I/2026"/>
    <s v="PT. MIS / 5 / 500"/>
    <x v="2"/>
    <x v="1"/>
    <s v="6 Roda"/>
    <d v="2026-02-10T00:00:00"/>
    <n v="13380"/>
    <n v="4050"/>
    <n v="9330"/>
    <n v="9330"/>
    <d v="1899-12-30T21:33:00"/>
    <d v="1899-12-30T23:00:00"/>
    <s v="Datu"/>
    <m/>
    <n v="494"/>
    <m/>
    <s v="Pomala"/>
  </r>
  <r>
    <n v="1"/>
    <s v="000056"/>
    <s v="CPO000056MIS"/>
    <s v="DP 8951 GB"/>
    <s v="027/PJB/MIS-WINS/I/2026"/>
    <s v="PT. MIS / 5 / 500"/>
    <x v="2"/>
    <x v="1"/>
    <s v="6 Roda"/>
    <d v="2026-02-10T00:00:00"/>
    <n v="13730"/>
    <n v="4130"/>
    <n v="9600"/>
    <n v="9600"/>
    <d v="1899-12-30T21:36:00"/>
    <d v="1899-12-30T22:43:00"/>
    <s v="Datu"/>
    <m/>
    <n v="494"/>
    <m/>
    <s v="Pomala"/>
  </r>
  <r>
    <n v="1"/>
    <s v="000057"/>
    <s v="CPO000057MIS"/>
    <s v="DP 8674 GC"/>
    <s v="027/PJB/MIS-WINS/I/2026"/>
    <s v="PT. MIS / 5 / 500"/>
    <x v="2"/>
    <x v="1"/>
    <s v="6 Roda"/>
    <d v="2026-02-10T00:00:00"/>
    <n v="13710"/>
    <n v="4100"/>
    <n v="9610"/>
    <n v="9780"/>
    <d v="1899-12-30T21:38:00"/>
    <d v="1899-12-30T23:02:00"/>
    <s v="Datu"/>
    <m/>
    <n v="494"/>
    <m/>
    <s v="Pomala"/>
  </r>
  <r>
    <n v="1"/>
    <s v="000066"/>
    <s v="CPO000066PN"/>
    <s v="DD 8711 XX"/>
    <s v="0095/R2/HO-PALM/CPO-L/I/2026"/>
    <s v="PT. PN / 5 / 1.000"/>
    <x v="4"/>
    <x v="1"/>
    <s v="10 Roda"/>
    <d v="2026-02-11T00:00:00"/>
    <n v="24940"/>
    <n v="10670"/>
    <n v="14270"/>
    <n v="14280"/>
    <d v="1899-12-30T18:33:00"/>
    <d v="1899-12-30T19:23:00"/>
    <s v="Datu"/>
    <s v="RONI RAKAN"/>
    <n v="99"/>
    <m/>
    <s v="Burau"/>
  </r>
  <r>
    <n v="1"/>
    <s v="000067"/>
    <s v="CPO000067PN"/>
    <s v="DD 9236 XX"/>
    <s v="0095/R2/HO-PALM/CPO-L/I/2026"/>
    <s v="PT. PN / 5 / 1.000"/>
    <x v="4"/>
    <x v="1"/>
    <s v="12 Roda"/>
    <d v="2026-02-11T00:00:00"/>
    <n v="45760"/>
    <n v="17470"/>
    <n v="28290"/>
    <n v="28300"/>
    <d v="1899-12-30T19:31:00"/>
    <d v="1899-12-30T20:33:00"/>
    <s v="Datu"/>
    <s v="IBRAHIM"/>
    <n v="99"/>
    <m/>
    <s v="Burau"/>
  </r>
  <r>
    <n v="1"/>
    <s v="000425"/>
    <s v="CPO000425JAS"/>
    <s v="DD 9236 XX"/>
    <s v="005/CPO/JM-WINS/XII/2025"/>
    <s v="PT. JAS MULIA / 5 / 500"/>
    <x v="3"/>
    <x v="1"/>
    <s v="12 Roda"/>
    <d v="2025-12-23T00:00:00"/>
    <n v="45900"/>
    <n v="17520"/>
    <n v="28380"/>
    <n v="28310"/>
    <d v="1899-12-30T12:45:00"/>
    <d v="1899-12-30T14:14:00"/>
    <s v="Datu"/>
    <s v="IBRAHIM"/>
    <n v="68"/>
    <s v="WIL"/>
    <s v="Bone Bone"/>
  </r>
  <r>
    <n v="1"/>
    <s v="000060"/>
    <s v="CPO000060MIS"/>
    <s v="DP 8762 GH"/>
    <s v="027/PJB/MIS-WINS/I/2026"/>
    <s v="PT. MIS / 5 / 500"/>
    <x v="2"/>
    <x v="1"/>
    <s v="6 Roda"/>
    <d v="2026-02-11T00:00:00"/>
    <n v="13040"/>
    <n v="3850"/>
    <n v="9190"/>
    <n v="9230"/>
    <d v="1899-12-30T08:41:00"/>
    <d v="1899-12-30T11:13:00"/>
    <s v="samsira"/>
    <m/>
    <n v="494"/>
    <m/>
    <s v="Pomala"/>
  </r>
  <r>
    <n v="1"/>
    <s v="000061"/>
    <s v="CPO000061MIS"/>
    <s v="DP 8926 GA"/>
    <s v="027/PJB/MIS-WINS/I/2026"/>
    <s v="PT. MIS / 5 / 500"/>
    <x v="2"/>
    <x v="1"/>
    <s v="6 Roda"/>
    <d v="2026-02-11T00:00:00"/>
    <n v="13830"/>
    <n v="4180"/>
    <n v="9650"/>
    <n v="9750"/>
    <d v="1899-12-30T08:43:00"/>
    <d v="1899-12-30T11:29:00"/>
    <s v="samsira"/>
    <m/>
    <n v="494"/>
    <m/>
    <s v="Pomala"/>
  </r>
  <r>
    <n v="1"/>
    <s v="000062"/>
    <s v="CPO000062MIS"/>
    <s v="DP 8798 GH"/>
    <s v="027/PJB/MIS-WINS/I/2026"/>
    <s v="PT. MIS / 5 / 500"/>
    <x v="2"/>
    <x v="1"/>
    <s v="6 Roda"/>
    <d v="2026-02-11T00:00:00"/>
    <n v="13410"/>
    <n v="4120"/>
    <n v="9290"/>
    <n v="9360"/>
    <d v="1899-12-30T08:45:00"/>
    <d v="1899-12-30T10:52:00"/>
    <s v="samsira"/>
    <m/>
    <n v="494"/>
    <m/>
    <s v="Pomala"/>
  </r>
  <r>
    <n v="1"/>
    <s v="000063"/>
    <s v="CPO000063MIS"/>
    <s v="DP 9821 GA"/>
    <s v="027/PJB/MIS-WINS/I/2026"/>
    <s v="PT. MIS / 5 / 500"/>
    <x v="2"/>
    <x v="1"/>
    <s v="6 Roda"/>
    <d v="2026-02-11T00:00:00"/>
    <n v="13080"/>
    <n v="4090"/>
    <n v="8990"/>
    <n v="9240"/>
    <d v="1899-12-30T17:21:00"/>
    <d v="1899-12-30T18:28:00"/>
    <s v="samsira"/>
    <m/>
    <n v="494"/>
    <m/>
    <s v="Pomala"/>
  </r>
  <r>
    <n v="1"/>
    <s v="000064"/>
    <s v="CPO000064MIS"/>
    <s v="DP 9846 GA"/>
    <s v="027/PJB/MIS-WINS/I/2026"/>
    <s v="PT. MIS / 5 / 500"/>
    <x v="2"/>
    <x v="1"/>
    <s v="6 Roda"/>
    <d v="2026-02-11T00:00:00"/>
    <n v="13170"/>
    <n v="3690"/>
    <n v="9480"/>
    <n v="9510"/>
    <d v="1899-12-30T17:32:00"/>
    <d v="1899-12-30T18:26:00"/>
    <s v="Datu"/>
    <m/>
    <n v="494"/>
    <m/>
    <s v="Pomala"/>
  </r>
  <r>
    <n v="1"/>
    <s v="000065"/>
    <s v="CPO000065MIS"/>
    <s v="DP 8821 GL"/>
    <s v="027/PJB/MIS-WINS/I/2026"/>
    <s v="PT. MIS / 5 / 500"/>
    <x v="2"/>
    <x v="1"/>
    <s v="6 Roda"/>
    <d v="2026-02-11T00:00:00"/>
    <n v="13270"/>
    <n v="3800"/>
    <n v="9470"/>
    <n v="9490"/>
    <d v="1899-12-30T17:35:00"/>
    <d v="1899-12-30T18:24:00"/>
    <s v="Datu"/>
    <m/>
    <n v="494"/>
    <m/>
    <s v="Pomala"/>
  </r>
  <r>
    <n v="1"/>
    <s v="000069"/>
    <s v="CPO000069MIS"/>
    <s v="DD 8574 YE"/>
    <s v="027/PJB/MIS-WINS/I/2026"/>
    <s v="PT. MIS / 5 / 500"/>
    <x v="2"/>
    <x v="1"/>
    <s v="6 Roda"/>
    <d v="2026-02-11T00:00:00"/>
    <n v="13500"/>
    <n v="3970"/>
    <n v="9530"/>
    <n v="9530"/>
    <d v="1899-12-30T22:04:00"/>
    <d v="1899-12-30T23:11:00"/>
    <s v="Datu"/>
    <m/>
    <n v="494"/>
    <m/>
    <s v="Pomala"/>
  </r>
  <r>
    <n v="1"/>
    <s v="000070"/>
    <s v="CPO000070MIS"/>
    <s v="DP 8928 GM"/>
    <s v="027/PJB/MIS-WINS/I/2026"/>
    <s v="PT. MIS / 5 / 500"/>
    <x v="2"/>
    <x v="1"/>
    <s v="6 Roda"/>
    <d v="2026-02-11T00:00:00"/>
    <n v="13900"/>
    <n v="3920"/>
    <n v="9980"/>
    <n v="9970"/>
    <d v="1899-12-30T22:05:00"/>
    <d v="1899-12-30T22:57:00"/>
    <s v="Datu"/>
    <m/>
    <n v="494"/>
    <m/>
    <s v="Pomala"/>
  </r>
  <r>
    <n v="1"/>
    <s v="000071"/>
    <s v="CPO000071MIS"/>
    <s v="DP 8446 GC"/>
    <s v="027/PJB/MIS-WINS/I/2026"/>
    <s v="PT. MIS / 5 / 500"/>
    <x v="2"/>
    <x v="1"/>
    <s v="6 Roda"/>
    <d v="2026-02-11T00:00:00"/>
    <n v="13390"/>
    <n v="3950"/>
    <n v="9440"/>
    <n v="9450"/>
    <d v="1899-12-30T22:06:00"/>
    <d v="1899-12-30T23:20:00"/>
    <s v="Datu"/>
    <m/>
    <n v="494"/>
    <m/>
    <s v="Pomala"/>
  </r>
  <r>
    <n v="1"/>
    <s v="000072"/>
    <s v="CPO000072MIS"/>
    <s v="DP 8662 GH"/>
    <s v="027/PJB/MIS-WINS/I/2026"/>
    <s v="PT. MIS / 5 / 500"/>
    <x v="2"/>
    <x v="1"/>
    <s v="6 Roda"/>
    <d v="2026-02-11T00:00:00"/>
    <n v="13940"/>
    <n v="4010"/>
    <n v="9930"/>
    <n v="10030"/>
    <d v="1899-12-30T22:17:00"/>
    <d v="1899-12-30T23:18:00"/>
    <s v="Datu"/>
    <m/>
    <n v="494"/>
    <m/>
    <s v="Pomala"/>
  </r>
  <r>
    <n v="1"/>
    <s v="000073"/>
    <s v="CPO000073MIS"/>
    <s v="DP 8110 GK"/>
    <s v="027/PJB/MIS-WINS/I/2026"/>
    <s v="PT. MIS / 5 / 500"/>
    <x v="2"/>
    <x v="1"/>
    <s v="6 Roda"/>
    <d v="2026-02-11T00:00:00"/>
    <n v="14040"/>
    <n v="4200"/>
    <n v="9840"/>
    <n v="9920"/>
    <d v="1899-12-30T23:00:00"/>
    <d v="1899-12-30T23:48:00"/>
    <s v="Datu"/>
    <m/>
    <n v="494"/>
    <m/>
    <s v="Pomala"/>
  </r>
  <r>
    <n v="1"/>
    <s v="000083"/>
    <s v="CPO000083KMP"/>
    <s v="BM 8315 QO"/>
    <m/>
    <s v="PT. KMP / 8 / 500"/>
    <x v="1"/>
    <x v="1"/>
    <s v="12 Roda"/>
    <d v="2026-02-12T00:00:00"/>
    <n v="46020"/>
    <n v="17600"/>
    <n v="28420"/>
    <n v="28540"/>
    <d v="1899-12-30T18:55:00"/>
    <d v="1899-12-30T20:00:00"/>
    <s v="Datu"/>
    <s v="IQBAL"/>
    <n v="53"/>
    <s v="WIL"/>
    <s v="Masamba"/>
  </r>
  <r>
    <n v="1"/>
    <s v="000074"/>
    <s v="CPO000074MIS"/>
    <s v="DP 8817 GB"/>
    <s v="027/PJB/MIS-WINS/I/2026"/>
    <s v="PT. MIS / 5 / 500"/>
    <x v="2"/>
    <x v="1"/>
    <s v="6 Roda"/>
    <d v="2026-02-12T00:00:00"/>
    <n v="13090"/>
    <n v="3710"/>
    <n v="9380"/>
    <n v="9400"/>
    <d v="1899-12-30T23:15:00"/>
    <d v="1899-12-30T00:29:00"/>
    <s v="Datu"/>
    <m/>
    <n v="494"/>
    <m/>
    <s v="Pomala"/>
  </r>
  <r>
    <n v="1"/>
    <s v="000075"/>
    <s v="CPO000075MIS"/>
    <s v="DP 9859 GA"/>
    <s v="027/PJB/MIS-WINS/I/2026"/>
    <s v="PT. MIS / 5 / 500"/>
    <x v="2"/>
    <x v="1"/>
    <s v="6 Roda"/>
    <d v="2026-02-12T00:00:00"/>
    <n v="14160"/>
    <n v="4310"/>
    <n v="9850"/>
    <n v="9910"/>
    <d v="1899-12-30T23:24:00"/>
    <d v="1899-12-30T00:08:00"/>
    <s v="Datu"/>
    <m/>
    <n v="494"/>
    <m/>
    <s v="Pomala"/>
  </r>
  <r>
    <n v="1"/>
    <s v="000076"/>
    <s v="CPO000076MIS"/>
    <s v="DP 8994 GH"/>
    <s v="027/PJB/MIS-WINS/I/2026"/>
    <s v="PT. MIS / 5 / 500"/>
    <x v="2"/>
    <x v="1"/>
    <s v="6 Roda"/>
    <d v="2026-02-12T00:00:00"/>
    <n v="13490"/>
    <n v="4110"/>
    <n v="9380"/>
    <n v="9510"/>
    <d v="1899-12-30T23:26:00"/>
    <d v="1899-12-30T00:19:00"/>
    <s v="Datu"/>
    <m/>
    <n v="494"/>
    <m/>
    <s v="Pomala"/>
  </r>
  <r>
    <n v="1"/>
    <s v="000077"/>
    <s v="CPO000077MIS"/>
    <s v="DD 8532 ML"/>
    <s v="027/PJB/MIS-WINS/I/2026"/>
    <s v="PT. MIS / 5 / 500"/>
    <x v="2"/>
    <x v="1"/>
    <s v="6 Roda"/>
    <d v="2026-02-12T00:00:00"/>
    <n v="13020"/>
    <n v="4070"/>
    <n v="8950"/>
    <n v="9030"/>
    <d v="1899-12-30T23:29:00"/>
    <d v="1899-12-30T00:44:00"/>
    <s v="Datu"/>
    <m/>
    <n v="494"/>
    <m/>
    <s v="Pomala"/>
  </r>
  <r>
    <n v="1"/>
    <s v="000078"/>
    <s v="CPO000078MIS"/>
    <s v="DP 8076 TE"/>
    <s v="027/PJB/MIS-WINS/I/2026"/>
    <s v="PT. MIS / 5 / 500"/>
    <x v="2"/>
    <x v="1"/>
    <s v="6 Roda"/>
    <d v="2026-02-12T00:00:00"/>
    <n v="14030"/>
    <n v="4290"/>
    <n v="9740"/>
    <n v="9900"/>
    <d v="1899-12-30T00:17:00"/>
    <d v="1899-12-30T01:27:00"/>
    <s v="Datu"/>
    <m/>
    <n v="494"/>
    <m/>
    <s v="Pomala"/>
  </r>
  <r>
    <n v="1"/>
    <s v="000079"/>
    <s v="CPO000079MIS"/>
    <s v="DD 8574 HG"/>
    <s v="027/PJB/MIS-WINS/I/2026"/>
    <s v="PT. MIS / 5 / 500"/>
    <x v="2"/>
    <x v="1"/>
    <s v="6 Roda"/>
    <d v="2026-02-12T00:00:00"/>
    <n v="12770"/>
    <n v="4040"/>
    <n v="8730"/>
    <n v="8760"/>
    <d v="1899-12-30T00:21:00"/>
    <d v="1899-12-30T01:38:00"/>
    <s v="Datu"/>
    <m/>
    <n v="494"/>
    <m/>
    <s v="Pomala"/>
  </r>
  <r>
    <n v="1"/>
    <s v="000080"/>
    <s v="CPO000080MIS"/>
    <s v="DP 8004 GJ"/>
    <s v="027/PJB/MIS-WINS/I/2026"/>
    <s v="PT. MIS / 5 / 500"/>
    <x v="2"/>
    <x v="1"/>
    <s v="6 Roda"/>
    <d v="2026-02-12T00:00:00"/>
    <n v="13460"/>
    <n v="4270"/>
    <n v="9190"/>
    <n v="9310"/>
    <d v="1899-12-30T00:31:00"/>
    <d v="1899-12-30T01:55:00"/>
    <s v="Datu"/>
    <m/>
    <n v="494"/>
    <m/>
    <s v="Pomala"/>
  </r>
  <r>
    <n v="1"/>
    <s v="000081"/>
    <s v="CPO000081MIS"/>
    <s v="DN 8492 CU"/>
    <s v="027/PJB/MIS-WINS/I/2026"/>
    <s v="PT. MIS / 5 / 500"/>
    <x v="2"/>
    <x v="1"/>
    <s v="6 Roda"/>
    <d v="2026-02-12T00:00:00"/>
    <n v="13520"/>
    <n v="4010"/>
    <n v="9510"/>
    <n v="9500"/>
    <d v="1899-12-30T00:48:00"/>
    <d v="1899-12-30T01:49:00"/>
    <s v="Datu"/>
    <m/>
    <n v="494"/>
    <m/>
    <s v="Pomala"/>
  </r>
  <r>
    <n v="1"/>
    <s v="000082"/>
    <s v="CPO000082MIS"/>
    <s v="DP 8594 GN"/>
    <s v="027/PJB/MIS-WINS/I/2026"/>
    <s v="PT. MIS / 5 / 500"/>
    <x v="2"/>
    <x v="1"/>
    <s v="6 Roda"/>
    <d v="2026-02-12T00:00:00"/>
    <n v="13540"/>
    <n v="4060"/>
    <n v="9480"/>
    <n v="9480"/>
    <d v="1899-12-30T00:50:00"/>
    <d v="1899-12-30T02:16:00"/>
    <s v="Datu"/>
    <m/>
    <n v="494"/>
    <m/>
    <s v="Pomala"/>
  </r>
  <r>
    <n v="1"/>
    <s v="000662"/>
    <s v="CPO000662KMP"/>
    <s v="BM 8315 QO"/>
    <m/>
    <s v="PT. KMP / 8 / 500"/>
    <x v="1"/>
    <x v="1"/>
    <s v="12 Roda"/>
    <d v="2026-02-13T00:00:00"/>
    <n v="46000"/>
    <n v="17570"/>
    <n v="28430"/>
    <n v="28480"/>
    <d v="1899-12-30T13:02:00"/>
    <d v="1899-12-30T14:18:00"/>
    <s v="samsira"/>
    <s v="IQBAL"/>
    <n v="53"/>
    <s v="WIL"/>
    <s v="Masamba"/>
  </r>
  <r>
    <n v="1"/>
    <s v="000663"/>
    <s v="CPO000663KMP"/>
    <s v="B 1918 SXX"/>
    <m/>
    <s v="PT. KMP / 8 / 500"/>
    <x v="1"/>
    <x v="1"/>
    <s v="10 Roda"/>
    <d v="2026-02-13T00:00:00"/>
    <n v="26720"/>
    <n v="11860"/>
    <n v="14860"/>
    <n v="14880"/>
    <d v="1899-12-30T18:42:00"/>
    <d v="1899-12-30T19:57:00"/>
    <s v="Datu"/>
    <s v="WALDI"/>
    <n v="53"/>
    <s v="WIL"/>
    <s v="Masamba"/>
  </r>
  <r>
    <n v="1"/>
    <s v="000664"/>
    <s v="CPO000664KMP"/>
    <s v="BM 8315 QO"/>
    <m/>
    <s v="PT. KMP / 8 / 500"/>
    <x v="1"/>
    <x v="1"/>
    <s v="12 Roda"/>
    <d v="2026-02-13T00:00:00"/>
    <n v="45940"/>
    <n v="17530"/>
    <n v="28410"/>
    <n v="28480"/>
    <d v="1899-12-30T18:51:00"/>
    <d v="1899-12-30T20:44:00"/>
    <s v="Datu"/>
    <s v="IQBAL"/>
    <n v="53"/>
    <s v="WIL"/>
    <s v="Masamba"/>
  </r>
  <r>
    <n v="1"/>
    <s v="000668"/>
    <s v="CPO000668MIS"/>
    <s v="DP 8036 GK"/>
    <s v="027/PJB/MIS-WINS/I/2026"/>
    <s v="PT. MIS / 5 / 500"/>
    <x v="2"/>
    <x v="1"/>
    <s v="6 Roda"/>
    <d v="2026-02-13T00:00:00"/>
    <n v="13410"/>
    <n v="4000"/>
    <n v="9410"/>
    <n v="9370"/>
    <d v="1899-12-30T22:40:00"/>
    <d v="1899-12-30T23:43:00"/>
    <s v="Datu"/>
    <m/>
    <n v="494"/>
    <m/>
    <s v="Pomala"/>
  </r>
  <r>
    <n v="1"/>
    <s v="000669"/>
    <s v="CPO000669MIS"/>
    <s v="DP 8951 GB"/>
    <s v="027/PJB/MIS-WINS/I/2026"/>
    <s v="PT. MIS / 5 / 500"/>
    <x v="2"/>
    <x v="1"/>
    <s v="6 Roda"/>
    <d v="2026-02-13T00:00:00"/>
    <n v="13730"/>
    <n v="4120"/>
    <n v="9610"/>
    <n v="9580"/>
    <d v="1899-12-30T22:41:00"/>
    <d v="1899-12-30T23:45:00"/>
    <s v="Datu"/>
    <m/>
    <n v="494"/>
    <m/>
    <s v="Pomala"/>
  </r>
  <r>
    <n v="1"/>
    <s v="000670"/>
    <s v="CPO000670MIS"/>
    <s v="DP 8674 GC"/>
    <s v="027/PJB/MIS-WINS/I/2026"/>
    <s v="PT. MIS / 5 / 500"/>
    <x v="2"/>
    <x v="1"/>
    <s v="6 Roda"/>
    <d v="2026-02-13T00:00:00"/>
    <n v="13770"/>
    <n v="3910"/>
    <n v="9860"/>
    <n v="9810"/>
    <d v="1899-12-30T22:43:00"/>
    <d v="1899-12-30T23:47:00"/>
    <s v="Datu"/>
    <m/>
    <n v="494"/>
    <m/>
    <s v="Pomala"/>
  </r>
  <r>
    <n v="1"/>
    <s v="000665"/>
    <s v="RBDPL000665BJL"/>
    <s v="DP 8953 DK"/>
    <s v="001/OLEIN/WINS-BJL/II/2026"/>
    <s v="BJL/1/1000"/>
    <x v="6"/>
    <x v="3"/>
    <s v="6 Roda"/>
    <d v="2026-02-13T00:00:00"/>
    <n v="13480"/>
    <n v="4360"/>
    <n v="9120"/>
    <m/>
    <d v="1899-12-30T19:31:00"/>
    <d v="1899-12-30T20:31:00"/>
    <s v="Datu"/>
    <s v="MUH. ARIF"/>
    <n v="562"/>
    <s v="EXTERNAL"/>
    <s v="Palu"/>
  </r>
  <r>
    <n v="1"/>
    <s v="000666"/>
    <s v="RBDPL000666BJL"/>
    <s v="DC 8459 XL"/>
    <s v="001/OLEIN/WINS-BJL/II/2026"/>
    <s v="BJL/1/1000"/>
    <x v="6"/>
    <x v="3"/>
    <s v="6 Roda"/>
    <d v="2026-02-13T00:00:00"/>
    <n v="13030"/>
    <n v="4010"/>
    <n v="9020"/>
    <m/>
    <d v="1899-12-30T19:33:00"/>
    <d v="1899-12-30T21:01:00"/>
    <s v="Datu"/>
    <s v="HAERUDDIN"/>
    <n v="562"/>
    <s v="EXTERNAL"/>
    <s v="Palu"/>
  </r>
  <r>
    <n v="1"/>
    <s v="000667"/>
    <s v="RBDPL000667BJL"/>
    <s v="DC 8905 XH"/>
    <s v="001/OLEIN/WINS-BJL/II/2026"/>
    <s v="BJL/1/1000"/>
    <x v="6"/>
    <x v="3"/>
    <s v="6 Roda"/>
    <d v="2026-02-13T00:00:00"/>
    <n v="13210"/>
    <n v="4040"/>
    <n v="9170"/>
    <m/>
    <d v="1899-12-30T19:37:00"/>
    <d v="1899-12-30T21:35:00"/>
    <s v="Datu"/>
    <s v="GIDIONO RUDIYANTO"/>
    <n v="562"/>
    <s v="EXTERNAL"/>
    <s v="Palu"/>
  </r>
  <r>
    <n v="1"/>
    <s v="000672"/>
    <s v="CPO000672MIS"/>
    <s v="DP 8762 GH"/>
    <s v="027/PJB/MIS-WINS/I/2026"/>
    <s v="PT. MIS / 5 / 500"/>
    <x v="2"/>
    <x v="1"/>
    <s v="6 Roda"/>
    <d v="2026-02-14T00:00:00"/>
    <n v="13070"/>
    <n v="3750"/>
    <n v="9320"/>
    <n v="9190"/>
    <d v="1899-12-30T10:30:00"/>
    <d v="1899-12-30T11:19:00"/>
    <s v="samsira"/>
    <m/>
    <n v="494"/>
    <m/>
    <s v="Pomala"/>
  </r>
  <r>
    <n v="1"/>
    <s v="000673"/>
    <s v="CPO000673MIS"/>
    <s v="DP 9826 GA"/>
    <s v="027/PJB/MIS-WINS/I/2026"/>
    <s v="PT. MIS / 5 / 500"/>
    <x v="2"/>
    <x v="1"/>
    <s v="6 Roda"/>
    <d v="2026-02-14T00:00:00"/>
    <n v="13890"/>
    <n v="4050"/>
    <n v="9840"/>
    <n v="9770"/>
    <d v="1899-12-30T10:32:00"/>
    <d v="1899-12-30T11:29:00"/>
    <s v="samsira"/>
    <m/>
    <n v="494"/>
    <m/>
    <s v="Pomala"/>
  </r>
  <r>
    <n v="1"/>
    <s v="000675"/>
    <s v="CPO000675PN"/>
    <s v="B 1918 SXX"/>
    <s v="0095/R2/HO-PALM/CPO-L/I/2026"/>
    <s v="PT. PN / 5 / 1.000"/>
    <x v="4"/>
    <x v="1"/>
    <s v="10 Roda"/>
    <d v="2026-02-14T00:00:00"/>
    <n v="26610"/>
    <n v="11800"/>
    <n v="14810"/>
    <n v="14860"/>
    <d v="1899-12-30T13:32:00"/>
    <d v="1899-12-30T15:24:00"/>
    <s v="samsira"/>
    <s v="WALDI"/>
    <n v="99"/>
    <m/>
    <s v="Burau"/>
  </r>
  <r>
    <n v="1"/>
    <s v="000671"/>
    <s v="RBDPL000671BJL"/>
    <s v="DC 8989 EZ"/>
    <s v="001/OLEIN/WINS-BJL/II/2026"/>
    <s v="BJL/1/1000"/>
    <x v="6"/>
    <x v="3"/>
    <s v="6 Roda"/>
    <d v="2026-02-14T00:00:00"/>
    <n v="13350"/>
    <n v="3980"/>
    <n v="9370"/>
    <m/>
    <d v="1899-12-30T08:17:00"/>
    <d v="1899-12-30T08:58:00"/>
    <s v="samsira"/>
    <s v="MUH. DAUT"/>
    <n v="562"/>
    <s v="EXTERNAL"/>
    <s v="Palu"/>
  </r>
  <r>
    <n v="1"/>
    <s v="000676"/>
    <s v="CPO000676PN"/>
    <s v="BM 8315 QO"/>
    <s v="0095/R2/HO-PALM/CPO-L/I/2026"/>
    <s v="PT. PN / 5 / 1.000"/>
    <x v="4"/>
    <x v="1"/>
    <s v="12 Roda"/>
    <d v="2026-02-14T00:00:00"/>
    <n v="45790"/>
    <n v="17420"/>
    <n v="28370"/>
    <n v="28380"/>
    <d v="1899-12-30T13:59:00"/>
    <d v="1899-12-30T15:07:00"/>
    <s v="samsira"/>
    <s v="IQBAL"/>
    <n v="99"/>
    <m/>
    <s v="Burau"/>
  </r>
  <r>
    <n v="1"/>
    <s v="000677"/>
    <s v="CPO000677MIS"/>
    <s v="DP 8798 GH"/>
    <s v="027/PJB/MIS-WINS/I/2026"/>
    <s v="PT. MIS / 5 / 500"/>
    <x v="2"/>
    <x v="1"/>
    <s v="6 Roda"/>
    <d v="2026-02-14T00:00:00"/>
    <n v="13420"/>
    <n v="4020"/>
    <n v="9400"/>
    <n v="9260"/>
    <d v="1899-12-30T14:21:00"/>
    <d v="1899-12-30T15:41:00"/>
    <s v="samsira"/>
    <m/>
    <n v="494"/>
    <m/>
    <s v="Pomala"/>
  </r>
  <r>
    <n v="1"/>
    <s v="000674"/>
    <s v="RBDPL000674BJL"/>
    <s v="DN 8648 GA"/>
    <s v="001/OLEIN/WINS-BJL/II/2026"/>
    <s v="BJL/1/1000"/>
    <x v="6"/>
    <x v="3"/>
    <s v="6 Roda"/>
    <d v="2026-02-14T00:00:00"/>
    <n v="12990"/>
    <n v="3770"/>
    <n v="9220"/>
    <m/>
    <d v="1899-12-30T13:01:00"/>
    <d v="1899-12-30T13:53:00"/>
    <s v="samsira"/>
    <s v="MUH. EMIN BUSTAMIN"/>
    <n v="562"/>
    <s v="EXTERNAL"/>
    <s v="Palu"/>
  </r>
  <r>
    <n v="1"/>
    <s v="000678"/>
    <s v="CPO000678MIS"/>
    <s v="DP 9859 GA"/>
    <s v="027/PJB/MIS-WINS/I/2026"/>
    <s v="PT. MIS / 5 / 500"/>
    <x v="2"/>
    <x v="1"/>
    <s v="6 Roda"/>
    <d v="2026-02-14T00:00:00"/>
    <n v="14210"/>
    <n v="4200"/>
    <n v="10010"/>
    <n v="9970"/>
    <d v="1899-12-30T17:01:00"/>
    <d v="1899-12-30T18:27:00"/>
    <s v="Datu"/>
    <m/>
    <n v="494"/>
    <m/>
    <s v="Pomala"/>
  </r>
  <r>
    <n v="1"/>
    <s v="000679"/>
    <s v="CPO000679MIS"/>
    <s v="DP 8994 GH"/>
    <s v="027/PJB/MIS-WINS/I/2026"/>
    <s v="PT. MIS / 5 / 500"/>
    <x v="2"/>
    <x v="1"/>
    <s v="6 Roda"/>
    <d v="2026-02-14T00:00:00"/>
    <n v="13510"/>
    <n v="3860"/>
    <n v="9650"/>
    <n v="9620"/>
    <d v="1899-12-30T17:03:00"/>
    <d v="1899-12-30T18:17:00"/>
    <s v="Datu"/>
    <m/>
    <n v="494"/>
    <m/>
    <s v="Pomala"/>
  </r>
  <r>
    <n v="1"/>
    <s v="000680"/>
    <s v="CPO000680MIS"/>
    <s v="DP 9821 GA"/>
    <s v="027/PJB/MIS-WINS/I/2026"/>
    <s v="PT. MIS / 5 / 500"/>
    <x v="2"/>
    <x v="1"/>
    <s v="6 Roda"/>
    <d v="2026-02-14T00:00:00"/>
    <n v="13200"/>
    <n v="3940"/>
    <n v="9260"/>
    <n v="9250"/>
    <d v="1899-12-30T17:04:00"/>
    <d v="1899-12-30T18:01:00"/>
    <s v="Datu"/>
    <m/>
    <n v="494"/>
    <m/>
    <s v="Pomala"/>
  </r>
  <r>
    <n v="1"/>
    <s v="000681"/>
    <s v="CPO000681KMP"/>
    <s v="DD 8711 XX"/>
    <m/>
    <s v="PT. KMP / 8 / 500"/>
    <x v="1"/>
    <x v="1"/>
    <s v="10 Roda"/>
    <d v="2026-02-14T00:00:00"/>
    <n v="25180"/>
    <n v="10820"/>
    <n v="14360"/>
    <n v="14400"/>
    <d v="1899-12-30T17:06:00"/>
    <d v="1899-12-30T19:06:00"/>
    <s v="Datu"/>
    <s v="RONI RAKAN"/>
    <n v="53"/>
    <s v="WIL"/>
    <s v="Masamba"/>
  </r>
  <r>
    <n v="1"/>
    <s v="000682"/>
    <s v="CPO000682MIS"/>
    <s v="DP 8004 GJ"/>
    <s v="027/PJB/MIS-WINS/I/2026"/>
    <s v="PT. MIS / 5 / 500"/>
    <x v="2"/>
    <x v="1"/>
    <s v="6 Roda"/>
    <d v="2026-02-14T00:00:00"/>
    <n v="13540"/>
    <n v="4160"/>
    <n v="9380"/>
    <n v="9350"/>
    <d v="1899-12-30T17:08:00"/>
    <d v="1899-12-30T18:42:00"/>
    <s v="Datu"/>
    <m/>
    <n v="494"/>
    <m/>
    <s v="Pomala"/>
  </r>
  <r>
    <n v="1"/>
    <s v="000501"/>
    <s v="CPO000501KMP"/>
    <s v="BM 8315 QO"/>
    <s v="KMP01012026"/>
    <s v="PT. KMP / 6 / 750"/>
    <x v="1"/>
    <x v="1"/>
    <s v="12 Roda"/>
    <d v="2026-01-19T00:00:00"/>
    <n v="45810"/>
    <n v="17430"/>
    <n v="28380"/>
    <n v="28480"/>
    <d v="1899-12-30T21:43:00"/>
    <d v="1899-12-30T22:47:00"/>
    <s v="samsira"/>
    <s v="IQBAL"/>
    <n v="53"/>
    <s v="WIL"/>
    <s v="Masamba"/>
  </r>
  <r>
    <n v="1"/>
    <s v="000684"/>
    <s v="CPO000684KMP"/>
    <s v="B 1918 SXX"/>
    <m/>
    <s v="PT. KMP / 8 / 500"/>
    <x v="1"/>
    <x v="1"/>
    <s v="10 Roda"/>
    <d v="2026-02-14T00:00:00"/>
    <n v="26600"/>
    <n v="11770"/>
    <n v="14830"/>
    <n v="14860"/>
    <d v="1899-12-30T18:45:00"/>
    <d v="1899-12-30T19:40:00"/>
    <s v="Datu"/>
    <s v="WALDI"/>
    <n v="53"/>
    <s v="WIL"/>
    <s v="Masamba"/>
  </r>
  <r>
    <n v="1"/>
    <s v="000685"/>
    <s v="CPO000685MIS"/>
    <s v="DP 9846 GA"/>
    <s v="027/PJB/MIS-WINS/I/2026"/>
    <s v="PT. MIS / 5 / 500"/>
    <x v="2"/>
    <x v="1"/>
    <s v="6 Roda"/>
    <d v="2026-02-14T00:00:00"/>
    <n v="13200"/>
    <n v="3620"/>
    <n v="9580"/>
    <n v="9360"/>
    <d v="1899-12-30T22:15:00"/>
    <d v="1899-12-30T23:16:00"/>
    <s v="Datu"/>
    <m/>
    <n v="494"/>
    <m/>
    <s v="Pomala"/>
  </r>
  <r>
    <n v="1"/>
    <s v="000686"/>
    <s v="CPO000686MIS"/>
    <s v="DP 8928 GM"/>
    <s v="027/PJB/MIS-WINS/I/2026"/>
    <s v="PT. MIS / 5 / 500"/>
    <x v="2"/>
    <x v="1"/>
    <s v="6 Roda"/>
    <d v="2026-02-14T00:00:00"/>
    <n v="13980"/>
    <n v="3910"/>
    <n v="10070"/>
    <n v="10000"/>
    <d v="1899-12-30T22:16:00"/>
    <d v="1899-12-30T23:19:00"/>
    <s v="Datu"/>
    <m/>
    <n v="494"/>
    <m/>
    <s v="Pomala"/>
  </r>
  <r>
    <n v="1"/>
    <s v="000687"/>
    <s v="CPO000687MIS"/>
    <s v="DD 8574 YE"/>
    <s v="027/PJB/MIS-WINS/I/2026"/>
    <s v="PT. MIS / 5 / 500"/>
    <x v="2"/>
    <x v="1"/>
    <s v="6 Roda"/>
    <d v="2026-02-14T00:00:00"/>
    <n v="13550"/>
    <n v="3970"/>
    <n v="9580"/>
    <n v="9570"/>
    <d v="1899-12-30T22:18:00"/>
    <d v="1899-12-30T23:28:00"/>
    <s v="Datu"/>
    <m/>
    <n v="494"/>
    <m/>
    <s v="Pomala"/>
  </r>
  <r>
    <n v="1"/>
    <s v="000690"/>
    <s v="CPO000690JAS"/>
    <s v="DD 8711 XX"/>
    <s v="009/CPO/JM-WINS/I/2026"/>
    <s v="PT. JAS MULIA / 9 / 500"/>
    <x v="3"/>
    <x v="1"/>
    <s v="10 Roda"/>
    <d v="2026-02-16T00:00:00"/>
    <n v="25100"/>
    <n v="10780"/>
    <n v="14320"/>
    <n v="14280"/>
    <d v="1899-12-30T16:36:00"/>
    <d v="1899-12-30T17:40:00"/>
    <s v="samsira"/>
    <s v="RONI RAKAN"/>
    <n v="68"/>
    <s v="WIL"/>
    <s v="Bone Bone"/>
  </r>
  <r>
    <n v="1"/>
    <s v="000691"/>
    <s v="CPO000691JAS"/>
    <s v="B 1918 SXX"/>
    <s v="009/CPO/JM-WINS/I/2026"/>
    <s v="PT. JAS MULIA / 9 / 500"/>
    <x v="3"/>
    <x v="1"/>
    <s v="10 Roda"/>
    <d v="2026-02-16T00:00:00"/>
    <n v="26510"/>
    <n v="11750"/>
    <n v="14760"/>
    <n v="14730"/>
    <d v="1899-12-30T16:57:00"/>
    <d v="1899-12-30T17:43:00"/>
    <s v="samsira"/>
    <s v="WALDI"/>
    <n v="68"/>
    <s v="WIL"/>
    <s v="Bone Bone"/>
  </r>
  <r>
    <n v="1"/>
    <s v="000504"/>
    <s v="CPO000504KMP"/>
    <s v="BM 8315 QO"/>
    <s v="KMP01012026"/>
    <s v="PT. KMP / 6 / 750"/>
    <x v="1"/>
    <x v="1"/>
    <s v="12 Roda"/>
    <d v="2026-01-20T00:00:00"/>
    <n v="45770"/>
    <n v="17390"/>
    <n v="28380"/>
    <n v="28420"/>
    <d v="1899-12-30T13:13:00"/>
    <d v="1899-12-30T14:25:00"/>
    <s v="Datu"/>
    <s v="IQBAL"/>
    <n v="53"/>
    <s v="WIL"/>
    <s v="Masamba"/>
  </r>
  <r>
    <n v="1"/>
    <s v="000688"/>
    <s v="RBDPL000688BJL"/>
    <s v="DD 8356 RK"/>
    <s v="001/OLEIN/WINS-BJL/II/2026"/>
    <s v="BJL/1/1000"/>
    <x v="6"/>
    <x v="3"/>
    <s v="6 Roda"/>
    <d v="2026-02-16T00:00:00"/>
    <n v="13250"/>
    <n v="4110"/>
    <n v="9140"/>
    <m/>
    <d v="1899-12-30T09:18:00"/>
    <d v="1899-12-30T10:24:00"/>
    <s v="Datu"/>
    <s v="RIDWAN"/>
    <n v="562"/>
    <s v="EXTERNAL"/>
    <s v="Palu"/>
  </r>
  <r>
    <n v="1"/>
    <s v="000689"/>
    <s v="RBDPL000689BJL"/>
    <s v="DD 8546 EJ"/>
    <s v="001/OLEIN/WINS-BJL/II/2026"/>
    <s v="BJL/1/1000"/>
    <x v="6"/>
    <x v="3"/>
    <s v="6 Roda"/>
    <d v="2026-02-16T00:00:00"/>
    <n v="13350"/>
    <n v="4130"/>
    <n v="9220"/>
    <m/>
    <d v="1899-12-30T09:21:00"/>
    <d v="1899-12-30T10:26:00"/>
    <s v="Datu"/>
    <s v="ARDIN"/>
    <n v="562"/>
    <s v="EXTERNAL"/>
    <s v="Palu"/>
  </r>
  <r>
    <n v="1"/>
    <s v="000694"/>
    <s v="CPO000694JAS"/>
    <s v="B 1918 SXX"/>
    <s v="009/CPO/JM-WINS/I/2026"/>
    <s v="PT. JAS MULIA / 9 / 500"/>
    <x v="3"/>
    <x v="1"/>
    <s v="10 Roda"/>
    <d v="2026-02-18T00:00:00"/>
    <n v="26680"/>
    <n v="11850"/>
    <n v="14830"/>
    <n v="14780"/>
    <d v="1899-12-30T14:17:00"/>
    <d v="1899-12-30T15:20:00"/>
    <s v="Datu"/>
    <s v="WALDI"/>
    <n v="68"/>
    <s v="WIL"/>
    <s v="Bone Bone"/>
  </r>
  <r>
    <n v="1"/>
    <s v="000695"/>
    <s v="CPO000695JAS"/>
    <s v="DD 8711 XX"/>
    <s v="009/CPO/JM-WINS/I/2026"/>
    <s v="PT. JAS MULIA / 9 / 500"/>
    <x v="3"/>
    <x v="1"/>
    <s v="10 Roda"/>
    <d v="2026-02-18T00:00:00"/>
    <n v="25010"/>
    <n v="10710"/>
    <n v="14300"/>
    <n v="14240"/>
    <d v="1899-12-30T14:28:00"/>
    <d v="1899-12-30T15:25:00"/>
    <s v="Datu"/>
    <s v="RONI RAKAN"/>
    <n v="68"/>
    <s v="WIL"/>
    <s v="Bone Bone"/>
  </r>
  <r>
    <n v="1"/>
    <s v="000507"/>
    <s v="CPO000507KMP"/>
    <s v="DD 9236 XX"/>
    <s v="KMP01012026"/>
    <s v="PT. KMP / 6 / 750"/>
    <x v="1"/>
    <x v="1"/>
    <s v="12 Roda"/>
    <d v="2026-01-20T00:00:00"/>
    <n v="45890"/>
    <n v="17510"/>
    <n v="28380"/>
    <n v="28440"/>
    <d v="1899-12-30T19:02:00"/>
    <d v="1899-12-30T20:18:00"/>
    <s v="samsira"/>
    <s v="IBRAHIM"/>
    <n v="53"/>
    <s v="WIL"/>
    <s v="Masamba"/>
  </r>
  <r>
    <n v="1"/>
    <s v="000693"/>
    <s v="RBDPL000693BJL"/>
    <s v="DP 8953 DK"/>
    <s v="001/OLEIN/WINS-BJL/II/2026"/>
    <s v="BJL/1/1000"/>
    <x v="6"/>
    <x v="3"/>
    <s v="6 Roda"/>
    <d v="2026-02-18T00:00:00"/>
    <n v="13450"/>
    <n v="4360"/>
    <n v="9090"/>
    <m/>
    <d v="1899-12-30T08:39:00"/>
    <d v="1899-12-30T09:32:00"/>
    <s v="Datu"/>
    <s v="MUH. ARIF"/>
    <n v="562"/>
    <s v="EXTERNAL"/>
    <s v="Palu"/>
  </r>
  <r>
    <n v="1"/>
    <s v="000697"/>
    <s v="CPO000697JAS"/>
    <s v="B 1918 SXX"/>
    <s v="009/CPO/JM-WINS/I/2026"/>
    <s v="PT. JAS MULIA / 9 / 500"/>
    <x v="3"/>
    <x v="1"/>
    <s v="10 Roda"/>
    <d v="2026-02-19T00:00:00"/>
    <n v="26590"/>
    <n v="11910"/>
    <n v="14680"/>
    <n v="14630"/>
    <d v="1899-12-30T11:16:00"/>
    <d v="1899-12-30T12:25:00"/>
    <s v="Datu"/>
    <s v="WALDI"/>
    <n v="68"/>
    <s v="WIL"/>
    <s v="Bone Bone"/>
  </r>
  <r>
    <n v="1"/>
    <s v="000698"/>
    <s v="CPO000698JAS"/>
    <s v="DD 8711 XX"/>
    <s v="009/CPO/JM-WINS/I/2026"/>
    <s v="PT. JAS MULIA / 9 / 500"/>
    <x v="3"/>
    <x v="1"/>
    <s v="10 Roda"/>
    <d v="2026-02-19T00:00:00"/>
    <n v="25090"/>
    <n v="10800"/>
    <n v="14290"/>
    <n v="14250"/>
    <d v="1899-12-30T12:16:00"/>
    <d v="1899-12-30T13:06:00"/>
    <s v="Datu"/>
    <s v="RONI RAKAN"/>
    <n v="68"/>
    <s v="WIL"/>
    <s v="Bone Bone"/>
  </r>
  <r>
    <n v="1"/>
    <s v="000699"/>
    <s v="CPO000699JAS"/>
    <s v="BM 8315 QO"/>
    <s v="009/CPO/JM-WINS/I/2026"/>
    <s v="PT. JAS MULIA / 9 / 500"/>
    <x v="3"/>
    <x v="1"/>
    <s v="12 Roda"/>
    <d v="2026-02-19T00:00:00"/>
    <n v="45840"/>
    <n v="17470"/>
    <n v="28370"/>
    <n v="28310"/>
    <d v="1899-12-30T12:28:00"/>
    <d v="1899-12-30T13:31:00"/>
    <s v="Datu"/>
    <s v="IQBAL"/>
    <n v="68"/>
    <s v="WIL"/>
    <s v="Bone Bone"/>
  </r>
  <r>
    <n v="1"/>
    <s v="000700"/>
    <s v="CPO000700JAS"/>
    <s v="B 1918 SXX"/>
    <s v="009/CPO/JM-WINS/I/2026"/>
    <s v="PT. JAS MULIA / 9 / 500"/>
    <x v="3"/>
    <x v="1"/>
    <s v="10 Roda"/>
    <d v="2026-02-19T00:00:00"/>
    <n v="26650"/>
    <n v="11850"/>
    <n v="14800"/>
    <n v="14750"/>
    <d v="1899-12-30T16:48:00"/>
    <d v="1899-12-30T17:32:00"/>
    <s v="samsira"/>
    <s v="WALDI"/>
    <n v="68"/>
    <s v="WIL"/>
    <s v="Bone Bone"/>
  </r>
  <r>
    <n v="1"/>
    <s v="000701"/>
    <s v="CPO000701JAS"/>
    <s v="DD 8711 XX"/>
    <s v="009/CPO/JM-WINS/I/2026"/>
    <s v="PT. JAS MULIA / 9 / 500"/>
    <x v="3"/>
    <x v="1"/>
    <s v="10 Roda"/>
    <d v="2026-02-19T00:00:00"/>
    <n v="25020"/>
    <n v="10750"/>
    <n v="14270"/>
    <n v="14230"/>
    <d v="1899-12-30T17:21:00"/>
    <d v="1899-12-30T18:16:00"/>
    <s v="samsira"/>
    <s v="RONI RAKAN"/>
    <n v="68"/>
    <s v="WIL"/>
    <s v="Bone Bone"/>
  </r>
  <r>
    <n v="1"/>
    <s v="000702"/>
    <s v="CPO000702JAS"/>
    <s v="BM 8315 QO"/>
    <s v="009/CPO/JM-WINS/I/2026"/>
    <s v="PT. JAS MULIA / 9 / 500"/>
    <x v="3"/>
    <x v="1"/>
    <s v="12 Roda"/>
    <d v="2026-02-19T00:00:00"/>
    <n v="45670"/>
    <n v="17410"/>
    <n v="28260"/>
    <n v="28190"/>
    <d v="1899-12-30T19:11:00"/>
    <d v="1899-12-30T20:03:00"/>
    <s v="samsira"/>
    <s v="IQBAL"/>
    <n v="68"/>
    <s v="WIL"/>
    <s v="Bone Bone"/>
  </r>
  <r>
    <n v="1"/>
    <s v="000703"/>
    <s v="CPO000703JAS"/>
    <s v="B 1918 SXX"/>
    <s v="009/CPO/JM-WINS/I/2026"/>
    <s v="PT. JAS MULIA / 9 / 500"/>
    <x v="3"/>
    <x v="1"/>
    <s v="10 Roda"/>
    <d v="2026-02-20T00:00:00"/>
    <n v="26630"/>
    <n v="11830"/>
    <n v="14800"/>
    <n v="14780"/>
    <d v="1899-12-30T10:36:00"/>
    <d v="1899-12-30T13:25:00"/>
    <s v="Datu"/>
    <s v="WALDI"/>
    <n v="68"/>
    <s v="WIL"/>
    <s v="Bone Bone"/>
  </r>
  <r>
    <n v="1"/>
    <s v="000704"/>
    <s v="CPO000704JAS"/>
    <s v="BM 8315 QO"/>
    <s v="009/CPO/JM-WINS/I/2026"/>
    <s v="PT. JAS MULIA / 9 / 500"/>
    <x v="3"/>
    <x v="1"/>
    <s v="12 Roda"/>
    <d v="2026-02-20T00:00:00"/>
    <n v="45870"/>
    <n v="17580"/>
    <n v="28290"/>
    <n v="28250"/>
    <d v="1899-12-30T11:09:00"/>
    <d v="1899-12-30T13:22:00"/>
    <s v="Datu"/>
    <s v="IQBAL"/>
    <n v="68"/>
    <s v="WIL"/>
    <s v="Bone Bone"/>
  </r>
  <r>
    <n v="1"/>
    <s v="000705"/>
    <s v="CPO000705JAS"/>
    <s v="DD 8711 XX"/>
    <s v="009/CPO/JM-WINS/I/2026"/>
    <s v="PT. JAS MULIA / 9 / 500"/>
    <x v="3"/>
    <x v="1"/>
    <s v="10 Roda"/>
    <d v="2026-02-20T00:00:00"/>
    <n v="25000"/>
    <n v="10700"/>
    <n v="14300"/>
    <n v="14250"/>
    <d v="1899-12-30T11:12:00"/>
    <d v="1899-12-30T13:54:00"/>
    <s v="Datu"/>
    <s v="RONI RAKAN"/>
    <n v="68"/>
    <s v="WIL"/>
    <s v="Bone Bone"/>
  </r>
  <r>
    <n v="1"/>
    <s v="000709"/>
    <s v="CPO000709KMP"/>
    <s v="B 1918 SXX"/>
    <m/>
    <s v="PT. KMP / 8 / 500"/>
    <x v="1"/>
    <x v="1"/>
    <s v="10 Roda"/>
    <d v="2026-02-21T00:00:00"/>
    <n v="26820"/>
    <n v="11990"/>
    <n v="14830"/>
    <n v="14880"/>
    <d v="1899-12-30T18:03:00"/>
    <d v="1899-12-30T19:40:00"/>
    <s v="samsira"/>
    <s v="WALDI"/>
    <n v="53"/>
    <s v="WIL"/>
    <s v="Masamba"/>
  </r>
  <r>
    <n v="1"/>
    <s v="000710"/>
    <s v="CPO000710KMP"/>
    <s v="DD 8711 XX"/>
    <m/>
    <s v="PT. KMP / 8 / 500"/>
    <x v="1"/>
    <x v="1"/>
    <s v="10 Roda"/>
    <d v="2026-02-21T00:00:00"/>
    <n v="25110"/>
    <n v="10850"/>
    <n v="14260"/>
    <n v="14300"/>
    <d v="1899-12-30T18:55:00"/>
    <d v="1899-12-30T19:42:00"/>
    <s v="samsira"/>
    <s v="RONI RAKAN"/>
    <n v="53"/>
    <s v="WIL"/>
    <s v="Masamba"/>
  </r>
  <r>
    <n v="1"/>
    <s v="000711"/>
    <s v="CPO000711KMP"/>
    <s v="BM 8315 QO"/>
    <m/>
    <s v="PT. KMP / 8 / 500"/>
    <x v="1"/>
    <x v="1"/>
    <s v="12 Roda"/>
    <d v="2026-02-21T00:00:00"/>
    <n v="45910"/>
    <n v="17680"/>
    <n v="28230"/>
    <n v="28420"/>
    <d v="1899-12-30T19:13:00"/>
    <d v="1899-12-30T20:10:00"/>
    <s v="samsira"/>
    <s v="IQBAL"/>
    <n v="53"/>
    <s v="WIL"/>
    <s v="Masamba"/>
  </r>
  <r>
    <n v="1"/>
    <s v="000706"/>
    <s v="RBDPL000706BJL"/>
    <s v="DC 8459 XL"/>
    <s v="001/OLEIN/WINS-BJL/II/2026"/>
    <s v="BJL/1/1000"/>
    <x v="6"/>
    <x v="3"/>
    <s v="6 Roda"/>
    <d v="2026-02-21T00:00:00"/>
    <n v="12980"/>
    <n v="3990"/>
    <n v="8990"/>
    <m/>
    <d v="1899-12-30T13:04:00"/>
    <d v="1899-12-30T14:13:00"/>
    <s v="Datu"/>
    <s v="HAERUDDIN"/>
    <n v="562"/>
    <s v="EXTERNAL"/>
    <s v="Palu"/>
  </r>
  <r>
    <n v="1"/>
    <s v="000707"/>
    <s v="RBDPL000707BJL"/>
    <s v="DC 8905 XH"/>
    <s v="001/OLEIN/WINS-BJL/II/2026"/>
    <s v="BJL/1/1000"/>
    <x v="6"/>
    <x v="3"/>
    <s v="6 Roda"/>
    <d v="2026-02-21T00:00:00"/>
    <n v="13240"/>
    <n v="4090"/>
    <n v="9150"/>
    <m/>
    <d v="1899-12-30T13:06:00"/>
    <d v="1899-12-30T13:53:00"/>
    <s v="Datu"/>
    <s v="GIDIONO RUDIYANTO"/>
    <n v="562"/>
    <s v="EXTERNAL"/>
    <s v="Palu"/>
  </r>
  <r>
    <n v="1"/>
    <s v="000708"/>
    <s v="RBDPL000708BJL"/>
    <s v="DP 8953 DK"/>
    <s v="001/OLEIN/WINS-BJL/II/2026"/>
    <s v="BJL/1/1000"/>
    <x v="6"/>
    <x v="3"/>
    <s v="6 Roda"/>
    <d v="2026-02-21T00:00:00"/>
    <n v="13600"/>
    <n v="4560"/>
    <n v="9040"/>
    <m/>
    <d v="1899-12-30T13:08:00"/>
    <d v="1899-12-30T14:36:00"/>
    <s v="Datu"/>
    <s v="MUH. ARIF"/>
    <n v="562"/>
    <s v="EXTERNAL"/>
    <s v="Palu"/>
  </r>
  <r>
    <n v="1"/>
    <s v="000712"/>
    <s v="CPO000712PN"/>
    <s v="DD 8711 XX"/>
    <s v="0095/R2/HO-PALM/CPO-L/I/2026"/>
    <s v="PT. PN / 5 / 1.000"/>
    <x v="4"/>
    <x v="1"/>
    <s v="10 Roda"/>
    <d v="2026-02-23T00:00:00"/>
    <n v="25020"/>
    <n v="10730"/>
    <n v="14290"/>
    <n v="14230"/>
    <d v="1899-12-30T15:10:00"/>
    <d v="1899-12-30T15:56:00"/>
    <s v="Datu"/>
    <s v="RONI RAKAN"/>
    <n v="99"/>
    <m/>
    <s v="Burau"/>
  </r>
  <r>
    <n v="1"/>
    <s v="000713"/>
    <s v="CPO000713PN"/>
    <s v="B 1918 SXX"/>
    <s v="0095/R2/HO-PALM/CPO-L/I/2026"/>
    <s v="PT. PN / 5 / 1.000"/>
    <x v="4"/>
    <x v="1"/>
    <s v="10 Roda"/>
    <d v="2026-02-23T00:00:00"/>
    <n v="26680"/>
    <n v="11870"/>
    <n v="14810"/>
    <n v="14780"/>
    <d v="1899-12-30T15:11:00"/>
    <d v="1899-12-30T16:00:00"/>
    <s v="Datu"/>
    <s v="WALDI"/>
    <n v="99"/>
    <m/>
    <s v="Burau"/>
  </r>
  <r>
    <n v="1"/>
    <s v="000714"/>
    <s v="CPO000714PN"/>
    <s v="BM 8315 QO"/>
    <s v="0095/R2/HO-PALM/CPO-L/I/2026"/>
    <s v="PT. PN / 5 / 1.000"/>
    <x v="4"/>
    <x v="1"/>
    <s v="12 Roda"/>
    <d v="2026-02-23T00:00:00"/>
    <n v="45730"/>
    <n v="17450"/>
    <n v="28280"/>
    <n v="28180"/>
    <d v="1899-12-30T15:23:00"/>
    <d v="1899-12-30T16:13:00"/>
    <s v="Datu"/>
    <s v="IQBAL"/>
    <n v="99"/>
    <m/>
    <s v="Burau"/>
  </r>
  <r>
    <n v="1"/>
    <s v="000717"/>
    <s v="CPO000717JAS"/>
    <s v="DD 8711 XX"/>
    <s v="009/CPO/JM-WINS/I/2026"/>
    <s v="PT. JAS MULIA / 9 / 500"/>
    <x v="3"/>
    <x v="1"/>
    <s v="10 Roda"/>
    <d v="2026-02-24T00:00:00"/>
    <n v="25080"/>
    <n v="10790"/>
    <n v="14290"/>
    <n v="14260"/>
    <d v="1899-12-30T13:34:00"/>
    <d v="1899-12-30T14:53:00"/>
    <s v="Datu"/>
    <s v="RONI RAKAN"/>
    <n v="68"/>
    <s v="WIL"/>
    <s v="Bone Bone"/>
  </r>
  <r>
    <n v="1"/>
    <s v="000718"/>
    <s v="CPO000718JAS"/>
    <s v="B 1918 SXX"/>
    <s v="009/CPO/JM-WINS/I/2026"/>
    <s v="PT. JAS MULIA / 9 / 500"/>
    <x v="3"/>
    <x v="1"/>
    <s v="10 Roda"/>
    <d v="2026-02-24T00:00:00"/>
    <n v="26650"/>
    <n v="11830"/>
    <n v="14820"/>
    <n v="14790"/>
    <d v="1899-12-30T13:53:00"/>
    <d v="1899-12-30T15:06:00"/>
    <s v="Datu"/>
    <s v="WALDI"/>
    <n v="68"/>
    <s v="WIL"/>
    <s v="Bone Bone"/>
  </r>
  <r>
    <n v="1"/>
    <s v="000719"/>
    <s v="CPO000719JAS"/>
    <s v="BM 8315 QO"/>
    <s v="009/CPO/JM-WINS/I/2026"/>
    <s v="PT. JAS MULIA / 9 / 500"/>
    <x v="3"/>
    <x v="1"/>
    <s v="12 Roda"/>
    <d v="2026-02-24T00:00:00"/>
    <n v="45720"/>
    <n v="17410"/>
    <n v="28310"/>
    <n v="28260"/>
    <d v="1899-12-30T14:25:00"/>
    <d v="1899-12-30T15:09:00"/>
    <s v="Datu"/>
    <s v="IQBAL"/>
    <n v="68"/>
    <s v="WIL"/>
    <s v="Bone Bone"/>
  </r>
  <r>
    <n v="1"/>
    <s v="000720"/>
    <s v="CPO000720JAS"/>
    <s v="DD 8711 XX"/>
    <s v="009/CPO/JM-WINS/I/2026"/>
    <s v="PT. JAS MULIA / 9 / 500"/>
    <x v="3"/>
    <x v="1"/>
    <s v="10 Roda"/>
    <d v="2026-02-24T00:00:00"/>
    <n v="25020"/>
    <n v="10770"/>
    <n v="14250"/>
    <n v="14180"/>
    <d v="1899-12-30T19:11:00"/>
    <d v="1899-12-30T19:55:00"/>
    <s v="samsira"/>
    <s v="RONI RAKAN"/>
    <n v="68"/>
    <s v="WIL"/>
    <s v="Bone Bone"/>
  </r>
  <r>
    <n v="1"/>
    <s v="000721"/>
    <s v="CPO000721JAS"/>
    <s v="B 1918 SXX"/>
    <s v="009/CPO/JM-WINS/I/2026"/>
    <s v="PT. JAS MULIA / 9 / 500"/>
    <x v="3"/>
    <x v="1"/>
    <s v="10 Roda"/>
    <d v="2026-02-24T00:00:00"/>
    <n v="26620"/>
    <n v="11820"/>
    <n v="14800"/>
    <n v="14770"/>
    <d v="1899-12-30T20:13:00"/>
    <d v="1899-12-30T21:20:00"/>
    <s v="samsira"/>
    <s v="WALDI"/>
    <n v="68"/>
    <s v="WIL"/>
    <s v="Bone Bone"/>
  </r>
  <r>
    <n v="1"/>
    <s v="000722"/>
    <s v="CPO000722JAS"/>
    <s v="BM 8315 QO"/>
    <s v="009/CPO/JM-WINS/I/2026"/>
    <s v="PT. JAS MULIA / 9 / 500"/>
    <x v="3"/>
    <x v="1"/>
    <s v="12 Roda"/>
    <d v="2026-02-24T00:00:00"/>
    <n v="45920"/>
    <n v="17750"/>
    <n v="28170"/>
    <n v="28250"/>
    <d v="1899-12-30T20:34:00"/>
    <d v="1899-12-30T21:24:00"/>
    <s v="samsira"/>
    <s v="IQBAL"/>
    <n v="68"/>
    <s v="WIL"/>
    <s v="Bone Bone"/>
  </r>
  <r>
    <n v="1"/>
    <s v="000084"/>
    <s v="CPO000084JAS"/>
    <s v="B 1918 SXX"/>
    <s v="009/CPO/JM-WINS/I/2026"/>
    <s v="PT. JAS MULIA / 9 / 500"/>
    <x v="3"/>
    <x v="1"/>
    <s v="10 Roda"/>
    <d v="2026-02-25T00:00:00"/>
    <n v="26800"/>
    <n v="11960"/>
    <n v="14840"/>
    <n v="14820"/>
    <d v="1899-12-30T09:53:00"/>
    <d v="1899-12-30T10:59:00"/>
    <s v="samsira"/>
    <s v="WALDI"/>
    <n v="68"/>
    <s v="WIL"/>
    <s v="Bone Bone"/>
  </r>
  <r>
    <n v="1"/>
    <s v="000508"/>
    <s v="CPO000508KMP"/>
    <s v="BM 8315 QO"/>
    <s v="KMP01012026"/>
    <s v="PT. KMP / 6 / 750"/>
    <x v="1"/>
    <x v="1"/>
    <s v="12 Roda"/>
    <d v="2026-01-20T00:00:00"/>
    <n v="45940"/>
    <n v="17560"/>
    <n v="28380"/>
    <n v="28400"/>
    <d v="1899-12-30T19:04:00"/>
    <d v="1899-12-30T20:23:00"/>
    <s v="samsira"/>
    <s v="IQBAL"/>
    <n v="53"/>
    <s v="WIL"/>
    <s v="Masamba"/>
  </r>
  <r>
    <n v="1"/>
    <s v="000086"/>
    <s v="CPO000086JAS"/>
    <s v="DD 8711 XX"/>
    <s v="009/CPO/JM-WINS/I/2026"/>
    <s v="PT. JAS MULIA / 9 / 500"/>
    <x v="3"/>
    <x v="1"/>
    <s v="10 Roda"/>
    <d v="2026-02-25T00:00:00"/>
    <n v="25090"/>
    <n v="10780"/>
    <n v="14310"/>
    <n v="14250"/>
    <d v="1899-12-30T10:37:00"/>
    <d v="1899-12-30T11:32:00"/>
    <s v="samsira"/>
    <s v="RONI RAKAN"/>
    <n v="68"/>
    <s v="WIL"/>
    <s v="Bone Bone"/>
  </r>
  <r>
    <n v="1"/>
    <s v="000723"/>
    <s v="RBDPL000723BJL"/>
    <s v="DP 8953 DK"/>
    <s v="001/OLEIN/WINS-BJL/II/2026"/>
    <s v="BJL/1/1000"/>
    <x v="6"/>
    <x v="3"/>
    <s v="6 Roda"/>
    <d v="2026-02-25T00:00:00"/>
    <n v="13570"/>
    <n v="4570"/>
    <n v="9000"/>
    <m/>
    <d v="1899-12-30T11:16:00"/>
    <d v="1899-12-30T12:08:00"/>
    <s v="samsira"/>
    <s v="MUH. ARIF"/>
    <n v="562"/>
    <s v="EXTERNAL"/>
    <s v="Palu"/>
  </r>
  <r>
    <n v="1"/>
    <s v="000724"/>
    <s v="RBDPL000724BJL"/>
    <s v="DC 8459 XL"/>
    <s v="001/OLEIN/WINS-BJL/II/2026"/>
    <s v="BJL/1/1000"/>
    <x v="6"/>
    <x v="3"/>
    <s v="6 Roda"/>
    <d v="2026-02-25T00:00:00"/>
    <n v="13230"/>
    <n v="4180"/>
    <n v="9050"/>
    <m/>
    <d v="1899-12-30T11:19:00"/>
    <d v="1899-12-30T12:11:00"/>
    <s v="samsira"/>
    <s v="HAERUDDIN"/>
    <n v="562"/>
    <s v="EXTERNAL"/>
    <s v="Palu"/>
  </r>
  <r>
    <n v="1"/>
    <s v="000725"/>
    <s v="CPO000725PN"/>
    <s v="DD 8711 XX"/>
    <s v="0095/R2/HO-PALM/CPO-L/I/2026"/>
    <s v="PT. PN / 5 / 1.000"/>
    <x v="4"/>
    <x v="1"/>
    <s v="10 Roda"/>
    <d v="2026-02-25T00:00:00"/>
    <n v="24990"/>
    <n v="10740"/>
    <n v="14250"/>
    <n v="14260"/>
    <d v="1899-12-30T18:56:00"/>
    <d v="1899-12-30T20:12:00"/>
    <s v="Datu"/>
    <s v="RONI RAKAN"/>
    <n v="99"/>
    <m/>
    <s v="Burau"/>
  </r>
  <r>
    <n v="1"/>
    <s v="000726"/>
    <s v="CPO000726PN"/>
    <s v="B 1918 SXX"/>
    <s v="0095/R2/HO-PALM/CPO-L/I/2026"/>
    <s v="PT. PN / 5 / 1.000"/>
    <x v="4"/>
    <x v="1"/>
    <s v="10 Roda"/>
    <d v="2026-02-25T00:00:00"/>
    <n v="26680"/>
    <n v="11890"/>
    <n v="14790"/>
    <n v="14750"/>
    <d v="1899-12-30T19:29:00"/>
    <d v="1899-12-30T20:54:00"/>
    <s v="Datu"/>
    <s v="WALDI"/>
    <n v="99"/>
    <m/>
    <s v="Burau"/>
  </r>
  <r>
    <n v="1"/>
    <s v="000727"/>
    <s v="CPO000727PN"/>
    <s v="BM 8315 QO"/>
    <s v="0095/R2/HO-PALM/CPO-L/I/2026"/>
    <s v="PT. PN / 5 / 1.000"/>
    <x v="4"/>
    <x v="1"/>
    <s v="12 Roda"/>
    <d v="2026-02-25T00:00:00"/>
    <n v="45710"/>
    <n v="17480"/>
    <n v="28230"/>
    <n v="28220"/>
    <d v="1899-12-30T20:02:00"/>
    <d v="1899-12-30T21:10:00"/>
    <s v="Datu"/>
    <s v="IQBAL"/>
    <n v="99"/>
    <m/>
    <s v="Burau"/>
  </r>
  <r>
    <n v="1"/>
    <s v="000728"/>
    <s v="CPO000728PN"/>
    <s v="BM 8315 QO"/>
    <s v="0095/R2/HO-PALM/CPO-L/I/2026"/>
    <s v="PT. PN / 5 / 1.000"/>
    <x v="4"/>
    <x v="1"/>
    <s v="12 Roda"/>
    <d v="2026-02-26T00:00:00"/>
    <n v="45570"/>
    <n v="17330"/>
    <n v="28240"/>
    <n v="28230"/>
    <d v="1899-12-30T14:40:00"/>
    <d v="1899-12-30T15:47:00"/>
    <s v="samsira"/>
    <s v="IQBAL"/>
    <n v="99"/>
    <m/>
    <s v="Burau"/>
  </r>
  <r>
    <n v="1"/>
    <s v="000729"/>
    <s v="CPO000729PN"/>
    <s v="B 1918 SXX"/>
    <s v="0095/R2/HO-PALM/CPO-L/I/2026"/>
    <s v="PT. PN / 5 / 1.000"/>
    <x v="4"/>
    <x v="1"/>
    <s v="10 Roda"/>
    <d v="2026-02-26T00:00:00"/>
    <n v="26580"/>
    <n v="11810"/>
    <n v="14770"/>
    <n v="14750"/>
    <d v="1899-12-30T14:47:00"/>
    <d v="1899-12-30T15:49:00"/>
    <s v="samsira"/>
    <s v="WALDI"/>
    <n v="99"/>
    <m/>
    <s v="Burau"/>
  </r>
  <r>
    <n v="1"/>
    <s v="000730"/>
    <s v="CPO000730PN"/>
    <s v="DD 8711 XX"/>
    <s v="0095/R2/HO-PALM/CPO-L/I/2026"/>
    <s v="PT. PN / 5 / 1.000"/>
    <x v="4"/>
    <x v="1"/>
    <s v="10 Roda"/>
    <d v="2026-02-26T00:00:00"/>
    <n v="25010"/>
    <n v="10770"/>
    <n v="14240"/>
    <n v="14210"/>
    <d v="1899-12-30T14:49:00"/>
    <d v="1899-12-30T15:58:00"/>
    <s v="samsira"/>
    <s v="RONI RAKAN"/>
    <n v="99"/>
    <m/>
    <s v="Burau"/>
  </r>
  <r>
    <n v="1"/>
    <s v="000731"/>
    <s v="CPO000731JAS"/>
    <s v="B 1918 SXX"/>
    <s v="009/CPO/JM-WINS/I/2026"/>
    <s v="PT. JAS MULIA / 9 / 500"/>
    <x v="3"/>
    <x v="1"/>
    <s v="10 Roda"/>
    <d v="2026-02-26T00:00:00"/>
    <n v="26780"/>
    <n v="11930"/>
    <n v="14850"/>
    <n v="14820"/>
    <d v="1899-12-30T20:27:00"/>
    <d v="1899-12-30T21:24:00"/>
    <s v="Datu"/>
    <s v="WALDI"/>
    <n v="68"/>
    <s v="WIL"/>
    <s v="Bone Bone"/>
  </r>
  <r>
    <n v="1"/>
    <s v="000732"/>
    <s v="CPO000732JAS"/>
    <s v="BM 8315 QO"/>
    <s v="009/CPO/JM-WINS/I/2026"/>
    <s v="PT. JAS MULIA / 9 / 500"/>
    <x v="3"/>
    <x v="1"/>
    <s v="12 Roda"/>
    <d v="2026-02-26T00:00:00"/>
    <n v="45950"/>
    <n v="17560"/>
    <n v="28390"/>
    <n v="28340"/>
    <d v="1899-12-30T21:49:00"/>
    <d v="1899-12-30T22:49:00"/>
    <s v="Datu"/>
    <s v="IQBAL"/>
    <n v="68"/>
    <s v="WIL"/>
    <s v="Bone Bone"/>
  </r>
  <r>
    <n v="1"/>
    <s v="000733"/>
    <s v="CPO000733PN"/>
    <s v="DD 8711 XX"/>
    <s v="0095/R2/HO-PALM/CPO-L/I/2026"/>
    <s v="PT. PN / 5 / 1.000"/>
    <x v="4"/>
    <x v="1"/>
    <s v="10 Roda"/>
    <d v="2026-02-27T00:00:00"/>
    <n v="24980"/>
    <n v="10710"/>
    <n v="14270"/>
    <n v="14250"/>
    <d v="1899-12-30T13:03:00"/>
    <d v="1899-12-30T14:29:00"/>
    <s v="samsira"/>
    <s v="RONI RAKAN"/>
    <n v="99"/>
    <m/>
    <s v="Burau"/>
  </r>
  <r>
    <n v="1"/>
    <s v="000734"/>
    <s v="CPO000734PN"/>
    <s v="B 1918 SXX"/>
    <s v="0095/R2/HO-PALM/CPO-L/I/2026"/>
    <s v="PT. PN / 5 / 1.000"/>
    <x v="4"/>
    <x v="1"/>
    <s v="10 Roda"/>
    <d v="2026-02-27T00:00:00"/>
    <n v="26680"/>
    <n v="11890"/>
    <n v="14790"/>
    <n v="14780"/>
    <d v="1899-12-30T13:24:00"/>
    <d v="1899-12-30T14:37:00"/>
    <s v="samsira"/>
    <s v="WALDI"/>
    <n v="99"/>
    <m/>
    <s v="Burau"/>
  </r>
  <r>
    <n v="1"/>
    <s v="000735"/>
    <s v="CPO000735PN"/>
    <s v="BM 8315 QO"/>
    <s v="0095/R2/HO-PALM/CPO-L/I/2026"/>
    <s v="PT. PN / 5 / 1.000"/>
    <x v="4"/>
    <x v="1"/>
    <s v="12 Roda"/>
    <d v="2026-02-27T00:00:00"/>
    <n v="45770"/>
    <n v="17490"/>
    <n v="28280"/>
    <n v="28280"/>
    <d v="1899-12-30T13:37:00"/>
    <d v="1899-12-30T14:56:00"/>
    <s v="samsira"/>
    <s v="IQBAL"/>
    <n v="99"/>
    <m/>
    <s v="Burau"/>
  </r>
  <r>
    <n v="1"/>
    <s v="000092"/>
    <s v="RBDPL000092BJL"/>
    <s v="DD 8406 RN"/>
    <s v="001/OLEIN/WINS-BJL/II/2026"/>
    <s v="BJL/1/1000"/>
    <x v="6"/>
    <x v="3"/>
    <s v="6 Roda"/>
    <d v="2026-02-28T00:00:00"/>
    <n v="13760"/>
    <n v="4270"/>
    <n v="9490"/>
    <m/>
    <d v="1899-12-30T16:10:00"/>
    <d v="1899-12-30T18:29:00"/>
    <s v="samsira"/>
    <s v="GIDIONO RUDIYANTO"/>
    <n v="562"/>
    <s v="EXTERNAL"/>
    <s v="Palu"/>
  </r>
  <r>
    <n v="1"/>
    <s v="000093"/>
    <s v="RBDPL000093BJL"/>
    <s v="DP 8953 DK  "/>
    <s v="001/OLEIN/WINS-BJL/II/2026"/>
    <s v="BJL/1/1000"/>
    <x v="6"/>
    <x v="3"/>
    <s v="6 Roda"/>
    <d v="2026-02-28T00:00:00"/>
    <n v="13510"/>
    <n v="4370"/>
    <n v="9140"/>
    <m/>
    <d v="1899-12-30T16:12:00"/>
    <d v="1899-12-30T17:51:00"/>
    <s v="samsira"/>
    <s v="MUH. ARIF"/>
    <n v="562"/>
    <s v="EXTERNAL"/>
    <s v="Palu"/>
  </r>
  <r>
    <n v="1"/>
    <s v="000094"/>
    <s v="RBDPL000094BJL"/>
    <s v="DC 8459 XL"/>
    <s v="001/OLEIN/WINS-BJL/II/2026"/>
    <s v="BJL/1/1000"/>
    <x v="6"/>
    <x v="3"/>
    <s v="6 Roda"/>
    <d v="2026-02-28T00:00:00"/>
    <n v="13060"/>
    <n v="4000"/>
    <n v="9060"/>
    <m/>
    <d v="1899-12-30T16:14:00"/>
    <d v="1899-12-30T19:31:00"/>
    <s v="samsira"/>
    <s v="HAERUDDIN"/>
    <n v="562"/>
    <s v="EXTERNAL"/>
    <s v="Palu"/>
  </r>
  <r>
    <n v="1"/>
    <s v="000095"/>
    <s v="RBDPL000095BJL"/>
    <s v="DP 8953 DK"/>
    <s v="001/OLEIN/WINS-BJL/II/2026"/>
    <s v="BJL/1/1000"/>
    <x v="6"/>
    <x v="3"/>
    <s v="6 Roda"/>
    <d v="2026-02-28T00:00:00"/>
    <n v="13620"/>
    <n v="4560"/>
    <n v="9060"/>
    <m/>
    <d v="1899-12-30T21:52:00"/>
    <d v="1899-12-30T22:38:00"/>
    <s v="Datu"/>
    <s v="MUH. ARIF"/>
    <n v="562"/>
    <s v="EXTERNAL"/>
    <s v="Palu"/>
  </r>
  <r>
    <n v="1"/>
    <s v="000087"/>
    <s v="CPO000087PN"/>
    <s v="B 1918 SXX"/>
    <s v="0095/R2/HO-PALM/CPO-L/I/2026"/>
    <s v="PT. PN / 5 / 1.000"/>
    <x v="4"/>
    <x v="1"/>
    <s v="10 Roda"/>
    <d v="2026-02-28T00:00:00"/>
    <n v="26540"/>
    <n v="11780"/>
    <n v="14760"/>
    <n v="14710"/>
    <d v="1899-12-30T13:07:00"/>
    <d v="1899-12-30T14:44:00"/>
    <s v="samsira"/>
    <s v="WALDI"/>
    <n v="99"/>
    <m/>
    <s v="Burau"/>
  </r>
  <r>
    <n v="1"/>
    <s v="000088"/>
    <s v="CPO000088PN"/>
    <s v="DD 8711 XX"/>
    <s v="0095/R2/HO-PALM/CPO-L/I/2026"/>
    <s v="PT. PN / 5 / 1.000"/>
    <x v="4"/>
    <x v="1"/>
    <s v="10 Roda"/>
    <d v="2026-02-28T00:00:00"/>
    <n v="25000"/>
    <n v="10740"/>
    <n v="14260"/>
    <n v="14260"/>
    <d v="1899-12-30T13:13:00"/>
    <d v="1899-12-30T16:39:00"/>
    <s v="samsira"/>
    <s v="RONI RAKAN"/>
    <n v="99"/>
    <m/>
    <s v="Burau"/>
  </r>
  <r>
    <n v="1"/>
    <s v="000089"/>
    <s v="CPO000089PN"/>
    <s v="DD 9236 XX"/>
    <s v="0095/R2/HO-PALM/CPO-L/I/2026"/>
    <s v="PT. PN / 5 / 1.000"/>
    <x v="4"/>
    <x v="1"/>
    <s v="12 Roda"/>
    <d v="2026-02-28T00:00:00"/>
    <n v="45810"/>
    <n v="17570"/>
    <n v="28240"/>
    <n v="28230"/>
    <d v="1899-12-30T14:22:00"/>
    <d v="1899-12-30T20:14:00"/>
    <s v="samsira"/>
    <s v="IBRAHIM"/>
    <n v="99"/>
    <m/>
    <s v="Burau"/>
  </r>
  <r>
    <n v="1"/>
    <s v="000090"/>
    <s v="CPO000090PN"/>
    <s v="BH 8459 MY"/>
    <s v="0095/R2/HO-PALM/CPO-L/I/2026"/>
    <s v="PT. PN / 5 / 1.000"/>
    <x v="4"/>
    <x v="1"/>
    <s v="10 Roda"/>
    <d v="2026-02-28T00:00:00"/>
    <n v="26570"/>
    <n v="12140"/>
    <n v="14430"/>
    <n v="14360"/>
    <d v="1899-12-30T14:25:00"/>
    <d v="1899-12-30T16:36:00"/>
    <s v="samsira"/>
    <s v="HAMSAL"/>
    <n v="99"/>
    <m/>
    <s v="Burau"/>
  </r>
  <r>
    <n v="1"/>
    <s v="000091"/>
    <s v="CPO000091PN"/>
    <s v="BM 8315 QO"/>
    <s v="0095/R2/HO-PALM/CPO-L/I/2026"/>
    <s v="PT. PN / 5 / 1.000"/>
    <x v="4"/>
    <x v="1"/>
    <s v="12 Roda"/>
    <d v="2026-02-28T00:00:00"/>
    <n v="45620"/>
    <n v="17410"/>
    <n v="28210"/>
    <n v="28210"/>
    <d v="1899-12-30T14:27:00"/>
    <d v="1899-12-30T20:57:00"/>
    <s v="samsira"/>
    <s v="IQBAL"/>
    <n v="99"/>
    <m/>
    <s v="Burau"/>
  </r>
  <r>
    <n v="1"/>
    <s v="000741"/>
    <s v="CPO000741PN"/>
    <s v="DD 9236 XX"/>
    <s v="0095/R2/HO-PALM/CPO-L/I/2026"/>
    <s v="PT. PN / 5 / 1.000"/>
    <x v="4"/>
    <x v="1"/>
    <s v="12 Roda"/>
    <d v="2026-03-03T00:00:00"/>
    <n v="45770"/>
    <n v="17460"/>
    <n v="28310"/>
    <n v="28350"/>
    <d v="1899-12-30T14:19:00"/>
    <d v="1899-12-30T16:09:00"/>
    <s v="Datu"/>
    <s v="IBRAHIM"/>
    <n v="99"/>
    <m/>
    <s v="Burau"/>
  </r>
  <r>
    <n v="1"/>
    <s v="000742"/>
    <s v="CPO000742PN"/>
    <s v="B 1918 SXX"/>
    <s v="0095/R2/HO-PALM/CPO-L/I/2026"/>
    <s v="PT. PN / 5 / 1.000"/>
    <x v="4"/>
    <x v="1"/>
    <s v="10 Roda"/>
    <d v="2026-03-03T00:00:00"/>
    <n v="26480"/>
    <n v="11800"/>
    <n v="14680"/>
    <n v="14650"/>
    <d v="1899-12-30T14:57:00"/>
    <d v="1899-12-30T17:09:00"/>
    <s v="samsira"/>
    <s v="WALDI"/>
    <n v="99"/>
    <m/>
    <s v="Burau"/>
  </r>
  <r>
    <n v="1"/>
    <s v="000512"/>
    <s v="CPO000512KMP"/>
    <s v="DD 9236 XX"/>
    <s v="KMP01012026"/>
    <s v="PT. KMP / 6 / 750"/>
    <x v="1"/>
    <x v="1"/>
    <s v="12 Roda"/>
    <d v="2026-01-21T00:00:00"/>
    <n v="45840"/>
    <n v="17460"/>
    <n v="28380"/>
    <n v="28440"/>
    <d v="1899-12-30T11:48:00"/>
    <d v="1899-12-30T13:33:00"/>
    <s v="Datu"/>
    <s v="IBRAHIM"/>
    <n v="53"/>
    <s v="WIL"/>
    <s v="Masamba"/>
  </r>
  <r>
    <n v="1"/>
    <s v="000744"/>
    <s v="CPO000744PN"/>
    <s v="DD 8711 XX"/>
    <s v="0095/R2/HO-PALM/CPO-L/I/2026"/>
    <s v="PT. PN / 5 / 1.000"/>
    <x v="4"/>
    <x v="1"/>
    <s v="10 Roda"/>
    <d v="2026-03-03T00:00:00"/>
    <n v="25030"/>
    <n v="10740"/>
    <n v="14290"/>
    <n v="14250"/>
    <d v="1899-12-30T15:03:00"/>
    <d v="1899-12-30T17:05:00"/>
    <s v="samsira"/>
    <s v="RONI RAKAN"/>
    <n v="99"/>
    <m/>
    <s v="Burau"/>
  </r>
  <r>
    <n v="1"/>
    <s v="000745"/>
    <s v="CPO000745PN"/>
    <s v="BH 8459 MY"/>
    <s v="0095/R2/HO-PALM/CPO-L/I/2026"/>
    <s v="PT. PN / 5 / 1.000"/>
    <x v="4"/>
    <x v="1"/>
    <s v="10 Roda"/>
    <d v="2026-03-03T00:00:00"/>
    <n v="26620"/>
    <n v="12190"/>
    <n v="14430"/>
    <n v="14470"/>
    <d v="1899-12-30T15:05:00"/>
    <d v="1899-12-30T17:08:00"/>
    <s v="samsira"/>
    <s v="HAMSAL"/>
    <n v="99"/>
    <m/>
    <s v="Burau"/>
  </r>
  <r>
    <n v="1"/>
    <s v="000746"/>
    <s v="CPO000746PN"/>
    <s v="DD 8711 XX"/>
    <s v="0095/R2/HO-PALM/CPO-L/I/2026"/>
    <s v="PT. PN / 5 / 1.000"/>
    <x v="4"/>
    <x v="1"/>
    <s v="10 Roda"/>
    <d v="2026-03-04T00:00:00"/>
    <n v="24980"/>
    <n v="10680"/>
    <n v="14300"/>
    <n v="14290"/>
    <d v="1899-12-30T13:29:00"/>
    <d v="1899-12-30T14:52:00"/>
    <s v="Datu"/>
    <s v="RONI RAKAN"/>
    <n v="99"/>
    <m/>
    <s v="Burau"/>
  </r>
  <r>
    <n v="1"/>
    <s v="000747"/>
    <s v="CPO000747PN"/>
    <s v="B 1918 SXX"/>
    <s v="0095/R2/HO-PALM/CPO-L/I/2026"/>
    <s v="PT. PN / 5 / 1.000"/>
    <x v="4"/>
    <x v="1"/>
    <s v="10 Roda"/>
    <d v="2026-03-04T00:00:00"/>
    <n v="26490"/>
    <n v="11920"/>
    <n v="14570"/>
    <n v="14570"/>
    <d v="1899-12-30T13:47:00"/>
    <d v="1899-12-30T15:33:00"/>
    <s v="Datu"/>
    <s v="WALDI"/>
    <n v="99"/>
    <m/>
    <s v="Burau"/>
  </r>
  <r>
    <n v="1"/>
    <s v="000515"/>
    <s v="CPO000515KMP"/>
    <s v="DD 9236 XX"/>
    <s v="KMP01012026"/>
    <s v="PT. KMP / 6 / 750"/>
    <x v="1"/>
    <x v="1"/>
    <s v="12 Roda"/>
    <d v="2026-01-21T00:00:00"/>
    <n v="45800"/>
    <n v="17420"/>
    <n v="28380"/>
    <n v="28440"/>
    <d v="1899-12-30T16:54:00"/>
    <d v="1899-12-30T19:06:00"/>
    <s v="samsira"/>
    <s v="IBRAHIM"/>
    <n v="53"/>
    <s v="WIL"/>
    <s v="Masamba"/>
  </r>
  <r>
    <n v="1"/>
    <s v="000540"/>
    <s v="CPO000540JAS"/>
    <s v="BM 8315 QO"/>
    <s v="008/CPO/JM-WINS/I/2026"/>
    <s v="PT. JAS MULIA / 8 / 500"/>
    <x v="3"/>
    <x v="1"/>
    <s v="12 Roda"/>
    <d v="2026-01-28T00:00:00"/>
    <n v="45750"/>
    <n v="17370"/>
    <n v="28380"/>
    <n v="28360"/>
    <d v="1899-12-30T14:27:00"/>
    <d v="1899-12-30T15:47:00"/>
    <s v="samsira"/>
    <s v="IQBAL"/>
    <n v="68"/>
    <s v="WIL"/>
    <s v="Bone Bone"/>
  </r>
  <r>
    <n v="1"/>
    <s v="000750"/>
    <s v="CPO000750PN"/>
    <s v="BH 8459 MY"/>
    <s v="0095/R2/HO-PALM/CPO-L/I/2026"/>
    <s v="PT. PN / 5 / 1.000"/>
    <x v="4"/>
    <x v="1"/>
    <s v="10 Roda"/>
    <d v="2026-03-04T00:00:00"/>
    <n v="26680"/>
    <n v="12260"/>
    <n v="14420"/>
    <n v="14440"/>
    <d v="1899-12-30T13:53:00"/>
    <d v="1899-12-30T15:40:00"/>
    <s v="Datu"/>
    <s v="HAMSAL"/>
    <n v="99"/>
    <m/>
    <s v="Burau"/>
  </r>
  <r>
    <n v="1"/>
    <s v="000751"/>
    <s v="RBDPL000751BJL"/>
    <s v="DC 8459 XL"/>
    <s v="001/OLEIN/WINS-BJL/II/2026"/>
    <s v="BJL/1/1000"/>
    <x v="6"/>
    <x v="3"/>
    <s v="6 Roda"/>
    <d v="2026-03-05T00:00:00"/>
    <n v="13080"/>
    <n v="4020"/>
    <n v="9060"/>
    <m/>
    <d v="1899-12-30T08:29:00"/>
    <d v="1899-12-30T09:06:00"/>
    <s v="Datu"/>
    <s v="HAERUDDIN"/>
    <n v="562"/>
    <s v="EXTERNAL"/>
    <s v="Palu"/>
  </r>
  <r>
    <n v="1"/>
    <s v="000752"/>
    <s v="CPO000752PN"/>
    <s v="DD 8711 XX"/>
    <s v="0095/R2/HO-PALM/CPO-L/I/2026"/>
    <s v="PT. PN / 5 / 1.000"/>
    <x v="4"/>
    <x v="1"/>
    <s v="10 Roda"/>
    <d v="2026-03-05T00:00:00"/>
    <n v="25070"/>
    <n v="10750"/>
    <n v="14320"/>
    <n v="14320"/>
    <d v="1899-12-30T12:48:00"/>
    <d v="1899-12-30T14:13:00"/>
    <s v="Datu"/>
    <s v="RONI RAKAN"/>
    <n v="99"/>
    <m/>
    <s v="Burau"/>
  </r>
  <r>
    <n v="1"/>
    <s v="000753"/>
    <s v="CPO000753PN"/>
    <s v="B 1918 SXX"/>
    <s v="0095/R2/HO-PALM/CPO-L/I/2026"/>
    <s v="PT. PN / 5 / 1.000"/>
    <x v="4"/>
    <x v="1"/>
    <s v="10 Roda"/>
    <d v="2026-03-05T00:00:00"/>
    <n v="26640"/>
    <n v="11870"/>
    <n v="14770"/>
    <n v="14770"/>
    <d v="1899-12-30T12:50:00"/>
    <d v="1899-12-30T14:35:00"/>
    <s v="Datu"/>
    <s v="WALDI"/>
    <n v="99"/>
    <m/>
    <s v="Burau"/>
  </r>
  <r>
    <n v="1"/>
    <s v="000754"/>
    <s v="CPO000754PN"/>
    <s v="BH 8459 MY"/>
    <s v="0095/R2/HO-PALM/CPO-L/I/2026"/>
    <s v="PT. PN / 5 / 1.000"/>
    <x v="4"/>
    <x v="1"/>
    <s v="10 Roda"/>
    <d v="2026-03-05T00:00:00"/>
    <n v="26610"/>
    <n v="12140"/>
    <n v="14470"/>
    <n v="14510"/>
    <d v="1899-12-30T14:04:00"/>
    <d v="1899-12-30T15:09:00"/>
    <s v="Datu"/>
    <s v="HAMSAL"/>
    <n v="99"/>
    <m/>
    <s v="Burau"/>
  </r>
  <r>
    <n v="1"/>
    <s v="000755"/>
    <s v="CPO000755PN"/>
    <s v="DD 9236 XX"/>
    <s v="0095/R2/HO-PALM/CPO-L/I/2026"/>
    <s v="PT. PN / 5 / 1.000"/>
    <x v="4"/>
    <x v="1"/>
    <s v="12 Roda"/>
    <d v="2026-03-05T00:00:00"/>
    <n v="45800"/>
    <n v="17490"/>
    <n v="28310"/>
    <n v="28370"/>
    <d v="1899-12-30T14:05:00"/>
    <d v="1899-12-30T15:21:00"/>
    <s v="Datu"/>
    <s v="IBRAHIM"/>
    <n v="99"/>
    <m/>
    <s v="Burau"/>
  </r>
  <r>
    <n v="1"/>
    <s v="000756"/>
    <s v="CPO000756PN"/>
    <s v="BM 8315 QO"/>
    <s v="0095/R2/HO-PALM/CPO-L/I/2026"/>
    <s v="PT. PN / 5 / 1.000"/>
    <x v="4"/>
    <x v="1"/>
    <s v="12 Roda"/>
    <d v="2026-03-05T00:00:00"/>
    <n v="45820"/>
    <n v="17550"/>
    <n v="28270"/>
    <n v="28270"/>
    <d v="1899-12-30T14:46:00"/>
    <d v="1899-12-30T16:11:00"/>
    <s v="Datu"/>
    <s v="IQBAL"/>
    <n v="99"/>
    <m/>
    <s v="Burau"/>
  </r>
  <r>
    <n v="1"/>
    <s v="000757"/>
    <s v="RBDPL000757BJL"/>
    <s v="DP 8953 DK"/>
    <s v="001/OLEIN/WINS-BJL/II/2026"/>
    <s v="BJL/1/1000"/>
    <x v="6"/>
    <x v="3"/>
    <s v="6 Roda"/>
    <d v="2026-03-06T00:00:00"/>
    <n v="13400"/>
    <n v="4350"/>
    <n v="9050"/>
    <m/>
    <d v="1899-12-30T09:55:00"/>
    <d v="1899-12-30T10:36:00"/>
    <s v="Datu"/>
    <s v="MUH. ARIF"/>
    <n v="562"/>
    <s v="EXTERNAL"/>
    <s v="Palu"/>
  </r>
  <r>
    <n v="1"/>
    <s v="000758"/>
    <s v="RBDPL000758BJL"/>
    <s v="DN 8648 GA"/>
    <s v="001/OLEIN/WINS-BJL/II/2026"/>
    <s v="BJL/1/1000"/>
    <x v="6"/>
    <x v="3"/>
    <s v="6 Roda"/>
    <d v="2026-03-06T00:00:00"/>
    <n v="12990"/>
    <n v="3800"/>
    <n v="9190"/>
    <m/>
    <d v="1899-12-30T10:05:00"/>
    <d v="1899-12-30T10:59:00"/>
    <s v="Datu"/>
    <s v="HERIANTO"/>
    <n v="562"/>
    <s v="EXTERNAL"/>
    <s v="Palu"/>
  </r>
  <r>
    <n v="1"/>
    <s v="000759"/>
    <s v="CPO000759PN"/>
    <s v="DD 8711 XX"/>
    <s v="0095/R2/HO-PALM/CPO-L/I/2026"/>
    <s v="PT. PN / 5 / 1.000"/>
    <x v="4"/>
    <x v="1"/>
    <s v="10 Roda"/>
    <d v="2026-03-06T00:00:00"/>
    <n v="25020"/>
    <n v="10700"/>
    <n v="14320"/>
    <n v="14320"/>
    <d v="1899-12-30T11:51:00"/>
    <d v="1899-12-30T14:41:00"/>
    <s v="Datu"/>
    <s v="RONI RAKAN"/>
    <n v="99"/>
    <m/>
    <s v="Burau"/>
  </r>
  <r>
    <n v="1"/>
    <s v="000760"/>
    <s v="CPO000760PN"/>
    <s v="DD 9236 XX"/>
    <s v="0095/R2/HO-PALM/CPO-L/I/2026"/>
    <s v="PT. PN / 5 / 1.000"/>
    <x v="4"/>
    <x v="1"/>
    <s v="12 Roda"/>
    <d v="2026-03-06T00:00:00"/>
    <n v="45730"/>
    <n v="17420"/>
    <n v="28310"/>
    <n v="28290"/>
    <d v="1899-12-30T13:03:00"/>
    <d v="1899-12-30T14:57:00"/>
    <s v="Datu"/>
    <s v="IBRAHIM"/>
    <n v="99"/>
    <m/>
    <s v="Burau"/>
  </r>
  <r>
    <n v="1"/>
    <s v="000761"/>
    <s v="CPO000761PN"/>
    <s v="BH 8459 MY"/>
    <s v="0095/R2/HO-PALM/CPO-L/I/2026"/>
    <s v="PT. PN / 5 / 1.000"/>
    <x v="4"/>
    <x v="1"/>
    <s v="10 Roda"/>
    <d v="2026-03-06T00:00:00"/>
    <n v="26760"/>
    <n v="12250"/>
    <n v="14510"/>
    <n v="14530"/>
    <d v="1899-12-30T13:36:00"/>
    <d v="1899-12-30T14:49:00"/>
    <s v="Datu"/>
    <s v="HAMSAL"/>
    <n v="99"/>
    <m/>
    <s v="Burau"/>
  </r>
  <r>
    <n v="1"/>
    <s v="000762"/>
    <s v="CPO000762PN"/>
    <s v="BM 8315 QO"/>
    <s v="0095/R2/HO-PALM/CPO-L/I/2026"/>
    <s v="PT. PN / 5 / 1.000"/>
    <x v="4"/>
    <x v="1"/>
    <s v="12 Roda"/>
    <d v="2026-03-06T00:00:00"/>
    <n v="45780"/>
    <n v="17470"/>
    <n v="28310"/>
    <n v="28300"/>
    <d v="1899-12-30T13:41:00"/>
    <d v="1899-12-30T15:48:00"/>
    <s v="Datu"/>
    <s v="IQBAL"/>
    <n v="99"/>
    <m/>
    <s v="Burau"/>
  </r>
  <r>
    <n v="1"/>
    <s v="000763"/>
    <s v="RBDPL000763HSA"/>
    <s v="DP 8568 GF"/>
    <s v="002/OLEIN/WINS-CV HSA/III/2026"/>
    <s v="CV HSA/1/50"/>
    <x v="7"/>
    <x v="3"/>
    <s v="6 Roda"/>
    <d v="2026-03-06T00:00:00"/>
    <n v="13760"/>
    <n v="4140"/>
    <n v="9620"/>
    <m/>
    <d v="1899-12-30T14:56:00"/>
    <d v="1899-12-30T15:40:00"/>
    <s v="Datu"/>
    <s v="AKMAL TAMRIN"/>
    <n v="360"/>
    <s v="CV LIT"/>
    <s v="Makassar"/>
  </r>
  <r>
    <n v="1"/>
    <s v="000765"/>
    <s v="RBDPL000765HSA"/>
    <s v="DP 9856 GA"/>
    <s v="002/OLEIN/WINS-CV HSA/III/2026"/>
    <s v="CV HSA/1/50"/>
    <x v="7"/>
    <x v="3"/>
    <s v="6 Roda"/>
    <d v="2026-03-06T00:00:00"/>
    <n v="13150"/>
    <n v="3830"/>
    <n v="9320"/>
    <m/>
    <d v="1899-12-30T15:03:00"/>
    <d v="1899-12-30T16:23:00"/>
    <s v="Datu"/>
    <s v="HARI ASHARI"/>
    <n v="360"/>
    <s v="CV LIT"/>
    <s v="Makassar"/>
  </r>
  <r>
    <n v="1"/>
    <s v="000766"/>
    <s v="RBDPL000766HSA"/>
    <s v="DP 8732 GK"/>
    <s v="002/OLEIN/WINS-CV HSA/III/2026"/>
    <s v="CV HSA/1/50"/>
    <x v="7"/>
    <x v="3"/>
    <s v="6 Roda"/>
    <d v="2026-03-06T00:00:00"/>
    <n v="14300"/>
    <n v="4140"/>
    <n v="10160"/>
    <m/>
    <d v="1899-12-30T15:05:00"/>
    <d v="1899-12-30T16:48:00"/>
    <s v="Datu"/>
    <s v="BAHTIAR"/>
    <n v="360"/>
    <s v="CV LIT"/>
    <s v="Makassar"/>
  </r>
  <r>
    <n v="1"/>
    <s v="000767"/>
    <s v="RBDPL000767HSA"/>
    <s v="DC 8141 AS"/>
    <s v="002/OLEIN/WINS-CV HSA/III/2026"/>
    <s v="CV HSA/1/50"/>
    <x v="7"/>
    <x v="3"/>
    <s v="6 Roda"/>
    <d v="2026-03-06T00:00:00"/>
    <n v="13390"/>
    <n v="3890"/>
    <n v="9500"/>
    <m/>
    <d v="1899-12-30T15:09:00"/>
    <d v="1899-12-30T15:51:00"/>
    <s v="Datu"/>
    <s v="TAMRIN"/>
    <n v="360"/>
    <s v="CV LIT"/>
    <s v="Makassar"/>
  </r>
  <r>
    <n v="1"/>
    <s v="000768"/>
    <s v="RBDPL000768HSA"/>
    <s v="DP 8172 GN"/>
    <s v="002/OLEIN/WINS-CV HSA/III/2026"/>
    <s v="CV HSA/1/50"/>
    <x v="7"/>
    <x v="3"/>
    <s v="6 Roda"/>
    <d v="2026-03-06T00:00:00"/>
    <n v="13490"/>
    <n v="3940"/>
    <n v="9550"/>
    <m/>
    <d v="1899-12-30T15:26:00"/>
    <d v="1899-12-30T16:19:00"/>
    <s v="Datu"/>
    <s v="HALIK"/>
    <n v="360"/>
    <s v="CV LIT"/>
    <s v="Makassar"/>
  </r>
  <r>
    <n v="1"/>
    <s v="000769"/>
    <s v="CPO000769PN"/>
    <s v="B 1918 SXX"/>
    <s v="0095/R2/HO-PALM/CPO-L/I/2026"/>
    <s v="PT. PN / 5 / 1.000"/>
    <x v="4"/>
    <x v="1"/>
    <s v="10 Roda"/>
    <d v="2026-03-06T00:00:00"/>
    <n v="12970"/>
    <n v="11890"/>
    <n v="1080"/>
    <n v="700"/>
    <d v="1899-12-30T16:28:00"/>
    <d v="1899-12-30T17:00:00"/>
    <s v="Datu"/>
    <s v="WALDI"/>
    <n v="99"/>
    <m/>
    <s v="Burau"/>
  </r>
  <r>
    <n v="1"/>
    <s v="000770"/>
    <s v="RBDPL000770BJL"/>
    <s v="DD 8532 ML"/>
    <s v="001/OLEIN/WINS-BJL/II/2026"/>
    <s v="BJL/1/1000"/>
    <x v="6"/>
    <x v="3"/>
    <s v="6 Roda"/>
    <d v="2026-03-07T00:00:00"/>
    <n v="13000"/>
    <n v="3960"/>
    <n v="9040"/>
    <m/>
    <d v="1899-12-30T20:33:00"/>
    <d v="1899-12-30T22:20:00"/>
    <s v="samsira"/>
    <s v="YUDI PITRIONO"/>
    <n v="562"/>
    <s v="EXTERNAL"/>
    <s v="Palu"/>
  </r>
  <r>
    <n v="1"/>
    <s v="000772"/>
    <s v="RBDPL000772BJL"/>
    <s v="DC 8459 XL"/>
    <s v="001/OLEIN/WINS-BJL/II/2026"/>
    <s v="BJL/1/1000"/>
    <x v="6"/>
    <x v="3"/>
    <s v="6 Roda"/>
    <d v="2026-03-09T00:00:00"/>
    <n v="13100"/>
    <n v="4020"/>
    <n v="9080"/>
    <m/>
    <d v="1899-12-30T08:43:00"/>
    <d v="1899-12-30T11:04:00"/>
    <s v="samsira"/>
    <s v="HAERUDDIN"/>
    <n v="562"/>
    <s v="EXTERNAL"/>
    <s v="Palu"/>
  </r>
  <r>
    <n v="1"/>
    <s v="000774"/>
    <s v="RBDPL000774HSA"/>
    <s v="DP 8172 GN"/>
    <s v="003/OLEIN/WINS-CV HAS/III/2026"/>
    <s v="CV HSA/2/100"/>
    <x v="7"/>
    <x v="3"/>
    <s v="6 Roda"/>
    <d v="2026-03-09T00:00:00"/>
    <n v="13640"/>
    <n v="4080"/>
    <n v="9560"/>
    <m/>
    <d v="1899-12-30T16:19:00"/>
    <d v="1899-12-30T16:47:00"/>
    <s v="Datu"/>
    <s v="HALIK"/>
    <n v="360"/>
    <s v="CV LIT"/>
    <s v="Makassar"/>
  </r>
  <r>
    <n v="1"/>
    <s v="000775"/>
    <s v="RBDPL000775HSA"/>
    <s v="DP 9856 GA"/>
    <s v="003/OLEIN/WINS-CV HAS/III/2026"/>
    <s v="CV HSA/2/100"/>
    <x v="7"/>
    <x v="3"/>
    <s v="6 Roda"/>
    <d v="2026-03-09T00:00:00"/>
    <n v="13230"/>
    <n v="3910"/>
    <n v="9320"/>
    <m/>
    <d v="1899-12-30T16:21:00"/>
    <d v="1899-12-30T16:52:00"/>
    <s v="Datu"/>
    <s v="HARI ASHARI"/>
    <n v="360"/>
    <s v="CV LIT"/>
    <s v="Makassar"/>
  </r>
  <r>
    <n v="1"/>
    <s v="000776"/>
    <s v="RBDPL000776HSA"/>
    <s v="DP 8732 GK"/>
    <s v="003/OLEIN/WINS-CV HAS/III/2026"/>
    <s v="CV HSA/2/100"/>
    <x v="7"/>
    <x v="3"/>
    <s v="6 Roda"/>
    <d v="2026-03-09T00:00:00"/>
    <n v="14350"/>
    <n v="4190"/>
    <n v="10160"/>
    <m/>
    <d v="1899-12-30T16:22:00"/>
    <d v="1899-12-30T17:07:00"/>
    <s v="Datu"/>
    <s v="BAHTIAR"/>
    <n v="360"/>
    <s v="CV LIT"/>
    <s v="Makassar"/>
  </r>
  <r>
    <n v="1"/>
    <s v="000777"/>
    <s v="RBDPL000777HSA"/>
    <s v="DC 8141 AS"/>
    <s v="003/OLEIN/WINS-CV HAS/III/2026"/>
    <s v="CV HSA/2/100"/>
    <x v="7"/>
    <x v="3"/>
    <s v="6 Roda"/>
    <d v="2026-03-09T00:00:00"/>
    <n v="13470"/>
    <n v="3970"/>
    <n v="9500"/>
    <m/>
    <d v="1899-12-30T16:24:00"/>
    <d v="1899-12-30T17:16:00"/>
    <s v="Datu"/>
    <s v="TAMRIN"/>
    <n v="360"/>
    <s v="CV LIT"/>
    <s v="Makassar"/>
  </r>
  <r>
    <n v="1"/>
    <s v="000778"/>
    <s v="RBDPL000778HSA"/>
    <s v="DP 8568 GF"/>
    <s v="003/OLEIN/WINS-CV HAS/III/2026"/>
    <s v="CV HSA/2/100"/>
    <x v="7"/>
    <x v="3"/>
    <s v="6 Roda"/>
    <d v="2026-03-09T00:00:00"/>
    <n v="13800"/>
    <n v="4180"/>
    <n v="9620"/>
    <m/>
    <d v="1899-12-30T16:25:00"/>
    <d v="1899-12-30T17:27:00"/>
    <s v="Datu"/>
    <s v="AKMAL TAMRIN"/>
    <n v="360"/>
    <s v="CV LIT"/>
    <s v="Makassar"/>
  </r>
  <r>
    <n v="1"/>
    <s v="000779"/>
    <s v="RBDPL000779BJL"/>
    <s v="DN 8648 GA "/>
    <s v="001/OLEIN/WINS-BJL/II/2026"/>
    <s v="BJL/1/1000"/>
    <x v="6"/>
    <x v="3"/>
    <s v="6 Roda"/>
    <d v="2026-03-09T00:00:00"/>
    <n v="12970"/>
    <n v="3800"/>
    <n v="9170"/>
    <m/>
    <d v="1899-12-30T19:02:00"/>
    <d v="1899-12-30T19:24:00"/>
    <s v="Datu"/>
    <s v="HERIANTO"/>
    <n v="562"/>
    <s v="EXTERNAL"/>
    <s v="Palu"/>
  </r>
  <r>
    <n v="1"/>
    <s v="000780"/>
    <s v="RBDPL000780BJL"/>
    <s v="DP 8953 DK"/>
    <s v="001/OLEIN/WINS-BJL/II/2026"/>
    <s v="BJL/1/1000"/>
    <x v="6"/>
    <x v="3"/>
    <s v="6 Roda"/>
    <d v="2026-03-09T00:00:00"/>
    <n v="13520"/>
    <n v="4360"/>
    <n v="9160"/>
    <m/>
    <d v="1899-12-30T19:04:00"/>
    <d v="1899-12-30T19:39:00"/>
    <s v="Datu"/>
    <s v="MUH. ARIF"/>
    <n v="562"/>
    <s v="EXTERNAL"/>
    <s v="Palu"/>
  </r>
  <r>
    <n v="1"/>
    <s v="000781"/>
    <s v="RBDPL000781BJL"/>
    <s v="DP 8953 DK "/>
    <s v="001/OLEIN/WINS-BJL/II/2026"/>
    <s v="BJL/1/1000"/>
    <x v="6"/>
    <x v="3"/>
    <s v="6 Roda"/>
    <d v="2026-03-09T00:00:00"/>
    <n v="13550"/>
    <n v="4540"/>
    <n v="9010"/>
    <m/>
    <d v="1899-12-30T22:56:00"/>
    <d v="1899-12-30T23:24:00"/>
    <s v="Datu"/>
    <s v="MUH. ARIF"/>
    <n v="562"/>
    <s v="EXTERNAL"/>
    <s v="Palu"/>
  </r>
  <r>
    <n v="1"/>
    <s v="000782"/>
    <s v="RBDPL000782SCM"/>
    <s v="DD 9236 XX"/>
    <s v="004/OLEIN/WINS-CV SCM/III/2026"/>
    <s v="CV. SCM/1/500"/>
    <x v="8"/>
    <x v="3"/>
    <s v="12 Roda"/>
    <d v="2026-03-11T00:00:00"/>
    <n v="17510"/>
    <n v="46440"/>
    <n v="28930"/>
    <m/>
    <d v="1899-12-30T15:31:00"/>
    <d v="1899-12-30T16:47:00"/>
    <s v="Datu"/>
    <s v="IBRAHIM"/>
    <n v="400"/>
    <s v="CV WIL"/>
    <s v="Gowa"/>
  </r>
  <r>
    <n v="1"/>
    <s v="000783"/>
    <s v="RBDPL000783SCM"/>
    <s v="BH 8459 MY"/>
    <s v="004/OLEIN/WINS-CV SCM/III/2026"/>
    <s v="CV. SCM/1/500"/>
    <x v="8"/>
    <x v="3"/>
    <s v="10 Roda"/>
    <d v="2026-03-11T00:00:00"/>
    <n v="12230"/>
    <n v="27060"/>
    <n v="14830"/>
    <m/>
    <d v="1899-12-30T15:33:00"/>
    <d v="1899-12-30T16:19:00"/>
    <s v="Datu"/>
    <s v="HAMSAL"/>
    <n v="400"/>
    <s v="CV WIL"/>
    <s v="Gowa"/>
  </r>
  <r>
    <n v="1"/>
    <s v="000787"/>
    <s v="RBDPL000787SCM"/>
    <s v="DP 8004 GJ "/>
    <s v="004/OLEIN/WINS-CV SCM/III/2026"/>
    <s v="CV. SCM/1/500"/>
    <x v="8"/>
    <x v="3"/>
    <s v="6 Roda"/>
    <d v="2026-03-11T00:00:00"/>
    <n v="13590"/>
    <n v="4190"/>
    <n v="9400"/>
    <m/>
    <d v="1899-12-30T18:57:00"/>
    <d v="1899-12-30T19:57:00"/>
    <s v="Datu"/>
    <s v="MURKAS"/>
    <n v="400"/>
    <s v="EXTERNAL"/>
    <s v="Gowa"/>
  </r>
  <r>
    <n v="1"/>
    <s v="000788"/>
    <s v="RBDPL000788SCM"/>
    <s v="S 9249 UU"/>
    <s v="004/OLEIN/WINS-CV SCM/III/2026"/>
    <s v="CV. SCM/1/500"/>
    <x v="8"/>
    <x v="3"/>
    <s v="6 Roda"/>
    <d v="2026-03-12T00:00:00"/>
    <n v="4510"/>
    <n v="13490"/>
    <n v="8980"/>
    <m/>
    <d v="1899-12-30T20:13:00"/>
    <d v="1899-12-30T21:10:00"/>
    <s v="Datu"/>
    <s v="HENDRIK"/>
    <n v="400"/>
    <s v="EXTERNAL"/>
    <s v="Gowa"/>
  </r>
  <r>
    <n v="1"/>
    <s v="000789"/>
    <s v="RBDPL000789SCM"/>
    <s v="DD 8983 UC"/>
    <s v="004/OLEIN/WINS-CV SCM/III/2026"/>
    <s v="CV. SCM/1/500"/>
    <x v="8"/>
    <x v="3"/>
    <s v="6 Roda"/>
    <d v="2026-03-12T00:00:00"/>
    <n v="4350"/>
    <n v="14580"/>
    <n v="10230"/>
    <m/>
    <d v="1899-12-30T21:53:00"/>
    <d v="1899-12-30T22:43:00"/>
    <s v="Datu"/>
    <s v="ARISTO"/>
    <n v="400"/>
    <s v="EXTERNAL"/>
    <s v="Gowa"/>
  </r>
  <r>
    <n v="1"/>
    <s v="000790"/>
    <s v="RBDPL000790HSA"/>
    <s v="DP 8568 GF"/>
    <s v="003/OLEIN/WINS-CV HAS/III/2026"/>
    <s v="CV HSA/2/100"/>
    <x v="7"/>
    <x v="3"/>
    <s v="6 Roda"/>
    <d v="2026-03-13T00:00:00"/>
    <n v="4150"/>
    <n v="13750"/>
    <n v="9600"/>
    <m/>
    <d v="1899-12-30T15:04:00"/>
    <d v="1899-12-30T16:19:00"/>
    <s v="samsira"/>
    <s v="AKMAL TAMRIN"/>
    <n v="360"/>
    <s v="CV LIT"/>
    <s v="Makassar"/>
  </r>
  <r>
    <n v="1"/>
    <s v="000791"/>
    <s v="RBDPL000791HSA"/>
    <s v="DC 8143 AS"/>
    <s v="003/OLEIN/WINS-CV HAS/III/2026"/>
    <s v="CV HSA/2/100"/>
    <x v="7"/>
    <x v="3"/>
    <s v="6 Roda"/>
    <d v="2026-03-13T00:00:00"/>
    <n v="3900"/>
    <n v="13420"/>
    <n v="9520"/>
    <m/>
    <d v="1899-12-30T15:07:00"/>
    <d v="1899-12-30T16:58:00"/>
    <s v="samsira"/>
    <s v="HASBAR"/>
    <n v="360"/>
    <s v="CV LIT"/>
    <s v="Makassar"/>
  </r>
  <r>
    <n v="1"/>
    <s v="000792"/>
    <s v="RBDPL000792SCM"/>
    <s v="S 9249 UU"/>
    <s v="004/OLEIN/WINS-CV SCM/III/2026"/>
    <s v="CV. SCM/1/500"/>
    <x v="8"/>
    <x v="3"/>
    <s v="6 Roda"/>
    <d v="2026-03-13T00:00:00"/>
    <n v="4510"/>
    <n v="13660"/>
    <n v="9150"/>
    <m/>
    <d v="1899-12-30T16:44:00"/>
    <d v="1899-12-30T17:35:00"/>
    <s v="samsira"/>
    <s v="HENDRIK"/>
    <n v="400"/>
    <s v="EXTERNAL"/>
    <s v="Gowa"/>
  </r>
  <r>
    <n v="1"/>
    <s v="000793"/>
    <s v="RBDPL000793SCM"/>
    <s v="DP 9821 GA "/>
    <s v="004/OLEIN/WINS-CV SCM/III/2026"/>
    <s v="CV. SCM/1/500"/>
    <x v="8"/>
    <x v="3"/>
    <s v="6 Roda"/>
    <d v="2026-03-14T00:00:00"/>
    <n v="3790"/>
    <n v="13190"/>
    <n v="9400"/>
    <m/>
    <d v="1899-12-30T21:03:00"/>
    <d v="1899-12-30T22:14:00"/>
    <s v="Datu"/>
    <s v="YEMDRI"/>
    <n v="400"/>
    <s v="EXTERNAL"/>
    <s v="Gowa"/>
  </r>
  <r>
    <n v="1"/>
    <s v="000794"/>
    <s v="RBDPL000794SCM"/>
    <s v="S 9249 UU"/>
    <s v="004/OLEIN/WINS-CV SCM/III/2026"/>
    <s v="CV. SCM/1/500"/>
    <x v="8"/>
    <x v="3"/>
    <s v="6 Roda"/>
    <d v="2026-03-14T00:00:00"/>
    <n v="4460"/>
    <n v="13640"/>
    <n v="9180"/>
    <m/>
    <d v="1899-12-30T09:34:00"/>
    <d v="1899-12-30T10:58:00"/>
    <s v="samsira"/>
    <s v="HENDRIK"/>
    <n v="400"/>
    <s v="EXTERNAL"/>
    <s v="Gowa"/>
  </r>
  <r>
    <n v="1"/>
    <s v="000796"/>
    <s v="RBDPL000796DA"/>
    <s v="DP 8732 GK"/>
    <s v="005/OLEIN/WINS-CV DUTA ABADI/III/2026"/>
    <s v="CV. DA/1/200"/>
    <x v="9"/>
    <x v="3"/>
    <s v="6 Roda"/>
    <d v="2026-03-14T00:00:00"/>
    <n v="4160"/>
    <n v="13880"/>
    <n v="9720"/>
    <m/>
    <d v="1899-12-30T16:34:00"/>
    <d v="1899-12-30T17:39:00"/>
    <s v="Datu"/>
    <s v="BAHTIAR"/>
    <n v="360"/>
    <s v="CV LIT"/>
    <s v="Makassar"/>
  </r>
  <r>
    <n v="1"/>
    <s v="000797"/>
    <s v="RBDPL000797DA"/>
    <s v="DP 8739 GO "/>
    <s v="005/OLEIN/WINS-CV DUTA ABADI/III/2026"/>
    <s v="CV. DA/1/200"/>
    <x v="9"/>
    <x v="3"/>
    <s v="6 Roda"/>
    <d v="2026-03-14T00:00:00"/>
    <n v="4000"/>
    <n v="13320"/>
    <n v="9320"/>
    <m/>
    <d v="1899-12-30T16:42:00"/>
    <d v="1899-12-30T18:35:00"/>
    <s v="Datu"/>
    <s v="ABD. HAMID"/>
    <n v="360"/>
    <s v="CV LIT"/>
    <s v="Makassar"/>
  </r>
  <r>
    <n v="1"/>
    <s v="000795"/>
    <s v="RBDPL000795SCM"/>
    <s v="DP 8817 GB "/>
    <s v="004/OLEIN/WINS-CV SCM/III/2026"/>
    <s v="CV. SCM/1/500"/>
    <x v="8"/>
    <x v="3"/>
    <s v="6 Roda"/>
    <d v="2026-03-14T00:00:00"/>
    <n v="3760"/>
    <n v="13220"/>
    <n v="9460"/>
    <m/>
    <d v="1899-12-30T11:17:00"/>
    <d v="1899-12-30T11:45:00"/>
    <s v="samsira"/>
    <s v="BOBY ANDRIAWAN"/>
    <n v="400"/>
    <s v="EXTERNAL"/>
    <s v="Gowa"/>
  </r>
  <r>
    <n v="1"/>
    <s v="000806"/>
    <s v="RBDPL000806HSA"/>
    <s v="DP 8732 GK"/>
    <s v="003/OLEIN/WINS-CV HAS/III/2026"/>
    <s v="CV HSA/2/100"/>
    <x v="7"/>
    <x v="3"/>
    <s v="6 Roda"/>
    <d v="2026-03-16T00:00:00"/>
    <n v="4160"/>
    <n v="14320"/>
    <n v="10160"/>
    <m/>
    <d v="1899-12-30T20:29:00"/>
    <d v="1899-12-30T20:51:00"/>
    <s v="samsira"/>
    <s v="BAHTIAR"/>
    <n v="360"/>
    <s v="CV LIT"/>
    <s v="Makassar"/>
  </r>
  <r>
    <n v="1"/>
    <s v="000805"/>
    <s v="RBDPL000805HSA"/>
    <s v="DC 8143 AS"/>
    <s v="003/OLEIN/WINS-CV HAS/III/2026"/>
    <s v="CV HSA/2/100"/>
    <x v="7"/>
    <x v="3"/>
    <s v="6 Roda"/>
    <d v="2026-03-16T00:00:00"/>
    <n v="3890"/>
    <n v="13410"/>
    <n v="9520"/>
    <m/>
    <d v="1899-12-30T16:42:00"/>
    <d v="1899-12-30T17:31:00"/>
    <s v="samsira"/>
    <s v="HASBAR"/>
    <n v="360"/>
    <s v="CV LIT"/>
    <s v="Makassar"/>
  </r>
  <r>
    <n v="1"/>
    <s v="000802"/>
    <s v="RBDPL000802SCM"/>
    <s v="DP 8817 GB"/>
    <s v="004/OLEIN/WINS-CV SCM/III/2026"/>
    <s v="CV. SCM/1/500"/>
    <x v="8"/>
    <x v="3"/>
    <s v="6 Roda"/>
    <d v="2026-03-16T00:00:00"/>
    <n v="3880"/>
    <n v="13400"/>
    <n v="9520"/>
    <m/>
    <d v="1899-12-30T15:38:00"/>
    <d v="1899-12-30T16:33:00"/>
    <s v="Datu"/>
    <s v="BOBY ANDRIAWAN"/>
    <n v="400"/>
    <s v="EXTERNAL"/>
    <s v="Gowa"/>
  </r>
  <r>
    <n v="1"/>
    <s v="000799"/>
    <s v="RBDPL000799SCM"/>
    <s v="DD 8983 UC"/>
    <s v="004/OLEIN/WINS-CV SCM/III/2026"/>
    <s v="CV. SCM/1/500"/>
    <x v="8"/>
    <x v="3"/>
    <s v="6 Roda"/>
    <d v="2026-03-16T00:00:00"/>
    <n v="4310"/>
    <n v="14540"/>
    <n v="10230"/>
    <m/>
    <d v="1899-12-30T13:22:00"/>
    <d v="1899-12-30T13:49:00"/>
    <s v="Datu"/>
    <s v="ARISTO"/>
    <n v="400"/>
    <s v="EXTERNAL"/>
    <s v="Gowa"/>
  </r>
  <r>
    <n v="1"/>
    <s v="000798"/>
    <s v="RBDPL000798SCM"/>
    <s v="DD 8574 YE"/>
    <s v="004/OLEIN/WINS-CV SCM/III/2026"/>
    <s v="CV. SCM/1/500"/>
    <x v="8"/>
    <x v="3"/>
    <s v="6 Roda"/>
    <d v="2026-03-16T00:00:00"/>
    <n v="3940"/>
    <n v="13590"/>
    <n v="9650"/>
    <m/>
    <d v="1899-12-30T11:09:00"/>
    <d v="1899-12-30T12:03:00"/>
    <s v="Datu"/>
    <s v="LUKAS ALFIAN .L"/>
    <n v="400"/>
    <s v="EXTERNAL"/>
    <s v="Gowa"/>
  </r>
  <r>
    <n v="1"/>
    <s v="000803"/>
    <s v="RBDPL000803SCM"/>
    <s v="B 1918 SXX"/>
    <s v="004/OLEIN/WINS-CV SCM/III/2026"/>
    <s v="CV. SCM/1/500"/>
    <x v="8"/>
    <x v="3"/>
    <s v="10 Roda"/>
    <d v="2026-03-16T00:00:00"/>
    <n v="11930"/>
    <n v="27010"/>
    <n v="15080"/>
    <m/>
    <d v="1899-12-30T16:36:00"/>
    <d v="1899-12-30T17:19:00"/>
    <s v="samsira"/>
    <s v="WALDI"/>
    <n v="400"/>
    <s v="CV WIL"/>
    <s v="Gowa"/>
  </r>
  <r>
    <n v="1"/>
    <s v="000801"/>
    <s v="RBDPL000801SCM"/>
    <s v="DD 8711 XX"/>
    <s v="004/OLEIN/WINS-CV SCM/III/2026"/>
    <s v="CV. SCM/1/500"/>
    <x v="8"/>
    <x v="3"/>
    <s v="10 Roda"/>
    <d v="2026-03-16T00:00:00"/>
    <n v="10780"/>
    <n v="25300"/>
    <n v="14520"/>
    <m/>
    <d v="1899-12-30T14:49:00"/>
    <d v="1899-12-30T16:59:00"/>
    <s v="Datu"/>
    <s v="RONI RAKAN"/>
    <n v="400"/>
    <s v="CV WIL"/>
    <s v="Gowa"/>
  </r>
  <r>
    <n v="1"/>
    <s v="000804"/>
    <s v="RBDPL000804DA"/>
    <s v="DP 8568 GF"/>
    <s v="005/OLEIN/WINS-CV DUTA ABADI/III/2026"/>
    <s v="CV. DA/1/200"/>
    <x v="9"/>
    <x v="3"/>
    <s v="6 Roda"/>
    <d v="2026-03-16T00:00:00"/>
    <n v="4170"/>
    <n v="13790"/>
    <n v="9620"/>
    <m/>
    <d v="1899-12-30T16:40:00"/>
    <d v="1899-12-30T17:40:00"/>
    <s v="samsira"/>
    <s v="AKMAL TAMRIN"/>
    <n v="360"/>
    <s v="CV LIT"/>
    <s v="Makassar"/>
  </r>
  <r>
    <n v="1"/>
    <s v="000807"/>
    <s v="RBDPL000807DA"/>
    <s v="DP 8739 GO"/>
    <s v="005/OLEIN/WINS-CV DUTA ABADI/III/2026"/>
    <s v="CV. DA/1/200"/>
    <x v="9"/>
    <x v="3"/>
    <s v="6 Roda"/>
    <d v="2026-03-17T00:00:00"/>
    <n v="4000"/>
    <n v="13290"/>
    <n v="9290"/>
    <m/>
    <d v="1899-12-30T13:08:00"/>
    <d v="1899-12-30T14:00:00"/>
    <s v="Datu"/>
    <s v="ABD. HAMID"/>
    <n v="360"/>
    <s v="CV LIT"/>
    <s v="Makassar"/>
  </r>
  <r>
    <n v="1"/>
    <s v="000808"/>
    <s v="RBDPL000808DA"/>
    <s v="DP 8662 GH"/>
    <s v="005/OLEIN/WINS-CV DUTA ABADI/III/2026"/>
    <s v="CV. DA/1/200"/>
    <x v="9"/>
    <x v="3"/>
    <s v="6 Roda"/>
    <d v="2026-03-17T00:00:00"/>
    <n v="3840"/>
    <n v="14000"/>
    <n v="10160"/>
    <m/>
    <d v="1899-12-30T13:09:00"/>
    <d v="1899-12-30T14:05:00"/>
    <s v="Datu"/>
    <s v="MUHAMMAD YUSUF SYAM"/>
    <n v="360"/>
    <s v="CV LIT"/>
    <s v="Makassar"/>
  </r>
  <r>
    <n v="1"/>
    <s v="000809"/>
    <s v="RBDPL000809DA"/>
    <s v="DC 8141 AS"/>
    <s v="005/OLEIN/WINS-CV DUTA ABADI/III/2026"/>
    <s v="CV. DA/1/200"/>
    <x v="9"/>
    <x v="3"/>
    <s v="6 Roda"/>
    <d v="2026-03-17T00:00:00"/>
    <n v="3920"/>
    <n v="13430"/>
    <n v="9510"/>
    <m/>
    <d v="1899-12-30T14:13:00"/>
    <d v="1899-12-30T14:42:00"/>
    <s v="Datu"/>
    <s v="TAMRIN"/>
    <n v="360"/>
    <s v="CV LIT"/>
    <s v="Makassar"/>
  </r>
  <r>
    <n v="1"/>
    <s v="000811"/>
    <s v="RBDPL000811SCM"/>
    <s v="DP 8004 GJ"/>
    <s v="004/OLEIN/WINS-CV SCM/III/2026"/>
    <s v="CV. SCM/1/500"/>
    <x v="8"/>
    <x v="3"/>
    <s v="6 Roda"/>
    <d v="2026-03-18T00:00:00"/>
    <n v="4190"/>
    <n v="13660"/>
    <n v="9470"/>
    <m/>
    <d v="1899-12-30T13:35:00"/>
    <d v="1899-12-30T14:09:00"/>
    <s v="Datu"/>
    <s v="MURKAS"/>
    <n v="400"/>
    <s v="EXTERNAL"/>
    <s v="Gowa"/>
  </r>
  <r>
    <n v="1"/>
    <s v="000812"/>
    <s v="RBDPL000812DA"/>
    <s v="DC 8141 AS"/>
    <s v="005/OLEIN/WINS-CV DUTA ABADI/III/2026"/>
    <s v="CV. DA/1/200"/>
    <x v="9"/>
    <x v="3"/>
    <s v="6 Roda"/>
    <d v="2026-03-25T00:00:00"/>
    <n v="3950"/>
    <n v="13010"/>
    <n v="9060"/>
    <m/>
    <d v="1899-12-30T13:29:00"/>
    <d v="1899-12-30T13:55:00"/>
    <s v="samsira"/>
    <s v="TAMRIN"/>
    <n v="360"/>
    <s v="CV LIT"/>
    <s v="Makassar"/>
  </r>
  <r>
    <n v="1"/>
    <s v="000813"/>
    <s v="RBDPL000813DA"/>
    <s v="DP 8744 HK"/>
    <s v="005/OLEIN/WINS-CV DUTA ABADI/III/2026"/>
    <s v="CV. DA/1/200"/>
    <x v="9"/>
    <x v="3"/>
    <s v="6 Roda"/>
    <d v="2026-03-25T00:00:00"/>
    <n v="4780"/>
    <n v="15170"/>
    <n v="10390"/>
    <m/>
    <d v="1899-12-30T13:44:00"/>
    <d v="1899-12-30T18:14:00"/>
    <s v="samsira"/>
    <s v="RIKO"/>
    <n v="360"/>
    <s v="CV LIT"/>
    <s v="Makassar"/>
  </r>
  <r>
    <n v="1"/>
    <s v="000814"/>
    <s v="RBDPL000814DA"/>
    <s v="DP 8739 GO"/>
    <s v="005/OLEIN/WINS-CV DUTA ABADI/III/2026"/>
    <s v="CV. DA/1/200"/>
    <x v="9"/>
    <x v="3"/>
    <s v="6 Roda"/>
    <d v="2026-03-25T00:00:00"/>
    <n v="3990"/>
    <n v="13340"/>
    <n v="9350"/>
    <m/>
    <d v="1899-12-30T13:53:00"/>
    <d v="1899-12-30T14:22:00"/>
    <s v="samsira"/>
    <s v="ABD. HAMID"/>
    <n v="360"/>
    <s v="CV LIT"/>
    <s v="Makassar"/>
  </r>
  <r>
    <n v="1"/>
    <s v="000815"/>
    <s v="RBDPL000815DA"/>
    <s v="DP 9856 GA"/>
    <s v="005/OLEIN/WINS-CV DUTA ABADI/III/2026"/>
    <s v="CV. DA/1/200"/>
    <x v="9"/>
    <x v="3"/>
    <s v="6 Roda"/>
    <d v="2026-03-25T00:00:00"/>
    <n v="3910"/>
    <n v="13240"/>
    <n v="9330"/>
    <m/>
    <d v="1899-12-30T14:54:00"/>
    <d v="1899-12-30T15:22:00"/>
    <s v="samsira"/>
    <s v="HARI ASHARI"/>
    <n v="360"/>
    <s v="CV LIT"/>
    <s v="Makassar"/>
  </r>
  <r>
    <n v="1"/>
    <s v="000816"/>
    <s v="RBDPL000816SCM"/>
    <s v="B 1918 SXX"/>
    <s v="004/OLEIN/WINS-CV SCM/III/2026"/>
    <s v="CV. SCM/1/500"/>
    <x v="8"/>
    <x v="3"/>
    <s v="10 Roda"/>
    <d v="2026-03-25T00:00:00"/>
    <n v="11920"/>
    <n v="27040"/>
    <n v="15120"/>
    <m/>
    <d v="1899-12-30T15:10:00"/>
    <d v="1899-12-30T15:52:00"/>
    <s v="samsira"/>
    <s v="WALDI"/>
    <n v="400"/>
    <s v="CV WIL"/>
    <s v="Gowa"/>
  </r>
  <r>
    <n v="1"/>
    <s v="000817"/>
    <s v="RBDPL000817SCM"/>
    <s v="DD 8711 XX"/>
    <s v="004/OLEIN/WINS-CV SCM/III/2026"/>
    <s v="CV. SCM/1/500"/>
    <x v="8"/>
    <x v="3"/>
    <s v="10 Roda"/>
    <d v="2026-03-25T00:00:00"/>
    <n v="10770"/>
    <n v="25320"/>
    <n v="14550"/>
    <m/>
    <d v="1899-12-30T15:19:00"/>
    <d v="1899-12-30T16:26:00"/>
    <s v="samsira"/>
    <s v="RONI RAKAN"/>
    <n v="400"/>
    <s v="CV WIL"/>
    <s v="Gowa"/>
  </r>
  <r>
    <n v="1"/>
    <s v="000818"/>
    <s v="RBDPL000818DA"/>
    <s v="DP 8350 FD"/>
    <s v="005/OLEIN/WINS-CV DUTA ABADI/III/2026"/>
    <s v="CV. DA/1/200"/>
    <x v="9"/>
    <x v="3"/>
    <s v="6 Roda"/>
    <d v="2026-03-25T00:00:00"/>
    <n v="3800"/>
    <n v="13390"/>
    <n v="9590"/>
    <m/>
    <d v="1899-12-30T17:16:00"/>
    <d v="1899-12-30T17:51:00"/>
    <s v="samsira"/>
    <s v="USMAN"/>
    <n v="360"/>
    <s v="CV LIT"/>
    <s v="Makassar"/>
  </r>
  <r>
    <n v="1"/>
    <s v="000819"/>
    <s v="RBDPL000819BJL"/>
    <s v="DP 8953 DK"/>
    <s v="001/OLEIN/WINS-BJL/II/2026"/>
    <s v="BJL/1/1000"/>
    <x v="6"/>
    <x v="3"/>
    <s v="6 Roda"/>
    <d v="2026-03-25T00:00:00"/>
    <n v="4290"/>
    <n v="13460"/>
    <n v="9170"/>
    <m/>
    <d v="1899-12-30T19:24:00"/>
    <d v="1899-12-30T19:50:00"/>
    <s v="Datu"/>
    <s v="MUH. ARIF"/>
    <n v="562"/>
    <s v="EXTERNAL"/>
    <s v="Palu"/>
  </r>
  <r>
    <n v="1"/>
    <s v="000820"/>
    <s v="RBDPL000820DA"/>
    <s v="DC 8141 AS"/>
    <s v="005/OLEIN/WINS-CV DUTA ABADI/III/2026"/>
    <s v="CV. DA/1/200"/>
    <x v="9"/>
    <x v="3"/>
    <s v="6 Roda"/>
    <d v="2026-03-25T00:00:00"/>
    <n v="3950"/>
    <n v="13440"/>
    <n v="9490"/>
    <m/>
    <d v="1899-12-30T21:09:00"/>
    <d v="1899-12-30T21:36:00"/>
    <s v="Datu"/>
    <s v="TAMRIN"/>
    <n v="360"/>
    <s v="CV LIT"/>
    <s v="Makassar"/>
  </r>
  <r>
    <n v="1"/>
    <s v="000821"/>
    <s v="RBDPL000821BJL"/>
    <s v="DP 8953 DK "/>
    <s v="001/OLEIN/WINS-BJL/II/2026"/>
    <s v="BJL/1/1000"/>
    <x v="6"/>
    <x v="3"/>
    <s v="6 Roda"/>
    <d v="2026-03-25T00:00:00"/>
    <n v="4290"/>
    <n v="13350"/>
    <n v="9060"/>
    <m/>
    <d v="1899-12-30T23:00:00"/>
    <d v="1899-12-30T23:38:00"/>
    <s v="Datu"/>
    <s v="MUH. ARIF"/>
    <n v="562"/>
    <s v="EXTERNAL"/>
    <s v="Palu"/>
  </r>
  <r>
    <n v="1"/>
    <s v="000823"/>
    <s v="RBDPL000823DA"/>
    <s v="DP 8935 UA"/>
    <s v="005/OLEIN/WINS-CV DUTA ABADI/III/2026"/>
    <s v="CV. DA/1/200"/>
    <x v="9"/>
    <x v="3"/>
    <s v="6 Roda"/>
    <d v="2026-03-26T00:00:00"/>
    <n v="3870"/>
    <n v="14030"/>
    <n v="10160"/>
    <m/>
    <d v="1899-12-30T14:22:00"/>
    <d v="1899-12-30T15:17:00"/>
    <s v="samsira"/>
    <s v="BASO"/>
    <n v="360"/>
    <s v="CV LIT"/>
    <s v="Makassar"/>
  </r>
  <r>
    <n v="1"/>
    <s v="000822"/>
    <s v="RBDPL000822SCM"/>
    <s v="S 9249 UU"/>
    <s v="004/OLEIN/WINS-CV SCM/III/2026"/>
    <s v="CV. SCM/1/500"/>
    <x v="8"/>
    <x v="3"/>
    <s v="6 Roda"/>
    <d v="2026-03-26T00:00:00"/>
    <n v="4560"/>
    <n v="13700"/>
    <n v="9140"/>
    <m/>
    <d v="1899-12-30T08:46:00"/>
    <d v="1899-12-30T09:25:00"/>
    <s v="samsira"/>
    <s v="HENDRIK"/>
    <n v="400"/>
    <s v="EXTERNAL"/>
    <s v="Gowa"/>
  </r>
  <r>
    <n v="1"/>
    <s v="000824"/>
    <s v="RBDPL000824SCM"/>
    <s v="DC 8459 XL"/>
    <s v="004/OLEIN/WINS-CV SCM/III/2026"/>
    <s v="CV. SCM/1/500"/>
    <x v="8"/>
    <x v="3"/>
    <s v="6 Roda"/>
    <d v="2026-03-26T00:00:00"/>
    <n v="4020"/>
    <n v="13080"/>
    <n v="9060"/>
    <m/>
    <d v="1899-12-30T15:27:00"/>
    <d v="1899-12-30T16:24:00"/>
    <s v="samsira"/>
    <s v="HAERUDDIN"/>
    <n v="400"/>
    <s v="EXTERNAL"/>
    <s v="Gowa"/>
  </r>
  <r>
    <n v="1"/>
    <s v="000825"/>
    <s v="RBDPL000825SCM"/>
    <s v="BH 8459 MY"/>
    <s v="004/OLEIN/WINS-CV SCM/III/2026"/>
    <s v="CV. SCM/1/500"/>
    <x v="8"/>
    <x v="3"/>
    <s v="10 Roda"/>
    <d v="2026-03-26T00:00:00"/>
    <n v="12220"/>
    <n v="27020"/>
    <n v="14800"/>
    <m/>
    <d v="1899-12-30T17:35:00"/>
    <d v="1899-12-30T18:29:00"/>
    <s v="Datu"/>
    <s v="HAMSAL"/>
    <n v="400"/>
    <s v="CV WIL"/>
    <s v="Gowa"/>
  </r>
  <r>
    <n v="1"/>
    <s v="000827"/>
    <s v="RBDPL000827BJL"/>
    <s v="DC 8459 XL"/>
    <s v="001/OLEIN/WINS-BJL/II/2026"/>
    <s v="BJL/1/1000"/>
    <x v="6"/>
    <x v="3"/>
    <s v="6 Roda"/>
    <d v="2026-03-27T00:00:00"/>
    <n v="4030"/>
    <n v="13080"/>
    <n v="9050"/>
    <m/>
    <d v="1899-12-30T08:59:00"/>
    <d v="1899-12-30T09:50:00"/>
    <s v="samsira"/>
    <s v="HAERUDDIN"/>
    <n v="562"/>
    <s v="EXTERNAL"/>
    <s v="Palu"/>
  </r>
  <r>
    <n v="1"/>
    <s v="000826"/>
    <s v="RBDPL000826SCM"/>
    <s v="S 9249 UU"/>
    <s v="004/OLEIN/WINS-CV SCM/III/2026"/>
    <s v="CV. SCM/1/500"/>
    <x v="8"/>
    <x v="3"/>
    <s v="6 Roda"/>
    <d v="2026-03-27T00:00:00"/>
    <n v="4540"/>
    <n v="13670"/>
    <n v="9130"/>
    <m/>
    <d v="1899-12-30T08:42:00"/>
    <d v="1899-12-30T09:35:00"/>
    <s v="samsira"/>
    <s v="HENDRIK"/>
    <n v="400"/>
    <s v="EXTERNAL"/>
    <s v="Gowa"/>
  </r>
  <r>
    <n v="1"/>
    <s v="000828"/>
    <s v="RBDPL000828BJL"/>
    <s v="DN 8648 GA"/>
    <s v="001/OLEIN/WINS-BJL/II/2026"/>
    <s v="BJL/1/1000"/>
    <x v="6"/>
    <x v="3"/>
    <s v="6 Roda"/>
    <d v="2026-03-27T00:00:00"/>
    <n v="3810"/>
    <n v="13010"/>
    <n v="9200"/>
    <m/>
    <d v="1899-12-30T13:55:00"/>
    <d v="1899-12-30T19:10:00"/>
    <s v="samsira"/>
    <s v="MUH. EMIN BUSTAMIN"/>
    <n v="562"/>
    <s v="EXTERNAL"/>
    <s v="Palu"/>
  </r>
  <r>
    <n v="1"/>
    <s v="000829"/>
    <s v="RBDPL000829DA"/>
    <s v="DC 8141 AS"/>
    <s v="005/OLEIN/WINS-CV DUTA ABADI/III/2026"/>
    <s v="CV. DA/1/200"/>
    <x v="9"/>
    <x v="3"/>
    <s v="6 Roda"/>
    <d v="2026-03-27T00:00:00"/>
    <n v="3990"/>
    <n v="13480"/>
    <n v="9490"/>
    <m/>
    <d v="1899-12-30T15:25:00"/>
    <d v="1899-12-30T16:00:00"/>
    <s v="samsira"/>
    <s v="TAMRIN"/>
    <n v="360"/>
    <s v="CV LIT"/>
    <s v="Makassar"/>
  </r>
  <r>
    <n v="1"/>
    <s v="000830"/>
    <s v="RBDPL000830DA"/>
    <s v="DP 9856 GA"/>
    <s v="005/OLEIN/WINS-CV DUTA ABADI/III/2026"/>
    <s v="CV. DA/1/200"/>
    <x v="9"/>
    <x v="3"/>
    <s v="6 Roda"/>
    <d v="2026-03-27T00:00:00"/>
    <n v="3900"/>
    <n v="13230"/>
    <n v="9330"/>
    <m/>
    <d v="1899-12-30T15:27:00"/>
    <d v="1899-12-30T16:29:00"/>
    <s v="samsira"/>
    <s v="HARI ASHARI"/>
    <n v="360"/>
    <s v="CV LIT"/>
    <s v="Makassar"/>
  </r>
  <r>
    <n v="1"/>
    <s v="000831"/>
    <s v="RBDPL000831HSA"/>
    <s v="DP 8172 GN"/>
    <s v="003/OLEIN/WINS-CV HAS/III/2026"/>
    <s v="CV HSA/2/100"/>
    <x v="7"/>
    <x v="3"/>
    <s v="6 Roda"/>
    <d v="2026-03-27T00:00:00"/>
    <n v="3930"/>
    <n v="13500"/>
    <n v="9570"/>
    <m/>
    <d v="1899-12-30T15:28:00"/>
    <d v="1899-12-30T16:42:00"/>
    <s v="samsira"/>
    <s v="HALIK"/>
    <n v="360"/>
    <s v="CV LIT"/>
    <s v="Makassar"/>
  </r>
  <r>
    <n v="1"/>
    <s v="000832"/>
    <s v="RBDPL000832DA"/>
    <s v="DP 8739 GO"/>
    <s v="005/OLEIN/WINS-CV DUTA ABADI/III/2026"/>
    <s v="CV. DA/1/200"/>
    <x v="9"/>
    <x v="3"/>
    <s v="6 Roda"/>
    <d v="2026-03-27T00:00:00"/>
    <n v="4020"/>
    <n v="13300"/>
    <n v="9280"/>
    <m/>
    <d v="1899-12-30T16:37:00"/>
    <d v="1899-12-30T17:03:00"/>
    <s v="samsira"/>
    <s v="ABD. HAMID"/>
    <n v="360"/>
    <s v="CV LIT"/>
    <s v="Makassar"/>
  </r>
  <r>
    <n v="1"/>
    <s v="000833"/>
    <s v="RBDPL000833DA"/>
    <s v="DP 8350 FD"/>
    <s v="005/OLEIN/WINS-CV DUTA ABADI/III/2026"/>
    <s v="CV. DA/1/200"/>
    <x v="9"/>
    <x v="3"/>
    <s v="6 Roda"/>
    <d v="2026-03-27T00:00:00"/>
    <n v="3830"/>
    <n v="13410"/>
    <n v="9580"/>
    <m/>
    <d v="1899-12-30T16:48:00"/>
    <d v="1899-12-30T17:16:00"/>
    <s v="samsira"/>
    <s v="USMAN"/>
    <n v="360"/>
    <s v="CV LIT"/>
    <s v="Makassar"/>
  </r>
  <r>
    <n v="1"/>
    <s v="000834"/>
    <s v="RBDPL000834TDJ"/>
    <s v="B 1918 SXX"/>
    <s v="010/Olein/Wins-PT GMU/III/2026"/>
    <s v="TDJ-GMU/1/15050"/>
    <x v="10"/>
    <x v="3"/>
    <s v="10 Roda"/>
    <d v="2026-03-27T00:00:00"/>
    <n v="11900"/>
    <n v="26950"/>
    <n v="15050"/>
    <m/>
    <d v="1899-12-30T16:53:00"/>
    <d v="1899-12-30T18:24:00"/>
    <s v="samsira"/>
    <s v="WALDI"/>
    <n v="473"/>
    <s v="CV WIL"/>
    <s v="Siumbatu"/>
  </r>
  <r>
    <n v="1"/>
    <s v="000835"/>
    <s v="RBDPL000835SCM"/>
    <s v="S 9249 UU"/>
    <s v="004/OLEIN/WINS-CV SCM/III/2026"/>
    <s v="CV. SCM/1/500"/>
    <x v="8"/>
    <x v="3"/>
    <s v="6 Roda"/>
    <d v="2026-03-28T00:00:00"/>
    <n v="4480"/>
    <n v="13630"/>
    <n v="9150"/>
    <m/>
    <d v="1899-12-30T09:39:00"/>
    <d v="1899-12-30T10:21:00"/>
    <s v="samsira"/>
    <s v="HENDRIK"/>
    <n v="400"/>
    <s v="EXTERNAL"/>
    <s v="Gowa"/>
  </r>
  <r>
    <n v="1"/>
    <s v="000836"/>
    <s v="RBDPL000836SCM"/>
    <s v="S 9249 UU"/>
    <s v="004/OLEIN/WINS-CV SCM/III/2026"/>
    <s v="CV. SCM/1/500"/>
    <x v="8"/>
    <x v="3"/>
    <s v="6 Roda"/>
    <d v="2026-03-28T00:00:00"/>
    <n v="4480"/>
    <n v="13690"/>
    <n v="9210"/>
    <m/>
    <d v="1899-12-30T15:54:00"/>
    <d v="1899-12-30T16:26:00"/>
    <s v="Datu"/>
    <s v="HENDRIK"/>
    <n v="400"/>
    <s v="EXTERNAL"/>
    <s v="Gowa"/>
  </r>
  <r>
    <n v="1"/>
    <s v="000837"/>
    <s v="RBDPL000837HSA"/>
    <s v="DD 8711 XX"/>
    <s v="003/OLEIN/WINS-CV HAS/III/2026"/>
    <s v="CV HSA/2/100"/>
    <x v="7"/>
    <x v="3"/>
    <s v="10 Roda"/>
    <d v="2026-03-28T00:00:00"/>
    <n v="10760"/>
    <n v="25210"/>
    <n v="14450"/>
    <m/>
    <d v="1899-12-30T16:58:00"/>
    <d v="1899-12-30T17:48:00"/>
    <s v="Datu"/>
    <s v="RONI RAKAN"/>
    <n v="360"/>
    <s v="CV WIL"/>
    <s v="Makassar"/>
  </r>
  <r>
    <n v="1"/>
    <s v="000838"/>
    <s v="RBDPL000838HSA"/>
    <s v="BH 8459 MY"/>
    <s v="003/OLEIN/WINS-CV HAS/III/2026"/>
    <s v="CV HSA/2/100"/>
    <x v="7"/>
    <x v="3"/>
    <s v="10 Roda"/>
    <d v="2026-03-28T00:00:00"/>
    <n v="12250"/>
    <n v="27020"/>
    <n v="14770"/>
    <m/>
    <d v="1899-12-30T17:16:00"/>
    <d v="1899-12-30T18:00:00"/>
    <s v="Datu"/>
    <s v="HAMSAL"/>
    <n v="360"/>
    <s v="CV WIL"/>
    <s v="Makassar"/>
  </r>
  <r>
    <n v="1"/>
    <s v="000839"/>
    <s v="RBDPL000839BJL"/>
    <s v="DN 8648 GA"/>
    <s v="001/OLEIN/WINS-BJL/II/2026"/>
    <s v="BJL/1/1000"/>
    <x v="6"/>
    <x v="3"/>
    <s v="6 Roda"/>
    <d v="2026-03-28T00:00:00"/>
    <n v="3800"/>
    <n v="13050"/>
    <n v="9250"/>
    <m/>
    <d v="1899-12-30T19:23:00"/>
    <d v="1899-12-30T20:09:00"/>
    <s v="Datu"/>
    <s v="MUH. EMIN BUSTAMIN"/>
    <n v="562"/>
    <s v="EXTERNAL"/>
    <s v="Palu"/>
  </r>
  <r>
    <n v="1"/>
    <s v="000840"/>
    <s v="RBDPL000840DA"/>
    <s v="DP 8953 DK"/>
    <s v="005/OLEIN/WINS-CV DUTA ABADI/III/2026"/>
    <s v="CV. DA/1/200"/>
    <x v="9"/>
    <x v="3"/>
    <s v="6 Roda"/>
    <d v="2026-03-28T00:00:00"/>
    <n v="4310"/>
    <n v="13400"/>
    <n v="9090"/>
    <m/>
    <d v="1899-12-30T19:46:00"/>
    <d v="1899-12-30T20:29:00"/>
    <s v="Datu"/>
    <s v="MUH. ARIF"/>
    <n v="360"/>
    <s v="EXTERNAL"/>
    <s v="Makassar"/>
  </r>
  <r>
    <n v="1"/>
    <s v="000841"/>
    <s v="RBDPL000841DA"/>
    <s v="DC 8141 AS "/>
    <s v="005/OLEIN/WINS-CV DUTA ABADI/III/2026"/>
    <s v="CV. DA/1/200"/>
    <x v="9"/>
    <x v="3"/>
    <s v="6 Roda"/>
    <d v="2026-03-30T00:00:00"/>
    <n v="4010"/>
    <n v="13500"/>
    <n v="9490"/>
    <m/>
    <d v="1899-12-30T09:38:00"/>
    <d v="1899-12-30T10:46:00"/>
    <s v="Datu"/>
    <s v="TAMRIN"/>
    <n v="360"/>
    <s v="CV LIT"/>
    <s v="Makassar"/>
  </r>
  <r>
    <n v="1"/>
    <s v="000842"/>
    <s v="RBDPL000842BJL"/>
    <s v="DD 8408 RN"/>
    <s v="001/OLEIN/WINS-BJL/II/2026"/>
    <s v="BJL/1/1000"/>
    <x v="6"/>
    <x v="3"/>
    <s v="6 Roda"/>
    <d v="2026-03-30T00:00:00"/>
    <n v="4320"/>
    <n v="13870"/>
    <n v="9550"/>
    <m/>
    <d v="1899-12-30T09:41:00"/>
    <d v="1899-12-30T11:03:00"/>
    <s v="Datu"/>
    <s v="GIDIONO RUDIYANTO"/>
    <n v="562"/>
    <s v="EXTERNAL"/>
    <s v="Palu"/>
  </r>
  <r>
    <n v="1"/>
    <s v="000843"/>
    <s v="RBDPL000843DA"/>
    <s v="DP 8739 GO "/>
    <s v="005/OLEIN/WINS-CV DUTA ABADI/III/2026"/>
    <s v="CV. DA/1/200"/>
    <x v="9"/>
    <x v="3"/>
    <s v="6 Roda"/>
    <d v="2026-03-30T00:00:00"/>
    <n v="4070"/>
    <n v="13370"/>
    <n v="9300"/>
    <m/>
    <d v="1899-12-30T10:39:00"/>
    <d v="1899-12-30T11:23:00"/>
    <s v="Datu"/>
    <s v="ABD. HAMID"/>
    <n v="360"/>
    <s v="CV LIT"/>
    <s v="Makassar"/>
  </r>
  <r>
    <n v="1"/>
    <s v="000844"/>
    <s v="RBDPL000844DA"/>
    <s v="DP 8350 FD"/>
    <s v="005/OLEIN/WINS-CV DUTA ABADI/III/2026"/>
    <s v="CV. DA/1/200"/>
    <x v="9"/>
    <x v="3"/>
    <s v="6 Roda"/>
    <d v="2026-03-30T00:00:00"/>
    <n v="3840"/>
    <n v="13420"/>
    <n v="9580"/>
    <m/>
    <d v="1899-12-30T10:41:00"/>
    <d v="1899-12-30T11:47:00"/>
    <s v="Datu"/>
    <s v="USMAN"/>
    <n v="360"/>
    <s v="CV LIT"/>
    <s v="Makassar"/>
  </r>
  <r>
    <n v="1"/>
    <s v="000845"/>
    <s v="RBDPL000845DA"/>
    <s v="DP 9856 GA "/>
    <s v="006/OLEIN/WINS-CV DUTA ABADI/III/2026"/>
    <s v="CV. DA/2/300"/>
    <x v="9"/>
    <x v="3"/>
    <s v="6 Roda"/>
    <d v="2026-03-30T00:00:00"/>
    <n v="3900"/>
    <n v="13190"/>
    <n v="9290"/>
    <m/>
    <d v="1899-12-30T11:58:00"/>
    <d v="1899-12-30T12:34:00"/>
    <s v="Datu"/>
    <s v="HARI ASHARI"/>
    <n v="360"/>
    <s v="CV LIT"/>
    <s v="Makassar"/>
  </r>
  <r>
    <n v="1"/>
    <s v="000846"/>
    <s v="RBDPL000846BJL"/>
    <s v="DP 8953 DK"/>
    <s v="001/OLEIN/WINS-BJL/II/2026"/>
    <s v="BJL/1/1000"/>
    <x v="6"/>
    <x v="3"/>
    <s v="6 Roda"/>
    <d v="2026-03-30T00:00:00"/>
    <n v="4490"/>
    <n v="13540"/>
    <n v="9050"/>
    <m/>
    <d v="1899-12-30T12:00:00"/>
    <d v="1899-12-30T12:47:00"/>
    <s v="Datu"/>
    <s v="MUH. ARIF"/>
    <n v="562"/>
    <s v="EXTERNAL"/>
    <s v="Palu"/>
  </r>
  <r>
    <n v="1"/>
    <s v="000847"/>
    <s v="RBDPL000847DA"/>
    <s v="DP 8172 GN"/>
    <s v="006/OLEIN/WINS-CV DUTA ABADI/III/2026"/>
    <s v="CV. DA/2/300"/>
    <x v="9"/>
    <x v="3"/>
    <s v="6 Roda"/>
    <d v="2026-03-30T00:00:00"/>
    <n v="4030"/>
    <n v="13540"/>
    <n v="9510"/>
    <m/>
    <d v="1899-12-30T12:14:00"/>
    <d v="1899-12-30T13:07:00"/>
    <s v="Datu"/>
    <s v="HALIK"/>
    <n v="360"/>
    <s v="CV LIT"/>
    <s v="Makassar"/>
  </r>
  <r>
    <n v="1"/>
    <s v="000848"/>
    <s v="RBDPL000848DA"/>
    <s v="DP 8935 UA"/>
    <s v="006/OLEIN/WINS-CV DUTA ABADI/III/2026"/>
    <s v="CV. DA/2/300"/>
    <x v="9"/>
    <x v="3"/>
    <s v="6 Roda"/>
    <d v="2026-03-30T00:00:00"/>
    <n v="3990"/>
    <n v="14090"/>
    <n v="10100"/>
    <m/>
    <d v="1899-12-30T12:45:00"/>
    <d v="1899-12-30T13:24:00"/>
    <s v="Datu"/>
    <s v="BASO"/>
    <n v="360"/>
    <s v="CV LIT"/>
    <s v="Makassar"/>
  </r>
  <r>
    <n v="1"/>
    <s v="000849"/>
    <s v="RBDPL000849HSA"/>
    <s v="DP 8732 GK "/>
    <s v="003/OLEIN/WINS-CV HAS/III/2026"/>
    <s v="CV HSA/2/100"/>
    <x v="7"/>
    <x v="3"/>
    <s v="6 Roda"/>
    <d v="2026-03-30T00:00:00"/>
    <n v="4130"/>
    <n v="14290"/>
    <n v="10160"/>
    <m/>
    <d v="1899-12-30T15:12:00"/>
    <d v="1899-12-30T15:58:00"/>
    <s v="Datu"/>
    <s v="BAHTIAR"/>
    <n v="360"/>
    <s v="CV LIT"/>
    <s v="Makassar"/>
  </r>
  <r>
    <n v="1"/>
    <s v="000541"/>
    <s v="CPO000541JAS"/>
    <s v="DD 9236 XX"/>
    <s v="008/CPO/JM-WINS/I/2026"/>
    <s v="PT. JAS MULIA / 8 / 500"/>
    <x v="3"/>
    <x v="1"/>
    <s v="12 Roda"/>
    <d v="2026-01-28T00:00:00"/>
    <n v="45970"/>
    <n v="17590"/>
    <n v="28380"/>
    <n v="28320"/>
    <d v="1899-12-30T14:36:00"/>
    <d v="1899-12-30T15:45:00"/>
    <s v="samsira"/>
    <s v="IBRAHIM"/>
    <n v="68"/>
    <s v="WIL"/>
    <s v="Bone Bone"/>
  </r>
  <r>
    <n v="1"/>
    <s v="000850"/>
    <s v="CPO000850JAS"/>
    <s v="DD 9236 XX"/>
    <s v="010/CPO/JM-WINS/I/2026"/>
    <s v="PT. JAS MULIA / 10 / 500"/>
    <x v="3"/>
    <x v="1"/>
    <s v="12 Roda"/>
    <d v="2026-03-30T00:00:00"/>
    <n v="46210"/>
    <n v="17570"/>
    <n v="28640"/>
    <n v="28740"/>
    <d v="1899-12-30T16:44:00"/>
    <d v="1899-12-30T19:05:00"/>
    <s v="samsira"/>
    <s v="IBRAHIM"/>
    <n v="68"/>
    <s v="WIL"/>
    <s v="Bone Bone"/>
  </r>
  <r>
    <n v="1"/>
    <s v="000853"/>
    <s v="RBDPL000853HSA"/>
    <s v="DP 8762 GH "/>
    <s v="003/OLEIN/WINS-CV HAS/III/2026"/>
    <s v="CV HSA/2/100"/>
    <x v="7"/>
    <x v="3"/>
    <s v="6 Roda"/>
    <d v="2026-03-31T00:00:00"/>
    <n v="3820"/>
    <n v="13240"/>
    <n v="9420"/>
    <m/>
    <d v="1899-12-30T10:21:00"/>
    <d v="1899-12-30T10:42:00"/>
    <s v="Datu"/>
    <s v="IRFAN"/>
    <n v="360"/>
    <s v="CV LIT"/>
    <s v="Makassar"/>
  </r>
  <r>
    <n v="1"/>
    <s v="000854"/>
    <s v="CPO000854JAS"/>
    <s v="BM 8315 QO"/>
    <s v="010/CPO/JM-WINS/I/2026"/>
    <s v="PT. JAS MULIA / 10 / 500"/>
    <x v="3"/>
    <x v="1"/>
    <s v="12 Roda"/>
    <d v="2026-03-31T00:00:00"/>
    <n v="46120"/>
    <n v="17870"/>
    <n v="28250"/>
    <n v="28410"/>
    <d v="1899-12-30T12:46:00"/>
    <d v="1899-12-30T14:28:00"/>
    <s v="Datu"/>
    <s v="IQBAL"/>
    <n v="68"/>
    <s v="WIL"/>
    <s v="Bone Bone"/>
  </r>
  <r>
    <n v="1"/>
    <s v="000855"/>
    <s v="CPO000855JAS"/>
    <s v="DD 9236 XX"/>
    <s v="010/CPO/JM-WINS/I/2026"/>
    <s v="PT. JAS MULIA / 10 / 500"/>
    <x v="3"/>
    <x v="1"/>
    <s v="12 Roda"/>
    <d v="2026-03-31T00:00:00"/>
    <n v="46120"/>
    <n v="17770"/>
    <n v="28350"/>
    <n v="28560"/>
    <d v="1899-12-30T13:21:00"/>
    <d v="1899-12-30T14:29:00"/>
    <s v="Datu"/>
    <s v="IBRAHIM"/>
    <n v="68"/>
    <s v="WIL"/>
    <s v="Bone Bone"/>
  </r>
  <r>
    <n v="1"/>
    <s v="000857"/>
    <s v="CPO000857JAS"/>
    <s v="DD 9236 XX"/>
    <s v="010/CPO/JM-WINS/I/2026"/>
    <s v="PT. JAS MULIA / 10 / 500"/>
    <x v="3"/>
    <x v="1"/>
    <s v="12 Roda"/>
    <d v="2026-03-31T00:00:00"/>
    <n v="46150"/>
    <n v="17550"/>
    <n v="28600"/>
    <n v="28260"/>
    <d v="1899-12-30T21:10:00"/>
    <d v="1899-12-30T22:44:00"/>
    <s v="samsira"/>
    <s v="IBRAHIM"/>
    <n v="68"/>
    <s v="WIL"/>
    <s v="Bone Bone"/>
  </r>
  <r>
    <n v="1"/>
    <s v="000851"/>
    <s v="CPO000851JAS"/>
    <s v="BM 8315 QO"/>
    <s v="010/CPO/JM-WINS/I/2026"/>
    <s v="PT. JAS MULIA / 10 / 500"/>
    <x v="3"/>
    <x v="1"/>
    <s v="12 Roda"/>
    <d v="2026-03-30T00:00:00"/>
    <n v="46080"/>
    <n v="17700"/>
    <n v="28380"/>
    <n v="28650"/>
    <d v="1899-12-30T17:07:00"/>
    <d v="1899-12-30T19:10:00"/>
    <s v="samsira"/>
    <s v="IQBAL"/>
    <n v="68"/>
    <s v="WIL"/>
    <s v="Bone Bone"/>
  </r>
  <r>
    <n v="1"/>
    <s v="000858"/>
    <s v="RBDPL000858SCM"/>
    <s v="DP 8004 GJ "/>
    <s v="004/OLEIN/WINS-CV SCM/III/2026"/>
    <s v="CV. SCM/1/500"/>
    <x v="8"/>
    <x v="3"/>
    <s v="6 Roda"/>
    <d v="2026-04-01T00:00:00"/>
    <n v="4210"/>
    <n v="13700"/>
    <n v="9490"/>
    <m/>
    <d v="1899-12-30T11:31:00"/>
    <d v="1899-12-30T12:19:00"/>
    <s v="Datu"/>
    <s v="MURKAS"/>
    <n v="400"/>
    <s v="EXTERNAL"/>
    <s v="Gowa"/>
  </r>
  <r>
    <n v="1"/>
    <s v="000868"/>
    <s v="RBDPL000868DA"/>
    <s v="DP 8350 FD"/>
    <s v="006/OLEIN/WINS-CV DUTA ABADI/III/2026"/>
    <s v="CV. DA/2/300"/>
    <x v="9"/>
    <x v="3"/>
    <s v="6 Roda"/>
    <d v="2026-04-01T00:00:00"/>
    <n v="3840"/>
    <n v="13430"/>
    <n v="9590"/>
    <m/>
    <d v="1899-12-30T20:49:00"/>
    <d v="1899-12-30T21:27:00"/>
    <s v="samsira"/>
    <s v="USMAN"/>
    <n v="360"/>
    <s v="CV LIT"/>
    <s v="Makassar"/>
  </r>
  <r>
    <n v="1"/>
    <s v="000867"/>
    <s v="RBDPL000867DA"/>
    <s v="DP 8739 GO"/>
    <s v="006/OLEIN/WINS-CV DUTA ABADI/III/2026"/>
    <s v="CV. DA/2/300"/>
    <x v="9"/>
    <x v="3"/>
    <s v="6 Roda"/>
    <d v="2026-04-01T00:00:00"/>
    <n v="4060"/>
    <n v="13340"/>
    <n v="9280"/>
    <m/>
    <d v="1899-12-30T20:47:00"/>
    <d v="1899-12-30T21:22:00"/>
    <s v="samsira"/>
    <s v="ABD. HAMID"/>
    <n v="360"/>
    <s v="CV LIT"/>
    <s v="Makassar"/>
  </r>
  <r>
    <n v="1"/>
    <s v="000866"/>
    <s v="RBDPL000866DA"/>
    <s v="DP 8732 GK"/>
    <s v="006/OLEIN/WINS-CV DUTA ABADI/III/2026"/>
    <s v="CV. DA/2/300"/>
    <x v="9"/>
    <x v="3"/>
    <s v="6 Roda"/>
    <d v="2026-04-01T00:00:00"/>
    <n v="4160"/>
    <n v="14320"/>
    <n v="10160"/>
    <m/>
    <d v="1899-12-30T20:13:00"/>
    <d v="1899-12-30T20:50:00"/>
    <s v="samsira"/>
    <s v="BAHTIAR"/>
    <n v="360"/>
    <s v="CV LIT"/>
    <s v="Makassar"/>
  </r>
  <r>
    <n v="1"/>
    <s v="000865"/>
    <s v="RBDPL000865DA"/>
    <s v="DC 8141 AS"/>
    <s v="006/OLEIN/WINS-CV DUTA ABADI/III/2026"/>
    <s v="CV. DA/2/300"/>
    <x v="9"/>
    <x v="3"/>
    <s v="6 Roda"/>
    <d v="2026-04-01T00:00:00"/>
    <n v="3940"/>
    <n v="13430"/>
    <n v="9490"/>
    <m/>
    <d v="1899-12-30T20:10:00"/>
    <d v="1899-12-30T20:42:00"/>
    <s v="samsira"/>
    <s v="TAMRIN"/>
    <n v="360"/>
    <s v="CV LIT"/>
    <s v="Makassar"/>
  </r>
  <r>
    <n v="1"/>
    <s v="000864"/>
    <s v="RBDPL000864DA"/>
    <s v="DP 9856 GA"/>
    <s v="006/OLEIN/WINS-CV DUTA ABADI/III/2026"/>
    <s v="CV. DA/2/300"/>
    <x v="9"/>
    <x v="3"/>
    <s v="6 Roda"/>
    <d v="2026-04-01T00:00:00"/>
    <n v="3870"/>
    <n v="13190"/>
    <n v="9320"/>
    <m/>
    <d v="1899-12-30T18:02:00"/>
    <d v="1899-12-30T18:38:00"/>
    <s v="samsira"/>
    <s v="HARI ASHARI"/>
    <n v="360"/>
    <s v="CV LIT"/>
    <s v="Makassar"/>
  </r>
  <r>
    <n v="1"/>
    <s v="000863"/>
    <s v="RBDPL000863DA"/>
    <s v="DP 8172 GN"/>
    <s v="006/OLEIN/WINS-CV DUTA ABADI/III/2026"/>
    <s v="CV. DA/2/300"/>
    <x v="9"/>
    <x v="3"/>
    <s v="6 Roda"/>
    <d v="2026-04-01T00:00:00"/>
    <n v="4010"/>
    <n v="13560"/>
    <n v="9550"/>
    <m/>
    <d v="1899-12-30T17:42:00"/>
    <d v="1899-12-30T18:12:00"/>
    <s v="samsira"/>
    <s v="HALIK"/>
    <n v="360"/>
    <s v="CV LIT"/>
    <s v="Makassar"/>
  </r>
  <r>
    <n v="1"/>
    <s v="000862"/>
    <s v="RBDPL000862HSA"/>
    <s v="DD 8711 XX"/>
    <s v="003/OLEIN/WINS-CV HAS/III/2026"/>
    <s v="CV HSA/2/100"/>
    <x v="7"/>
    <x v="3"/>
    <s v="10 Roda"/>
    <d v="2026-04-01T00:00:00"/>
    <n v="10650"/>
    <n v="25110"/>
    <n v="14460"/>
    <m/>
    <d v="1899-12-30T16:33:00"/>
    <d v="1899-12-30T17:58:00"/>
    <s v="Datu"/>
    <s v="RONI RAKAN"/>
    <n v="360"/>
    <s v="CV WIL"/>
    <s v="Makassar"/>
  </r>
  <r>
    <n v="1"/>
    <s v="000861"/>
    <s v="RBDPL000861HSA"/>
    <s v="B 1918 SXX"/>
    <s v="003/OLEIN/WINS-CV HAS/III/2026"/>
    <s v="CV HSA/2/100"/>
    <x v="7"/>
    <x v="3"/>
    <s v="10 Roda"/>
    <d v="2026-04-01T00:00:00"/>
    <n v="11930"/>
    <n v="27020"/>
    <n v="15090"/>
    <m/>
    <d v="1899-12-30T16:21:00"/>
    <d v="1899-12-30T17:27:00"/>
    <s v="Datu"/>
    <s v="WALDI"/>
    <n v="360"/>
    <s v="CV WIL"/>
    <s v="Makassar"/>
  </r>
  <r>
    <n v="1"/>
    <s v="000860"/>
    <s v="CPO000860JAS"/>
    <s v="DD 9236 XX"/>
    <s v="010/CPO/JM-WINS/I/2026"/>
    <s v="PT. JAS MULIA / 10 / 500"/>
    <x v="3"/>
    <x v="1"/>
    <s v="12 Roda"/>
    <d v="2026-04-01T00:00:00"/>
    <n v="46010"/>
    <n v="17350"/>
    <n v="28660"/>
    <n v="28450"/>
    <d v="1899-12-30T12:09:00"/>
    <d v="1899-12-30T17:35:00"/>
    <s v="Datu"/>
    <s v="IBRAHIM"/>
    <n v="68"/>
    <s v="WIL"/>
    <s v="Bone Bone"/>
  </r>
  <r>
    <n v="1"/>
    <s v="000859"/>
    <s v="CPO000859JAS"/>
    <s v="BM 8315 QO"/>
    <s v="010/CPO/JM-WINS/I/2026"/>
    <s v="PT. JAS MULIA / 10 / 500"/>
    <x v="3"/>
    <x v="1"/>
    <s v="12 Roda"/>
    <d v="2026-04-01T00:00:00"/>
    <n v="45900"/>
    <n v="17250"/>
    <n v="28650"/>
    <n v="28300"/>
    <d v="1899-12-30T12:08:00"/>
    <d v="1899-12-30T17:29:00"/>
    <s v="Datu"/>
    <s v="IQBAL"/>
    <n v="68"/>
    <s v="WIL"/>
    <s v="Bone Bone"/>
  </r>
  <r>
    <n v="1"/>
    <s v="000869"/>
    <s v="RBDPL000869DA"/>
    <s v="DP 8762 GH"/>
    <s v="006/OLEIN/WINS-CV DUTA ABADI/III/2026"/>
    <s v="CV. DA/2/300"/>
    <x v="9"/>
    <x v="3"/>
    <s v="6 Roda"/>
    <d v="2026-04-02T00:00:00"/>
    <n v="3850"/>
    <n v="13280"/>
    <n v="9430"/>
    <m/>
    <d v="1899-12-30T10:10:00"/>
    <d v="1899-12-30T10:38:00"/>
    <s v="Datu"/>
    <s v="IRFAN"/>
    <n v="360"/>
    <s v="CV LIT"/>
    <s v="Makassar"/>
  </r>
  <r>
    <n v="1"/>
    <s v="000878"/>
    <s v="RBDPL000878BJL"/>
    <s v="DP 8004 GJ"/>
    <s v="001/OLEIN/WINS-BJL/II/2026"/>
    <s v="BJL/1/1000"/>
    <x v="6"/>
    <x v="3"/>
    <s v="6 Roda"/>
    <d v="2026-04-02T00:00:00"/>
    <n v="4180"/>
    <n v="13670"/>
    <n v="9490"/>
    <m/>
    <d v="1899-12-30T22:27:00"/>
    <d v="1899-12-30T23:24:00"/>
    <s v="samsira"/>
    <s v="MURKAS"/>
    <n v="562"/>
    <s v="EXTERNAL"/>
    <s v="Palu"/>
  </r>
  <r>
    <n v="1"/>
    <s v="000877"/>
    <s v="RBDPL000877BJL"/>
    <s v="DD 8622 KB"/>
    <s v="001/OLEIN/WINS-BJL/II/2026"/>
    <s v="BJL/1/1000"/>
    <x v="6"/>
    <x v="3"/>
    <s v="6 Roda"/>
    <d v="2026-04-02T00:00:00"/>
    <n v="4160"/>
    <n v="12670"/>
    <n v="8510"/>
    <m/>
    <d v="1899-12-30T22:09:00"/>
    <d v="1899-12-30T22:47:00"/>
    <s v="samsira"/>
    <s v="SYAHRUL SYAM"/>
    <n v="562"/>
    <s v="EXTERNAL"/>
    <s v="Palu"/>
  </r>
  <r>
    <n v="1"/>
    <s v="000876"/>
    <s v="RBDPL000876BJL"/>
    <s v="DN 8648 GA"/>
    <s v="001/OLEIN/WINS-BJL/II/2026"/>
    <s v="BJL/1/1000"/>
    <x v="6"/>
    <x v="3"/>
    <s v="6 Roda"/>
    <d v="2026-04-02T00:00:00"/>
    <n v="3810"/>
    <n v="13070"/>
    <n v="9260"/>
    <m/>
    <d v="1899-12-30T21:08:00"/>
    <d v="1899-12-30T22:11:00"/>
    <s v="samsira"/>
    <s v="IGNATIUS ALI P"/>
    <n v="562"/>
    <s v="EXTERNAL"/>
    <s v="Palu"/>
  </r>
  <r>
    <n v="1"/>
    <s v="000874"/>
    <s v="RBDPL000874BJL"/>
    <s v="DP 8953 DK"/>
    <s v="001/OLEIN/WINS-BJL/II/2026"/>
    <s v="BJL/1/1000"/>
    <x v="6"/>
    <x v="3"/>
    <s v="6 Roda"/>
    <d v="2026-04-02T00:00:00"/>
    <n v="4350"/>
    <n v="13480"/>
    <n v="9130"/>
    <m/>
    <d v="1899-12-30T20:18:00"/>
    <d v="1899-12-30T20:54:00"/>
    <s v="samsira"/>
    <s v="MUH. ARIF"/>
    <n v="562"/>
    <s v="EXTERNAL"/>
    <s v="Palu"/>
  </r>
  <r>
    <n v="1"/>
    <s v="000870"/>
    <s v="RBDPL000870BJL"/>
    <s v="DP 8798 GH"/>
    <s v="001/OLEIN/WINS-BJL/II/2026"/>
    <s v="BJL/1/1000"/>
    <x v="6"/>
    <x v="3"/>
    <s v="6 Roda"/>
    <d v="2026-04-02T00:00:00"/>
    <n v="3980"/>
    <n v="13510"/>
    <n v="9530"/>
    <m/>
    <d v="1899-12-30T16:33:00"/>
    <d v="1899-12-30T16:58:00"/>
    <s v="samsira"/>
    <s v="MUHAMMAD RAYHAN"/>
    <n v="562"/>
    <s v="EXTERNAL"/>
    <s v="Palu"/>
  </r>
  <r>
    <n v="1"/>
    <s v="000875"/>
    <s v="RBDPL000875HSA"/>
    <s v="DP 8935 UA"/>
    <s v="003/OLEIN/WINS-CV HAS/III/2026"/>
    <s v="CV HSA/2/100"/>
    <x v="7"/>
    <x v="3"/>
    <s v="6 Roda"/>
    <d v="2026-04-02T00:00:00"/>
    <n v="3980"/>
    <n v="14100"/>
    <n v="10120"/>
    <m/>
    <d v="1899-12-30T21:06:00"/>
    <d v="1899-12-30T21:55:00"/>
    <s v="samsira"/>
    <s v="BASO"/>
    <n v="360"/>
    <s v="CV LIT"/>
    <s v="Makassar"/>
  </r>
  <r>
    <n v="1"/>
    <s v="000872"/>
    <s v="RBDPL000872HSA"/>
    <s v="DD 9236 XX"/>
    <s v="008/OLEIN/WINS-CV HSA/III/2026"/>
    <s v="CV HSA/3/100"/>
    <x v="7"/>
    <x v="3"/>
    <s v="12 Roda"/>
    <d v="2026-04-02T00:00:00"/>
    <n v="17510"/>
    <n v="46430"/>
    <n v="28920"/>
    <m/>
    <d v="1899-12-30T18:05:00"/>
    <d v="1899-12-30T19:10:00"/>
    <s v="samsira"/>
    <s v="IBRAHIM"/>
    <n v="360"/>
    <s v="CV WIL"/>
    <s v="Makassar"/>
  </r>
  <r>
    <n v="1"/>
    <s v="000871"/>
    <s v="RBDPL000871HSA"/>
    <s v="DP 8568 GF"/>
    <s v="003/OLEIN/WINS-CV HAS/III/2026"/>
    <s v="CV HSA/2/100"/>
    <x v="7"/>
    <x v="3"/>
    <s v="6 Roda"/>
    <d v="2026-04-02T00:00:00"/>
    <n v="4150"/>
    <n v="13780"/>
    <n v="9630"/>
    <m/>
    <d v="1899-12-30T17:37:00"/>
    <d v="1899-12-30T18:29:00"/>
    <s v="samsira"/>
    <s v="AKMAL TAMRIN"/>
    <n v="360"/>
    <s v="CV LIT"/>
    <s v="Makassar"/>
  </r>
  <r>
    <n v="1"/>
    <s v="000873"/>
    <s v="RBDPL000873DA"/>
    <s v="BM 8315 QO"/>
    <s v="006/OLEIN/WINS-CV DUTA ABADI/III/2026"/>
    <s v="CV. DA/2/300"/>
    <x v="9"/>
    <x v="3"/>
    <s v="12 Roda"/>
    <d v="2026-04-02T00:00:00"/>
    <n v="17460"/>
    <n v="46390"/>
    <n v="28930"/>
    <m/>
    <d v="1899-12-30T18:49:00"/>
    <d v="1899-12-30T20:13:00"/>
    <s v="samsira"/>
    <s v="IQBAL"/>
    <n v="360"/>
    <s v="CV WIL"/>
    <s v="Makassar"/>
  </r>
  <r>
    <n v="1"/>
    <s v="000096"/>
    <s v="CPO000096JAS"/>
    <s v="BH 8459 MY"/>
    <s v="010/CPO/JM-WINS/I/2026"/>
    <s v="PT. JAS MULIA / 10 / 500"/>
    <x v="3"/>
    <x v="1"/>
    <s v="10 Roda"/>
    <d v="2026-04-02T00:00:00"/>
    <n v="26830"/>
    <n v="12210"/>
    <n v="14620"/>
    <n v="14540"/>
    <d v="1899-12-30T14:42:00"/>
    <d v="1899-12-30T17:52:00"/>
    <s v="Datu"/>
    <s v="HAMSAL"/>
    <n v="68"/>
    <s v="WIL"/>
    <s v="Bone Bone"/>
  </r>
  <r>
    <n v="1"/>
    <s v="000880"/>
    <s v="RBDPL000880BJL"/>
    <s v="DP8953 DK"/>
    <s v="001/OLEIN/WINS-BJL/II/2026"/>
    <s v="BJL/1/1000"/>
    <x v="6"/>
    <x v="3"/>
    <s v="6 Roda"/>
    <d v="2026-04-03T00:00:00"/>
    <n v="4370"/>
    <n v="13380"/>
    <n v="9010"/>
    <m/>
    <d v="1899-12-30T23:02:00"/>
    <d v="1899-12-30T00:14:00"/>
    <s v="samsira"/>
    <s v="MUH. ARIF"/>
    <n v="562"/>
    <s v="EXTERNAL"/>
    <s v="Palu"/>
  </r>
  <r>
    <n v="1"/>
    <s v="000881"/>
    <s v="RBDPL000881SCM"/>
    <s v="DP 8004 GJ"/>
    <s v="004/OLEIN/WINS-CV SCM/III/2026"/>
    <s v="CV. SCM/1/500"/>
    <x v="8"/>
    <x v="3"/>
    <s v="6 Roda"/>
    <d v="2026-04-04T00:00:00"/>
    <n v="4210"/>
    <n v="13720"/>
    <n v="9510"/>
    <m/>
    <d v="1899-12-30T09:34:00"/>
    <d v="1899-12-30T10:26:00"/>
    <s v="Datu"/>
    <s v="MURKAS"/>
    <n v="400"/>
    <s v="EXTERNAL"/>
    <s v="Gowa"/>
  </r>
  <r>
    <n v="1"/>
    <s v="000882"/>
    <s v="RBDPL000882HSA"/>
    <s v="DC 8141 AS"/>
    <s v="008/OLEIN/WINS-CV HSA/III/2026"/>
    <s v="CV HSA/3/100"/>
    <x v="7"/>
    <x v="3"/>
    <s v="6 Roda"/>
    <d v="2026-04-04T00:00:00"/>
    <n v="4010"/>
    <n v="13520"/>
    <n v="9510"/>
    <m/>
    <d v="1899-12-30T09:43:00"/>
    <d v="1899-12-30T10:34:00"/>
    <s v="Datu"/>
    <s v="TAMRIN"/>
    <n v="360"/>
    <s v="CV LIT"/>
    <s v="Makassar"/>
  </r>
  <r>
    <n v="1"/>
    <s v="000883"/>
    <s v="RBDPL000883BJL"/>
    <s v="DP 8031 GP"/>
    <s v="001/OLEIN/WINS-BJL/II/2026"/>
    <s v="BJL/1/1000"/>
    <x v="6"/>
    <x v="3"/>
    <s v="6 Roda"/>
    <d v="2026-04-04T00:00:00"/>
    <n v="3930"/>
    <n v="12950"/>
    <n v="9020"/>
    <m/>
    <d v="1899-12-30T10:38:00"/>
    <d v="1899-12-30T11:28:00"/>
    <s v="Datu"/>
    <s v="ADITYA PUTRA"/>
    <n v="562"/>
    <s v="EXTERNAL"/>
    <s v="Palu"/>
  </r>
  <r>
    <n v="1"/>
    <s v="000884"/>
    <s v="RBDPL000884SCM"/>
    <s v="DP 8798 GH "/>
    <s v="004/OLEIN/WINS-CV SCM/III/2026"/>
    <s v="CV. SCM/1/500"/>
    <x v="8"/>
    <x v="3"/>
    <s v="6 Roda"/>
    <d v="2026-04-04T00:00:00"/>
    <n v="4100"/>
    <n v="13630"/>
    <n v="9530"/>
    <m/>
    <d v="1899-12-30T10:42:00"/>
    <d v="1899-12-30T11:19:00"/>
    <s v="Datu"/>
    <s v="MUHAMMAD RAYHAN"/>
    <n v="400"/>
    <s v="EXTERNAL"/>
    <s v="Gowa"/>
  </r>
  <r>
    <n v="1"/>
    <s v="000885"/>
    <s v="RBDPL000885HSA"/>
    <s v="DP 8172 GN "/>
    <s v="008/OLEIN/WINS-CV HSA/III/2026"/>
    <s v="CV HSA/3/100"/>
    <x v="7"/>
    <x v="3"/>
    <s v="6 Roda"/>
    <d v="2026-04-04T00:00:00"/>
    <n v="3960"/>
    <n v="13520"/>
    <n v="9560"/>
    <m/>
    <d v="1899-12-30T11:24:00"/>
    <d v="1899-12-30T11:51:00"/>
    <s v="Datu"/>
    <s v="HALIK"/>
    <n v="360"/>
    <s v="CV LIT"/>
    <s v="Makassar"/>
  </r>
  <r>
    <n v="1"/>
    <s v="000886"/>
    <s v="RBDPL000886HSA"/>
    <s v="DP 9856 GA"/>
    <s v="008/OLEIN/WINS-CV HSA/III/2026"/>
    <s v="CV HSA/3/100"/>
    <x v="7"/>
    <x v="3"/>
    <s v="6 Roda"/>
    <d v="2026-04-04T00:00:00"/>
    <n v="3910"/>
    <n v="13230"/>
    <n v="9320"/>
    <m/>
    <d v="1899-12-30T11:36:00"/>
    <d v="1899-12-30T12:04:00"/>
    <s v="Datu"/>
    <s v="HARI ASHARI"/>
    <n v="360"/>
    <s v="CV LIT"/>
    <s v="Makassar"/>
  </r>
  <r>
    <n v="1"/>
    <s v="000887"/>
    <s v="RBDPL000887DA"/>
    <s v="DP 8350 FD"/>
    <s v="006/OLEIN/WINS-CV DUTA ABADI/III/2026"/>
    <s v="CV. DA/2/300"/>
    <x v="9"/>
    <x v="3"/>
    <s v="6 Roda"/>
    <d v="2026-04-04T00:00:00"/>
    <n v="3850"/>
    <n v="13430"/>
    <n v="9580"/>
    <m/>
    <d v="1899-12-30T11:56:00"/>
    <d v="1899-12-30T12:20:00"/>
    <s v="Datu"/>
    <s v="USMAN"/>
    <n v="360"/>
    <s v="CV LIT"/>
    <s v="Makassar"/>
  </r>
  <r>
    <n v="1"/>
    <s v="000889"/>
    <s v="RBDPL000889DA"/>
    <s v="DP 8739 GO"/>
    <s v="006/OLEIN/WINS-CV DUTA ABADI/III/2026"/>
    <s v="CV. DA/2/300"/>
    <x v="9"/>
    <x v="3"/>
    <s v="6 Roda"/>
    <d v="2026-04-04T00:00:00"/>
    <n v="4040"/>
    <n v="13350"/>
    <n v="9310"/>
    <m/>
    <d v="1899-12-30T13:40:00"/>
    <d v="1899-12-30T14:16:00"/>
    <s v="samsira"/>
    <s v="ABD. HAMID"/>
    <n v="360"/>
    <s v="CV LIT"/>
    <s v="Makassar"/>
  </r>
  <r>
    <n v="1"/>
    <s v="000888"/>
    <s v="RBDPL000888HSA"/>
    <s v="DP 8732 GK"/>
    <s v="011/OLEIN/WINS-HSA/III/2026"/>
    <s v="CV HSA/4/100"/>
    <x v="7"/>
    <x v="3"/>
    <s v="6 Roda"/>
    <d v="2026-04-04T00:00:00"/>
    <n v="4210"/>
    <n v="14370"/>
    <n v="10160"/>
    <m/>
    <d v="1899-12-30T13:38:00"/>
    <d v="1899-12-30T14:08:00"/>
    <s v="samsira"/>
    <s v="BAHTIAR"/>
    <n v="360"/>
    <s v="CV LIT"/>
    <s v="Makassar"/>
  </r>
  <r>
    <n v="1"/>
    <s v="000890"/>
    <s v="RBDPL000890HSA"/>
    <s v="DP 8762 GH"/>
    <s v="011/OLEIN/WINS-HSA/III/2026"/>
    <s v="CV HSA/4/100"/>
    <x v="7"/>
    <x v="3"/>
    <s v="6 Roda"/>
    <d v="2026-04-04T00:00:00"/>
    <n v="3860"/>
    <n v="13290"/>
    <n v="9430"/>
    <m/>
    <d v="1899-12-30T16:02:00"/>
    <d v="1899-12-30T16:24:00"/>
    <s v="samsira"/>
    <s v="IRFAN"/>
    <n v="360"/>
    <s v="CV LIT"/>
    <s v="Makassar"/>
  </r>
  <r>
    <n v="1"/>
    <s v="000098"/>
    <s v="CPO000098JAS"/>
    <s v="BH 8459 MY"/>
    <s v="010/CPO/JM-WINS/I/2026"/>
    <s v="PT. JAS MULIA / 10 / 500"/>
    <x v="3"/>
    <x v="1"/>
    <s v="10 Roda"/>
    <d v="2026-04-04T00:00:00"/>
    <n v="26760"/>
    <n v="12400"/>
    <n v="14360"/>
    <n v="14530"/>
    <d v="1899-12-30T08:49:00"/>
    <d v="1899-12-30T11:30:00"/>
    <s v="Datu"/>
    <s v="HAMSAL"/>
    <n v="68"/>
    <s v="WIL"/>
    <s v="Bone Bone"/>
  </r>
  <r>
    <n v="1"/>
    <s v="000099"/>
    <s v="CPO000099JAS"/>
    <s v="B 1918 SXX"/>
    <s v="010/CPO/JM-WINS/I/2026"/>
    <s v="PT. JAS MULIA / 10 / 500"/>
    <x v="3"/>
    <x v="1"/>
    <s v="10 Roda"/>
    <d v="2026-04-04T00:00:00"/>
    <n v="26660"/>
    <n v="11790"/>
    <n v="14870"/>
    <n v="14830"/>
    <d v="1899-12-30T14:42:00"/>
    <d v="1899-12-30T15:56:00"/>
    <s v="samsira"/>
    <s v="WALDI"/>
    <n v="68"/>
    <s v="WIL"/>
    <s v="Bone Bone"/>
  </r>
  <r>
    <n v="1"/>
    <s v="000100"/>
    <s v="CPO000100JAS"/>
    <s v="DD 8711 XX"/>
    <s v="010/CPO/JM-WINS/I/2026"/>
    <s v="PT. JAS MULIA / 10 / 500"/>
    <x v="3"/>
    <x v="1"/>
    <s v="10 Roda"/>
    <d v="2026-04-04T00:00:00"/>
    <n v="24980"/>
    <n v="10710"/>
    <n v="14270"/>
    <n v="14230"/>
    <d v="1899-12-30T15:55:00"/>
    <d v="1899-12-30T16:50:00"/>
    <s v="samsira"/>
    <s v="RONI RAKAN"/>
    <n v="68"/>
    <s v="WIL"/>
    <s v="Bone Bone"/>
  </r>
  <r>
    <n v="1"/>
    <s v="000101"/>
    <s v="CPO000101JAS"/>
    <s v="BH 8459 MY"/>
    <s v="010/CPO/JM-WINS/I/2026"/>
    <s v="PT. JAS MULIA / 10 / 500"/>
    <x v="3"/>
    <x v="1"/>
    <s v="10 Roda"/>
    <d v="2026-04-04T00:00:00"/>
    <n v="26670"/>
    <n v="12090"/>
    <n v="14580"/>
    <n v="14280"/>
    <d v="1899-12-30T16:31:00"/>
    <d v="1899-12-30T17:10:00"/>
    <s v="samsira"/>
    <s v="HAMSAL"/>
    <n v="68"/>
    <s v="WIL"/>
    <s v="Bone Bone"/>
  </r>
  <r>
    <n v="1"/>
    <s v="000892"/>
    <s v="RBDPL000892WIN"/>
    <s v="DD 9236 XX"/>
    <s v="013/OLEIN/WINS-WIN/IV/2026"/>
    <s v="WIN/1/28860"/>
    <x v="11"/>
    <x v="3"/>
    <s v="12 Roda"/>
    <d v="2026-04-06T00:00:00"/>
    <n v="46130"/>
    <n v="17270"/>
    <n v="28860"/>
    <m/>
    <d v="1899-12-30T15:37:00"/>
    <d v="1899-12-30T16:58:00"/>
    <s v="samsira"/>
    <s v="IBRAHIM"/>
    <n v="642"/>
    <s v="CV WIL"/>
    <s v="Torobulu"/>
  </r>
  <r>
    <n v="1"/>
    <s v="000895"/>
    <s v="RBDPL000895DA"/>
    <s v="DP 8935 UA"/>
    <s v="006/OLEIN/WINS-CV DUTA ABADI/III/2026"/>
    <s v="CV. DA/2/300"/>
    <x v="9"/>
    <x v="3"/>
    <s v="6 Roda"/>
    <d v="2026-04-06T00:00:00"/>
    <n v="14050"/>
    <n v="3930"/>
    <n v="10120"/>
    <m/>
    <d v="1899-12-30T16:30:00"/>
    <d v="1899-12-30T17:19:00"/>
    <s v="Datu"/>
    <s v="BASO"/>
    <n v="360"/>
    <s v="CV LIT"/>
    <s v="Makassar"/>
  </r>
  <r>
    <n v="1"/>
    <s v="000896"/>
    <s v="RBDPL000896DA"/>
    <s v="DD 8607 SM"/>
    <s v="006/OLEIN/WINS-CV DUTA ABADI/III/2026"/>
    <s v="CV. DA/2/300"/>
    <x v="9"/>
    <x v="3"/>
    <s v="6 Roda"/>
    <d v="2026-04-06T00:00:00"/>
    <n v="12470"/>
    <n v="4070"/>
    <n v="8400"/>
    <m/>
    <d v="1899-12-30T16:37:00"/>
    <d v="1899-12-30T18:00:00"/>
    <s v="Datu"/>
    <s v="HERMAN HAFID"/>
    <n v="360"/>
    <s v="EXTERNAL"/>
    <s v="Makassar"/>
  </r>
  <r>
    <n v="1"/>
    <s v="000893"/>
    <s v="RBDPL000893HSA"/>
    <s v="DP 8662 GH"/>
    <s v="011/OLEIN/WINS-HSA/III/2026"/>
    <s v="CV HSA/4/100"/>
    <x v="7"/>
    <x v="3"/>
    <s v="6 Roda"/>
    <d v="2026-04-06T00:00:00"/>
    <n v="14030"/>
    <n v="3880"/>
    <n v="10150"/>
    <m/>
    <d v="1899-12-30T16:22:00"/>
    <d v="1899-12-30T17:07:00"/>
    <s v="Datu"/>
    <s v="MUHAMMAD YUSUF"/>
    <n v="360"/>
    <s v="CV LIT"/>
    <s v="Makassar"/>
  </r>
  <r>
    <n v="1"/>
    <s v="000894"/>
    <s v="RBDPL000894HSA"/>
    <s v="DP 8350 FD"/>
    <s v="011/OLEIN/WINS-HSA/III/2026"/>
    <s v="CV HSA/4/100"/>
    <x v="7"/>
    <x v="3"/>
    <s v="6 Roda"/>
    <d v="2026-04-06T00:00:00"/>
    <n v="13470"/>
    <n v="3890"/>
    <n v="9580"/>
    <m/>
    <d v="1899-12-30T16:27:00"/>
    <d v="1899-12-30T17:31:00"/>
    <s v="Datu"/>
    <s v="USMAN"/>
    <n v="360"/>
    <s v="CV LIT"/>
    <s v="Makassar"/>
  </r>
  <r>
    <n v="1"/>
    <s v="000897"/>
    <s v="RBDPL000897HSA"/>
    <s v="DP 8568 GF"/>
    <s v="011/OLEIN/WINS-HSA/III/2026"/>
    <s v="CV HSA/4/100"/>
    <x v="7"/>
    <x v="3"/>
    <s v="6 Roda"/>
    <d v="2026-04-06T00:00:00"/>
    <n v="13790"/>
    <n v="4170"/>
    <n v="9620"/>
    <m/>
    <d v="1899-12-30T17:30:00"/>
    <d v="1899-12-30T18:36:00"/>
    <s v="Datu"/>
    <s v="AKMAL TAMRIN"/>
    <n v="360"/>
    <s v="CV LIT"/>
    <s v="Makassar"/>
  </r>
  <r>
    <n v="1"/>
    <s v="000900"/>
    <s v="RBDPL000900SCM"/>
    <s v="DP 8798 GH"/>
    <s v="004/OLEIN/WINS-CV SCM/III/2026"/>
    <s v="CV. SCM/1/500"/>
    <x v="8"/>
    <x v="3"/>
    <s v="6 Roda"/>
    <d v="2026-04-06T00:00:00"/>
    <n v="13610"/>
    <n v="4080"/>
    <n v="9530"/>
    <m/>
    <d v="1899-12-30T19:23:00"/>
    <d v="1899-12-30T19:46:00"/>
    <s v="Datu"/>
    <s v="MUHAMMAD RAYHAN"/>
    <n v="400"/>
    <s v="CV LIT"/>
    <s v="Gowa"/>
  </r>
  <r>
    <n v="1"/>
    <s v="000901"/>
    <s v="RBDPL000901BJL"/>
    <s v="DN 8492 CU"/>
    <s v="001/OLEIN/WINS-BJL/II/2026"/>
    <s v="BJL/1/1000"/>
    <x v="6"/>
    <x v="3"/>
    <s v="6 Roda"/>
    <d v="2026-04-06T00:00:00"/>
    <n v="13680"/>
    <n v="3980"/>
    <n v="9700"/>
    <m/>
    <d v="1899-12-30T20:02:00"/>
    <d v="1899-12-30T21:00:00"/>
    <s v="Datu"/>
    <s v="ARHAM AKBAR"/>
    <n v="562"/>
    <s v="EXTERNAL"/>
    <s v="Palu"/>
  </r>
  <r>
    <n v="1"/>
    <s v="000902"/>
    <s v="RBDPL000902BJL"/>
    <s v="DP 9826 GA"/>
    <s v="001/OLEIN/WINS-BJL/II/2026"/>
    <s v="BJL/1/1000"/>
    <x v="6"/>
    <x v="3"/>
    <s v="6 Roda"/>
    <d v="2026-04-06T00:00:00"/>
    <n v="13990"/>
    <n v="4030"/>
    <n v="9960"/>
    <m/>
    <d v="1899-12-30T20:04:00"/>
    <d v="1899-12-30T21:21:00"/>
    <s v="Datu"/>
    <s v="AIDIL ASWAR"/>
    <n v="562"/>
    <s v="EXTERNAL"/>
    <s v="Palu"/>
  </r>
  <r>
    <n v="1"/>
    <s v="000903"/>
    <s v="RBDPL000903BJL"/>
    <s v="DP 8953 DK"/>
    <s v="001/OLEIN/WINS-BJL/II/2026"/>
    <s v="BJL/1/1000"/>
    <x v="6"/>
    <x v="3"/>
    <s v="6 Roda"/>
    <d v="2026-04-06T00:00:00"/>
    <n v="13280"/>
    <n v="4300"/>
    <n v="8980"/>
    <m/>
    <d v="1899-12-30T21:56:00"/>
    <d v="1899-12-30T22:15:00"/>
    <s v="Datu"/>
    <s v="MUH. ARIF"/>
    <n v="562"/>
    <s v="EXTERNAL"/>
    <s v="Palu"/>
  </r>
  <r>
    <n v="1"/>
    <s v="000898"/>
    <s v="RBDPL000898BJL"/>
    <s v="DP 8953 DK"/>
    <s v="001/OLEIN/WINS-BJL/II/2026"/>
    <s v="BJL/1/1000"/>
    <x v="6"/>
    <x v="3"/>
    <s v="6 Roda"/>
    <d v="2026-04-06T00:00:00"/>
    <n v="13440"/>
    <n v="4300"/>
    <n v="9140"/>
    <m/>
    <d v="1899-12-30T18:46:00"/>
    <d v="1899-12-30T19:13:00"/>
    <s v="Datu"/>
    <s v="MUH. ARIF"/>
    <n v="562"/>
    <s v="EXTERNAL"/>
    <s v="Palu"/>
  </r>
  <r>
    <n v="1"/>
    <s v="000899"/>
    <s v="RBDPL000899BJL"/>
    <s v="DN 8648  GA"/>
    <s v="001/OLEIN/WINS-BJL/II/2026"/>
    <s v="BJL/1/1000"/>
    <x v="6"/>
    <x v="3"/>
    <s v="6 Roda"/>
    <d v="2026-04-06T00:00:00"/>
    <n v="13030"/>
    <n v="3780"/>
    <n v="9250"/>
    <m/>
    <d v="1899-12-30T19:12:00"/>
    <d v="1899-12-30T19:47:00"/>
    <s v="Datu"/>
    <s v="IGNATIUS ALI P"/>
    <n v="562"/>
    <s v="EXTERNAL"/>
    <s v="Palu"/>
  </r>
  <r>
    <n v="1"/>
    <s v="000102"/>
    <s v="CPO000102JAS"/>
    <s v="DD 8711 XX"/>
    <s v="010/CPO/JM-WINS/I/2026"/>
    <s v="PT. JAS MULIA / 10 / 500"/>
    <x v="3"/>
    <x v="1"/>
    <s v="10 Roda"/>
    <d v="2026-04-06T00:00:00"/>
    <n v="24950"/>
    <n v="10680"/>
    <n v="14270"/>
    <n v="14240"/>
    <d v="1899-12-30T14:15:00"/>
    <d v="1899-12-30T15:39:00"/>
    <s v="samsira"/>
    <s v="RONI RAKAN"/>
    <n v="68"/>
    <s v="WIL"/>
    <s v="Bone Bone"/>
  </r>
  <r>
    <n v="1"/>
    <s v="000103"/>
    <s v="CPO000103JAS"/>
    <s v="BH 8459 MY"/>
    <s v="010/CPO/JM-WINS/I/2026"/>
    <s v="PT. JAS MULIA / 10 / 500"/>
    <x v="3"/>
    <x v="1"/>
    <s v="10 Roda"/>
    <d v="2026-04-06T00:00:00"/>
    <n v="26760"/>
    <n v="12160"/>
    <n v="14600"/>
    <n v="14560"/>
    <d v="1899-12-30T14:59:00"/>
    <d v="1899-12-30T16:22:00"/>
    <s v="samsira"/>
    <s v="HAMSAL"/>
    <n v="68"/>
    <s v="WIL"/>
    <s v="Bone Bone"/>
  </r>
  <r>
    <n v="1"/>
    <s v="000104"/>
    <s v="CPO000104JAS"/>
    <s v="BM 8315 QO"/>
    <s v="010/CPO/JM-WINS/I/2026"/>
    <s v="PT. JAS MULIA / 10 / 500"/>
    <x v="3"/>
    <x v="1"/>
    <s v="12 Roda"/>
    <d v="2026-04-06T00:00:00"/>
    <n v="45800"/>
    <n v="17350"/>
    <n v="28450"/>
    <n v="28400"/>
    <d v="1899-12-30T19:06:00"/>
    <d v="1899-12-30T19:58:00"/>
    <s v="Datu"/>
    <s v="IQBAL"/>
    <n v="68"/>
    <s v="WIL"/>
    <s v="Bone Bone"/>
  </r>
  <r>
    <n v="1"/>
    <s v="000904"/>
    <s v="RBDPL000904DA"/>
    <s v="DP 8762 GH"/>
    <s v="006/OLEIN/WINS-CV DUTA ABADI/III/2026"/>
    <s v="CV. DA/2/300"/>
    <x v="9"/>
    <x v="3"/>
    <s v="6 Roda"/>
    <d v="2026-04-07T00:00:00"/>
    <n v="13320"/>
    <n v="3870"/>
    <n v="9450"/>
    <m/>
    <d v="1899-12-30T10:28:00"/>
    <d v="1899-12-30T11:10:00"/>
    <s v="Datu"/>
    <s v="IRFAN"/>
    <n v="360"/>
    <s v="CV LIT"/>
    <s v="Makassar"/>
  </r>
  <r>
    <n v="1"/>
    <s v="000905"/>
    <s v="RBDPL000905DA"/>
    <s v="DP 9856 GA"/>
    <s v="006/OLEIN/WINS-CV DUTA ABADI/III/2026"/>
    <s v="CV. DA/2/300"/>
    <x v="9"/>
    <x v="3"/>
    <s v="6 Roda"/>
    <d v="2026-04-07T00:00:00"/>
    <n v="13220"/>
    <n v="3910"/>
    <n v="9310"/>
    <m/>
    <d v="1899-12-30T10:32:00"/>
    <d v="1899-12-30T11:30:00"/>
    <s v="Datu"/>
    <s v="HARI ASHARI"/>
    <n v="360"/>
    <s v="CV LIT"/>
    <s v="Makassar"/>
  </r>
  <r>
    <n v="1"/>
    <s v="000906"/>
    <s v="RBDPL000906DA"/>
    <s v="DP 8172 GN"/>
    <s v="006/OLEIN/WINS-CV DUTA ABADI/III/2026"/>
    <s v="CV. DA/2/300"/>
    <x v="9"/>
    <x v="3"/>
    <s v="6 Roda"/>
    <d v="2026-04-07T00:00:00"/>
    <n v="13580"/>
    <n v="4010"/>
    <n v="9570"/>
    <m/>
    <d v="1899-12-30T10:34:00"/>
    <d v="1899-12-30T11:53:00"/>
    <s v="Datu"/>
    <s v="HALIK"/>
    <n v="360"/>
    <s v="CV LIT"/>
    <s v="Makassar"/>
  </r>
  <r>
    <n v="1"/>
    <s v="000907"/>
    <s v="RBDPL000907DA"/>
    <s v="DC 8141 AS"/>
    <s v="006/OLEIN/WINS-CV DUTA ABADI/III/2026"/>
    <s v="CV. DA/2/300"/>
    <x v="9"/>
    <x v="3"/>
    <s v="6 Roda"/>
    <d v="2026-04-07T00:00:00"/>
    <n v="13510"/>
    <n v="3990"/>
    <n v="9520"/>
    <m/>
    <d v="1899-12-30T10:36:00"/>
    <d v="1899-12-30T12:15:00"/>
    <s v="Datu"/>
    <s v="TAMRIN"/>
    <n v="360"/>
    <s v="CV LIT"/>
    <s v="Makassar"/>
  </r>
  <r>
    <n v="1"/>
    <s v="000910"/>
    <s v="RBDPL000910DA"/>
    <s v="DP 8732 GK"/>
    <s v="006/OLEIN/WINS-CV DUTA ABADI/III/2026"/>
    <s v="CV. DA/2/300"/>
    <x v="9"/>
    <x v="3"/>
    <s v="6 Roda"/>
    <d v="2026-04-07T00:00:00"/>
    <n v="14350"/>
    <n v="4200"/>
    <n v="10150"/>
    <m/>
    <d v="1899-12-30T14:44:00"/>
    <d v="1899-12-30T15:14:00"/>
    <s v="Datu"/>
    <s v="BAHTIAR"/>
    <n v="360"/>
    <s v="CV LIT"/>
    <s v="Makassar"/>
  </r>
  <r>
    <n v="1"/>
    <s v="000911"/>
    <s v="RBDPL000911DA"/>
    <s v="DP 8935 UA"/>
    <s v="006/OLEIN/WINS-CV DUTA ABADI/III/2026"/>
    <s v="CV. DA/2/300"/>
    <x v="9"/>
    <x v="3"/>
    <s v="6 Roda"/>
    <d v="2026-04-07T00:00:00"/>
    <n v="14060"/>
    <n v="3950"/>
    <n v="10110"/>
    <m/>
    <d v="1899-12-30T17:19:00"/>
    <d v="1899-12-30T17:41:00"/>
    <s v="samsira"/>
    <s v="BASO"/>
    <n v="360"/>
    <s v="CV LIT"/>
    <s v="Makassar"/>
  </r>
  <r>
    <n v="1"/>
    <s v="000908"/>
    <s v="RBDPL000908SCM"/>
    <s v="DP 9821 GA"/>
    <s v="004/OLEIN/WINS-CV SCM/III/2026"/>
    <s v="CV. SCM/1/500"/>
    <x v="8"/>
    <x v="3"/>
    <s v="6 Roda"/>
    <d v="2026-04-07T00:00:00"/>
    <n v="13150"/>
    <n v="3750"/>
    <n v="9400"/>
    <m/>
    <d v="1899-12-30T13:00:00"/>
    <d v="1899-12-30T13:57:00"/>
    <s v="Datu"/>
    <s v="YEMDRI"/>
    <n v="400"/>
    <s v="EXTERNAL"/>
    <s v="Gowa"/>
  </r>
  <r>
    <n v="1"/>
    <s v="000909"/>
    <s v="RBDPL000909BJL"/>
    <s v="DW 8703 MF"/>
    <s v="001/OLEIN/WINS-BJL/II/2026"/>
    <s v="BJL/1/1000"/>
    <x v="6"/>
    <x v="3"/>
    <s v="6 Roda"/>
    <d v="2026-04-07T00:00:00"/>
    <n v="13420"/>
    <n v="4090"/>
    <n v="9330"/>
    <m/>
    <d v="1899-12-30T14:08:00"/>
    <d v="1899-12-30T14:35:00"/>
    <s v="Datu"/>
    <s v="HERLIN"/>
    <n v="562"/>
    <s v="EXTERNAL"/>
    <s v="Palu"/>
  </r>
  <r>
    <n v="1"/>
    <s v="000912"/>
    <s v="RBDPL000912HSA"/>
    <s v="DP 8739 GO"/>
    <s v="011/OLEIN/WINS-HSA/III/2026"/>
    <s v="CV HSA/4/100"/>
    <x v="7"/>
    <x v="3"/>
    <s v="6 Roda"/>
    <d v="2026-04-07T00:00:00"/>
    <n v="13350"/>
    <n v="4050"/>
    <n v="9300"/>
    <m/>
    <d v="1899-12-30T19:16:00"/>
    <d v="1899-12-30T19:39:00"/>
    <s v="samsira"/>
    <s v="ABD. HAMID"/>
    <n v="360"/>
    <s v="CV LIT"/>
    <s v="Makassar"/>
  </r>
  <r>
    <n v="1"/>
    <s v="000105"/>
    <s v="CPO000105JAS"/>
    <s v="BM 8315 QO"/>
    <s v="010/CPO/JM-WINS/I/2026"/>
    <s v="PT. JAS MULIA / 10 / 500"/>
    <x v="3"/>
    <x v="1"/>
    <s v="12 Roda"/>
    <d v="2026-04-07T00:00:00"/>
    <n v="45850"/>
    <n v="17360"/>
    <n v="28490"/>
    <n v="28530"/>
    <d v="1899-12-30T10:54:00"/>
    <d v="1899-12-30T14:17:00"/>
    <s v="Datu"/>
    <s v="IQBAL"/>
    <n v="68"/>
    <s v="WIL"/>
    <s v="Bone Bone"/>
  </r>
  <r>
    <n v="1"/>
    <s v="000106"/>
    <s v="CPO000106JAS"/>
    <s v="DD 8711 XX"/>
    <s v="010/CPO/JM-WINS/I/2026"/>
    <s v="PT. JAS MULIA / 10 / 500"/>
    <x v="3"/>
    <x v="1"/>
    <s v="10 Roda"/>
    <d v="2026-04-07T00:00:00"/>
    <n v="24910"/>
    <n v="10610"/>
    <n v="14300"/>
    <n v="14260"/>
    <d v="1899-12-30T12:54:00"/>
    <d v="1899-12-30T14:32:00"/>
    <s v="Datu"/>
    <s v="RONI RAKAN"/>
    <n v="68"/>
    <s v="WIL"/>
    <s v="Bone Bone"/>
  </r>
  <r>
    <n v="1"/>
    <s v="000107"/>
    <s v="CPO000107JAS"/>
    <s v="BH 8459 MY"/>
    <s v="010/CPO/JM-WINS/I/2026"/>
    <s v="PT. JAS MULIA / 10 / 500"/>
    <x v="3"/>
    <x v="1"/>
    <s v="10 Roda"/>
    <d v="2026-04-07T00:00:00"/>
    <n v="26730"/>
    <n v="12140"/>
    <n v="14590"/>
    <n v="14560"/>
    <d v="1899-12-30T13:17:00"/>
    <d v="1899-12-30T14:35:00"/>
    <s v="Datu"/>
    <s v="HAMSAL"/>
    <n v="68"/>
    <s v="WIL"/>
    <s v="Bone Bone"/>
  </r>
  <r>
    <n v="1"/>
    <s v="000109"/>
    <s v="CPO000109JAS"/>
    <s v="BH 8459 MY"/>
    <s v="010/CPO/JM-WINS/I/2026"/>
    <s v="PT. JAS MULIA / 10 / 500"/>
    <x v="3"/>
    <x v="1"/>
    <s v="10 Roda"/>
    <d v="2026-04-07T00:00:00"/>
    <n v="26700"/>
    <n v="12120"/>
    <n v="14580"/>
    <n v="14550"/>
    <d v="1899-12-30T20:12:00"/>
    <d v="1899-12-30T21:04:00"/>
    <s v="samsira"/>
    <s v="HAMSAL"/>
    <n v="68"/>
    <s v="WIL"/>
    <s v="Bone Bone"/>
  </r>
  <r>
    <n v="1"/>
    <s v="000108"/>
    <s v="CPO000108JAS"/>
    <s v="BM 8315 QO"/>
    <s v="010/CPO/JM-WINS/I/2026"/>
    <s v="PT. JAS MULIA / 10 / 500"/>
    <x v="3"/>
    <x v="1"/>
    <s v="12 Roda"/>
    <d v="2026-04-07T00:00:00"/>
    <n v="45760"/>
    <n v="17290"/>
    <n v="28470"/>
    <n v="28410"/>
    <d v="1899-12-30T20:10:00"/>
    <d v="1899-12-30T21:02:00"/>
    <s v="samsira"/>
    <s v="IQBAL"/>
    <n v="68"/>
    <s v="WIL"/>
    <s v="Bone Bone"/>
  </r>
  <r>
    <n v="1"/>
    <s v="000918"/>
    <s v="RBDPL000918BJL"/>
    <s v="DP 8004 GJ"/>
    <s v="001/OLEIN/WINS-BJL/II/2026"/>
    <s v="BJL/1/1000"/>
    <x v="6"/>
    <x v="3"/>
    <s v="6 Roda"/>
    <d v="2026-04-08T00:00:00"/>
    <n v="4290"/>
    <n v="13740"/>
    <n v="9450"/>
    <m/>
    <d v="1899-12-30T20:27:00"/>
    <d v="1899-12-30T20:55:00"/>
    <s v="samsira/Chandra"/>
    <s v="MURKAS"/>
    <n v="562"/>
    <s v="EXTERNAL"/>
    <s v="Palu"/>
  </r>
  <r>
    <n v="1"/>
    <s v="000917"/>
    <s v="RBDPL000917BJL"/>
    <s v="DP 8953 DK"/>
    <s v="001/OLEIN/WINS-BJL/II/2026"/>
    <s v="BJL/1/1000"/>
    <x v="6"/>
    <x v="3"/>
    <s v="6 Roda"/>
    <d v="2026-04-08T00:00:00"/>
    <n v="4320"/>
    <n v="13410"/>
    <n v="9090"/>
    <m/>
    <d v="1899-12-30T19:00:00"/>
    <d v="1899-12-30T19:25:00"/>
    <s v="samsira/Chandra"/>
    <s v="MUH. ARIF"/>
    <n v="562"/>
    <s v="EXTERNAL"/>
    <s v="Palu"/>
  </r>
  <r>
    <n v="1"/>
    <s v="000916"/>
    <s v="RBDPL000916HSA"/>
    <s v="DP 8350 FD"/>
    <s v="011/OLEIN/WINS-HSA/III/2026"/>
    <s v="CV HSA/4/100"/>
    <x v="7"/>
    <x v="3"/>
    <s v="6 Roda"/>
    <d v="2026-04-08T00:00:00"/>
    <n v="3910"/>
    <n v="13490"/>
    <n v="9580"/>
    <m/>
    <d v="1899-12-30T17:34:00"/>
    <d v="1899-12-30T17:55:00"/>
    <s v="samsira/Chandra"/>
    <s v="USMAN"/>
    <n v="360"/>
    <s v="CV LIT"/>
    <s v="Makassar"/>
  </r>
  <r>
    <n v="1"/>
    <s v="000915"/>
    <s v="RBDPL000915HSA"/>
    <s v="DP 8662  GH"/>
    <s v="011/OLEIN/WINS-HSA/III/2026"/>
    <s v="CV HSA/4/100"/>
    <x v="7"/>
    <x v="3"/>
    <s v="6 Roda"/>
    <d v="2026-04-08T00:00:00"/>
    <n v="3950"/>
    <n v="14090"/>
    <n v="10140"/>
    <m/>
    <d v="1899-12-30T16:49:00"/>
    <d v="1899-12-30T17:38:00"/>
    <s v="samsira/Chandra"/>
    <s v="MUHAMMAD YUSUF SYAM "/>
    <n v="360"/>
    <s v="CV LIT"/>
    <s v="Makassar"/>
  </r>
  <r>
    <n v="1"/>
    <s v="000914"/>
    <s v="RBDPL000914DA"/>
    <s v="DP 8568 GF"/>
    <s v="006/OLEIN/WINS-CV DUTA ABADI/III/2026"/>
    <s v="CV. DA/2/300"/>
    <x v="9"/>
    <x v="3"/>
    <s v="6 Roda"/>
    <d v="2026-04-08T00:00:00"/>
    <n v="4170"/>
    <n v="13790"/>
    <n v="9620"/>
    <m/>
    <d v="1899-12-30T13:20:00"/>
    <d v="1899-12-30T13:59:00"/>
    <s v="samsira/Chandra"/>
    <s v="AKMAL TAMRIN"/>
    <n v="360"/>
    <s v="CV LIT"/>
    <s v="Makassar"/>
  </r>
  <r>
    <n v="1"/>
    <s v="000913"/>
    <s v="RBDPL000913DA"/>
    <s v="DD 8171 VN"/>
    <s v="006/OLEIN/WINS-CV DUTA ABADI/III/2026"/>
    <s v="CV. DA/2/300"/>
    <x v="9"/>
    <x v="3"/>
    <s v="12 Roda"/>
    <d v="2026-04-08T00:00:00"/>
    <n v="18960"/>
    <n v="42550"/>
    <n v="23590"/>
    <m/>
    <d v="1899-12-30T08:58:00"/>
    <d v="1899-12-30T17:18:00"/>
    <s v="samsira/Chandra"/>
    <s v="HARIANTO"/>
    <n v="360"/>
    <s v="EXTERNAL"/>
    <s v="Makassar"/>
  </r>
  <r>
    <n v="1"/>
    <s v="000110"/>
    <s v="CPO000110JAS"/>
    <s v="DD 8574 HG"/>
    <s v="011/CPO/JM-WINS/II/2026"/>
    <s v="PT. JAS MULIA / 11 / 500"/>
    <x v="3"/>
    <x v="1"/>
    <s v="6 Roda"/>
    <d v="2026-04-08T00:00:00"/>
    <n v="12840"/>
    <n v="3980"/>
    <n v="8860"/>
    <n v="8820"/>
    <m/>
    <m/>
    <m/>
    <m/>
    <n v="68"/>
    <m/>
    <s v="Bone Bone"/>
  </r>
  <r>
    <n v="1"/>
    <s v="000111"/>
    <s v="CPO000111JAS"/>
    <s v="DP 8587 DC"/>
    <s v="011/CPO/JM-WINS/II/2026"/>
    <s v="PT. JAS MULIA / 11 / 500"/>
    <x v="3"/>
    <x v="1"/>
    <s v="12 Roda"/>
    <d v="2026-04-08T00:00:00"/>
    <n v="26830"/>
    <n v="8270"/>
    <n v="18560"/>
    <n v="18500"/>
    <m/>
    <m/>
    <m/>
    <m/>
    <n v="68"/>
    <m/>
    <s v="Bone Bone"/>
  </r>
  <r>
    <n v="1"/>
    <s v="000112"/>
    <s v="CPO000112JAS"/>
    <s v="DD 8532 ML"/>
    <s v="011/CPO/JM-WINS/II/2026"/>
    <s v="PT. JAS MULIA / 11 / 500"/>
    <x v="3"/>
    <x v="1"/>
    <s v="6 Roda"/>
    <d v="2026-04-08T00:00:00"/>
    <n v="12980"/>
    <n v="3950"/>
    <n v="9030"/>
    <n v="8990"/>
    <m/>
    <m/>
    <m/>
    <m/>
    <n v="68"/>
    <m/>
    <s v="Bone Bone"/>
  </r>
  <r>
    <n v="1"/>
    <s v="000113"/>
    <s v="CPO000113JAS"/>
    <s v="DP 8076 TE"/>
    <s v="011/CPO/JM-WINS/II/2026"/>
    <s v="PT. JAS MULIA / 11 / 500"/>
    <x v="3"/>
    <x v="1"/>
    <s v="6 Roda"/>
    <d v="2026-04-08T00:00:00"/>
    <n v="14040"/>
    <n v="4110"/>
    <n v="9930"/>
    <n v="9880"/>
    <m/>
    <m/>
    <m/>
    <m/>
    <n v="68"/>
    <m/>
    <s v="Bone Bone"/>
  </r>
  <r>
    <n v="1"/>
    <s v="000114"/>
    <s v="CPO000114JAS"/>
    <s v="DP 8251 XX"/>
    <s v="011/CPO/JM-WINS/II/2026"/>
    <s v="PT. JAS MULIA / 11 / 500"/>
    <x v="3"/>
    <x v="1"/>
    <s v="12 Roda"/>
    <d v="2026-04-08T00:00:00"/>
    <n v="28550"/>
    <n v="8030"/>
    <n v="20520"/>
    <n v="20470"/>
    <m/>
    <m/>
    <m/>
    <m/>
    <n v="68"/>
    <m/>
    <s v="Bone Bone"/>
  </r>
  <r>
    <n v="1"/>
    <s v="000115"/>
    <s v="CPO000115JAS"/>
    <s v="DP 8976 HE"/>
    <s v="011/CPO/JM-WINS/II/2026"/>
    <s v="PT. JAS MULIA / 11 / 500"/>
    <x v="3"/>
    <x v="1"/>
    <s v="6 Roda"/>
    <d v="2026-04-08T00:00:00"/>
    <n v="12720"/>
    <n v="3800"/>
    <n v="8920"/>
    <n v="8880"/>
    <m/>
    <m/>
    <m/>
    <m/>
    <n v="68"/>
    <m/>
    <s v="Bone Bone"/>
  </r>
  <r>
    <n v="1"/>
    <s v="000116"/>
    <s v="CPO000116JAS"/>
    <s v="DD 8711 XX"/>
    <s v="010/CPO/JM-WINS/I/2026"/>
    <s v="PT. JAS MULIA / 10 / 500"/>
    <x v="3"/>
    <x v="1"/>
    <s v="6 Roda"/>
    <d v="2026-04-08T00:00:00"/>
    <n v="24960"/>
    <n v="10720"/>
    <n v="14240"/>
    <n v="14190"/>
    <d v="1899-12-30T14:03:00"/>
    <d v="1899-12-30T14:41:00"/>
    <s v="samsira"/>
    <m/>
    <m/>
    <m/>
    <s v="Bone Bone"/>
  </r>
  <r>
    <n v="1"/>
    <s v="000117"/>
    <s v="CPO000117JAS"/>
    <s v="DP 8954 HB"/>
    <s v="011/CPO/JM-WINS/II/2026"/>
    <s v="PT. JAS MULIA / 11 / 500"/>
    <x v="3"/>
    <x v="1"/>
    <s v="6 Roda"/>
    <d v="2026-04-08T00:00:00"/>
    <n v="12300"/>
    <n v="3720"/>
    <n v="8580"/>
    <n v="8550"/>
    <m/>
    <m/>
    <m/>
    <m/>
    <n v="68"/>
    <m/>
    <s v="Bone Bone"/>
  </r>
  <r>
    <n v="1"/>
    <s v="000118"/>
    <s v="CPO000118JAS"/>
    <s v="BM 8315 QO"/>
    <s v="010/CPO/JM-WINS/I/2026"/>
    <s v="PT. JAS MULIA / 10 / 500"/>
    <x v="3"/>
    <x v="1"/>
    <s v="6 Roda"/>
    <d v="2026-04-08T00:00:00"/>
    <n v="45850"/>
    <n v="17410"/>
    <n v="28440"/>
    <n v="28330"/>
    <d v="1899-12-30T14:24:00"/>
    <d v="1899-12-30T15:37:00"/>
    <s v="samsira"/>
    <m/>
    <m/>
    <m/>
    <s v="Bone Bone"/>
  </r>
  <r>
    <n v="1"/>
    <s v="000119"/>
    <s v="CPO000119JAS"/>
    <s v="DP 8446 GC"/>
    <s v="011/CPO/JM-WINS/II/2026"/>
    <s v="PT. JAS MULIA / 11 / 500"/>
    <x v="3"/>
    <x v="1"/>
    <s v="6 Roda"/>
    <d v="2026-04-08T00:00:00"/>
    <n v="13390"/>
    <n v="3920"/>
    <n v="9470"/>
    <n v="9440"/>
    <m/>
    <m/>
    <m/>
    <m/>
    <n v="68"/>
    <m/>
    <s v="Bone Bone"/>
  </r>
  <r>
    <n v="1"/>
    <s v="000120"/>
    <s v="CPO000120JAS"/>
    <s v="DP 8781 GZ"/>
    <s v="011/CPO/JM-WINS/II/2026"/>
    <s v="PT. JAS MULIA / 11 / 500"/>
    <x v="3"/>
    <x v="1"/>
    <s v="6 Roda"/>
    <d v="2026-04-08T00:00:00"/>
    <n v="13490"/>
    <n v="3860"/>
    <n v="9630"/>
    <n v="9540"/>
    <m/>
    <m/>
    <m/>
    <m/>
    <n v="68"/>
    <m/>
    <s v="Bone Bone"/>
  </r>
  <r>
    <n v="1"/>
    <s v="000121"/>
    <s v="CPO000121JAS"/>
    <s v="DD 8851 GZ"/>
    <s v="011/CPO/JM-WINS/II/2026"/>
    <s v="PT. JAS MULIA / 11 / 500"/>
    <x v="3"/>
    <x v="1"/>
    <s v="6 Roda"/>
    <d v="2026-04-08T00:00:00"/>
    <n v="13190"/>
    <n v="4130"/>
    <n v="9060"/>
    <n v="9030"/>
    <m/>
    <m/>
    <m/>
    <m/>
    <n v="68"/>
    <m/>
    <s v="Bone Bone"/>
  </r>
  <r>
    <n v="1"/>
    <s v="000122"/>
    <s v="CPO000122JAS"/>
    <s v="DD 8319 DB"/>
    <s v="011/CPO/JM-WINS/II/2026"/>
    <s v="PT. JAS MULIA / 11 / 500"/>
    <x v="3"/>
    <x v="1"/>
    <s v="6 Roda"/>
    <d v="2026-04-08T00:00:00"/>
    <n v="13870"/>
    <n v="3940"/>
    <n v="9930"/>
    <n v="9890"/>
    <m/>
    <m/>
    <m/>
    <m/>
    <n v="68"/>
    <m/>
    <s v="Bone Bone"/>
  </r>
  <r>
    <n v="1"/>
    <s v="000123"/>
    <s v="CPO000123JAS"/>
    <s v="DN 8813 EB"/>
    <s v="011/CPO/JM-WINS/II/2026"/>
    <s v="PT. JAS MULIA / 11 / 500"/>
    <x v="3"/>
    <x v="1"/>
    <s v="6 Roda"/>
    <d v="2026-04-08T00:00:00"/>
    <n v="13820"/>
    <n v="4150"/>
    <n v="9670"/>
    <n v="9620"/>
    <m/>
    <m/>
    <m/>
    <m/>
    <n v="68"/>
    <m/>
    <s v="Bone Bone"/>
  </r>
  <r>
    <n v="1"/>
    <s v="000124"/>
    <s v="CPO000124JAS"/>
    <s v="DN 8986 EA"/>
    <s v="011/CPO/JM-WINS/II/2026"/>
    <s v="PT. JAS MULIA / 11 / 500"/>
    <x v="3"/>
    <x v="1"/>
    <s v="6 Roda"/>
    <d v="2026-04-08T00:00:00"/>
    <n v="13370"/>
    <n v="4000"/>
    <n v="9370"/>
    <n v="9360"/>
    <m/>
    <m/>
    <m/>
    <m/>
    <n v="68"/>
    <m/>
    <s v="Bone Bone"/>
  </r>
  <r>
    <n v="1"/>
    <s v="000125"/>
    <s v="CPO000125JAS"/>
    <s v="B 1918 SXX"/>
    <s v="011/CPO/JM-WINS/II/2026"/>
    <s v="PT. JAS MULIA / 11 / 500"/>
    <x v="3"/>
    <x v="1"/>
    <s v="10 Roda"/>
    <d v="2026-04-08T00:00:00"/>
    <n v="26690"/>
    <n v="11860"/>
    <n v="14830"/>
    <n v="14800"/>
    <m/>
    <m/>
    <m/>
    <s v="WALDI"/>
    <n v="68"/>
    <m/>
    <s v="Bone Bone"/>
  </r>
  <r>
    <n v="1"/>
    <s v="000126"/>
    <s v="CPO000126JAS"/>
    <s v="DD 8574 HG"/>
    <s v="011/CPO/JM-WINS/II/2026"/>
    <s v="PT. JAS MULIA / 11 / 500"/>
    <x v="3"/>
    <x v="1"/>
    <s v="6 Roda"/>
    <d v="2026-04-08T00:00:00"/>
    <n v="12760"/>
    <n v="3960"/>
    <n v="8800"/>
    <n v="8760"/>
    <m/>
    <m/>
    <m/>
    <m/>
    <n v="68"/>
    <m/>
    <s v="Bone Bone"/>
  </r>
  <r>
    <n v="1"/>
    <s v="000127"/>
    <s v="CPO000127JAS"/>
    <s v="DD 8532 ML"/>
    <s v="011/CPO/JM-WINS/II/2026"/>
    <s v="PT. JAS MULIA / 11 / 500"/>
    <x v="3"/>
    <x v="1"/>
    <s v="6 Roda"/>
    <d v="2026-04-08T00:00:00"/>
    <n v="12950"/>
    <n v="3930"/>
    <n v="9020"/>
    <n v="8990"/>
    <m/>
    <m/>
    <m/>
    <m/>
    <n v="68"/>
    <m/>
    <s v="Bone Bone"/>
  </r>
  <r>
    <n v="1"/>
    <s v="000128"/>
    <s v="CPO000128JAS"/>
    <s v="BH 8459 MY"/>
    <s v="011/CPO/JM-WINS/II/2026"/>
    <s v="PT. JAS MULIA / 11 / 500"/>
    <x v="3"/>
    <x v="1"/>
    <s v="10 Roda"/>
    <d v="2026-04-08T00:00:00"/>
    <n v="26690"/>
    <n v="12110"/>
    <n v="14580"/>
    <n v="14540"/>
    <m/>
    <m/>
    <m/>
    <s v="HAMSAL"/>
    <n v="68"/>
    <m/>
    <s v="Bone Bone"/>
  </r>
  <r>
    <n v="1"/>
    <s v="000129"/>
    <s v="CPO000129JAS"/>
    <s v="DP 8587 DC"/>
    <s v="011/CPO/JM-WINS/II/2026"/>
    <s v="PT. JAS MULIA / 11 / 500"/>
    <x v="3"/>
    <x v="1"/>
    <s v="12 Roda"/>
    <d v="2026-04-08T00:00:00"/>
    <n v="26790"/>
    <n v="8260"/>
    <n v="18530"/>
    <n v="18500"/>
    <m/>
    <m/>
    <m/>
    <m/>
    <n v="68"/>
    <m/>
    <s v="Bone Bone"/>
  </r>
  <r>
    <n v="1"/>
    <s v="000130"/>
    <s v="CPO000130JAS"/>
    <s v="DP 9859 GA"/>
    <s v="011/CPO/JM-WINS/II/2026"/>
    <s v="PT. JAS MULIA / 11 / 500"/>
    <x v="3"/>
    <x v="1"/>
    <s v="6 Roda"/>
    <d v="2026-04-08T00:00:00"/>
    <n v="14090"/>
    <n v="4150"/>
    <n v="9940"/>
    <n v="9920"/>
    <m/>
    <m/>
    <m/>
    <m/>
    <n v="68"/>
    <m/>
    <s v="Bone Bone"/>
  </r>
  <r>
    <n v="1"/>
    <s v="000131"/>
    <s v="CPO000131JAS"/>
    <s v="DP 8076 TE"/>
    <s v="011/CPO/JM-WINS/II/2026"/>
    <s v="PT. JAS MULIA / 11 / 500"/>
    <x v="3"/>
    <x v="1"/>
    <s v="6 Roda"/>
    <d v="2026-04-08T00:00:00"/>
    <n v="14020"/>
    <n v="4090"/>
    <n v="9930"/>
    <n v="9890"/>
    <m/>
    <m/>
    <m/>
    <m/>
    <n v="68"/>
    <m/>
    <s v="Bone Bone"/>
  </r>
  <r>
    <n v="1"/>
    <s v="000132"/>
    <s v="CPO000132JAS"/>
    <s v="DD 8251 XX"/>
    <s v="011/CPO/JM-WINS/II/2026"/>
    <s v="PT. JAS MULIA / 11 / 500"/>
    <x v="3"/>
    <x v="1"/>
    <s v="12 Roda"/>
    <d v="2026-04-08T00:00:00"/>
    <n v="28550"/>
    <n v="8030"/>
    <n v="20520"/>
    <n v="20460"/>
    <m/>
    <m/>
    <m/>
    <m/>
    <n v="68"/>
    <m/>
    <s v="Bone Bone"/>
  </r>
  <r>
    <n v="1"/>
    <s v="000133"/>
    <s v="CPO000133JAS"/>
    <s v="DP 8954 HB"/>
    <s v="011/CPO/JM-WINS/II/2026"/>
    <s v="PT. JAS MULIA / 11 / 500"/>
    <x v="3"/>
    <x v="1"/>
    <s v="6 Roda"/>
    <d v="2026-04-08T00:00:00"/>
    <n v="12290"/>
    <n v="3710"/>
    <n v="8580"/>
    <n v="8560"/>
    <m/>
    <m/>
    <m/>
    <m/>
    <n v="68"/>
    <m/>
    <s v="Bone Bone"/>
  </r>
  <r>
    <n v="1"/>
    <s v="000134"/>
    <s v="CPO000134JAS"/>
    <s v="DN 8916 EB"/>
    <s v="011/CPO/JM-WINS/II/2026"/>
    <s v="PT. JAS MULIA / 11 / 500"/>
    <x v="3"/>
    <x v="1"/>
    <s v="6 Roda"/>
    <d v="2026-04-08T00:00:00"/>
    <n v="14130"/>
    <n v="4300"/>
    <n v="9830"/>
    <n v="9780"/>
    <m/>
    <m/>
    <m/>
    <m/>
    <n v="68"/>
    <m/>
    <s v="Bone Bone"/>
  </r>
  <r>
    <n v="1"/>
    <s v="000135"/>
    <s v="CPO000135JAS"/>
    <s v="DN 8924 EA"/>
    <s v="011/CPO/JM-WINS/II/2026"/>
    <s v="PT. JAS MULIA / 11 / 500"/>
    <x v="3"/>
    <x v="1"/>
    <s v="6 Roda"/>
    <d v="2026-04-08T00:00:00"/>
    <n v="13910"/>
    <n v="4260"/>
    <n v="9650"/>
    <n v="9580"/>
    <m/>
    <m/>
    <m/>
    <m/>
    <n v="68"/>
    <m/>
    <s v="Bone Bone"/>
  </r>
  <r>
    <n v="1"/>
    <s v="000136"/>
    <s v="CPO000136JAS"/>
    <s v="DN 8481 KK"/>
    <s v="011/CPO/JM-WINS/II/2026"/>
    <s v="PT. JAS MULIA / 11 / 500"/>
    <x v="3"/>
    <x v="1"/>
    <s v="6 Roda"/>
    <d v="2026-04-08T00:00:00"/>
    <n v="13330"/>
    <n v="3890"/>
    <n v="9440"/>
    <n v="9340"/>
    <m/>
    <m/>
    <m/>
    <m/>
    <n v="68"/>
    <m/>
    <s v="Bone Bone"/>
  </r>
  <r>
    <n v="1"/>
    <s v="000137"/>
    <s v="CPO000137JAS"/>
    <s v="DN 8909 EB"/>
    <s v="011/CPO/JM-WINS/II/2026"/>
    <s v="PT. JAS MULIA / 11 / 500"/>
    <x v="3"/>
    <x v="1"/>
    <s v="6 Roda"/>
    <d v="2026-04-08T00:00:00"/>
    <n v="13980"/>
    <n v="4300"/>
    <n v="9680"/>
    <n v="9610"/>
    <m/>
    <m/>
    <m/>
    <m/>
    <n v="68"/>
    <m/>
    <s v="Bone Bone"/>
  </r>
  <r>
    <n v="1"/>
    <s v="000138"/>
    <s v="CPO000138JAS"/>
    <s v="DP 8976 HE"/>
    <s v="011/CPO/JM-WINS/II/2026"/>
    <s v="PT. JAS MULIA / 11 / 500"/>
    <x v="3"/>
    <x v="1"/>
    <s v="6 Roda"/>
    <d v="2026-04-08T00:00:00"/>
    <n v="12710"/>
    <n v="3790"/>
    <n v="8920"/>
    <n v="8890"/>
    <m/>
    <m/>
    <m/>
    <m/>
    <n v="68"/>
    <m/>
    <s v="Bone Bone"/>
  </r>
  <r>
    <n v="1"/>
    <s v="000139"/>
    <s v="CPO000139JAS"/>
    <s v="DP 8446 GC"/>
    <s v="011/CPO/JM-WINS/II/2026"/>
    <s v="PT. JAS MULIA / 11 / 500"/>
    <x v="3"/>
    <x v="1"/>
    <s v="6 Roda"/>
    <d v="2026-04-08T00:00:00"/>
    <n v="13440"/>
    <n v="3960"/>
    <n v="9480"/>
    <n v="9440"/>
    <m/>
    <m/>
    <m/>
    <m/>
    <n v="68"/>
    <m/>
    <s v="Bone Bone"/>
  </r>
  <r>
    <n v="1"/>
    <s v="000140"/>
    <s v="CPO000140JAS"/>
    <s v="DP 8781 GZ"/>
    <s v="011/CPO/JM-WINS/II/2026"/>
    <s v="PT. JAS MULIA / 11 / 500"/>
    <x v="3"/>
    <x v="1"/>
    <s v="6 Roda"/>
    <d v="2026-04-08T00:00:00"/>
    <n v="13470"/>
    <n v="3850"/>
    <n v="9620"/>
    <n v="9600"/>
    <m/>
    <m/>
    <m/>
    <m/>
    <n v="68"/>
    <m/>
    <s v="Bone Bone"/>
  </r>
  <r>
    <n v="1"/>
    <s v="000141"/>
    <s v="CPO000141JAS"/>
    <s v="DD 8851 GZ"/>
    <s v="011/CPO/JM-WINS/II/2026"/>
    <s v="PT. JAS MULIA / 11 / 500"/>
    <x v="3"/>
    <x v="1"/>
    <s v="6 Roda"/>
    <d v="2026-04-08T00:00:00"/>
    <n v="13180"/>
    <n v="4120"/>
    <n v="9060"/>
    <n v="9060"/>
    <m/>
    <m/>
    <m/>
    <m/>
    <n v="68"/>
    <m/>
    <s v="Bone Bone"/>
  </r>
  <r>
    <n v="1"/>
    <s v="000142"/>
    <s v="CPO000142JAS"/>
    <s v="DP 8319 DB"/>
    <s v="011/CPO/JM-WINS/II/2026"/>
    <s v="PT. JAS MULIA / 11 / 500"/>
    <x v="3"/>
    <x v="1"/>
    <s v="6 Roda"/>
    <d v="2026-04-08T00:00:00"/>
    <n v="13870"/>
    <n v="3950"/>
    <n v="9920"/>
    <n v="9910"/>
    <m/>
    <m/>
    <m/>
    <m/>
    <n v="68"/>
    <m/>
    <s v="Bone Bone"/>
  </r>
  <r>
    <n v="1"/>
    <s v="000143"/>
    <s v="CPO000143JAS"/>
    <s v="DD 8532 ML"/>
    <s v="011/CPO/JM-WINS/II/2026"/>
    <s v="PT. JAS MULIA / 11 / 500"/>
    <x v="3"/>
    <x v="1"/>
    <s v="6 Roda"/>
    <d v="2026-04-08T00:00:00"/>
    <n v="12970"/>
    <n v="3950"/>
    <n v="9020"/>
    <n v="8990"/>
    <m/>
    <m/>
    <m/>
    <m/>
    <n v="68"/>
    <m/>
    <s v="Bone Bone"/>
  </r>
  <r>
    <n v="1"/>
    <s v="000144"/>
    <s v="CPO000144JAS"/>
    <s v="DD 8574 HG"/>
    <s v="011/CPO/JM-WINS/II/2026"/>
    <s v="PT. JAS MULIA / 11 / 500"/>
    <x v="3"/>
    <x v="1"/>
    <s v="6 Roda"/>
    <d v="2026-04-08T00:00:00"/>
    <n v="12790"/>
    <n v="3980"/>
    <n v="8810"/>
    <n v="8750"/>
    <m/>
    <m/>
    <m/>
    <m/>
    <n v="68"/>
    <m/>
    <s v="Bone Bone"/>
  </r>
  <r>
    <n v="1"/>
    <s v="000920"/>
    <s v="RBDPL000920DA"/>
    <s v="DP 8935 UA"/>
    <s v="006/OLEIN/WINS-CV DUTA ABADI/III/2026"/>
    <s v="CV. DA/2/300"/>
    <x v="9"/>
    <x v="3"/>
    <s v="6 Roda"/>
    <d v="2026-04-09T00:00:00"/>
    <n v="3960"/>
    <n v="14090"/>
    <n v="10130"/>
    <m/>
    <d v="1899-12-30T11:19:00"/>
    <d v="1899-12-30T11:56:00"/>
    <s v="samsira"/>
    <s v="BASO"/>
    <n v="360"/>
    <s v="CV LIT"/>
    <s v="Makassar"/>
  </r>
  <r>
    <n v="1"/>
    <s v="000921"/>
    <s v="RBDPL000921DA"/>
    <s v="DP 8732 GK"/>
    <s v="006/OLEIN/WINS-CV DUTA ABADI/III/2026"/>
    <s v="CV. DA/2/300"/>
    <x v="9"/>
    <x v="3"/>
    <s v="6 Roda"/>
    <d v="2026-04-09T00:00:00"/>
    <n v="4200"/>
    <n v="14350"/>
    <n v="10150"/>
    <m/>
    <d v="1899-12-30T16:14:00"/>
    <d v="1899-12-30T16:37:00"/>
    <s v="samsira"/>
    <s v="BAHTIAR"/>
    <n v="360"/>
    <s v="CV LIT"/>
    <s v="Makassar"/>
  </r>
  <r>
    <n v="1"/>
    <s v="000924"/>
    <s v="RBDPL000924DA"/>
    <s v="DP 8172 GN"/>
    <s v="006/OLEIN/WINS-CV DUTA ABADI/III/2026"/>
    <s v="CV. DA/2/300"/>
    <x v="9"/>
    <x v="3"/>
    <s v="6 Roda"/>
    <d v="2026-04-09T00:00:00"/>
    <n v="3990"/>
    <n v="13510"/>
    <n v="9520"/>
    <m/>
    <d v="1899-12-30T16:57:00"/>
    <d v="1899-12-30T17:29:00"/>
    <s v="Datu"/>
    <s v="HALIK"/>
    <n v="360"/>
    <s v="CV LIT"/>
    <s v="Makassar"/>
  </r>
  <r>
    <n v="1"/>
    <s v="000925"/>
    <s v="RBDPL000925DA"/>
    <s v="DP 8762 GH"/>
    <s v="006/OLEIN/WINS-CV DUTA ABADI/III/2026"/>
    <s v="CV. DA/2/300"/>
    <x v="9"/>
    <x v="3"/>
    <s v="6 Roda"/>
    <d v="2026-04-09T00:00:00"/>
    <n v="3860"/>
    <n v="13280"/>
    <n v="9420"/>
    <m/>
    <d v="1899-12-30T17:16:00"/>
    <d v="1899-12-30T17:46:00"/>
    <s v="Datu"/>
    <s v="IRFAN "/>
    <n v="360"/>
    <s v="CV LIT"/>
    <s v="Makassar"/>
  </r>
  <r>
    <n v="1"/>
    <s v="000922"/>
    <s v="RBDPL000922HSA"/>
    <s v="DP 8739 GO"/>
    <s v="011/OLEIN/WINS-HSA/III/2026"/>
    <s v="CV HSA/4/100"/>
    <x v="7"/>
    <x v="3"/>
    <s v="6 Roda"/>
    <d v="2026-04-09T00:00:00"/>
    <n v="4040"/>
    <n v="13350"/>
    <n v="9310"/>
    <m/>
    <d v="1899-12-30T16:18:00"/>
    <d v="1899-12-30T16:54:00"/>
    <s v="samsira"/>
    <s v="ABD. HAMID"/>
    <n v="360"/>
    <s v="CV LIT"/>
    <s v="Makassar"/>
  </r>
  <r>
    <n v="1"/>
    <s v="000923"/>
    <s v="RBDPL000923HSA"/>
    <s v="DC 8141 AS"/>
    <s v="011/OLEIN/WINS-HSA/III/2026"/>
    <s v="CV HSA/4/100"/>
    <x v="7"/>
    <x v="3"/>
    <s v="6 Roda"/>
    <d v="2026-04-09T00:00:00"/>
    <n v="3970"/>
    <n v="13460"/>
    <n v="9490"/>
    <m/>
    <d v="1899-12-30T16:41:00"/>
    <d v="1899-12-30T17:13:00"/>
    <s v="Datu"/>
    <s v="TAMRIN"/>
    <n v="360"/>
    <s v="CV LIT"/>
    <s v="Makassar"/>
  </r>
  <r>
    <n v="1"/>
    <s v="000930"/>
    <s v="RBDPL000930HSA"/>
    <s v="DD 9236 XX"/>
    <s v="011/OLEIN/WINS-HSA/III/2026"/>
    <s v="CV HSA/4/100"/>
    <x v="7"/>
    <x v="3"/>
    <s v="12 Roda"/>
    <d v="2026-04-09T00:00:00"/>
    <n v="17340"/>
    <n v="46250"/>
    <n v="28910"/>
    <m/>
    <d v="1899-12-30T19:09:00"/>
    <d v="1899-12-30T20:00:00"/>
    <s v="Datu"/>
    <s v="IBRAHIM"/>
    <n v="360"/>
    <s v="CV WIL"/>
    <s v="Makassar"/>
  </r>
  <r>
    <n v="1"/>
    <s v="000926"/>
    <s v="RBDPL000926BJL"/>
    <s v="DP 9826 GA"/>
    <s v="001/OLEIN/WINS-BJL/II/2026"/>
    <s v="BJL/1/1000"/>
    <x v="6"/>
    <x v="3"/>
    <s v="6 Roda"/>
    <d v="2026-04-09T00:00:00"/>
    <n v="4020"/>
    <n v="13970"/>
    <n v="9950"/>
    <m/>
    <d v="1899-12-30T17:35:00"/>
    <d v="1899-12-30T18:05:00"/>
    <s v="Datu"/>
    <s v="AIDIL ASWAR"/>
    <n v="562"/>
    <s v="EXTERNAL"/>
    <s v="Palu"/>
  </r>
  <r>
    <n v="1"/>
    <s v="000927"/>
    <s v="RBDPL000927BJL"/>
    <s v="DN 8492 CU"/>
    <s v="001/OLEIN/WINS-BJL/II/2026"/>
    <s v="BJL/1/1000"/>
    <x v="6"/>
    <x v="3"/>
    <s v="6 Roda"/>
    <d v="2026-04-09T00:00:00"/>
    <n v="3980"/>
    <n v="13670"/>
    <n v="9690"/>
    <m/>
    <d v="1899-12-30T17:49:00"/>
    <d v="1899-12-30T18:26:00"/>
    <s v="Datu"/>
    <s v="ARHAM AKBAR"/>
    <n v="562"/>
    <s v="EXTERNAL"/>
    <s v="Palu"/>
  </r>
  <r>
    <n v="1"/>
    <s v="000928"/>
    <s v="RBDPL000928BJL"/>
    <s v="DP 8798 GH"/>
    <s v="001/OLEIN/WINS-BJL/II/2026"/>
    <s v="BJL/1/1000"/>
    <x v="6"/>
    <x v="3"/>
    <s v="6 Roda"/>
    <d v="2026-04-09T00:00:00"/>
    <n v="4080"/>
    <n v="13600"/>
    <n v="9520"/>
    <m/>
    <d v="1899-12-30T18:10:00"/>
    <d v="1899-12-30T18:44:00"/>
    <s v="Datu"/>
    <s v="MUHAMMAD RAYHAN"/>
    <n v="562"/>
    <s v="EXTERNAL"/>
    <s v="Palu"/>
  </r>
  <r>
    <n v="1"/>
    <s v="000929"/>
    <s v="RBDPL000929BJL"/>
    <s v="DP 8031 GP"/>
    <s v="001/OLEIN/WINS-BJL/II/2026"/>
    <s v="BJL/1/1000"/>
    <x v="6"/>
    <x v="3"/>
    <s v="6 Roda"/>
    <d v="2026-04-09T00:00:00"/>
    <n v="3940"/>
    <n v="12950"/>
    <n v="9010"/>
    <m/>
    <d v="1899-12-30T18:14:00"/>
    <d v="1899-12-30T19:19:00"/>
    <s v="Datu"/>
    <s v="ADITYA PUTRA"/>
    <n v="562"/>
    <s v="EXTERNAL"/>
    <s v="Palu"/>
  </r>
  <r>
    <n v="1"/>
    <s v="000919"/>
    <s v="RBDPL000919TDJ"/>
    <s v="B 1808 VKJ"/>
    <s v="014/OLEIN/WINS-GMU/IV/2026"/>
    <s v="TDJ-GMU/2/200"/>
    <x v="10"/>
    <x v="3"/>
    <s v="6 Roda"/>
    <d v="2026-04-09T00:00:00"/>
    <n v="1940"/>
    <n v="2140"/>
    <n v="200"/>
    <m/>
    <d v="1899-12-30T08:46:00"/>
    <d v="1899-12-30T09:20:00"/>
    <s v="samsira"/>
    <s v="WANDRA"/>
    <n v="473"/>
    <s v="EXTERNAL"/>
    <s v="Siumbatu"/>
  </r>
  <r>
    <n v="1"/>
    <s v="000931"/>
    <s v="RBDPL000931TDJ"/>
    <s v="B 1918 SXX"/>
    <s v="015/OLEIN/WINS-GMU/IV/2026"/>
    <s v="TDJ-GMU/3/15090"/>
    <x v="10"/>
    <x v="3"/>
    <s v="10 Roda"/>
    <d v="2026-04-09T00:00:00"/>
    <n v="11860"/>
    <n v="26950"/>
    <n v="15090"/>
    <m/>
    <d v="1899-12-30T19:33:00"/>
    <d v="1899-12-30T20:22:00"/>
    <s v="Datu"/>
    <s v="WALDI"/>
    <n v="473"/>
    <s v="CV WIL"/>
    <s v="Siumbatu"/>
  </r>
  <r>
    <n v="1"/>
    <s v="000145"/>
    <s v="CPO000145JAS"/>
    <s v="DP 8587 DC"/>
    <s v="011/CPO/JM-WINS/II/2026"/>
    <s v="PT. JAS MULIA / 11 / 500"/>
    <x v="3"/>
    <x v="1"/>
    <s v="10 Roda"/>
    <d v="2026-04-09T00:00:00"/>
    <n v="26800"/>
    <n v="8270"/>
    <n v="18530"/>
    <n v="18490"/>
    <m/>
    <m/>
    <m/>
    <m/>
    <n v="68"/>
    <m/>
    <s v="Bone Bone"/>
  </r>
  <r>
    <n v="1"/>
    <s v="000146"/>
    <s v="CPO000146JAS"/>
    <s v="DN 8986 EA"/>
    <s v="011/CPO/JM-WINS/II/2026"/>
    <s v="PT. JAS MULIA / 11 / 500"/>
    <x v="3"/>
    <x v="1"/>
    <s v="6 Roda"/>
    <d v="2026-04-09T00:00:00"/>
    <n v="13370"/>
    <n v="3980"/>
    <n v="9390"/>
    <n v="9370"/>
    <m/>
    <m/>
    <m/>
    <m/>
    <n v="68"/>
    <m/>
    <s v="Bone Bone"/>
  </r>
  <r>
    <n v="1"/>
    <s v="000147"/>
    <s v="CPO000147JAS"/>
    <s v="DN 8813 EB"/>
    <s v="011/CPO/JM-WINS/II/2026"/>
    <s v="PT. JAS MULIA / 11 / 500"/>
    <x v="3"/>
    <x v="1"/>
    <s v="6 Roda"/>
    <d v="2026-04-09T00:00:00"/>
    <n v="13760"/>
    <n v="4140"/>
    <n v="9620"/>
    <n v="9600"/>
    <m/>
    <m/>
    <m/>
    <m/>
    <n v="68"/>
    <m/>
    <s v="Bone Bone"/>
  </r>
  <r>
    <n v="1"/>
    <s v="000148"/>
    <s v="CPO000148JAS"/>
    <s v="DP 8076 TE"/>
    <s v="011/CPO/JM-WINS/II/2026"/>
    <s v="PT. JAS MULIA / 11 / 500"/>
    <x v="3"/>
    <x v="1"/>
    <s v="6 Roda"/>
    <d v="2026-04-09T00:00:00"/>
    <n v="14030"/>
    <n v="4110"/>
    <n v="9920"/>
    <n v="9890"/>
    <m/>
    <m/>
    <m/>
    <m/>
    <n v="68"/>
    <m/>
    <s v="Bone Bone"/>
  </r>
  <r>
    <n v="1"/>
    <s v="000149"/>
    <s v="CPO000149JAS"/>
    <s v="DD 8251 XX"/>
    <s v="011/CPO/JM-WINS/II/2026"/>
    <s v="PT. JAS MULIA / 11 / 500"/>
    <x v="3"/>
    <x v="1"/>
    <s v="10 Roda"/>
    <d v="2026-04-09T00:00:00"/>
    <n v="28560"/>
    <n v="8050"/>
    <n v="20510"/>
    <n v="20460"/>
    <m/>
    <m/>
    <m/>
    <m/>
    <n v="68"/>
    <m/>
    <s v="Bone Bone"/>
  </r>
  <r>
    <n v="1"/>
    <s v="000150"/>
    <s v="CPO000150JAS"/>
    <s v="DP 8954 HB"/>
    <s v="011/CPO/JM-WINS/II/2026"/>
    <s v="PT. JAS MULIA / 11 / 500"/>
    <x v="3"/>
    <x v="1"/>
    <s v="6 Roda"/>
    <d v="2026-04-09T00:00:00"/>
    <n v="12270"/>
    <n v="3710"/>
    <n v="8560"/>
    <n v="8550"/>
    <m/>
    <m/>
    <m/>
    <m/>
    <n v="68"/>
    <m/>
    <s v="Bone Bone"/>
  </r>
  <r>
    <n v="1"/>
    <s v="000151"/>
    <s v="CPO000151JAS"/>
    <s v="DP 8446 GC"/>
    <s v="011/CPO/JM-WINS/II/2026"/>
    <s v="PT. JAS MULIA / 11 / 500"/>
    <x v="3"/>
    <x v="1"/>
    <s v="6 Roda"/>
    <d v="2026-04-09T00:00:00"/>
    <n v="13430"/>
    <n v="3950"/>
    <n v="9480"/>
    <n v="9450"/>
    <m/>
    <m/>
    <m/>
    <m/>
    <n v="68"/>
    <m/>
    <s v="Bone Bone"/>
  </r>
  <r>
    <n v="1"/>
    <s v="000152"/>
    <s v="CPO000152JAS"/>
    <s v="DP 8976 HE"/>
    <s v="011/CPO/JM-WINS/II/2026"/>
    <s v="PT. JAS MULIA / 11 / 500"/>
    <x v="3"/>
    <x v="1"/>
    <s v="6 Roda"/>
    <d v="2026-04-09T00:00:00"/>
    <n v="12700"/>
    <n v="3790"/>
    <n v="8910"/>
    <n v="8890"/>
    <m/>
    <m/>
    <m/>
    <m/>
    <n v="68"/>
    <m/>
    <s v="Bone Bone"/>
  </r>
  <r>
    <n v="1"/>
    <s v="000153"/>
    <s v="CPO000153JAS"/>
    <s v="DP 9859 GA"/>
    <s v="011/CPO/JM-WINS/II/2026"/>
    <s v="PT. JAS MULIA / 11 / 500"/>
    <x v="3"/>
    <x v="1"/>
    <s v="6 Roda"/>
    <d v="2026-04-09T00:00:00"/>
    <n v="14080"/>
    <n v="4160"/>
    <n v="9920"/>
    <n v="9910"/>
    <m/>
    <m/>
    <m/>
    <m/>
    <n v="68"/>
    <m/>
    <s v="Bone Bone"/>
  </r>
  <r>
    <n v="1"/>
    <s v="000154"/>
    <s v="CPO000154JAS"/>
    <s v="DD 8851 GZ"/>
    <s v="011/CPO/JM-WINS/II/2026"/>
    <s v="PT. JAS MULIA / 11 / 500"/>
    <x v="3"/>
    <x v="1"/>
    <s v="6 Roda"/>
    <d v="2026-04-09T00:00:00"/>
    <n v="12390"/>
    <n v="4110"/>
    <n v="8280"/>
    <n v="8250"/>
    <m/>
    <m/>
    <m/>
    <m/>
    <n v="68"/>
    <m/>
    <s v="Bone Bone"/>
  </r>
  <r>
    <n v="1"/>
    <s v="000155"/>
    <s v="CPO000155JAS"/>
    <s v="DN 8916 GB"/>
    <s v="011/CPO/JM-WINS/II/2026"/>
    <s v="PT. JAS MULIA / 11 / 500"/>
    <x v="3"/>
    <x v="1"/>
    <s v="6 Roda"/>
    <d v="2026-04-09T00:00:00"/>
    <n v="14110"/>
    <n v="4280"/>
    <n v="9830"/>
    <n v="9790"/>
    <m/>
    <m/>
    <m/>
    <m/>
    <n v="68"/>
    <m/>
    <s v="Bone Bone"/>
  </r>
  <r>
    <n v="1"/>
    <s v="000156"/>
    <s v="CPO000156JAS"/>
    <s v="DN 8924 EA"/>
    <s v="011/CPO/JM-WINS/II/2026"/>
    <s v="PT. JAS MULIA / 11 / 500"/>
    <x v="3"/>
    <x v="1"/>
    <s v="6 Roda"/>
    <d v="2026-04-09T00:00:00"/>
    <n v="13880"/>
    <n v="4240"/>
    <n v="9640"/>
    <n v="9600"/>
    <m/>
    <m/>
    <m/>
    <m/>
    <n v="68"/>
    <m/>
    <s v="Bone Bone"/>
  </r>
  <r>
    <n v="1"/>
    <s v="000157"/>
    <s v="CPO000157JAS"/>
    <s v="DN 8481 KK"/>
    <s v="011/CPO/JM-WINS/II/2026"/>
    <s v="PT. JAS MULIA / 11 / 500"/>
    <x v="3"/>
    <x v="1"/>
    <s v="6 Roda"/>
    <d v="2026-04-09T00:00:00"/>
    <n v="13320"/>
    <n v="3870"/>
    <n v="9450"/>
    <n v="9410"/>
    <m/>
    <m/>
    <m/>
    <m/>
    <n v="68"/>
    <m/>
    <s v="Bone Bone"/>
  </r>
  <r>
    <n v="1"/>
    <s v="000932"/>
    <s v="RBDPL000932DA"/>
    <s v="DP 8568 GF"/>
    <s v="006/OLEIN/WINS-CV DUTA ABADI/III/2026"/>
    <s v="CV. DA/2/300"/>
    <x v="9"/>
    <x v="3"/>
    <s v="6 Roda"/>
    <d v="2026-04-10T00:00:00"/>
    <n v="4170"/>
    <n v="13800"/>
    <n v="9630"/>
    <m/>
    <d v="1899-12-30T08:39:00"/>
    <d v="1899-12-30T09:33:00"/>
    <s v="samsira"/>
    <s v="AKMAL TAMRIN"/>
    <n v="360"/>
    <s v="CV LIT"/>
    <s v="Makassar"/>
  </r>
  <r>
    <n v="1"/>
    <s v="000933"/>
    <s v="RBDPL000933DA"/>
    <s v="DD 8711 XX"/>
    <s v="009/OLEIN/WINS-CV DUTA ABADI/III/2026"/>
    <s v="CV. DA/3/500"/>
    <x v="9"/>
    <x v="3"/>
    <s v="10 Roda"/>
    <d v="2026-04-10T00:00:00"/>
    <n v="10710"/>
    <n v="25200"/>
    <n v="14490"/>
    <m/>
    <d v="1899-12-30T15:37:00"/>
    <d v="1899-12-30T16:31:00"/>
    <s v="samsira"/>
    <s v="RONI RAKAN"/>
    <n v="360"/>
    <s v="CV WIL"/>
    <s v="Makassar"/>
  </r>
  <r>
    <n v="1"/>
    <s v="000934"/>
    <s v="RBDPL000934BJL"/>
    <s v="DP 8004 GJ "/>
    <s v="001/OLEIN/WINS-BJL/II/2026"/>
    <s v="BJL/1/1000"/>
    <x v="6"/>
    <x v="3"/>
    <s v="6 Roda"/>
    <d v="2026-04-10T00:00:00"/>
    <n v="4250"/>
    <n v="13720"/>
    <n v="9470"/>
    <m/>
    <d v="1899-12-30T18:46:00"/>
    <d v="1899-12-30T19:24:00"/>
    <s v="Datu"/>
    <s v="MURKAS"/>
    <n v="562"/>
    <s v="EXTERNAL"/>
    <s v="Palu"/>
  </r>
  <r>
    <n v="1"/>
    <s v="000935"/>
    <s v="RBDPL000935BJL"/>
    <s v="DP 9859 GA"/>
    <s v="001/OLEIN/WINS-BJL/II/2026"/>
    <s v="BJL/1/1000"/>
    <x v="6"/>
    <x v="3"/>
    <s v="6 Roda"/>
    <d v="2026-04-10T00:00:00"/>
    <n v="4150"/>
    <n v="14270"/>
    <n v="10120"/>
    <m/>
    <d v="1899-12-30T19:30:00"/>
    <d v="1899-12-30T20:01:00"/>
    <s v="Datu"/>
    <s v="BOBY ANDRIAWAN"/>
    <n v="562"/>
    <s v="EXTERNAL"/>
    <s v="Palu"/>
  </r>
  <r>
    <n v="1"/>
    <s v="000936"/>
    <s v="RBDPL000936DA"/>
    <s v="DD 8171 FN"/>
    <s v="009/OLEIN/WINS-CV DUTA ABADI/III/2026"/>
    <s v="CV. DA/3/500"/>
    <x v="9"/>
    <x v="3"/>
    <s v="12 Roda"/>
    <d v="2026-04-11T00:00:00"/>
    <n v="18970"/>
    <n v="42570"/>
    <n v="23600"/>
    <m/>
    <d v="1899-12-30T08:48:00"/>
    <d v="1899-12-30T10:49:00"/>
    <s v="samsira"/>
    <s v="JUFRI"/>
    <n v="360"/>
    <s v="CV LIT"/>
    <s v="Makassar"/>
  </r>
  <r>
    <n v="1"/>
    <s v="000937"/>
    <s v="RBDPL000937DA"/>
    <s v="DC 8141 AS"/>
    <s v="009/OLEIN/WINS-CV DUTA ABADI/III/2026"/>
    <s v="CV. DA/3/500"/>
    <x v="9"/>
    <x v="3"/>
    <s v="6 Roda"/>
    <d v="2026-04-11T00:00:00"/>
    <n v="3990"/>
    <n v="13480"/>
    <n v="9490"/>
    <m/>
    <d v="1899-12-30T13:51:00"/>
    <d v="1899-12-30T14:13:00"/>
    <s v="Datu"/>
    <s v="TAMRIN"/>
    <n v="360"/>
    <s v="CV LIT"/>
    <s v="Makassar"/>
  </r>
  <r>
    <n v="1"/>
    <s v="000938"/>
    <s v="RBDPL000938DA"/>
    <s v="DP 8172 GN"/>
    <s v="009/OLEIN/WINS-CV DUTA ABADI/III/2026"/>
    <s v="CV. DA/3/500"/>
    <x v="9"/>
    <x v="3"/>
    <s v="6 Roda"/>
    <d v="2026-04-11T00:00:00"/>
    <n v="4020"/>
    <n v="13530"/>
    <n v="9510"/>
    <m/>
    <d v="1899-12-30T13:53:00"/>
    <d v="1899-12-30T14:31:00"/>
    <s v="Datu"/>
    <s v="HALIK"/>
    <n v="360"/>
    <s v="CV LIT"/>
    <s v="Makassar"/>
  </r>
  <r>
    <n v="1"/>
    <s v="000939"/>
    <s v="RBDPL000939DA"/>
    <s v="DP 8762 GH "/>
    <s v="009/OLEIN/WINS-CV DUTA ABADI/III/2026"/>
    <s v="CV. DA/3/500"/>
    <x v="9"/>
    <x v="3"/>
    <s v="6 Roda"/>
    <d v="2026-04-11T00:00:00"/>
    <n v="3850"/>
    <n v="13280"/>
    <n v="9430"/>
    <m/>
    <d v="1899-12-30T13:56:00"/>
    <d v="1899-12-30T14:46:00"/>
    <s v="Datu"/>
    <s v="IRFAN "/>
    <n v="360"/>
    <s v="CV LIT"/>
    <s v="Makassar"/>
  </r>
  <r>
    <n v="1"/>
    <s v="000940"/>
    <s v="RBDPL000940BJL"/>
    <s v="DP 8928 GM "/>
    <s v="001/OLEIN/WINS-BJL/II/2026"/>
    <s v="BJL/1/1000"/>
    <x v="6"/>
    <x v="3"/>
    <s v="6 Roda"/>
    <d v="2026-04-11T00:00:00"/>
    <n v="3890"/>
    <n v="14020"/>
    <n v="10130"/>
    <m/>
    <d v="1899-12-30T14:16:00"/>
    <d v="1899-12-30T15:07:00"/>
    <s v="Datu"/>
    <s v="RISWAN"/>
    <n v="562"/>
    <s v="EXTERNAL"/>
    <s v="Palu"/>
  </r>
  <r>
    <n v="1"/>
    <s v="000941"/>
    <s v="RBDPL000941BJL"/>
    <s v="DP 8821 GL"/>
    <s v="001/OLEIN/WINS-BJL/II/2026"/>
    <s v="BJL/1/1000"/>
    <x v="6"/>
    <x v="3"/>
    <s v="6 Roda"/>
    <d v="2026-04-11T00:00:00"/>
    <n v="3840"/>
    <n v="13450"/>
    <n v="9610"/>
    <m/>
    <d v="1899-12-30T14:18:00"/>
    <d v="1899-12-30T15:29:00"/>
    <s v="Datu"/>
    <s v="IRWAN"/>
    <n v="562"/>
    <s v="EXTERNAL"/>
    <s v="Palu"/>
  </r>
  <r>
    <n v="1"/>
    <s v="000944"/>
    <s v="RBDPL000944BJL"/>
    <s v="DP 8953 DK"/>
    <s v="001/OLEIN/WINS-BJL/II/2026"/>
    <s v="BJL/1/1000"/>
    <x v="6"/>
    <x v="3"/>
    <s v="6 Roda"/>
    <d v="2026-04-11T00:00:00"/>
    <n v="4310"/>
    <n v="13440"/>
    <n v="9130"/>
    <m/>
    <d v="1899-12-30T15:49:00"/>
    <d v="1899-12-30T16:44:00"/>
    <s v="Datu"/>
    <s v="MUH. ARIF"/>
    <n v="562"/>
    <s v="EXTERNAL"/>
    <s v="Palu"/>
  </r>
  <r>
    <n v="1"/>
    <s v="000945"/>
    <s v="RBDPL000945BJL"/>
    <s v="DN 8648 GA"/>
    <s v="001/OLEIN/WINS-BJL/II/2026"/>
    <s v="BJL/1/1000"/>
    <x v="6"/>
    <x v="3"/>
    <s v="6 Roda"/>
    <d v="2026-04-11T00:00:00"/>
    <n v="3810"/>
    <n v="13050"/>
    <n v="9240"/>
    <m/>
    <d v="1899-12-30T15:51:00"/>
    <d v="1899-12-30T17:12:00"/>
    <s v="Datu"/>
    <s v="IGNATIUS ALI P"/>
    <n v="562"/>
    <s v="EXTERNAL"/>
    <s v="Palu"/>
  </r>
  <r>
    <n v="1"/>
    <s v="000942"/>
    <s v="RBDPL000942SCM"/>
    <s v="DP 8732 GK"/>
    <s v="004/OLEIN/WINS-CV SCM/III/2026"/>
    <s v="CV. SCM/1/500"/>
    <x v="8"/>
    <x v="3"/>
    <s v="6 Roda"/>
    <d v="2026-04-11T00:00:00"/>
    <n v="4190"/>
    <n v="14350"/>
    <n v="10160"/>
    <m/>
    <d v="1899-12-30T15:42:00"/>
    <d v="1899-12-30T16:11:00"/>
    <s v="Datu"/>
    <s v="BAHTIAR"/>
    <n v="400"/>
    <s v="EXTERNAL"/>
    <s v="Gowa"/>
  </r>
  <r>
    <n v="1"/>
    <s v="000943"/>
    <s v="RBDPL000943SCM"/>
    <s v="DP 8739 GO"/>
    <s v="004/OLEIN/WINS-CV SCM/III/2026"/>
    <s v="CV. SCM/1/500"/>
    <x v="8"/>
    <x v="3"/>
    <s v="6 Roda"/>
    <d v="2026-04-11T00:00:00"/>
    <n v="4050"/>
    <n v="13360"/>
    <n v="9310"/>
    <m/>
    <d v="1899-12-30T15:43:00"/>
    <d v="1899-12-30T16:30:00"/>
    <s v="Datu"/>
    <s v="ABD. HAMID"/>
    <n v="400"/>
    <s v="EXTERNAL"/>
    <s v="Gowa"/>
  </r>
  <r>
    <n v="1"/>
    <s v="000946"/>
    <s v="RBDPL000946BJL"/>
    <s v="DP 8953 DK"/>
    <s v="001/OLEIN/WINS-BJL/II/2026"/>
    <s v="BJL/1/1000"/>
    <x v="6"/>
    <x v="3"/>
    <s v="6 Roda"/>
    <d v="2026-04-13T00:00:00"/>
    <n v="4320"/>
    <n v="13470"/>
    <n v="9150"/>
    <m/>
    <d v="1899-12-30T09:31:00"/>
    <d v="1899-12-30T10:09:00"/>
    <s v="Datu"/>
    <s v="MUH. ARIF"/>
    <n v="562"/>
    <s v="EXTERNAL"/>
    <s v="Palu"/>
  </r>
  <r>
    <n v="1"/>
    <s v="000947"/>
    <s v="RBDPL000947BJL"/>
    <s v="DP 8798 GH"/>
    <s v="001/OLEIN/WINS-BJL/II/2026"/>
    <s v="BJL/1/1000"/>
    <x v="6"/>
    <x v="3"/>
    <s v="6 Roda"/>
    <d v="2026-04-13T00:00:00"/>
    <n v="4070"/>
    <n v="13600"/>
    <n v="9530"/>
    <m/>
    <d v="1899-12-30T10:16:00"/>
    <d v="1899-12-30T10:44:00"/>
    <s v="Datu"/>
    <s v="MUHAMMAD RAYHAN"/>
    <n v="562"/>
    <s v="EXTERNAL"/>
    <s v="Palu"/>
  </r>
  <r>
    <n v="1"/>
    <s v="000955"/>
    <s v="RBDPL000955BJL"/>
    <s v="DD 8711 XX"/>
    <s v="001/OLEIN/WINS-BJL/II/2026"/>
    <s v="BJL/1/1000"/>
    <x v="6"/>
    <x v="3"/>
    <s v="10 Roda"/>
    <d v="2026-04-13T00:00:00"/>
    <n v="10920"/>
    <n v="25440"/>
    <n v="14520"/>
    <m/>
    <d v="1899-12-30T19:53:00"/>
    <d v="1899-12-30T20:33:00"/>
    <s v="samsira"/>
    <s v="HAMSAL"/>
    <n v="562"/>
    <s v="CV WIL"/>
    <s v="Palu"/>
  </r>
  <r>
    <n v="1"/>
    <s v="000952"/>
    <s v="RBDPL000952BJL"/>
    <s v="DP 8004 GJ"/>
    <s v="001/OLEIN/WINS-BJL/II/2026"/>
    <s v="BJL/1/1000"/>
    <x v="6"/>
    <x v="3"/>
    <s v="6 Roda"/>
    <d v="2026-04-13T00:00:00"/>
    <n v="4290"/>
    <n v="13760"/>
    <n v="9470"/>
    <m/>
    <d v="1899-12-30T16:25:00"/>
    <d v="1899-12-30T17:34:00"/>
    <s v="samsira"/>
    <s v="MURKAS"/>
    <n v="562"/>
    <s v="EXTERNAL"/>
    <s v="Palu"/>
  </r>
  <r>
    <n v="1"/>
    <s v="000951"/>
    <s v="RBDPL000951BJL"/>
    <s v="DP 8953 DK"/>
    <s v="001/OLEIN/WINS-BJL/II/2026"/>
    <s v="BJL/1/1000"/>
    <x v="6"/>
    <x v="3"/>
    <s v="6 Roda"/>
    <d v="2026-04-13T00:00:00"/>
    <n v="4300"/>
    <n v="13390"/>
    <n v="9090"/>
    <m/>
    <d v="1899-12-30T16:24:00"/>
    <d v="1899-12-30T17:05:00"/>
    <s v="samsira"/>
    <s v="MUH. ARIF"/>
    <n v="562"/>
    <s v="EXTERNAL"/>
    <s v="Palu"/>
  </r>
  <r>
    <n v="1"/>
    <s v="000954"/>
    <s v="RBDPL000954SCM"/>
    <s v="B 1918 SXX"/>
    <s v="004/OLEIN/WINS-CV SCM/III/2026"/>
    <s v="CV. SCM/1/500"/>
    <x v="8"/>
    <x v="3"/>
    <s v="10 Roda"/>
    <d v="2026-04-13T00:00:00"/>
    <n v="12020"/>
    <n v="27000"/>
    <n v="14980"/>
    <m/>
    <d v="1899-12-30T17:44:00"/>
    <d v="1899-12-30T18:26:00"/>
    <s v="samsira"/>
    <s v="WALDI"/>
    <n v="400"/>
    <s v="EXTERNAL"/>
    <s v="Gowa"/>
  </r>
  <r>
    <n v="1"/>
    <s v="000953"/>
    <s v="RBDPL000953SCM"/>
    <s v="DP 9859 GA"/>
    <s v="004/OLEIN/WINS-CV SCM/III/2026"/>
    <s v="CV. SCM/1/500"/>
    <x v="8"/>
    <x v="3"/>
    <s v="6 Roda"/>
    <d v="2026-04-13T00:00:00"/>
    <n v="4280"/>
    <n v="14360"/>
    <n v="10080"/>
    <m/>
    <d v="1899-12-30T17:21:00"/>
    <d v="1899-12-30T17:58:00"/>
    <s v="samsira"/>
    <s v="BOBY ANDRIAWAN"/>
    <n v="400"/>
    <s v="EXTERNAL"/>
    <s v="Gowa"/>
  </r>
  <r>
    <n v="1"/>
    <s v="000949"/>
    <s v="RBDPL000949SCM"/>
    <s v="S 9249 UU"/>
    <s v="004/OLEIN/WINS-CV SCM/III/2026"/>
    <s v="CV. SCM/1/500"/>
    <x v="8"/>
    <x v="3"/>
    <s v="6 Roda"/>
    <d v="2026-04-13T00:00:00"/>
    <n v="4470"/>
    <n v="13570"/>
    <n v="9100"/>
    <m/>
    <d v="1899-12-30T14:57:00"/>
    <d v="1899-12-30T15:19:00"/>
    <s v="Datu"/>
    <s v="HENDRIK"/>
    <n v="400"/>
    <s v="EXTERNAL"/>
    <s v="Gowa"/>
  </r>
  <r>
    <n v="1"/>
    <s v="000948"/>
    <s v="RBDPL000948DA"/>
    <s v="DP 8568 GF"/>
    <s v="009/OLEIN/WINS-CV DUTA ABADI/III/2026"/>
    <s v="CV. DA/3/500"/>
    <x v="9"/>
    <x v="3"/>
    <s v="6 Roda"/>
    <d v="2026-04-13T00:00:00"/>
    <n v="4120"/>
    <n v="13740"/>
    <n v="9620"/>
    <m/>
    <d v="1899-12-30T11:36:00"/>
    <d v="1899-12-30T12:05:00"/>
    <s v="Datu"/>
    <s v="AKMAL TAMRIN"/>
    <n v="360"/>
    <s v="CV LIT"/>
    <s v="Makassar"/>
  </r>
  <r>
    <n v="1"/>
    <s v="000950"/>
    <s v="RBDPL000950TDJ"/>
    <s v="DD 9236 XX"/>
    <s v="017/OLEIN/WINS-GMU/IV/2026"/>
    <s v="TDJ-GMU/4/28890"/>
    <x v="10"/>
    <x v="3"/>
    <s v="12 Roda"/>
    <d v="2026-04-13T00:00:00"/>
    <n v="17520"/>
    <n v="46410"/>
    <n v="28890"/>
    <m/>
    <d v="1899-12-30T15:40:00"/>
    <d v="1899-12-30T16:47:00"/>
    <s v="Datu"/>
    <s v="IBRAHIM"/>
    <n v="473"/>
    <s v="CV WIL"/>
    <s v="Siumbatu"/>
  </r>
  <r>
    <n v="1"/>
    <s v="000956"/>
    <s v="RBDPL000956HSA"/>
    <s v="DP 8935 UA"/>
    <s v="011/OLEIN/WINS-HSA/III/2026"/>
    <s v="CV HSA/4/100"/>
    <x v="7"/>
    <x v="3"/>
    <s v="6 Roda"/>
    <d v="2026-04-14T00:00:00"/>
    <n v="4000"/>
    <n v="14090"/>
    <n v="10090"/>
    <m/>
    <d v="1899-12-30T10:03:00"/>
    <d v="1899-12-30T10:32:00"/>
    <s v="Datu"/>
    <s v="BASO"/>
    <n v="360"/>
    <s v="CV LIT"/>
    <s v="Makassar"/>
  </r>
  <r>
    <n v="1"/>
    <s v="000957"/>
    <s v="RBDPL000957DA"/>
    <s v="DP 8568 GF"/>
    <s v="009/OLEIN/WINS-CV DUTA ABADI/III/2026"/>
    <s v="CV. DA/3/500"/>
    <x v="9"/>
    <x v="3"/>
    <s v="6 Roda"/>
    <d v="2026-04-14T00:00:00"/>
    <n v="4120"/>
    <n v="13740"/>
    <n v="9620"/>
    <m/>
    <d v="1899-12-30T13:11:00"/>
    <d v="1899-12-30T13:47:00"/>
    <s v="Datu"/>
    <s v="AKMAL TAMRIN"/>
    <n v="360"/>
    <s v="CV LIT"/>
    <s v="Makassar"/>
  </r>
  <r>
    <n v="1"/>
    <s v="000958"/>
    <s v="RBDPL000958DA"/>
    <s v="DP 8732 GK"/>
    <s v="009/OLEIN/WINS-CV DUTA ABADI/III/2026"/>
    <s v="CV. DA/3/500"/>
    <x v="9"/>
    <x v="3"/>
    <s v="6 Roda"/>
    <d v="2026-04-14T00:00:00"/>
    <n v="4200"/>
    <n v="14360"/>
    <n v="10160"/>
    <m/>
    <d v="1899-12-30T16:25:00"/>
    <d v="1899-12-30T17:15:00"/>
    <s v="samsira"/>
    <s v="BAHTIAR"/>
    <n v="360"/>
    <s v="CV LIT"/>
    <s v="Makassar"/>
  </r>
  <r>
    <n v="1"/>
    <s v="000961"/>
    <s v="RBDPL000961BJL"/>
    <s v="DN 8481 KK"/>
    <s v="001/OLEIN/WINS-BJL/II/2026"/>
    <s v="BJL/1/1000"/>
    <x v="6"/>
    <x v="3"/>
    <s v="6 Roda"/>
    <d v="2026-04-14T00:00:00"/>
    <n v="3820"/>
    <n v="13430"/>
    <n v="9610"/>
    <m/>
    <d v="1899-12-30T20:15:00"/>
    <d v="1899-12-30T20:54:00"/>
    <s v="samsira"/>
    <s v="YOHAN PARUNTU"/>
    <n v="562"/>
    <s v="EXTERNAL"/>
    <s v="Palu"/>
  </r>
  <r>
    <n v="1"/>
    <s v="000960"/>
    <s v="RBDPL000960BJL"/>
    <s v="DN 8902 UB"/>
    <s v="001/OLEIN/WINS-BJL/II/2026"/>
    <s v="BJL/1/1000"/>
    <x v="6"/>
    <x v="3"/>
    <s v="6 Roda"/>
    <d v="2026-04-14T00:00:00"/>
    <n v="3980"/>
    <n v="13360"/>
    <n v="9380"/>
    <m/>
    <d v="1899-12-30T20:04:00"/>
    <d v="1899-12-30T20:31:00"/>
    <s v="samsira"/>
    <s v="FERI"/>
    <n v="562"/>
    <s v="EXTERNAL"/>
    <s v="Palu"/>
  </r>
  <r>
    <n v="1"/>
    <s v="000959"/>
    <s v="RBDPL000959BJL"/>
    <s v="DN 8749 EB"/>
    <s v="001/OLEIN/WINS-BJL/II/2026"/>
    <s v="BJL/1/1000"/>
    <x v="6"/>
    <x v="3"/>
    <s v="6 Roda"/>
    <d v="2026-04-14T00:00:00"/>
    <n v="3890"/>
    <n v="13120"/>
    <n v="9230"/>
    <m/>
    <d v="1899-12-30T17:07:00"/>
    <d v="1899-12-30T18:18:00"/>
    <s v="samsira"/>
    <s v="MELKISEDEK R"/>
    <n v="562"/>
    <s v="EXTERNAL"/>
    <s v="Palu"/>
  </r>
  <r>
    <n v="1"/>
    <s v="000964"/>
    <s v="RBDPL000964WIN"/>
    <s v="BM 8315 QO"/>
    <s v="018/OLEIN/WINS-WIN/IV/2026"/>
    <s v="WIN/2/28960"/>
    <x v="11"/>
    <x v="3"/>
    <s v="12 Roda"/>
    <d v="2026-04-15T00:00:00"/>
    <n v="17380"/>
    <n v="46340"/>
    <n v="28960"/>
    <m/>
    <d v="1899-12-30T10:35:00"/>
    <d v="1899-12-30T12:31:00"/>
    <s v="Datu"/>
    <s v="IBRAHIM"/>
    <n v="642"/>
    <s v="CV. WIL"/>
    <s v="Torobulu"/>
  </r>
  <r>
    <n v="1"/>
    <s v="000967"/>
    <s v="RBDPL000967HSA"/>
    <s v="DP 8172 GN"/>
    <s v="011/OLEIN/WINS-HSA/III/2026"/>
    <s v="CV HSA/4/100"/>
    <x v="7"/>
    <x v="3"/>
    <s v="6 Roda"/>
    <d v="2026-04-15T00:00:00"/>
    <n v="3990"/>
    <n v="13550"/>
    <n v="9560"/>
    <m/>
    <d v="1899-12-30T19:21:00"/>
    <d v="1899-12-30T20:19:00"/>
    <s v="samsira"/>
    <s v="HALIK"/>
    <n v="360"/>
    <s v="CV LIT"/>
    <s v="Makassar"/>
  </r>
  <r>
    <n v="1"/>
    <s v="000966"/>
    <s v="RBDPL000966DA"/>
    <s v="DP 8739 GO"/>
    <s v="009/OLEIN/WINS-CV DUTA ABADI/III/2026"/>
    <s v="CV. DA/3/500"/>
    <x v="9"/>
    <x v="3"/>
    <s v="6 Roda"/>
    <d v="2026-04-15T00:00:00"/>
    <n v="4010"/>
    <n v="13320"/>
    <n v="9310"/>
    <m/>
    <d v="1899-12-30T19:20:00"/>
    <d v="1899-12-30T20:04:00"/>
    <s v="samsira"/>
    <s v="ABD. HAMID"/>
    <n v="360"/>
    <s v="CV LIT"/>
    <s v="Makassar"/>
  </r>
  <r>
    <n v="1"/>
    <s v="000965"/>
    <s v="RBDPL000965BJL"/>
    <s v="DN 8648 GA"/>
    <s v="001/OLEIN/WINS-BJL/II/2026"/>
    <s v="BJL/1/1000"/>
    <x v="6"/>
    <x v="3"/>
    <s v="6 Roda"/>
    <d v="2026-04-15T00:00:00"/>
    <n v="3810"/>
    <n v="13040"/>
    <n v="9230"/>
    <m/>
    <d v="1899-12-30T17:22:00"/>
    <d v="1899-12-30T18:00:00"/>
    <s v="samsira"/>
    <s v="IGNATIUS ALI P"/>
    <n v="562"/>
    <s v="EXTERNAL"/>
    <s v="Palu"/>
  </r>
  <r>
    <n v="1"/>
    <s v="000963"/>
    <s v="RBDPL000963BJL"/>
    <s v="DP 9859 GA"/>
    <s v="001/OLEIN/WINS-BJL/II/2026"/>
    <s v="BJL/1/1000"/>
    <x v="6"/>
    <x v="3"/>
    <s v="6 Roda"/>
    <d v="2026-04-15T00:00:00"/>
    <n v="4170"/>
    <n v="14270"/>
    <n v="10100"/>
    <m/>
    <d v="1899-12-30T09:28:00"/>
    <d v="1899-12-30T10:09:00"/>
    <s v="Datu"/>
    <s v="BOBY ANDRIAWAN"/>
    <n v="562"/>
    <s v="EXTERNAL"/>
    <s v="Palu"/>
  </r>
  <r>
    <n v="1"/>
    <s v="000962"/>
    <s v="RBDPL000962BJL"/>
    <s v="DP 8798 GH"/>
    <s v="001/OLEIN/WINS-BJL/II/2026"/>
    <s v="BJL/1/1000"/>
    <x v="6"/>
    <x v="3"/>
    <s v="6 Roda"/>
    <d v="2026-04-15T00:00:00"/>
    <n v="4070"/>
    <n v="13580"/>
    <n v="9510"/>
    <m/>
    <d v="1899-12-30T08:49:00"/>
    <d v="1899-12-30T09:17:00"/>
    <s v="Datu"/>
    <s v="MUHAMMAD RAYHAN"/>
    <n v="562"/>
    <s v="EXTERNAL"/>
    <s v="Palu"/>
  </r>
  <r>
    <n v="1"/>
    <s v="000971"/>
    <s v="RBDPL000971BJL"/>
    <s v="B 1918 SXX"/>
    <s v="001/OLEIN/WINS-BJL/II/2026"/>
    <s v="BJL/1/1000"/>
    <x v="6"/>
    <x v="3"/>
    <s v="10 Roda"/>
    <d v="2026-04-16T00:00:00"/>
    <n v="11730"/>
    <n v="26860"/>
    <n v="15130"/>
    <m/>
    <d v="1899-12-30T17:27:00"/>
    <d v="1899-12-30T19:33:00"/>
    <s v="Datu"/>
    <s v="WALDI"/>
    <n v="562"/>
    <s v="CV WIL"/>
    <s v="Palu"/>
  </r>
  <r>
    <n v="1"/>
    <s v="000970"/>
    <s v="RBDPL000970DA"/>
    <s v="DP 8732 GK"/>
    <s v="009/OLEIN/WINS-CV DUTA ABADI/III/2026"/>
    <s v="CV. DA/3/500"/>
    <x v="9"/>
    <x v="3"/>
    <s v="6 Roda"/>
    <d v="2026-04-16T00:00:00"/>
    <n v="4200"/>
    <n v="14370"/>
    <n v="10170"/>
    <m/>
    <d v="1899-12-30T17:25:00"/>
    <d v="1899-12-30T17:46:00"/>
    <s v="Datu"/>
    <s v="BAHTIAR"/>
    <n v="360"/>
    <s v="CV LIT"/>
    <s v="Makassar"/>
  </r>
  <r>
    <n v="1"/>
    <s v="000969"/>
    <s v="RBDPL000969HSA"/>
    <s v="DD 8711 XX"/>
    <s v="011/OLEIN/WINS-HSA/III/2026"/>
    <s v="CV HSA/4/100"/>
    <x v="7"/>
    <x v="3"/>
    <s v="10 Roda"/>
    <d v="2026-04-16T00:00:00"/>
    <n v="10630"/>
    <n v="25150"/>
    <n v="14520"/>
    <m/>
    <d v="1899-12-30T17:20:00"/>
    <d v="1899-12-30T18:38:00"/>
    <s v="Datu"/>
    <s v="RONI RAKAN"/>
    <n v="360"/>
    <s v="CV WIL"/>
    <s v="Makassar"/>
  </r>
  <r>
    <n v="1"/>
    <s v="000968"/>
    <s v="RBDPL000968BJL"/>
    <s v="DP 8953 DK"/>
    <s v="001/OLEIN/WINS-BJL/II/2026"/>
    <s v="BJL/1/1000"/>
    <x v="6"/>
    <x v="3"/>
    <s v="6 Roda"/>
    <d v="2026-04-16T00:00:00"/>
    <n v="4310"/>
    <n v="13450"/>
    <n v="9140"/>
    <m/>
    <d v="1899-12-30T10:14:00"/>
    <d v="1899-12-30T11:08:00"/>
    <s v="Datu"/>
    <s v="MUH. ARIF"/>
    <n v="562"/>
    <s v="EXTERNAL"/>
    <s v="Palu"/>
  </r>
  <r>
    <n v="1"/>
    <s v="000972"/>
    <s v="RBDPL000972SCM"/>
    <s v="DC 8459 XL "/>
    <s v="004/OLEIN/WINS-CV SCM/III/2026"/>
    <s v="CV. SCM/1/500"/>
    <x v="8"/>
    <x v="3"/>
    <s v="6 Roda"/>
    <d v="2026-04-17T00:00:00"/>
    <n v="4140"/>
    <n v="13210"/>
    <n v="9070"/>
    <m/>
    <d v="1899-12-30T08:33:00"/>
    <d v="1899-12-30T09:11:00"/>
    <s v="Datu"/>
    <s v="HAERUDDIN"/>
    <n v="400"/>
    <s v="EXTERNAL"/>
    <s v="Gowa"/>
  </r>
  <r>
    <n v="1"/>
    <s v="000974"/>
    <s v="RBDPL000974SCM"/>
    <s v="DP 8004 GJ"/>
    <s v="004/OLEIN/WINS-CV SCM/III/2026"/>
    <s v="CV. SCM/1/500"/>
    <x v="8"/>
    <x v="3"/>
    <s v="6 Roda"/>
    <d v="2026-04-17T00:00:00"/>
    <n v="4210"/>
    <n v="13690"/>
    <n v="9480"/>
    <m/>
    <d v="1899-12-30T20:13:00"/>
    <d v="1899-12-30T20:53:00"/>
    <s v="samsira"/>
    <s v="MURKAS"/>
    <n v="400"/>
    <s v="EXTERNAL"/>
    <s v="Gowa"/>
  </r>
  <r>
    <n v="1"/>
    <s v="000975"/>
    <s v="RBDPL000975DA"/>
    <s v="DP 8350 FD"/>
    <s v="009/OLEIN/WINS-CV DUTA ABADI/III/2026"/>
    <s v="CV. DA/3/500"/>
    <x v="9"/>
    <x v="3"/>
    <s v="6 Roda"/>
    <d v="2026-04-17T00:00:00"/>
    <n v="3820"/>
    <n v="13420"/>
    <n v="9600"/>
    <m/>
    <d v="1899-12-30T20:17:00"/>
    <d v="1899-12-30T21:18:00"/>
    <s v="samsira"/>
    <s v="USMAN"/>
    <n v="360"/>
    <s v="CV LIT"/>
    <s v="Makassar"/>
  </r>
  <r>
    <n v="1"/>
    <s v="000976"/>
    <s v="RBDPL000976HSA"/>
    <s v="DP 8935 UA"/>
    <s v="011/OLEIN/WINS-HSA/III/2026"/>
    <s v="CV HSA/4/100"/>
    <x v="7"/>
    <x v="3"/>
    <s v="6 Roda"/>
    <d v="2026-04-17T00:00:00"/>
    <n v="3970"/>
    <n v="14060"/>
    <n v="10090"/>
    <m/>
    <d v="1899-12-30T20:58:00"/>
    <d v="1899-12-30T21:35:00"/>
    <s v="samsira"/>
    <s v="BASO"/>
    <n v="360"/>
    <s v="CV LIT"/>
    <s v="Makassar"/>
  </r>
  <r>
    <n v="1"/>
    <s v="000973"/>
    <s v="RBDPL000973TDJ"/>
    <s v="DD 9236 XX"/>
    <s v="019/OLEIN/WINS-GMU/IV/2026"/>
    <s v="TDJ-GMU/5/28960"/>
    <x v="10"/>
    <x v="3"/>
    <s v="12 Roda"/>
    <d v="2026-04-17T00:00:00"/>
    <n v="17390"/>
    <n v="46350"/>
    <n v="28960"/>
    <m/>
    <d v="1899-12-30T18:00:00"/>
    <d v="1899-12-30T19:55:00"/>
    <s v="samsira"/>
    <s v="IBRAHIM"/>
    <n v="473"/>
    <s v="CV WIL"/>
    <s v="Siumbatu"/>
  </r>
  <r>
    <n v="1"/>
    <s v="000977"/>
    <s v="RBDPL000977DA"/>
    <s v="DP 8762 GH"/>
    <s v="009/OLEIN/WINS-CV DUTA ABADI/III/2026"/>
    <s v="CV. DA/3/500"/>
    <x v="9"/>
    <x v="3"/>
    <s v="6 Roda"/>
    <d v="2026-04-18T00:00:00"/>
    <n v="3800"/>
    <n v="13230"/>
    <n v="9430"/>
    <m/>
    <d v="1899-12-30T08:51:00"/>
    <d v="1899-12-30T09:56:00"/>
    <s v="Datu"/>
    <s v="IRFAN "/>
    <n v="360"/>
    <s v="CV LIT"/>
    <s v="Makassar"/>
  </r>
  <r>
    <n v="1"/>
    <s v="000978"/>
    <s v="RBDPL000978DA"/>
    <s v="DP 8172 GN"/>
    <s v="009/OLEIN/WINS-CV DUTA ABADI/III/2026"/>
    <s v="CV. DA/3/500"/>
    <x v="9"/>
    <x v="3"/>
    <s v="6 Roda"/>
    <d v="2026-04-18T00:00:00"/>
    <n v="4010"/>
    <n v="13570"/>
    <n v="9560"/>
    <m/>
    <d v="1899-12-30T10:00:00"/>
    <d v="1899-12-30T10:25:00"/>
    <s v="Datu"/>
    <s v="HALIK"/>
    <n v="360"/>
    <s v="CV LIT"/>
    <s v="Makassar"/>
  </r>
  <r>
    <n v="1"/>
    <s v="000981"/>
    <s v="RBDPL000981DA"/>
    <s v="DC 8143 AS"/>
    <s v="009/OLEIN/WINS-CV DUTA ABADI/III/2026"/>
    <s v="CV. DA/3/500"/>
    <x v="9"/>
    <x v="3"/>
    <s v="6 Roda"/>
    <d v="2026-04-18T00:00:00"/>
    <n v="3910"/>
    <n v="13440"/>
    <n v="9530"/>
    <m/>
    <d v="1899-12-30T17:42:00"/>
    <d v="1899-12-30T18:03:00"/>
    <s v="samsira"/>
    <s v="HASBAR"/>
    <n v="360"/>
    <s v="CV LIT"/>
    <s v="Makassar"/>
  </r>
  <r>
    <n v="1"/>
    <s v="000979"/>
    <s v="RBDPL000979SCM"/>
    <s v="DC 8459 XL"/>
    <s v="004/OLEIN/WINS-CV SCM/III/2026"/>
    <s v="CV. SCM/1/500"/>
    <x v="8"/>
    <x v="3"/>
    <s v="6 Roda"/>
    <d v="2026-04-18T00:00:00"/>
    <n v="4080"/>
    <n v="13120"/>
    <n v="9040"/>
    <m/>
    <d v="1899-12-30T14:47:00"/>
    <d v="1899-12-30T15:13:00"/>
    <s v="samsira"/>
    <s v="HAERUDDIN"/>
    <n v="400"/>
    <s v="EXTERNAL"/>
    <s v="Gowa"/>
  </r>
  <r>
    <n v="1"/>
    <s v="000980"/>
    <s v="RBDPL000980NDJ"/>
    <s v="B 1918 SXX"/>
    <s v="021/OLEIN/WINS-NDJ/IV/2026"/>
    <s v="NDJ/1/15090"/>
    <x v="12"/>
    <x v="3"/>
    <s v="10 Roda"/>
    <d v="2026-04-18T00:00:00"/>
    <n v="11680"/>
    <n v="26770"/>
    <n v="15090"/>
    <m/>
    <d v="1899-12-30T16:30:00"/>
    <d v="1899-12-30T17:10:00"/>
    <s v="samsira"/>
    <s v="WALDI"/>
    <n v="0"/>
    <s v="CV. WIL"/>
    <n v="0"/>
  </r>
  <r>
    <n v="1"/>
    <s v="000982"/>
    <s v="RBDPL000982WIN"/>
    <s v="BM 8315 QO"/>
    <s v="020/OLEIN/WINS-WIN/IV/2026"/>
    <s v="WIN/2/28870"/>
    <x v="11"/>
    <x v="3"/>
    <s v="12 Roda"/>
    <d v="2026-04-18T00:00:00"/>
    <n v="17230"/>
    <n v="46100"/>
    <n v="28870"/>
    <m/>
    <d v="1899-12-30T18:51:00"/>
    <d v="1899-12-30T20:05:00"/>
    <s v="samsira"/>
    <s v="IQBAL"/>
    <n v="642"/>
    <s v="CV. WIL"/>
    <s v="Torobulu"/>
  </r>
  <r>
    <n v="1"/>
    <s v="000983"/>
    <s v="RBDPL000983SCM"/>
    <s v="DP 8004 GJ"/>
    <s v="004/OLEIN/WINS-CV SCM/III/2026"/>
    <s v="CV. SCM/1/500"/>
    <x v="8"/>
    <x v="3"/>
    <s v="6 Roda"/>
    <d v="2026-04-20T00:00:00"/>
    <n v="4220"/>
    <n v="13690"/>
    <n v="9470"/>
    <m/>
    <d v="1899-12-30T09:04:00"/>
    <d v="1899-12-30T09:41:00"/>
    <s v="samsira"/>
    <s v="MURKAS"/>
    <n v="400"/>
    <s v="EXTERNAL"/>
    <s v="Gowa"/>
  </r>
  <r>
    <n v="1"/>
    <s v="000985"/>
    <s v="RBDPL000985SCM"/>
    <s v="DC 8459 XL"/>
    <s v="004/OLEIN/WINS-CV SCM/III/2026"/>
    <s v="CV. SCM/1/500"/>
    <x v="8"/>
    <x v="3"/>
    <s v="6 Roda"/>
    <d v="2026-04-20T00:00:00"/>
    <n v="4100"/>
    <n v="13160"/>
    <n v="9060"/>
    <m/>
    <d v="1899-12-30T10:11:00"/>
    <d v="1899-12-30T10:38:00"/>
    <s v="samsira"/>
    <s v="HAERUDDIN"/>
    <n v="400"/>
    <s v="EXTERNAL"/>
    <s v="Gowa"/>
  </r>
  <r>
    <n v="1"/>
    <s v="000984"/>
    <s v="RBDPL000984BJL"/>
    <s v="DP 8953 DK"/>
    <s v="001/OLEIN/WINS-BJL/II/2026"/>
    <s v="BJL/1/1000"/>
    <x v="6"/>
    <x v="3"/>
    <s v="6 Roda"/>
    <d v="2026-04-20T00:00:00"/>
    <n v="4300"/>
    <n v="13450"/>
    <n v="9150"/>
    <m/>
    <d v="1899-12-30T09:10:00"/>
    <d v="1899-12-30T09:59:00"/>
    <s v="samsira"/>
    <s v="MUH. ARIF"/>
    <n v="562"/>
    <s v="EXTERNAL"/>
    <s v="Palu"/>
  </r>
  <r>
    <n v="1"/>
    <s v="000986"/>
    <s v="RBDPL000986BJL"/>
    <s v="DN 8684 GA"/>
    <s v="001/OLEIN/WINS-BJL/II/2026"/>
    <s v="BJL/1/1000"/>
    <x v="6"/>
    <x v="3"/>
    <s v="6 Roda"/>
    <d v="2026-04-20T00:00:00"/>
    <n v="3790"/>
    <n v="13020"/>
    <n v="9230"/>
    <m/>
    <d v="1899-12-30T10:47:00"/>
    <d v="1899-12-30T11:13:00"/>
    <s v="samsira"/>
    <s v="IGNATIUS ALI P"/>
    <n v="562"/>
    <s v="EXTERNAL"/>
    <s v="Palu"/>
  </r>
  <r>
    <n v="1"/>
    <s v="000987"/>
    <s v="RBDPL000987BJL"/>
    <s v="DN 8481 KK"/>
    <s v="001/OLEIN/WINS-BJL/II/2026"/>
    <s v="BJL/1/1000"/>
    <x v="6"/>
    <x v="3"/>
    <s v="6 Roda"/>
    <d v="2026-04-20T00:00:00"/>
    <n v="3820"/>
    <n v="13440"/>
    <n v="9620"/>
    <m/>
    <d v="1899-12-30T11:18:00"/>
    <d v="1899-12-30T11:41:00"/>
    <s v="samsira"/>
    <s v="YOHAN PARUNTU"/>
    <n v="562"/>
    <s v="EXTERNAL"/>
    <s v="Palu"/>
  </r>
  <r>
    <n v="1"/>
    <s v="000988"/>
    <s v="RBDPL000988BJL"/>
    <s v="DN 8902 UB"/>
    <s v="001/OLEIN/WINS-BJL/II/2026"/>
    <s v="BJL/1/1000"/>
    <x v="6"/>
    <x v="3"/>
    <s v="6 Roda"/>
    <d v="2026-04-20T00:00:00"/>
    <n v="4020"/>
    <n v="13410"/>
    <n v="9390"/>
    <m/>
    <d v="1899-12-30T11:21:00"/>
    <d v="1899-12-30T11:58:00"/>
    <s v="samsira"/>
    <s v="FERI"/>
    <n v="562"/>
    <s v="EXTERNAL"/>
    <s v="Palu"/>
  </r>
  <r>
    <n v="1"/>
    <s v="000989"/>
    <s v="RBDPL000989BJL"/>
    <s v="DN 8749 EB"/>
    <s v="001/OLEIN/WINS-BJL/II/2026"/>
    <s v="BJL/1/1000"/>
    <x v="6"/>
    <x v="3"/>
    <s v="6 Roda"/>
    <d v="2026-04-20T00:00:00"/>
    <n v="3890"/>
    <n v="13160"/>
    <n v="9270"/>
    <m/>
    <d v="1899-12-30T11:47:00"/>
    <d v="1899-12-30T12:17:00"/>
    <s v="samsira"/>
    <s v="MELKISEDEK R"/>
    <n v="562"/>
    <s v="EXTERNAL"/>
    <s v="Palu"/>
  </r>
  <r>
    <n v="1"/>
    <s v="000990"/>
    <s v="RBDPL000990BJL"/>
    <s v="DN 8916 EB"/>
    <s v="001/OLEIN/WINS-BJL/II/2026"/>
    <s v="BJL/1/1000"/>
    <x v="6"/>
    <x v="3"/>
    <s v="6 Roda"/>
    <d v="2026-04-20T00:00:00"/>
    <n v="4230"/>
    <n v="14220"/>
    <n v="9990"/>
    <m/>
    <d v="1899-12-30T13:43:00"/>
    <d v="1899-12-30T14:03:00"/>
    <s v="samsira"/>
    <s v="BUDI SUKARDIL"/>
    <n v="562"/>
    <s v="EXTERNAL"/>
    <s v="Palu"/>
  </r>
  <r>
    <n v="1"/>
    <s v="000991"/>
    <s v="RBDPL000991BJL"/>
    <s v="DN 8841 CS"/>
    <s v="001/OLEIN/WINS-BJL/II/2026"/>
    <s v="BJL/1/1000"/>
    <x v="6"/>
    <x v="3"/>
    <s v="6 Roda"/>
    <d v="2026-04-20T00:00:00"/>
    <n v="3920"/>
    <n v="13620"/>
    <n v="9700"/>
    <m/>
    <d v="1899-12-30T13:46:00"/>
    <d v="1899-12-30T14:33:00"/>
    <s v="samsira"/>
    <s v="MOH RISKY"/>
    <n v="562"/>
    <s v="EXTERNAL"/>
    <s v="Palu"/>
  </r>
  <r>
    <n v="1"/>
    <s v="000992"/>
    <s v="RBDPL000992BJL"/>
    <s v="DP 8953 DK"/>
    <s v="001/OLEIN/WINS-BJL/II/2026"/>
    <s v="BJL/1/1000"/>
    <x v="6"/>
    <x v="3"/>
    <s v="6 Roda"/>
    <d v="2026-04-20T00:00:00"/>
    <n v="4290"/>
    <n v="13450"/>
    <n v="9160"/>
    <m/>
    <d v="1899-12-30T14:10:00"/>
    <d v="1899-12-30T14:58:00"/>
    <s v="samsira"/>
    <s v="MUH. ARIF"/>
    <n v="562"/>
    <s v="EXTERNAL"/>
    <s v="Palu"/>
  </r>
  <r>
    <n v="1"/>
    <s v="000993"/>
    <s v="RBDPL000993TDJ"/>
    <s v="DD 8711 XX"/>
    <s v="022/OLEIN/WINS-GMU/IV/2026"/>
    <s v="TDJ-GMU/6/14470"/>
    <x v="10"/>
    <x v="3"/>
    <s v="10 Roda"/>
    <d v="2026-04-20T00:00:00"/>
    <n v="10580"/>
    <n v="25050"/>
    <n v="14470"/>
    <m/>
    <d v="1899-12-30T16:04:00"/>
    <d v="1899-12-30T16:57:00"/>
    <s v="samsira"/>
    <s v="RONI RAKAN"/>
    <n v="473"/>
    <s v="CV. WIL"/>
    <s v="Siumbatu"/>
  </r>
  <r>
    <n v="1"/>
    <s v="000994"/>
    <s v="RBDPL000994BJL"/>
    <s v="DW 8703 MF"/>
    <s v="001/OLEIN/WINS-BJL/II/2026"/>
    <s v="BJL/1/1000"/>
    <x v="6"/>
    <x v="3"/>
    <s v="6 Roda"/>
    <d v="2026-04-21T00:00:00"/>
    <n v="4090"/>
    <n v="13320"/>
    <n v="9230"/>
    <m/>
    <d v="1899-12-30T14:15:00"/>
    <d v="1899-12-30T15:15:00"/>
    <s v="samsira"/>
    <s v="HERLIN"/>
    <n v="562"/>
    <s v="EXTERNAL"/>
    <s v="Palu"/>
  </r>
  <r>
    <n v="1"/>
    <s v="000995"/>
    <s v="RBDPL000995TDJ"/>
    <s v="DD 9236 XX"/>
    <s v="023/OLEIN/WINS-GMU/IV/2026"/>
    <s v="TDJ-GMU/7/28930"/>
    <x v="10"/>
    <x v="3"/>
    <s v="12 Roda"/>
    <d v="2026-04-21T00:00:00"/>
    <n v="17280"/>
    <n v="46210"/>
    <n v="28930"/>
    <m/>
    <d v="1899-12-30T17:22:00"/>
    <d v="1899-12-30T18:14:00"/>
    <s v="Datu"/>
    <s v="IBRAHIM"/>
    <n v="473"/>
    <s v="CV. WIL"/>
    <s v="Siumbatu"/>
  </r>
  <r>
    <n v="1"/>
    <s v="000996"/>
    <s v="RBDPL000996DA"/>
    <s v="DP 8172 GN"/>
    <s v="009/OLEIN/WINS-CV DUTA ABADI/III/2026"/>
    <s v="CV. DA/3/500"/>
    <x v="9"/>
    <x v="3"/>
    <s v="6 Roda"/>
    <d v="2026-04-21T00:00:00"/>
    <n v="4050"/>
    <n v="13570"/>
    <n v="9520"/>
    <m/>
    <d v="1899-12-30T17:29:00"/>
    <d v="1899-12-30T19:13:00"/>
    <s v="Datu"/>
    <s v="HALIK"/>
    <n v="360"/>
    <s v="CV LIT"/>
    <s v="Makassar"/>
  </r>
  <r>
    <n v="1"/>
    <s v="000997"/>
    <s v="RBDPL000997HSA"/>
    <s v="DC 8143 AS"/>
    <s v="011/OLEIN/WINS-HSA/III/2026"/>
    <s v="CV HSA/4/100"/>
    <x v="7"/>
    <x v="3"/>
    <s v="6 Roda"/>
    <d v="2026-04-21T00:00:00"/>
    <n v="3950"/>
    <n v="13470"/>
    <n v="9520"/>
    <m/>
    <d v="1899-12-30T18:50:00"/>
    <d v="1899-12-30T19:20:00"/>
    <s v="Datu"/>
    <s v="HASBAR"/>
    <n v="360"/>
    <s v="CV LIT"/>
    <s v="Makassar"/>
  </r>
  <r>
    <n v="1"/>
    <s v="000998"/>
    <s v="RBDPL000998HSA"/>
    <s v="DP 8350 FD"/>
    <s v="011/OLEIN/WINS-HSA/III/2026"/>
    <s v="CV HSA/4/100"/>
    <x v="7"/>
    <x v="3"/>
    <s v="6 Roda"/>
    <d v="2026-04-21T00:00:00"/>
    <n v="3860"/>
    <n v="13420"/>
    <n v="9560"/>
    <m/>
    <d v="1899-12-30T19:17:00"/>
    <d v="1899-12-30T19:37:00"/>
    <s v="Datu"/>
    <s v="USMAN"/>
    <n v="360"/>
    <s v="CV LIT"/>
    <s v="Makassar"/>
  </r>
  <r>
    <n v="1"/>
    <s v="000999"/>
    <s v="RBDPL000999HSA"/>
    <s v="DP 8935 UA"/>
    <s v="011/OLEIN/WINS-HSA/III/2026"/>
    <s v="CV HSA/4/100"/>
    <x v="7"/>
    <x v="3"/>
    <s v="6 Roda"/>
    <d v="2026-04-21T00:00:00"/>
    <n v="3980"/>
    <n v="14080"/>
    <n v="10100"/>
    <m/>
    <d v="1899-12-30T19:22:00"/>
    <d v="1899-12-30T19:54:00"/>
    <s v="Datu"/>
    <s v="BASO"/>
    <n v="360"/>
    <s v="CV LIT"/>
    <s v="Makassar"/>
  </r>
  <r>
    <n v="1"/>
    <s v="001000"/>
    <s v="RBDPL001000SCM"/>
    <s v="DD 8983 UC"/>
    <s v="004/OLEIN/WINS-CV SCM/III/2026"/>
    <s v="CV. SCM/1/500"/>
    <x v="8"/>
    <x v="3"/>
    <s v="6 Roda"/>
    <d v="2026-04-21T00:00:00"/>
    <n v="4380"/>
    <n v="14570"/>
    <n v="10190"/>
    <m/>
    <d v="1899-12-30T19:39:00"/>
    <d v="1899-12-30T20:11:00"/>
    <s v="Datu"/>
    <s v="ARISTO"/>
    <n v="400"/>
    <s v="EXTERNAL"/>
    <s v="Gowa"/>
  </r>
  <r>
    <n v="1"/>
    <s v="001002"/>
    <s v="RBDPL001002SCM"/>
    <s v="S 9249 UU"/>
    <s v="004/OLEIN/WINS-CV SCM/III/2026"/>
    <s v="CV. SCM/1/500"/>
    <x v="8"/>
    <x v="3"/>
    <s v="6 Roda"/>
    <d v="2026-04-22T00:00:00"/>
    <n v="4520"/>
    <n v="13730"/>
    <n v="9210"/>
    <m/>
    <d v="1899-12-30T14:17:00"/>
    <d v="1899-12-30T14:42:00"/>
    <s v="samsira"/>
    <s v="HENDRIK"/>
    <n v="400"/>
    <s v="EXTERNAL"/>
    <s v="Gowa"/>
  </r>
  <r>
    <n v="1"/>
    <s v="001001"/>
    <s v="RBDPL001001SCM"/>
    <s v="DC 8459 XL"/>
    <s v="004/OLEIN/WINS-CV SCM/III/2026"/>
    <s v="CV. SCM/1/500"/>
    <x v="8"/>
    <x v="3"/>
    <s v="6 Roda"/>
    <d v="2026-04-22T00:00:00"/>
    <n v="4050"/>
    <n v="13090"/>
    <n v="9040"/>
    <m/>
    <d v="1899-12-30T08:37:00"/>
    <d v="1899-12-30T09:38:00"/>
    <s v="samsira"/>
    <s v="HAERUDDIN"/>
    <n v="400"/>
    <s v="EXTERNAL"/>
    <s v="Gowa"/>
  </r>
  <r>
    <n v="1"/>
    <s v="001004"/>
    <s v="RBDPL001004SCM"/>
    <s v="DC 8141 AS"/>
    <s v="004/OLEIN/WINS-CV SCM/III/2026"/>
    <s v="CV. SCM/1/500"/>
    <x v="8"/>
    <x v="3"/>
    <s v="6 Roda"/>
    <d v="2026-04-22T00:00:00"/>
    <n v="3970"/>
    <n v="13460"/>
    <n v="9490"/>
    <m/>
    <d v="1899-12-30T17:12:00"/>
    <d v="1899-12-30T17:55:00"/>
    <s v="samsira"/>
    <s v="TAMRIN"/>
    <n v="400"/>
    <s v="CV LIT"/>
    <s v="Gowa"/>
  </r>
  <r>
    <n v="1"/>
    <s v="001005"/>
    <s v="RBDPL001005SCM"/>
    <s v="DP 9856 GA"/>
    <s v="004/OLEIN/WINS-CV SCM/III/2026"/>
    <s v="CV. SCM/1/500"/>
    <x v="8"/>
    <x v="3"/>
    <s v="6 Roda"/>
    <d v="2026-04-22T00:00:00"/>
    <n v="3830"/>
    <n v="13140"/>
    <n v="9310"/>
    <m/>
    <d v="1899-12-30T17:14:00"/>
    <d v="1899-12-30T18:14:00"/>
    <s v="samsira"/>
    <s v="HARI ASHARI"/>
    <n v="400"/>
    <s v="CV LIT"/>
    <s v="Gowa"/>
  </r>
  <r>
    <n v="1"/>
    <s v="001008"/>
    <s v="RBDPL001008SCM"/>
    <s v="DP 8004 GJ"/>
    <s v="004/OLEIN/WINS-CV SCM/III/2026"/>
    <s v="CV. SCM/1/500"/>
    <x v="8"/>
    <x v="3"/>
    <s v="6 Roda"/>
    <d v="2026-04-22T00:00:00"/>
    <n v="4200"/>
    <n v="13660"/>
    <n v="9460"/>
    <m/>
    <d v="1899-12-30T18:23:00"/>
    <d v="1899-12-30T19:29:00"/>
    <s v="Datu"/>
    <s v="MURKAS"/>
    <n v="400"/>
    <s v="EXTERNAL"/>
    <s v="Gowa"/>
  </r>
  <r>
    <n v="1"/>
    <s v="001006"/>
    <s v="RBDPL001006HSA"/>
    <s v="DP 8732 GK"/>
    <s v="011/OLEIN/WINS-HSA/III/2026"/>
    <s v="CV HSA/4/100"/>
    <x v="7"/>
    <x v="3"/>
    <s v="6 Roda"/>
    <d v="2026-04-22T00:00:00"/>
    <n v="4150"/>
    <n v="14300"/>
    <n v="10150"/>
    <m/>
    <d v="1899-12-30T17:59:00"/>
    <d v="1899-12-30T18:44:00"/>
    <s v="Datu"/>
    <s v="BAHTIAR"/>
    <n v="360"/>
    <s v="CV LIT"/>
    <s v="Makassar"/>
  </r>
  <r>
    <n v="1"/>
    <s v="001007"/>
    <s v="RBDPL001007BJL"/>
    <s v="DP 8821 GL"/>
    <s v="001/OLEIN/WINS-BJL/II/2026"/>
    <s v="BJL/1/1000"/>
    <x v="6"/>
    <x v="3"/>
    <s v="6 Roda"/>
    <d v="2026-04-22T00:00:00"/>
    <n v="3700"/>
    <n v="13280"/>
    <n v="9580"/>
    <m/>
    <d v="1899-12-30T18:18:00"/>
    <d v="1899-12-30T18:59:00"/>
    <s v="Datu"/>
    <s v="IRWAN"/>
    <n v="562"/>
    <s v="EXTERNAL"/>
    <s v="Palu"/>
  </r>
  <r>
    <n v="1"/>
    <s v="001010"/>
    <s v="RBDPL001010BJL"/>
    <s v="DP 8953 DK"/>
    <s v="001/OLEIN/WINS-BJL/II/2026"/>
    <s v="BJL/1/1000"/>
    <x v="6"/>
    <x v="3"/>
    <s v="6 Roda"/>
    <d v="2026-04-23T00:00:00"/>
    <n v="4300"/>
    <n v="13460"/>
    <n v="9160"/>
    <m/>
    <d v="1899-12-30T14:31:00"/>
    <d v="1899-12-30T15:03:00"/>
    <s v="samsira"/>
    <s v="MUH. ARIF"/>
    <n v="562"/>
    <s v="EXTERNAL"/>
    <s v="Palu"/>
  </r>
  <r>
    <n v="1"/>
    <s v="001009"/>
    <s v="RBDPL001009BJL"/>
    <s v="DC 8459 XL"/>
    <s v="001/OLEIN/WINS-BJL/II/2026"/>
    <s v="BJL/1/1000"/>
    <x v="6"/>
    <x v="3"/>
    <s v="6 Roda"/>
    <d v="2026-04-23T00:00:00"/>
    <n v="4000"/>
    <n v="13050"/>
    <n v="9050"/>
    <m/>
    <d v="1899-12-30T09:31:00"/>
    <d v="1899-12-30T10:15:00"/>
    <s v="samsira"/>
    <s v="HAERUDDIN"/>
    <n v="562"/>
    <s v="EXTERNAL"/>
    <s v="Palu"/>
  </r>
  <r>
    <n v="1"/>
    <s v="001011"/>
    <s v="RBDPL001011BJL"/>
    <s v="DP 8953 DK"/>
    <s v="001/OLEIN/WINS-BJL/II/2026"/>
    <s v="BJL/1/1000"/>
    <x v="6"/>
    <x v="3"/>
    <s v="6 Roda"/>
    <d v="2026-04-23T00:00:00"/>
    <n v="4290"/>
    <n v="13440"/>
    <n v="9150"/>
    <m/>
    <d v="1899-12-30T18:31:00"/>
    <d v="1899-12-30T19:02:00"/>
    <s v="Datu"/>
    <s v="MUH. ARIF"/>
    <n v="562"/>
    <s v="EXTERNAL"/>
    <s v="Palu"/>
  </r>
  <r>
    <n v="1"/>
    <s v="001012"/>
    <s v="RBDPL001012DA"/>
    <s v="DP 8172 GN"/>
    <s v="009/OLEIN/WINS-CV DUTA ABADI/III/2026"/>
    <s v="CV. DA/3/500"/>
    <x v="9"/>
    <x v="3"/>
    <s v="6 Roda"/>
    <d v="2026-04-23T00:00:00"/>
    <n v="3990"/>
    <n v="13550"/>
    <n v="9560"/>
    <m/>
    <d v="1899-12-30T21:50:00"/>
    <d v="1899-12-30T22:21:00"/>
    <s v="Datu"/>
    <s v="HALIK"/>
    <n v="360"/>
    <s v="CV LIT"/>
    <s v="Makassar"/>
  </r>
  <r>
    <n v="1"/>
    <s v="001013"/>
    <s v="RBDPL001013WIN"/>
    <s v="DP 8366 TE"/>
    <s v="024/OLEIN/WINS-WIN/IV/2026"/>
    <s v="WIN/3/7240"/>
    <x v="11"/>
    <x v="3"/>
    <s v="6 Roda"/>
    <d v="2026-04-23T00:00:00"/>
    <n v="4340"/>
    <n v="11580"/>
    <n v="7240"/>
    <m/>
    <d v="1899-12-30T22:34:00"/>
    <d v="1899-12-30T23:15:00"/>
    <s v="Datu"/>
    <s v="YOGHIE PRATAMA"/>
    <n v="642"/>
    <s v="HALIM"/>
    <s v="Torobulu"/>
  </r>
  <r>
    <n v="1"/>
    <s v="001017"/>
    <s v="RBDPL001017DA"/>
    <s v="DP 8739 GO"/>
    <s v="009/OLEIN/WINS-CV DUTA ABADI/III/2026"/>
    <s v="CV. DA/3/500"/>
    <x v="9"/>
    <x v="3"/>
    <s v="6 Roda"/>
    <d v="2026-04-24T00:00:00"/>
    <n v="4020"/>
    <n v="13350"/>
    <n v="9330"/>
    <m/>
    <d v="1899-12-30T15:01:00"/>
    <d v="1899-12-30T16:09:00"/>
    <s v="samsira"/>
    <s v="ABD. HAMID"/>
    <n v="360"/>
    <s v="CV LIT"/>
    <s v="Makassar"/>
  </r>
  <r>
    <n v="1"/>
    <s v="001020"/>
    <s v="RBDPL001020DA"/>
    <s v="DC 8141 AS"/>
    <s v="009/OLEIN/WINS-CV DUTA ABADI/III/2026"/>
    <s v="CV. DA/3/500"/>
    <x v="9"/>
    <x v="3"/>
    <s v="6 Roda"/>
    <d v="2026-04-24T00:00:00"/>
    <n v="3980"/>
    <n v="13490"/>
    <n v="9510"/>
    <m/>
    <d v="1899-12-30T19:12:00"/>
    <d v="1899-12-30T19:49:00"/>
    <s v="Datu"/>
    <s v="TAMRIN"/>
    <n v="360"/>
    <s v="CV LIT"/>
    <s v="Makassar"/>
  </r>
  <r>
    <n v="1"/>
    <s v="001022"/>
    <s v="RBDPL001022DA"/>
    <s v="DP 9856 GA"/>
    <s v="009/OLEIN/WINS-CV DUTA ABADI/III/2026"/>
    <s v="CV. DA/3/500"/>
    <x v="9"/>
    <x v="3"/>
    <s v="6 Roda"/>
    <d v="2026-04-24T00:00:00"/>
    <n v="3870"/>
    <n v="13180"/>
    <n v="9310"/>
    <m/>
    <d v="1899-12-30T19:51:00"/>
    <d v="1899-12-30T20:26:00"/>
    <s v="Datu"/>
    <s v="HARI ASHARI"/>
    <n v="360"/>
    <s v="CV LIT"/>
    <s v="Makassar"/>
  </r>
  <r>
    <n v="1"/>
    <s v="001018"/>
    <s v="RBDPL001018WIN"/>
    <s v="DP 9859 GA"/>
    <s v="025/OLEIN/WINS-WIN/IV/2026"/>
    <s v="WIN/4/19710"/>
    <x v="11"/>
    <x v="3"/>
    <s v="6 Roda"/>
    <d v="2026-04-24T00:00:00"/>
    <n v="4130"/>
    <n v="14220"/>
    <n v="10090"/>
    <m/>
    <d v="1899-12-30T16:45:00"/>
    <d v="1899-12-30T17:15:00"/>
    <s v="samsira"/>
    <s v="WIDIANTO"/>
    <n v="642"/>
    <s v="CV MMT"/>
    <s v="Torobulu"/>
  </r>
  <r>
    <n v="1"/>
    <s v="001019"/>
    <s v="RBDPL001019WIN"/>
    <s v="DP 8821 GL"/>
    <s v="025/OLEIN/WINS-WIN/IV/2026"/>
    <s v="WIN/4/19710"/>
    <x v="11"/>
    <x v="3"/>
    <s v="6 Roda"/>
    <d v="2026-04-24T00:00:00"/>
    <n v="3750"/>
    <n v="13370"/>
    <n v="9620"/>
    <m/>
    <d v="1899-12-30T18:00:00"/>
    <d v="1899-12-30T18:40:00"/>
    <s v="Datu"/>
    <s v="IRWAN"/>
    <n v="642"/>
    <s v="CV MMT"/>
    <s v="Torobulu"/>
  </r>
  <r>
    <n v="1"/>
    <s v="001014"/>
    <s v="RBDPL001014BJL"/>
    <s v="S 4249 UU"/>
    <s v="001/OLEIN/WINS-BJL/II/2026"/>
    <s v="BJL/1/1000"/>
    <x v="6"/>
    <x v="3"/>
    <s v="6 Roda"/>
    <d v="2026-04-24T00:00:00"/>
    <n v="4520"/>
    <n v="13750"/>
    <n v="9230"/>
    <m/>
    <d v="1899-12-30T09:47:00"/>
    <d v="1899-12-30T10:16:00"/>
    <s v="samsira"/>
    <s v="HENDRIK"/>
    <n v="562"/>
    <s v="EXTERNAL"/>
    <s v="Palu"/>
  </r>
  <r>
    <n v="1"/>
    <s v="001015"/>
    <s v="RBDPL001015BJL"/>
    <s v="DD 8607 SM"/>
    <s v="001/OLEIN/WINS-BJL/II/2026"/>
    <s v="BJL/1/1000"/>
    <x v="6"/>
    <x v="3"/>
    <s v="6 Roda"/>
    <d v="2026-04-24T00:00:00"/>
    <n v="4060"/>
    <n v="12450"/>
    <n v="8390"/>
    <m/>
    <d v="1899-12-30T10:08:00"/>
    <d v="1899-12-30T10:54:00"/>
    <s v="samsira"/>
    <s v="HERMAN HAFID"/>
    <n v="562"/>
    <s v="EXTERNAL"/>
    <s v="Palu"/>
  </r>
  <r>
    <n v="1"/>
    <s v="001016"/>
    <s v="RBDPL001016BJL"/>
    <s v="DN 8916 EB"/>
    <s v="001/OLEIN/WINS-BJL/II/2026"/>
    <s v="BJL/1/1000"/>
    <x v="6"/>
    <x v="3"/>
    <s v="6 Roda"/>
    <d v="2026-04-24T00:00:00"/>
    <n v="4290"/>
    <n v="14290"/>
    <n v="10000"/>
    <m/>
    <d v="1899-12-30T11:31:00"/>
    <d v="1899-12-30T12:12:00"/>
    <s v="samsira"/>
    <s v="BUDI SUKARDIL"/>
    <n v="562"/>
    <s v="EXTERNAL"/>
    <s v="Palu"/>
  </r>
  <r>
    <n v="1"/>
    <s v="001021"/>
    <s v="RBDPL001021BJL"/>
    <s v="DP 8004 GJ"/>
    <s v="001/OLEIN/WINS-BJL/II/2026"/>
    <s v="BJL/1/1000"/>
    <x v="6"/>
    <x v="3"/>
    <s v="6 Roda"/>
    <d v="2026-04-24T00:00:00"/>
    <n v="4190"/>
    <n v="13650"/>
    <n v="9460"/>
    <m/>
    <d v="1899-12-30T19:18:00"/>
    <d v="1899-12-30T20:09:00"/>
    <s v="Datu"/>
    <s v="MURKAS"/>
    <n v="562"/>
    <s v="EXTERNAL"/>
    <s v="Palu"/>
  </r>
  <r>
    <n v="1"/>
    <s v="001023"/>
    <s v="RBDPL001023BJL"/>
    <s v="DN 8749 EB"/>
    <s v="001/OLEIN/WINS-BJL/II/2026"/>
    <s v="BJL/1/1000"/>
    <x v="6"/>
    <x v="3"/>
    <s v="6 Roda"/>
    <d v="2026-04-24T00:00:00"/>
    <n v="3910"/>
    <n v="13170"/>
    <n v="9260"/>
    <m/>
    <d v="1899-12-30T20:12:00"/>
    <d v="1899-12-30T21:04:00"/>
    <s v="Datu"/>
    <s v="MELKISEDEK R"/>
    <n v="562"/>
    <s v="EXTERNAL"/>
    <s v="Palu"/>
  </r>
  <r>
    <n v="1"/>
    <s v="001024"/>
    <s v="RBDPL001024BJL"/>
    <s v="DP 9826 GA"/>
    <s v="001/OLEIN/WINS-BJL/II/2026"/>
    <s v="BJL/1/1000"/>
    <x v="6"/>
    <x v="3"/>
    <s v="6 Roda"/>
    <d v="2026-04-24T00:00:00"/>
    <n v="4040"/>
    <n v="13960"/>
    <n v="9920"/>
    <m/>
    <d v="1899-12-30T20:35:00"/>
    <d v="1899-12-30T21:21:00"/>
    <s v="Datu"/>
    <s v="AIDIL ASWAR"/>
    <n v="562"/>
    <s v="EXTERNAL"/>
    <s v="Palu"/>
  </r>
  <r>
    <n v="1"/>
    <s v="001025"/>
    <s v="RBDPL001025BJL"/>
    <s v="DD 8574 YE"/>
    <s v="001/OLEIN/WINS-BJL/II/2026"/>
    <s v="BJL/1/1000"/>
    <x v="6"/>
    <x v="3"/>
    <s v="6 Roda"/>
    <d v="2026-04-24T00:00:00"/>
    <n v="3940"/>
    <n v="13590"/>
    <n v="9650"/>
    <m/>
    <d v="1899-12-30T21:07:00"/>
    <d v="1899-12-30T21:48:00"/>
    <s v="Datu"/>
    <s v="LUKAS ALFIAN .L"/>
    <n v="562"/>
    <s v="EXTERNAL"/>
    <s v="Palu"/>
  </r>
  <r>
    <n v="1"/>
    <s v="001026"/>
    <s v="RBDPL001026BJL"/>
    <s v="DN 8481 KK"/>
    <s v="001/OLEIN/WINS-BJL/II/2026"/>
    <s v="BJL/1/1000"/>
    <x v="6"/>
    <x v="3"/>
    <s v="6 Roda"/>
    <d v="2026-04-24T00:00:00"/>
    <n v="3850"/>
    <n v="13470"/>
    <n v="9620"/>
    <m/>
    <d v="1899-12-30T21:25:00"/>
    <d v="1899-12-30T22:07:00"/>
    <s v="Datu"/>
    <s v="YOHAN PARUNTU"/>
    <n v="562"/>
    <s v="EXTERNAL"/>
    <s v="Palu"/>
  </r>
  <r>
    <n v="1"/>
    <s v="001027"/>
    <s v="RBDPL001027BJL"/>
    <s v="DN 8841 CS"/>
    <s v="001/OLEIN/WINS-BJL/II/2026"/>
    <s v="BJL/1/1000"/>
    <x v="6"/>
    <x v="3"/>
    <s v="6 Roda"/>
    <d v="2026-04-24T00:00:00"/>
    <n v="3920"/>
    <n v="13620"/>
    <n v="9700"/>
    <m/>
    <d v="1899-12-30T21:51:00"/>
    <d v="1899-12-30T22:27:00"/>
    <s v="Datu"/>
    <s v="MOH RISKY"/>
    <n v="562"/>
    <s v="EXTERNAL"/>
    <s v="Palu"/>
  </r>
  <r>
    <n v="1"/>
    <s v="001028"/>
    <s v="RBDPL001028BJL"/>
    <s v="DN 8902 UB"/>
    <s v="001/OLEIN/WINS-BJL/II/2026"/>
    <s v="BJL/1/1000"/>
    <x v="6"/>
    <x v="3"/>
    <s v="6 Roda"/>
    <d v="2026-04-24T00:00:00"/>
    <n v="3960"/>
    <n v="13370"/>
    <n v="9410"/>
    <m/>
    <d v="1899-12-30T21:55:00"/>
    <d v="1899-12-30T22:44:00"/>
    <s v="Datu"/>
    <s v="FERI"/>
    <n v="562"/>
    <s v="EXTERNAL"/>
    <s v="Palu"/>
  </r>
  <r>
    <n v="1"/>
    <s v="001030"/>
    <s v="RBDPL001030BJL"/>
    <s v="DP 8319 DB"/>
    <s v="001/OLEIN/WINS-BJL/II/2026"/>
    <s v="BJL/1/1000"/>
    <x v="6"/>
    <x v="3"/>
    <s v="6 Roda"/>
    <d v="2026-04-25T00:00:00"/>
    <n v="4030"/>
    <n v="14120"/>
    <n v="10090"/>
    <m/>
    <d v="1899-12-30T09:37:00"/>
    <d v="1899-12-30T10:24:00"/>
    <s v="samsira"/>
    <s v="NENGAH SUJANA"/>
    <n v="562"/>
    <s v="EXTERNAL"/>
    <s v="Palu"/>
  </r>
  <r>
    <n v="1"/>
    <s v="001032"/>
    <s v="RBDPL001032BJL"/>
    <s v="DN 8648 GA"/>
    <s v="001/OLEIN/WINS-BJL/II/2026"/>
    <s v="BJL/1/1000"/>
    <x v="6"/>
    <x v="3"/>
    <s v="6 Roda"/>
    <d v="2026-04-25T00:00:00"/>
    <n v="3800"/>
    <n v="13030"/>
    <n v="9230"/>
    <m/>
    <d v="1899-12-30T11:21:00"/>
    <d v="1899-12-30T12:08:00"/>
    <s v="samsira"/>
    <s v="IGNATIUS ALI P"/>
    <n v="562"/>
    <s v="EXTERNAL"/>
    <s v="Palu"/>
  </r>
  <r>
    <n v="1"/>
    <s v="001034"/>
    <s v="RBDPL001034BJL"/>
    <s v="DP 8350 FD"/>
    <s v="001/OLEIN/WINS-BJL/II/2026"/>
    <s v="BJL/1/1000"/>
    <x v="6"/>
    <x v="3"/>
    <s v="6 Roda"/>
    <d v="2026-04-25T00:00:00"/>
    <n v="3880"/>
    <n v="13450"/>
    <n v="9570"/>
    <m/>
    <d v="1899-12-30T15:01:00"/>
    <d v="1899-12-30T15:29:00"/>
    <s v="Datu"/>
    <s v="USMAN"/>
    <n v="562"/>
    <s v="CV LIT"/>
    <s v="Palu"/>
  </r>
  <r>
    <n v="1"/>
    <s v="001035"/>
    <s v="RBDPL001035BJL"/>
    <s v="DP 8762 GH"/>
    <s v="001/OLEIN/WINS-BJL/II/2026"/>
    <s v="BJL/1/1000"/>
    <x v="6"/>
    <x v="3"/>
    <s v="6 Roda"/>
    <d v="2026-04-25T00:00:00"/>
    <n v="3880"/>
    <n v="13300"/>
    <n v="9420"/>
    <m/>
    <d v="1899-12-30T15:02:00"/>
    <d v="1899-12-30T15:46:00"/>
    <s v="Datu"/>
    <s v="IRFAN"/>
    <n v="562"/>
    <s v="CV LIT"/>
    <s v="Palu"/>
  </r>
  <r>
    <n v="1"/>
    <s v="001036"/>
    <s v="RBDPL001036BJL"/>
    <s v="DN 8114 XX"/>
    <s v="001/OLEIN/WINS-BJL/II/2026"/>
    <s v="BJL/1/1000"/>
    <x v="6"/>
    <x v="3"/>
    <s v="6 Roda"/>
    <d v="2026-04-25T00:00:00"/>
    <n v="3870"/>
    <n v="13220"/>
    <n v="9350"/>
    <m/>
    <d v="1899-12-30T16:13:00"/>
    <d v="1899-12-30T16:53:00"/>
    <s v="Datu"/>
    <s v="MULYADI"/>
    <n v="562"/>
    <s v="EXTERNAL"/>
    <s v="Palu"/>
  </r>
  <r>
    <n v="1"/>
    <s v="001037"/>
    <s v="RBDPL001037BJL"/>
    <s v="DP 8935 UA"/>
    <s v="001/OLEIN/WINS-BJL/II/2026"/>
    <s v="BJL/1/1000"/>
    <x v="6"/>
    <x v="3"/>
    <s v="6 Roda"/>
    <d v="2026-04-25T00:00:00"/>
    <n v="3980"/>
    <n v="14080"/>
    <n v="10100"/>
    <m/>
    <d v="1899-12-30T18:25:00"/>
    <d v="1899-12-30T19:01:00"/>
    <s v="Datu"/>
    <s v="BASO"/>
    <n v="562"/>
    <s v="CV LIT"/>
    <s v="Palu"/>
  </r>
  <r>
    <n v="1"/>
    <s v="001031"/>
    <s v="RBDPL001031SCM"/>
    <s v="DW 8703 MF"/>
    <s v="004/OLEIN/WINS-CV SCM/III/2026"/>
    <s v="CV. SCM/1/500"/>
    <x v="8"/>
    <x v="3"/>
    <s v="6 Roda"/>
    <d v="2026-04-25T00:00:00"/>
    <n v="4100"/>
    <n v="13100"/>
    <n v="9000"/>
    <m/>
    <d v="1899-12-30T10:11:00"/>
    <d v="1899-12-30T10:42:00"/>
    <s v="samsira"/>
    <s v="IRWANDI"/>
    <n v="400"/>
    <s v="EXTERNAL"/>
    <s v="Gowa"/>
  </r>
  <r>
    <n v="1"/>
    <s v="001029"/>
    <s v="RBDPL001029DA"/>
    <s v="DP 8732 GK"/>
    <s v="009/OLEIN/WINS-CV DUTA ABADI/III/2026"/>
    <s v="CV. DA/3/500"/>
    <x v="9"/>
    <x v="3"/>
    <s v="6 Roda"/>
    <d v="2026-04-25T00:00:00"/>
    <n v="4220"/>
    <n v="14380"/>
    <n v="10160"/>
    <m/>
    <d v="1899-12-30T09:34:00"/>
    <d v="1899-12-30T10:07:00"/>
    <s v="samsira"/>
    <s v="BAHTIAR"/>
    <n v="360"/>
    <s v="CV LIT"/>
    <s v="Makassar"/>
  </r>
  <r>
    <n v="1"/>
    <s v="001038"/>
    <s v="RBDPL001038DA"/>
    <s v="DD 8171 VN "/>
    <s v="009/OLEIN/WINS-CV DUTA ABADI/III/2026"/>
    <s v="CV. DA/3/500"/>
    <x v="9"/>
    <x v="3"/>
    <s v="12 Roda"/>
    <d v="2026-04-27T00:00:00"/>
    <n v="18980"/>
    <n v="42640"/>
    <n v="23660"/>
    <m/>
    <d v="1899-12-30T09:14:00"/>
    <d v="1899-12-30T10:49:00"/>
    <s v="Datu"/>
    <s v="HARIANTO"/>
    <n v="360"/>
    <s v="CV LIT"/>
    <s v="Makassar"/>
  </r>
  <r>
    <n v="1"/>
    <s v="001041"/>
    <s v="RBDPL001041DA"/>
    <s v="DP 8172 GN "/>
    <s v="009/OLEIN/WINS-CV DUTA ABADI/III/2026"/>
    <s v="CV. DA/3/500"/>
    <x v="9"/>
    <x v="3"/>
    <s v="6 Roda"/>
    <d v="2026-04-27T00:00:00"/>
    <n v="4020"/>
    <n v="13560"/>
    <n v="9540"/>
    <m/>
    <d v="1899-12-30T11:55:00"/>
    <d v="1899-12-30T12:20:00"/>
    <s v="Datu"/>
    <s v="HALIK"/>
    <n v="360"/>
    <s v="CV LIT"/>
    <s v="Makassar"/>
  </r>
  <r>
    <n v="1"/>
    <s v="001043"/>
    <s v="RBDPL001043DA"/>
    <s v="DP 8739 GO"/>
    <s v="009/OLEIN/WINS-CV DUTA ABADI/III/2026"/>
    <s v="CV. DA/3/500"/>
    <x v="9"/>
    <x v="3"/>
    <s v="6 Roda"/>
    <d v="2026-04-27T00:00:00"/>
    <n v="4040"/>
    <n v="13360"/>
    <n v="9320"/>
    <m/>
    <d v="1899-12-30T12:28:00"/>
    <d v="1899-12-30T13:03:00"/>
    <s v="Datu"/>
    <s v="ABD. HAMID"/>
    <n v="360"/>
    <s v="CV LIT"/>
    <s v="Makassar"/>
  </r>
  <r>
    <n v="1"/>
    <s v="001039"/>
    <s v="RBDPL001039SCM"/>
    <s v="S 9249 UU"/>
    <s v="004/OLEIN/WINS-CV SCM/III/2026"/>
    <s v="CV. SCM/1/500"/>
    <x v="8"/>
    <x v="3"/>
    <s v="6 Roda"/>
    <d v="2026-04-27T00:00:00"/>
    <n v="4490"/>
    <n v="13690"/>
    <n v="9200"/>
    <m/>
    <d v="1899-12-30T10:54:00"/>
    <d v="1899-12-30T11:18:00"/>
    <s v="Datu"/>
    <s v="HENDRIK"/>
    <n v="400"/>
    <s v="EXTERNAL"/>
    <s v="Gowa"/>
  </r>
  <r>
    <n v="1"/>
    <s v="001049"/>
    <s v="RBDPL001049SCM"/>
    <s v="DP 8174 XY "/>
    <s v="004/OLEIN/WINS-CV SCM/III/2026"/>
    <s v="CV. SCM/1/500"/>
    <x v="8"/>
    <x v="3"/>
    <s v="6 Roda"/>
    <d v="2026-04-27T00:00:00"/>
    <n v="3770"/>
    <n v="13540"/>
    <n v="9770"/>
    <m/>
    <d v="1899-12-30T16:31:00"/>
    <d v="1899-12-30T17:31:00"/>
    <s v="samsira"/>
    <s v="RUSTAM"/>
    <n v="400"/>
    <s v="EXTERNAL"/>
    <s v="Gowa"/>
  </r>
  <r>
    <n v="1"/>
    <s v="001053"/>
    <s v="RBDPL001053SCM"/>
    <s v="DP 8789 GH"/>
    <s v="007/OLEIN/WINS-CV SCMI/III/2026"/>
    <s v="CV. SCM/2/300"/>
    <x v="8"/>
    <x v="3"/>
    <s v="6 Roda"/>
    <d v="2026-04-27T00:00:00"/>
    <n v="4010"/>
    <n v="13540"/>
    <n v="9530"/>
    <m/>
    <d v="1899-12-30T19:59:00"/>
    <d v="1899-12-30T20:22:00"/>
    <s v="samsira"/>
    <s v="MUHAMMAD RAYHAN"/>
    <n v="400"/>
    <s v="EXTERNAL"/>
    <s v="Gowa"/>
  </r>
  <r>
    <n v="1"/>
    <s v="001052"/>
    <s v="RBDPL001052SCM"/>
    <s v="DD 8574 YE"/>
    <s v="007/OLEIN/WINS-CV SCMI/III/2026"/>
    <s v="CV. SCM/2/300"/>
    <x v="8"/>
    <x v="3"/>
    <s v="6 Roda"/>
    <d v="2026-04-27T00:00:00"/>
    <n v="4060"/>
    <n v="13710"/>
    <n v="9650"/>
    <m/>
    <d v="1899-12-30T19:25:00"/>
    <d v="1899-12-30T20:07:00"/>
    <s v="samsira"/>
    <s v="LUKAS ALFIAN .L"/>
    <n v="400"/>
    <s v="EXTERNAL"/>
    <s v="Gowa"/>
  </r>
  <r>
    <n v="1"/>
    <s v="001040"/>
    <s v="RBDPL001040BJL"/>
    <s v="DC 8459 XL "/>
    <s v="001/OLEIN/WINS-BJL/II/2026"/>
    <s v="BJL/1/1000"/>
    <x v="6"/>
    <x v="3"/>
    <s v="6 Roda"/>
    <d v="2026-04-27T00:00:00"/>
    <n v="4040"/>
    <n v="13080"/>
    <n v="9040"/>
    <m/>
    <d v="1899-12-30T10:57:00"/>
    <d v="1899-12-30T11:32:00"/>
    <s v="Datu"/>
    <s v="HAERUDDIN"/>
    <n v="562"/>
    <s v="EXTERNAL"/>
    <s v="Palu"/>
  </r>
  <r>
    <n v="1"/>
    <s v="001045"/>
    <s v="RBDPL001045BJL"/>
    <s v="DP 8953 DK"/>
    <s v="001/OLEIN/WINS-BJL/II/2026"/>
    <s v="BJL/1/1000"/>
    <x v="6"/>
    <x v="3"/>
    <s v="6 Roda"/>
    <d v="2026-04-27T00:00:00"/>
    <n v="4290"/>
    <n v="13460"/>
    <n v="9170"/>
    <m/>
    <d v="1899-12-30T13:30:00"/>
    <d v="1899-12-30T14:03:00"/>
    <s v="Datu"/>
    <s v="MUH. ARIF"/>
    <n v="562"/>
    <s v="EXTERNAL"/>
    <s v="Palu"/>
  </r>
  <r>
    <n v="1"/>
    <s v="001046"/>
    <s v="RBDPL001046BJL"/>
    <s v="DN 8928 UA"/>
    <s v="001/OLEIN/WINS-BJL/II/2026"/>
    <s v="BJL/1/1000"/>
    <x v="6"/>
    <x v="3"/>
    <s v="6 Roda"/>
    <d v="2026-04-27T00:00:00"/>
    <n v="4580"/>
    <n v="14660"/>
    <n v="10080"/>
    <m/>
    <d v="1899-12-30T13:34:00"/>
    <d v="1899-12-30T19:46:00"/>
    <s v="Datu"/>
    <s v="HIZRAN"/>
    <n v="562"/>
    <s v="EXTERNAL"/>
    <s v="Palu"/>
  </r>
  <r>
    <n v="1"/>
    <s v="001050"/>
    <s v="RBDPL001050BJL"/>
    <s v="DC 8905 XH"/>
    <s v="001/OLEIN/WINS-BJL/II/2026"/>
    <s v="BJL/1/1000"/>
    <x v="6"/>
    <x v="3"/>
    <s v="6 Roda"/>
    <d v="2026-04-27T00:00:00"/>
    <n v="4100"/>
    <n v="13280"/>
    <n v="9180"/>
    <m/>
    <d v="1899-12-30T17:40:00"/>
    <d v="1899-12-30T18:06:00"/>
    <s v="samsira"/>
    <s v="EDI MUHKTAR"/>
    <n v="562"/>
    <s v="EXTERNAL"/>
    <s v="Palu"/>
  </r>
  <r>
    <n v="1"/>
    <s v="001051"/>
    <s v="RBDPL001051BJL"/>
    <s v="DP 8953 DK"/>
    <s v="001/OLEIN/WINS-BJL/II/2026"/>
    <s v="BJL/1/1000"/>
    <x v="6"/>
    <x v="3"/>
    <s v="6 Roda"/>
    <d v="2026-04-27T00:00:00"/>
    <n v="4290"/>
    <n v="13450"/>
    <n v="9160"/>
    <m/>
    <d v="1899-12-30T18:34:00"/>
    <d v="1899-12-30T19:14:00"/>
    <s v="samsira"/>
    <s v="MUH. ARIF"/>
    <n v="562"/>
    <s v="EXTERNAL"/>
    <s v="Palu"/>
  </r>
  <r>
    <n v="1"/>
    <s v="001042"/>
    <s v="RBDPL001042HSA"/>
    <s v="DC 8141 AS"/>
    <s v="016/OLEIN/WINS-HSA/IV/2026"/>
    <s v="CV HSA/5/100"/>
    <x v="7"/>
    <x v="3"/>
    <s v="6 Roda"/>
    <d v="2026-04-27T00:00:00"/>
    <n v="4010"/>
    <n v="13500"/>
    <n v="9490"/>
    <m/>
    <d v="1899-12-30T11:57:00"/>
    <d v="1899-12-30T12:37:00"/>
    <s v="Datu"/>
    <s v="TAMRIN"/>
    <n v="360"/>
    <s v="CV LIT"/>
    <s v="Makassar"/>
  </r>
  <r>
    <n v="1"/>
    <s v="001044"/>
    <s v="RBDPL001044HSA"/>
    <s v="DP 9856 GA"/>
    <s v="016/OLEIN/WINS-HSA/IV/2026"/>
    <s v="CV HSA/5/100"/>
    <x v="7"/>
    <x v="3"/>
    <s v="6 Roda"/>
    <d v="2026-04-27T00:00:00"/>
    <n v="3910"/>
    <n v="13230"/>
    <n v="9320"/>
    <m/>
    <d v="1899-12-30T12:30:00"/>
    <d v="1899-12-30T13:26:00"/>
    <s v="Datu"/>
    <s v="HARI ASHARI"/>
    <n v="360"/>
    <s v="CV LIT"/>
    <s v="Makassar"/>
  </r>
  <r>
    <n v="1"/>
    <s v="001047"/>
    <s v="RBDPL001047PUP"/>
    <s v="DD 9236 XX"/>
    <s v="026/OLEIN/WINS-PUP/IV/2026"/>
    <s v="PUP/1/28910"/>
    <x v="13"/>
    <x v="3"/>
    <s v="12 Roda"/>
    <d v="2026-04-27T00:00:00"/>
    <n v="17470"/>
    <n v="46380"/>
    <n v="28910"/>
    <m/>
    <d v="1899-12-30T14:01:00"/>
    <d v="1899-12-30T14:44:00"/>
    <s v="Datu"/>
    <s v="IBRAHIM"/>
    <n v="642"/>
    <s v="CV WIL"/>
    <s v="Torobulu"/>
  </r>
  <r>
    <n v="1"/>
    <s v="001048"/>
    <s v="RBDPL001048TDJ"/>
    <s v="BM 8315 QO"/>
    <s v="027/OLEIN/WINS-TDJ/IV/2026"/>
    <s v="TDJ-GMU/8/28860"/>
    <x v="10"/>
    <x v="3"/>
    <s v="12 Roda"/>
    <d v="2026-04-27T00:00:00"/>
    <n v="17180"/>
    <n v="46040"/>
    <n v="28860"/>
    <m/>
    <d v="1899-12-30T14:10:00"/>
    <d v="1899-12-30T15:28:00"/>
    <s v="Datu"/>
    <s v="IQBAL"/>
    <n v="473"/>
    <s v="CV WIL"/>
    <s v="Siumbatu"/>
  </r>
  <r>
    <n v="1"/>
    <s v="000167"/>
    <s v="CPO000167JAS"/>
    <s v="DD 8622 KB"/>
    <s v="012/CPO/JM-WINS/IV/2026"/>
    <s v="PT. JAS MULIA / 12 / 500"/>
    <x v="3"/>
    <x v="1"/>
    <s v="6 Roda"/>
    <d v="2026-04-28T00:00:00"/>
    <n v="13620"/>
    <n v="4010"/>
    <n v="9610"/>
    <n v="9600"/>
    <d v="1899-12-30T20:13:00"/>
    <d v="1899-12-30T20:44:00"/>
    <s v="samsira"/>
    <m/>
    <n v="68"/>
    <m/>
    <s v="Bone Bone"/>
  </r>
  <r>
    <n v="1"/>
    <s v="000166"/>
    <s v="CPO000166JAS"/>
    <s v="DP 8928 GM"/>
    <s v="012/CPO/JM-WINS/IV/2026"/>
    <s v="PT. JAS MULIA / 12 / 500"/>
    <x v="3"/>
    <x v="1"/>
    <s v="6 Roda"/>
    <d v="2026-04-28T00:00:00"/>
    <n v="13830"/>
    <n v="3860"/>
    <n v="9970"/>
    <n v="10020"/>
    <d v="1899-12-30T18:11:00"/>
    <d v="1899-12-30T18:44:00"/>
    <s v="samsira"/>
    <m/>
    <n v="68"/>
    <m/>
    <s v="Bone Bone"/>
  </r>
  <r>
    <n v="1"/>
    <s v="000165"/>
    <s v="CPO000165JAS"/>
    <s v="DP 8781 GZ"/>
    <s v="012/CPO/JM-WINS/IV/2026"/>
    <s v="PT. JAS MULIA / 12 / 500"/>
    <x v="3"/>
    <x v="1"/>
    <s v="6 Roda"/>
    <d v="2026-04-28T00:00:00"/>
    <n v="13600"/>
    <n v="3960"/>
    <n v="9640"/>
    <n v="9660"/>
    <d v="1899-12-30T18:04:00"/>
    <d v="1899-12-30T18:31:00"/>
    <s v="samsira"/>
    <m/>
    <n v="68"/>
    <m/>
    <s v="Bone Bone"/>
  </r>
  <r>
    <n v="1"/>
    <s v="000164"/>
    <s v="CPO000164JAS"/>
    <s v="DP 8319 DB"/>
    <s v="012/CPO/JM-WINS/IV/2026"/>
    <s v="PT. JAS MULIA / 12 / 500"/>
    <x v="3"/>
    <x v="1"/>
    <s v="6 Roda"/>
    <d v="2026-04-28T00:00:00"/>
    <n v="13930"/>
    <n v="4000"/>
    <n v="9930"/>
    <n v="9960"/>
    <d v="1899-12-30T18:02:00"/>
    <d v="1899-12-30T18:34:00"/>
    <s v="samsira"/>
    <m/>
    <n v="68"/>
    <m/>
    <s v="Bone Bone"/>
  </r>
  <r>
    <n v="1"/>
    <s v="000163"/>
    <s v="CPO000163JAS"/>
    <s v="DP 8662 GH"/>
    <s v="012/CPO/JM-WINS/IV/2026"/>
    <s v="PT. JAS MULIA / 12 / 500"/>
    <x v="3"/>
    <x v="1"/>
    <s v="6 Roda"/>
    <d v="2026-04-28T00:00:00"/>
    <n v="13980"/>
    <n v="3910"/>
    <n v="10070"/>
    <n v="10060"/>
    <d v="1899-12-30T17:33:00"/>
    <d v="1899-12-30T18:00:00"/>
    <s v="samsira"/>
    <m/>
    <n v="68"/>
    <m/>
    <s v="Bone Bone"/>
  </r>
  <r>
    <n v="1"/>
    <s v="000162"/>
    <s v="CPO000162JAS"/>
    <s v="DN 8492 CU"/>
    <s v="012/CPO/JM-WINS/IV/2026"/>
    <s v="PT. JAS MULIA / 12 / 500"/>
    <x v="3"/>
    <x v="1"/>
    <s v="6 Roda"/>
    <d v="2026-04-28T00:00:00"/>
    <n v="13630"/>
    <n v="4030"/>
    <n v="9600"/>
    <n v="9580"/>
    <d v="1899-12-30T17:01:00"/>
    <d v="1899-12-30T17:56:00"/>
    <s v="samsira"/>
    <m/>
    <n v="68"/>
    <m/>
    <s v="Bone Bone"/>
  </r>
  <r>
    <n v="1"/>
    <s v="000177"/>
    <s v="CPO000177JAS"/>
    <s v="DP 8781 GZ"/>
    <s v="012/CPO/JM-WINS/IV/2026"/>
    <s v="PT. JAS MULIA / 12 / 500"/>
    <x v="3"/>
    <x v="1"/>
    <s v="6 Roda"/>
    <d v="2026-04-28T00:00:00"/>
    <n v="13570"/>
    <n v="3930"/>
    <n v="9640"/>
    <n v="9560"/>
    <d v="1899-12-30T01:01:00"/>
    <d v="1899-12-30T01:55:00"/>
    <s v="samsira"/>
    <m/>
    <n v="68"/>
    <m/>
    <s v="Bone Bone"/>
  </r>
  <r>
    <n v="1"/>
    <s v="000176"/>
    <s v="CPO000176JAS"/>
    <s v="DP 8319 DB"/>
    <s v="012/CPO/JM-WINS/IV/2026"/>
    <s v="PT. JAS MULIA / 12 / 500"/>
    <x v="3"/>
    <x v="1"/>
    <s v="6 Roda"/>
    <d v="2026-04-28T00:00:00"/>
    <n v="13930"/>
    <n v="3970"/>
    <n v="9960"/>
    <n v="9890"/>
    <d v="1899-12-30T00:59:00"/>
    <d v="1899-12-30T01:58:00"/>
    <s v="samsira"/>
    <m/>
    <n v="68"/>
    <m/>
    <s v="Bone Bone"/>
  </r>
  <r>
    <n v="1"/>
    <s v="000175"/>
    <s v="CPO000175JAS"/>
    <s v="DN 8492 CU"/>
    <s v="012/CPO/JM-WINS/IV/2026"/>
    <s v="PT. JAS MULIA / 12 / 500"/>
    <x v="3"/>
    <x v="1"/>
    <s v="6 Roda"/>
    <d v="2026-04-28T00:00:00"/>
    <n v="13620"/>
    <n v="4050"/>
    <n v="9570"/>
    <n v="9540"/>
    <d v="1899-12-30T00:53:00"/>
    <d v="1899-12-30T01:32:00"/>
    <s v="samsira"/>
    <m/>
    <n v="68"/>
    <m/>
    <s v="Bone Bone"/>
  </r>
  <r>
    <n v="1"/>
    <s v="000174"/>
    <s v="CPO000174JAS"/>
    <s v="DP 8662 GH"/>
    <s v="012/CPO/JM-WINS/IV/2026"/>
    <s v="PT. JAS MULIA / 12 / 500"/>
    <x v="3"/>
    <x v="1"/>
    <s v="6 Roda"/>
    <d v="2026-04-28T00:00:00"/>
    <n v="13940"/>
    <n v="3890"/>
    <n v="10050"/>
    <n v="10000"/>
    <d v="1899-12-30T00:50:00"/>
    <d v="1899-12-30T01:22:00"/>
    <s v="samsira"/>
    <m/>
    <n v="68"/>
    <m/>
    <s v="Bone Bone"/>
  </r>
  <r>
    <n v="1"/>
    <s v="000173"/>
    <s v="CPO000173JAS"/>
    <s v="DP 8928 GM"/>
    <s v="012/CPO/JM-WINS/IV/2026"/>
    <s v="PT. JAS MULIA / 12 / 500"/>
    <x v="3"/>
    <x v="1"/>
    <s v="6 Roda"/>
    <d v="2026-04-28T00:00:00"/>
    <n v="13810"/>
    <n v="3780"/>
    <n v="10030"/>
    <n v="9930"/>
    <d v="1899-12-30T00:48:00"/>
    <d v="1899-12-30T01:28:00"/>
    <s v="samsira"/>
    <m/>
    <n v="68"/>
    <m/>
    <s v="Bone Bone"/>
  </r>
  <r>
    <n v="1"/>
    <s v="000172"/>
    <s v="CPO000172JAS"/>
    <s v="DP 9821 GA"/>
    <s v="012/CPO/JM-WINS/IV/2026"/>
    <s v="PT. JAS MULIA / 12 / 500"/>
    <x v="3"/>
    <x v="1"/>
    <s v="6 Roda"/>
    <d v="2026-04-28T00:00:00"/>
    <n v="13080"/>
    <n v="3790"/>
    <n v="9290"/>
    <n v="9290"/>
    <d v="1899-12-30T00:32:00"/>
    <d v="1899-12-30T01:03:00"/>
    <s v="samsira"/>
    <m/>
    <n v="68"/>
    <m/>
    <s v="Bone Bone"/>
  </r>
  <r>
    <n v="1"/>
    <s v="000171"/>
    <s v="CPO000171JAS"/>
    <s v="DD 8456 DI"/>
    <s v="012/CPO/JM-WINS/IV/2026"/>
    <s v="PT. JAS MULIA / 12 / 500"/>
    <x v="3"/>
    <x v="1"/>
    <s v="6 Roda"/>
    <d v="2026-04-28T00:00:00"/>
    <n v="13270"/>
    <n v="3910"/>
    <n v="9360"/>
    <n v="9350"/>
    <d v="1899-12-30T23:39:00"/>
    <d v="1899-12-30T00:43:00"/>
    <s v="samsira"/>
    <m/>
    <n v="68"/>
    <m/>
    <s v="Bone Bone"/>
  </r>
  <r>
    <n v="1"/>
    <s v="000170"/>
    <s v="CPO000170JAS"/>
    <s v="DP 8253 GM"/>
    <s v="012/CPO/JM-WINS/IV/2026"/>
    <s v="PT. JAS MULIA / 12 / 500"/>
    <x v="3"/>
    <x v="1"/>
    <s v="6 Roda"/>
    <d v="2026-04-28T00:00:00"/>
    <n v="13910"/>
    <n v="4190"/>
    <n v="9720"/>
    <n v="9680"/>
    <d v="1899-12-30T23:38:00"/>
    <d v="1899-12-30T00:29:00"/>
    <s v="samsira"/>
    <m/>
    <n v="68"/>
    <m/>
    <s v="Bone Bone"/>
  </r>
  <r>
    <n v="1"/>
    <s v="000169"/>
    <s v="CPO000169JAS"/>
    <s v="DP 8951 GB"/>
    <s v="012/CPO/JM-WINS/IV/2026"/>
    <s v="PT. JAS MULIA / 12 / 500"/>
    <x v="3"/>
    <x v="1"/>
    <s v="6 Roda"/>
    <d v="2026-04-28T00:00:00"/>
    <n v="13610"/>
    <n v="4050"/>
    <n v="9560"/>
    <n v="9510"/>
    <d v="1899-12-30T23:36:00"/>
    <d v="1899-12-30T00:27:00"/>
    <s v="samsira"/>
    <m/>
    <n v="68"/>
    <m/>
    <s v="Bone Bone"/>
  </r>
  <r>
    <n v="1"/>
    <s v="000168"/>
    <s v="CPO000168JAS"/>
    <s v="DP 9826 GA"/>
    <s v="012/CPO/JM-WINS/IV/2026"/>
    <s v="PT. JAS MULIA / 12 / 500"/>
    <x v="3"/>
    <x v="1"/>
    <s v="6 Roda"/>
    <d v="2026-04-28T00:00:00"/>
    <n v="13890"/>
    <n v="4040"/>
    <n v="9850"/>
    <n v="9830"/>
    <d v="1899-12-30T23:31:00"/>
    <d v="1899-12-30T00:20:00"/>
    <s v="samsira"/>
    <m/>
    <n v="68"/>
    <m/>
    <s v="Bone Bone"/>
  </r>
  <r>
    <n v="1"/>
    <s v="000178"/>
    <s v="CPO000178JAS"/>
    <s v="DD 8622 KB"/>
    <s v="012/CPO/JM-WINS/IV/2026"/>
    <s v="PT. JAS MULIA / 12 / 500"/>
    <x v="3"/>
    <x v="1"/>
    <s v="6 Roda"/>
    <d v="2026-04-29T00:00:00"/>
    <n v="13600"/>
    <n v="3990"/>
    <n v="9610"/>
    <n v="9590"/>
    <d v="1899-12-30T11:23:00"/>
    <d v="1899-12-30T12:15:00"/>
    <s v="Datu"/>
    <m/>
    <n v="68"/>
    <m/>
    <s v="Bone Bone"/>
  </r>
  <r>
    <n v="1"/>
    <s v="000179"/>
    <s v="CPO000179JAS"/>
    <s v="DP 8662 GH"/>
    <s v="012/CPO/JM-WINS/IV/2026"/>
    <s v="PT. JAS MULIA / 12 / 500"/>
    <x v="3"/>
    <x v="1"/>
    <s v="6 Roda"/>
    <d v="2026-04-29T00:00:00"/>
    <n v="13980"/>
    <n v="3920"/>
    <n v="10060"/>
    <n v="10020"/>
    <d v="1899-12-30T11:41:00"/>
    <d v="1899-12-30T12:11:00"/>
    <s v="Datu"/>
    <m/>
    <n v="68"/>
    <m/>
    <s v="Bone Bone"/>
  </r>
  <r>
    <n v="1"/>
    <s v="000180"/>
    <s v="CPO000180JAS"/>
    <s v="DP 8319 DB"/>
    <s v="012/CPO/JM-WINS/IV/2026"/>
    <s v="PT. JAS MULIA / 12 / 500"/>
    <x v="3"/>
    <x v="1"/>
    <s v="6 Roda"/>
    <d v="2026-04-29T00:00:00"/>
    <n v="13930"/>
    <n v="3990"/>
    <n v="9940"/>
    <n v="9950"/>
    <d v="1899-12-30T11:51:00"/>
    <d v="1899-12-30T12:28:00"/>
    <s v="Datu"/>
    <m/>
    <n v="68"/>
    <m/>
    <s v="Bone Bone"/>
  </r>
  <r>
    <n v="1"/>
    <s v="000181"/>
    <s v="CPO000181JAS"/>
    <s v="DP 8781 GZ"/>
    <s v="012/CPO/JM-WINS/IV/2026"/>
    <s v="PT. JAS MULIA / 12 / 500"/>
    <x v="3"/>
    <x v="1"/>
    <s v="6 Roda"/>
    <d v="2026-04-29T00:00:00"/>
    <n v="13550"/>
    <n v="3940"/>
    <n v="9610"/>
    <n v="9610"/>
    <d v="1899-12-30T13:18:00"/>
    <d v="1899-12-30T13:40:00"/>
    <s v="Datu"/>
    <m/>
    <n v="68"/>
    <m/>
    <s v="Bone Bone"/>
  </r>
  <r>
    <n v="1"/>
    <s v="000182"/>
    <s v="CPO000182JAS"/>
    <s v="DP 9826 GA"/>
    <s v="012/CPO/JM-WINS/IV/2026"/>
    <s v="PT. JAS MULIA / 12 / 500"/>
    <x v="3"/>
    <x v="1"/>
    <s v="6 Roda"/>
    <d v="2026-04-29T00:00:00"/>
    <n v="13840"/>
    <n v="4010"/>
    <n v="9830"/>
    <n v="9800"/>
    <d v="1899-12-30T13:34:00"/>
    <d v="1899-12-30T14:03:00"/>
    <s v="Datu"/>
    <m/>
    <n v="68"/>
    <m/>
    <s v="Bone Bone"/>
  </r>
  <r>
    <n v="1"/>
    <s v="000183"/>
    <s v="CPO000183JAS"/>
    <s v="DP 8951 GB"/>
    <s v="012/CPO/JM-WINS/IV/2026"/>
    <s v="PT. JAS MULIA / 12 / 500"/>
    <x v="3"/>
    <x v="1"/>
    <s v="6 Roda"/>
    <d v="2026-04-29T00:00:00"/>
    <n v="13580"/>
    <n v="4020"/>
    <n v="9560"/>
    <n v="9530"/>
    <d v="1899-12-30T13:37:00"/>
    <d v="1899-12-30T14:05:00"/>
    <s v="Datu"/>
    <m/>
    <n v="68"/>
    <m/>
    <s v="Bone Bone"/>
  </r>
  <r>
    <n v="1"/>
    <s v="000184"/>
    <s v="CPO000184JAS"/>
    <s v="DP 8253 GM"/>
    <s v="012/CPO/JM-WINS/IV/2026"/>
    <s v="PT. JAS MULIA / 12 / 500"/>
    <x v="3"/>
    <x v="1"/>
    <s v="6 Roda"/>
    <d v="2026-04-29T00:00:00"/>
    <n v="13880"/>
    <n v="4170"/>
    <n v="9710"/>
    <n v="9730"/>
    <d v="1899-12-30T14:10:00"/>
    <d v="1899-12-30T14:42:00"/>
    <s v="Datu"/>
    <m/>
    <n v="68"/>
    <m/>
    <s v="Bone Bone"/>
  </r>
  <r>
    <n v="1"/>
    <s v="000185"/>
    <s v="CPO000185JAS"/>
    <s v="DD 8456 DI"/>
    <s v="012/CPO/JM-WINS/IV/2026"/>
    <s v="PT. JAS MULIA / 12 / 500"/>
    <x v="3"/>
    <x v="1"/>
    <s v="6 Roda"/>
    <d v="2026-04-29T00:00:00"/>
    <n v="13210"/>
    <n v="3930"/>
    <n v="9280"/>
    <n v="9290"/>
    <d v="1899-12-30T14:11:00"/>
    <d v="1899-12-30T14:35:00"/>
    <s v="Datu"/>
    <m/>
    <n v="68"/>
    <m/>
    <s v="Bone Bone"/>
  </r>
  <r>
    <n v="1"/>
    <s v="000186"/>
    <s v="CPO000186JAS"/>
    <s v="DP 8587 GC"/>
    <s v="012/CPO/JM-WINS/IV/2026"/>
    <s v="PT. JAS MULIA / 12 / 500"/>
    <x v="3"/>
    <x v="1"/>
    <s v="10 Roda"/>
    <d v="2026-04-29T00:00:00"/>
    <n v="26860"/>
    <n v="8290"/>
    <n v="18570"/>
    <n v="18570"/>
    <d v="1899-12-30T15:47:00"/>
    <d v="1899-12-30T16:36:00"/>
    <s v="Datu"/>
    <m/>
    <n v="68"/>
    <m/>
    <s v="Bone Bone"/>
  </r>
  <r>
    <n v="1"/>
    <s v="000187"/>
    <s v="CPO000187JAS"/>
    <s v="DD 8251 XX"/>
    <s v="012/CPO/JM-WINS/IV/2026"/>
    <s v="PT. JAS MULIA / 12 / 500"/>
    <x v="3"/>
    <x v="1"/>
    <s v="10 Roda"/>
    <d v="2026-04-29T00:00:00"/>
    <n v="28640"/>
    <n v="8160"/>
    <n v="20480"/>
    <n v="20520"/>
    <d v="1899-12-30T15:52:00"/>
    <d v="1899-12-30T16:39:00"/>
    <s v="Datu"/>
    <m/>
    <n v="68"/>
    <m/>
    <s v="Bone Bone"/>
  </r>
  <r>
    <n v="1"/>
    <s v="000188"/>
    <s v="CPO000188JAS"/>
    <s v="DD 8622 KB"/>
    <s v="012/CPO/JM-WINS/IV/2026"/>
    <s v="PT. JAS MULIA / 12 / 500"/>
    <x v="3"/>
    <x v="1"/>
    <s v="6 Roda"/>
    <d v="2026-04-29T00:00:00"/>
    <n v="13540"/>
    <n v="3960"/>
    <n v="9580"/>
    <n v="9540"/>
    <d v="1899-12-30T17:27:00"/>
    <d v="1899-12-30T17:46:00"/>
    <s v="samsira"/>
    <m/>
    <n v="68"/>
    <m/>
    <s v="Bone Bone"/>
  </r>
  <r>
    <n v="1"/>
    <s v="000189"/>
    <s v="CPO000189JAS"/>
    <s v="DP 8319 DB"/>
    <s v="012/CPO/JM-WINS/IV/2026"/>
    <s v="PT. JAS MULIA / 12 / 500"/>
    <x v="3"/>
    <x v="1"/>
    <s v="6 Roda"/>
    <d v="2026-04-29T00:00:00"/>
    <n v="13920"/>
    <n v="4000"/>
    <n v="9920"/>
    <n v="9870"/>
    <d v="1899-12-30T17:54:00"/>
    <d v="1899-12-30T18:30:00"/>
    <s v="samsira"/>
    <m/>
    <n v="68"/>
    <m/>
    <s v="Bone Bone"/>
  </r>
  <r>
    <n v="1"/>
    <s v="000190"/>
    <s v="CPO000190JAS"/>
    <s v="DP 8662 GH"/>
    <s v="012/CPO/JM-WINS/IV/2026"/>
    <s v="PT. JAS MULIA / 12 / 500"/>
    <x v="3"/>
    <x v="1"/>
    <s v="6 Roda"/>
    <d v="2026-04-29T00:00:00"/>
    <n v="13920"/>
    <n v="3900"/>
    <n v="10020"/>
    <n v="9990"/>
    <d v="1899-12-30T18:34:00"/>
    <d v="1899-12-30T18:56:00"/>
    <s v="samsira"/>
    <m/>
    <n v="68"/>
    <m/>
    <s v="Bone Bone"/>
  </r>
  <r>
    <n v="1"/>
    <s v="000191"/>
    <s v="CPO000191JAS"/>
    <s v="DP 9821 GA"/>
    <s v="012/CPO/JM-WINS/IV/2026"/>
    <s v="PT. JAS MULIA / 12 / 500"/>
    <x v="3"/>
    <x v="1"/>
    <s v="6 Roda"/>
    <d v="2026-04-29T00:00:00"/>
    <n v="13060"/>
    <n v="3840"/>
    <n v="9220"/>
    <n v="9270"/>
    <d v="1899-12-30T18:36:00"/>
    <d v="1899-12-30T19:10:00"/>
    <s v="samsira"/>
    <m/>
    <n v="68"/>
    <m/>
    <s v="Bone Bone"/>
  </r>
  <r>
    <n v="1"/>
    <s v="000192"/>
    <s v="CPO000192JAS"/>
    <s v="DD 8456 DI"/>
    <s v="012/CPO/JM-WINS/IV/2026"/>
    <s v="PT. JAS MULIA / 12 / 500"/>
    <x v="3"/>
    <x v="1"/>
    <s v="6 Roda"/>
    <d v="2026-04-29T00:00:00"/>
    <n v="13210"/>
    <n v="3910"/>
    <n v="9300"/>
    <n v="9220"/>
    <d v="1899-12-30T19:27:00"/>
    <d v="1899-12-30T19:54:00"/>
    <s v="samsira"/>
    <m/>
    <n v="68"/>
    <m/>
    <s v="Bone Bone"/>
  </r>
  <r>
    <n v="1"/>
    <s v="000193"/>
    <s v="CPO000193JAS"/>
    <s v="DP 9826 GA"/>
    <s v="012/CPO/JM-WINS/IV/2026"/>
    <s v="PT. JAS MULIA / 12 / 500"/>
    <x v="3"/>
    <x v="1"/>
    <s v="6 Roda"/>
    <d v="2026-04-29T00:00:00"/>
    <n v="13810"/>
    <n v="4020"/>
    <n v="9790"/>
    <n v="9750"/>
    <d v="1899-12-30T19:29:00"/>
    <d v="1899-12-30T19:58:00"/>
    <s v="samsira"/>
    <m/>
    <n v="68"/>
    <m/>
    <s v="Bone Bone"/>
  </r>
  <r>
    <n v="1"/>
    <s v="000194"/>
    <s v="CPO000194JAS"/>
    <s v="DP 8587 GC"/>
    <s v="012/CPO/JM-WINS/IV/2026"/>
    <s v="PT. JAS MULIA / 12 / 500"/>
    <x v="3"/>
    <x v="1"/>
    <s v="10 Roda"/>
    <d v="2026-04-29T00:00:00"/>
    <n v="26790"/>
    <n v="8260"/>
    <n v="18530"/>
    <n v="18470"/>
    <d v="1899-12-30T21:46:00"/>
    <d v="1899-12-30T22:35:00"/>
    <s v="samsira"/>
    <m/>
    <n v="68"/>
    <m/>
    <s v="Bone Bone"/>
  </r>
  <r>
    <n v="1"/>
    <s v="000195"/>
    <s v="CPO000195JAS"/>
    <s v="DD 8251 XX"/>
    <s v="012/CPO/JM-WINS/IV/2026"/>
    <s v="PT. JAS MULIA / 12 / 500"/>
    <x v="3"/>
    <x v="1"/>
    <s v="10 Roda"/>
    <d v="2026-04-29T00:00:00"/>
    <n v="28600"/>
    <n v="8140"/>
    <n v="20460"/>
    <n v="20390"/>
    <d v="1899-12-30T21:48:00"/>
    <d v="1899-12-30T22:25:00"/>
    <s v="samsira"/>
    <m/>
    <n v="68"/>
    <m/>
    <s v="Bone Bone"/>
  </r>
  <r>
    <n v="1"/>
    <s v="000196"/>
    <s v="CPO000196JAS"/>
    <s v="DD 8622 KB"/>
    <s v="012/CPO/JM-WINS/IV/2026"/>
    <s v="PT. JAS MULIA / 12 / 500"/>
    <x v="3"/>
    <x v="1"/>
    <s v="6 Roda"/>
    <d v="2026-04-29T00:00:00"/>
    <n v="13510"/>
    <n v="3930"/>
    <n v="9580"/>
    <n v="9540"/>
    <d v="1899-12-30T22:29:00"/>
    <d v="1899-12-30T22:48:00"/>
    <s v="samsira"/>
    <m/>
    <n v="68"/>
    <m/>
    <s v="Bone Bone"/>
  </r>
  <r>
    <n v="1"/>
    <s v="000197"/>
    <s v="CPO000197JAS"/>
    <s v="DP 8662 GH"/>
    <s v="012/CPO/JM-WINS/IV/2026"/>
    <s v="PT. JAS MULIA / 12 / 500"/>
    <x v="3"/>
    <x v="1"/>
    <s v="6 Roda"/>
    <d v="2026-04-29T00:00:00"/>
    <n v="13870"/>
    <n v="3860"/>
    <n v="10010"/>
    <n v="9960"/>
    <d v="1899-12-30T23:32:00"/>
    <d v="1899-12-30T23:50:00"/>
    <s v="samsira"/>
    <m/>
    <n v="68"/>
    <m/>
    <s v="Bone Bone"/>
  </r>
  <r>
    <n v="1"/>
    <s v="001057"/>
    <s v="RBDPL001057HSA"/>
    <s v="DP 8732 GK"/>
    <s v="016/OLEIN/WINS-HSA/IV/2026"/>
    <s v="CV HSA/5/100"/>
    <x v="7"/>
    <x v="3"/>
    <s v="6 Roda"/>
    <d v="2026-04-28T00:00:00"/>
    <n v="4280"/>
    <n v="14430"/>
    <n v="10150"/>
    <m/>
    <d v="1899-12-30T11:10:00"/>
    <d v="1899-12-30T11:59:00"/>
    <s v="Datu"/>
    <s v="BAHTIAR"/>
    <n v="360"/>
    <s v="CV LIT"/>
    <s v="Makassar"/>
  </r>
  <r>
    <n v="1"/>
    <s v="001056"/>
    <s v="RBDPL001056SCM"/>
    <s v="S 9249 UU"/>
    <s v="007/OLEIN/WINS-CV SCMI/III/2026"/>
    <s v="CV. SCM/2/300"/>
    <x v="8"/>
    <x v="3"/>
    <s v="6 Roda"/>
    <d v="2026-04-28T00:00:00"/>
    <n v="4480"/>
    <n v="13720"/>
    <n v="9240"/>
    <m/>
    <d v="1899-12-30T09:09:00"/>
    <d v="1899-12-30T10:16:00"/>
    <s v="Datu"/>
    <s v="HENDRIK"/>
    <n v="400"/>
    <s v="CV LIT"/>
    <s v="Gowa"/>
  </r>
  <r>
    <n v="1"/>
    <s v="001055"/>
    <s v="RBDPL001055SCM"/>
    <s v="DP 9846 GA"/>
    <s v="007/OLEIN/WINS-CV SCMI/III/2026"/>
    <s v="CV. SCM/2/300"/>
    <x v="8"/>
    <x v="3"/>
    <s v="6 Roda"/>
    <d v="2026-04-28T00:00:00"/>
    <n v="3700"/>
    <n v="13330"/>
    <n v="9630"/>
    <m/>
    <d v="1899-12-30T09:07:00"/>
    <d v="1899-12-30T09:58:00"/>
    <s v="Datu"/>
    <s v="SAPARWADI"/>
    <n v="400"/>
    <s v="CV LIT"/>
    <s v="Gowa"/>
  </r>
  <r>
    <n v="1"/>
    <s v="001054"/>
    <s v="RBDPL001054SCM"/>
    <s v="DC 8459 XL "/>
    <s v="007/OLEIN/WINS-CV SCMI/III/2026"/>
    <s v="CV. SCM/2/300"/>
    <x v="8"/>
    <x v="3"/>
    <s v="6 Roda"/>
    <d v="2026-04-28T00:00:00"/>
    <n v="4070"/>
    <n v="13110"/>
    <n v="9040"/>
    <m/>
    <d v="1899-12-30T09:03:00"/>
    <d v="1899-12-30T09:41:00"/>
    <s v="Datu"/>
    <s v="HAERUDDIN"/>
    <n v="400"/>
    <s v="CV LIT"/>
    <s v="Gowa"/>
  </r>
  <r>
    <n v="1"/>
    <s v="001059"/>
    <s v="RBDPL001059SCM"/>
    <s v="DP 8671 YD"/>
    <s v="007/OLEIN/WINS-CV SCMI/III/2026"/>
    <s v="CV. SCM/2/300"/>
    <x v="8"/>
    <x v="3"/>
    <s v="6 Roda"/>
    <d v="2026-04-28T00:00:00"/>
    <n v="4620"/>
    <n v="14340"/>
    <n v="9720"/>
    <m/>
    <d v="1899-12-30T18:23:00"/>
    <d v="1899-12-30T18:58:00"/>
    <s v="samsira"/>
    <s v="IWAN"/>
    <n v="400"/>
    <s v="CV LIT"/>
    <s v="Gowa"/>
  </r>
  <r>
    <n v="1"/>
    <s v="001052"/>
    <s v="RBDPL001052WIN"/>
    <s v="B 1918 SXX"/>
    <s v="029/OLEIN/WINS-WIN/IV/2026"/>
    <s v="WIN/5/15110"/>
    <x v="11"/>
    <x v="3"/>
    <s v="10 Roda"/>
    <d v="2026-04-28T00:00:00"/>
    <n v="11600"/>
    <n v="26710"/>
    <n v="15110"/>
    <m/>
    <d v="1899-12-30T14:59:00"/>
    <d v="1899-12-30T15:40:00"/>
    <s v="Datu"/>
    <s v="WALDI"/>
    <n v="642"/>
    <s v="CV WIL"/>
    <s v="Torobulu"/>
  </r>
  <r>
    <n v="1"/>
    <s v="001063"/>
    <s v="RBDPL001063DA"/>
    <s v="DN 8916 EB"/>
    <s v="009/OLEIN/WINS-CV DUTA ABADI/III/2026"/>
    <s v="CV. DA/3/500"/>
    <x v="9"/>
    <x v="3"/>
    <s v="6 Roda"/>
    <d v="2026-04-29T00:00:00"/>
    <n v="4260"/>
    <n v="14260"/>
    <n v="10000"/>
    <m/>
    <d v="1899-12-30T14:14:00"/>
    <d v="1899-12-30T14:39:00"/>
    <s v="Datu"/>
    <s v="BUDI SUKARDIL"/>
    <n v="360"/>
    <s v="CV LIT"/>
    <s v="Makassar"/>
  </r>
  <r>
    <n v="1"/>
    <s v="001062"/>
    <s v="RBDPL001062DA"/>
    <s v="DN 8481 KK"/>
    <s v="009/OLEIN/WINS-CV DUTA ABADI/III/2026"/>
    <s v="CV. DA/3/500"/>
    <x v="9"/>
    <x v="3"/>
    <s v="6 Roda"/>
    <d v="2026-04-29T00:00:00"/>
    <n v="3840"/>
    <n v="13440"/>
    <n v="9600"/>
    <m/>
    <d v="1899-12-30T13:32:00"/>
    <d v="1899-12-30T14:29:00"/>
    <s v="Datu"/>
    <s v="YOHAN PARUNTU"/>
    <n v="360"/>
    <s v="CV LIT"/>
    <s v="Makassar"/>
  </r>
  <r>
    <n v="1"/>
    <s v="001061"/>
    <s v="RBDPL001061DA"/>
    <s v="DC 8459 XL"/>
    <s v="009/OLEIN/WINS-CV DUTA ABADI/III/2026"/>
    <s v="CV. DA/3/500"/>
    <x v="9"/>
    <x v="3"/>
    <s v="6 Roda"/>
    <d v="2026-04-29T00:00:00"/>
    <n v="4030"/>
    <n v="13060"/>
    <n v="9030"/>
    <m/>
    <d v="1899-12-30T13:27:00"/>
    <d v="1899-12-30T14:07:00"/>
    <s v="Datu"/>
    <s v="HAERUDDIN"/>
    <n v="360"/>
    <s v="CV LIT"/>
    <s v="Makassar"/>
  </r>
  <r>
    <n v="1"/>
    <s v="001060"/>
    <s v="RBDPL001060DA"/>
    <s v="DD 8171 VN"/>
    <s v="009/OLEIN/WINS-CV DUTA ABADI/III/2026"/>
    <s v="CV. DA/3/500"/>
    <x v="9"/>
    <x v="3"/>
    <s v="12 Roda"/>
    <d v="2026-04-29T00:00:00"/>
    <n v="18980"/>
    <n v="42680"/>
    <n v="23700"/>
    <m/>
    <d v="1899-12-30T09:13:00"/>
    <d v="1899-12-30T12:14:00"/>
    <s v="Datu"/>
    <s v="HARIANTO"/>
    <n v="360"/>
    <s v="CV LIT"/>
    <s v="Makassar"/>
  </r>
  <r>
    <n v="1"/>
    <s v="001064"/>
    <s v="RBDPL001064DA"/>
    <s v="DC 8905 XH"/>
    <s v="009/OLEIN/WINS-CV DUTA ABADI/III/2026"/>
    <s v="CV. DA/3/500"/>
    <x v="9"/>
    <x v="3"/>
    <s v="6 Roda"/>
    <d v="2026-04-29T00:00:00"/>
    <n v="4110"/>
    <n v="13300"/>
    <n v="9190"/>
    <m/>
    <d v="1899-12-30T15:12:00"/>
    <d v="1899-12-30T15:46:00"/>
    <s v="Datu"/>
    <s v="EDI MUHKTAR"/>
    <n v="360"/>
    <s v="CV LIT"/>
    <s v="Makassar"/>
  </r>
  <r>
    <n v="1"/>
    <s v="001065"/>
    <s v="RBDPL001065DA"/>
    <s v="DC 8141 AS"/>
    <s v="009/OLEIN/WINS-CV DUTA ABADI/III/2026"/>
    <s v="CV. DA/3/500"/>
    <x v="9"/>
    <x v="3"/>
    <s v="6 Roda"/>
    <d v="2026-04-29T00:00:00"/>
    <n v="4000"/>
    <n v="13480"/>
    <n v="9480"/>
    <m/>
    <d v="1899-12-30T15:34:00"/>
    <d v="1899-12-30T16:02:00"/>
    <s v="Datu"/>
    <s v="TAMRIN"/>
    <n v="360"/>
    <s v="CV LIT"/>
    <s v="Makassar"/>
  </r>
  <r>
    <n v="1"/>
    <s v="001069"/>
    <s v="RBDPL001069DA"/>
    <s v="DN 8841 CS"/>
    <s v="009/OLEIN/WINS-CV DUTA ABADI/III/2026"/>
    <s v="CV. DA/3/500"/>
    <x v="9"/>
    <x v="3"/>
    <s v="6 Roda"/>
    <d v="2026-04-29T00:00:00"/>
    <n v="3930"/>
    <n v="13630"/>
    <n v="9700"/>
    <m/>
    <d v="1899-12-30T17:26:00"/>
    <d v="1899-12-30T18:08:00"/>
    <s v="samsira"/>
    <s v="MOH RISKY"/>
    <n v="360"/>
    <s v="CV LIT"/>
    <s v="Makassar"/>
  </r>
  <r>
    <n v="1"/>
    <s v="001071"/>
    <s v="RBDPL001071DA"/>
    <s v="DN 8902 UB"/>
    <s v="009/OLEIN/WINS-CV DUTA ABADI/III/2026"/>
    <s v="CV. DA/3/500"/>
    <x v="9"/>
    <x v="3"/>
    <s v="6 Roda"/>
    <d v="2026-04-29T00:00:00"/>
    <n v="3920"/>
    <n v="13300"/>
    <n v="9380"/>
    <m/>
    <d v="1899-12-30T18:11:00"/>
    <d v="1899-12-30T18:39:00"/>
    <s v="samsira"/>
    <s v="FERI"/>
    <n v="360"/>
    <s v="CV LIT"/>
    <s v="Makassar"/>
  </r>
  <r>
    <n v="1"/>
    <s v="001073"/>
    <s v="RBDPL001073HSA"/>
    <s v="DP 8739 GO"/>
    <s v="016/OLEIN/WINS-HSA/IV/2026"/>
    <s v="CV HSA/5/100"/>
    <x v="7"/>
    <x v="3"/>
    <s v="6 Roda"/>
    <d v="2026-04-29T00:00:00"/>
    <n v="4070"/>
    <n v="13380"/>
    <n v="9310"/>
    <m/>
    <d v="1899-12-30T18:49:00"/>
    <d v="1899-12-30T19:13:00"/>
    <s v="samsira"/>
    <s v="ABD. HAMID"/>
    <n v="360"/>
    <s v="CV LIT"/>
    <s v="Makassar"/>
  </r>
  <r>
    <n v="1"/>
    <s v="001072"/>
    <s v="RBDPL001072HSA"/>
    <s v="DP 8350 FD"/>
    <s v="016/OLEIN/WINS-HSA/IV/2026"/>
    <s v="CV HSA/5/100"/>
    <x v="7"/>
    <x v="3"/>
    <s v="6 Roda"/>
    <d v="2026-04-29T00:00:00"/>
    <n v="3880"/>
    <n v="13450"/>
    <n v="9570"/>
    <m/>
    <d v="1899-12-30T18:30:00"/>
    <d v="1899-12-30T18:55:00"/>
    <s v="samsira"/>
    <s v="USMAN"/>
    <n v="360"/>
    <s v="CV LIT"/>
    <s v="Makassar"/>
  </r>
  <r>
    <n v="1"/>
    <s v="001070"/>
    <s v="RBDPL001070HSA"/>
    <s v="DP 8762 GH"/>
    <s v="016/OLEIN/WINS-HSA/IV/2026"/>
    <s v="CV HSA/5/100"/>
    <x v="7"/>
    <x v="3"/>
    <s v="6 Roda"/>
    <d v="2026-04-29T00:00:00"/>
    <n v="3890"/>
    <n v="13300"/>
    <n v="9410"/>
    <m/>
    <d v="1899-12-30T17:52:00"/>
    <d v="1899-12-30T18:23:00"/>
    <s v="samsira"/>
    <s v="IRFAN "/>
    <n v="360"/>
    <s v="CV LIT"/>
    <s v="Makassar"/>
  </r>
  <r>
    <n v="1"/>
    <s v="001068"/>
    <s v="RBDPL001068HSA"/>
    <s v="DP 8172 GN"/>
    <s v="016/OLEIN/WINS-HSA/IV/2026"/>
    <s v="CV HSA/5/100"/>
    <x v="7"/>
    <x v="3"/>
    <s v="6 Roda"/>
    <d v="2026-04-29T00:00:00"/>
    <n v="4010"/>
    <n v="13550"/>
    <n v="9540"/>
    <m/>
    <d v="1899-12-30T17:04:00"/>
    <d v="1899-12-30T17:49:00"/>
    <s v="samsira"/>
    <s v="HALIK"/>
    <n v="360"/>
    <s v="CV LIT"/>
    <s v="Makassar"/>
  </r>
  <r>
    <n v="1"/>
    <s v="001067"/>
    <s v="RBDPL001067HSA"/>
    <s v="DP 9856 GA"/>
    <s v="016/OLEIN/WINS-HSA/IV/2026"/>
    <s v="CV HSA/5/100"/>
    <x v="7"/>
    <x v="3"/>
    <s v="6 Roda"/>
    <d v="2026-04-29T00:00:00"/>
    <n v="3880"/>
    <n v="13200"/>
    <n v="9320"/>
    <m/>
    <d v="1899-12-30T16:58:00"/>
    <d v="1899-12-30T17:30:00"/>
    <s v="samsira"/>
    <s v="HARI ASHARI"/>
    <n v="360"/>
    <s v="CV LIT"/>
    <s v="Makassar"/>
  </r>
  <r>
    <n v="1"/>
    <s v="001066"/>
    <s v="RBDPL001066TDJ"/>
    <s v="DD 8711 XX"/>
    <s v="030/OLEIN/WINS-TDJ/IV/2026"/>
    <s v="TDJ-GMU/9/14480"/>
    <x v="10"/>
    <x v="3"/>
    <s v="10 Roda"/>
    <d v="2026-04-29T00:00:00"/>
    <n v="10670"/>
    <n v="25150"/>
    <n v="14480"/>
    <m/>
    <d v="1899-12-30T15:44:00"/>
    <d v="1899-12-30T16:30:00"/>
    <s v="Datu"/>
    <s v="RONI RAKAN"/>
    <n v="473"/>
    <s v="CV WIL"/>
    <s v="Siumbatu"/>
  </r>
  <r>
    <n v="1"/>
    <s v="001076"/>
    <s v="RBDPL001076SCM"/>
    <s v="DD 8574 YE"/>
    <s v="007/OLEIN/WINS-CV SCMI/III/2026"/>
    <s v="CV. SCM/2/300"/>
    <x v="8"/>
    <x v="3"/>
    <s v="6 Roda"/>
    <d v="2026-04-30T00:00:00"/>
    <n v="4040"/>
    <n v="13680"/>
    <n v="9640"/>
    <m/>
    <d v="1899-12-30T09:53:00"/>
    <d v="1899-12-30T10:31:00"/>
    <s v="Datu"/>
    <s v="LUKAS ALFIAN .L"/>
    <n v="400"/>
    <s v="EXTERNAL"/>
    <s v="Gowa"/>
  </r>
  <r>
    <n v="1"/>
    <s v="001077"/>
    <s v="RBDPL001077SCM"/>
    <s v="DP 8798 GH"/>
    <s v="007/OLEIN/WINS-CV SCMI/III/2026"/>
    <s v="CV. SCM/2/300"/>
    <x v="8"/>
    <x v="3"/>
    <s v="6 Roda"/>
    <d v="2026-04-30T00:00:00"/>
    <n v="4030"/>
    <n v="13560"/>
    <n v="9530"/>
    <m/>
    <d v="1899-12-30T09:57:00"/>
    <d v="1899-12-30T10:45:00"/>
    <s v="Datu"/>
    <s v="MUHAMMAD RAYHAN"/>
    <n v="400"/>
    <s v="EXTERNAL"/>
    <s v="Gowa"/>
  </r>
  <r>
    <n v="1"/>
    <s v="001078"/>
    <s v="RBDPL001078SCM"/>
    <s v="DN 8749 EB"/>
    <s v="007/OLEIN/WINS-CV SCMI/III/2026"/>
    <s v="CV. SCM/2/300"/>
    <x v="8"/>
    <x v="3"/>
    <s v="6 Roda"/>
    <d v="2026-04-30T00:00:00"/>
    <n v="3890"/>
    <n v="13130"/>
    <n v="9240"/>
    <m/>
    <d v="1899-12-30T10:54:00"/>
    <d v="1899-12-30T11:26:00"/>
    <s v="Datu"/>
    <s v="MELKISEDEK R"/>
    <n v="400"/>
    <s v="EXTERNAL"/>
    <s v="Gowa"/>
  </r>
  <r>
    <n v="1"/>
    <s v="001079"/>
    <s v="RBDPL001079SCM"/>
    <s v="DN 8115 XX"/>
    <s v="007/OLEIN/WINS-CV SCMI/III/2026"/>
    <s v="CV. SCM/2/300"/>
    <x v="8"/>
    <x v="3"/>
    <s v="6 Roda"/>
    <d v="2026-04-30T00:00:00"/>
    <n v="4020"/>
    <n v="13390"/>
    <n v="9370"/>
    <m/>
    <d v="1899-12-30T10:57:00"/>
    <d v="1899-12-30T11:42:00"/>
    <s v="Datu"/>
    <s v="SYAMSUDDIN"/>
    <n v="400"/>
    <s v="EXTERNAL"/>
    <s v="Gowa"/>
  </r>
  <r>
    <n v="1"/>
    <s v="001080"/>
    <s v="RBDPL001080DA"/>
    <s v="DP 8732 GK"/>
    <s v="009/OLEIN/WINS-CV DUTA ABADI/III/2026"/>
    <s v="CV. DA/3/500"/>
    <x v="9"/>
    <x v="3"/>
    <s v="6 Roda"/>
    <d v="2026-04-30T00:00:00"/>
    <n v="4270"/>
    <n v="13580"/>
    <n v="9310"/>
    <m/>
    <d v="1899-12-30T11:20:00"/>
    <d v="1899-12-30T11:50:00"/>
    <s v="Datu"/>
    <s v="BAHTIAR"/>
    <n v="360"/>
    <s v="CV LIT"/>
    <s v="Makassar"/>
  </r>
  <r>
    <n v="1"/>
    <s v="001088"/>
    <s v="RBDPL001088DA"/>
    <s v="DP 8732 GK"/>
    <s v="009/OLEIN/WINS-CV DUTA ABADI/III/2026"/>
    <s v="CV. DA/3/500"/>
    <x v="9"/>
    <x v="3"/>
    <s v="6 Roda"/>
    <d v="2026-04-30T00:00:00"/>
    <n v="4260"/>
    <n v="14410"/>
    <n v="10150"/>
    <m/>
    <d v="1899-12-30T21:44:00"/>
    <d v="1899-12-30T21:45:00"/>
    <s v="samsira"/>
    <s v="BAHTIAR"/>
    <n v="360"/>
    <s v="CV LIT"/>
    <s v="Makassar"/>
  </r>
  <r>
    <n v="1"/>
    <s v="001081"/>
    <s v="RBDPL001081BJL"/>
    <s v="DN 8114 XX"/>
    <s v="001/OLEIN/WINS-BJL/II/2026"/>
    <s v="BJL/1/1000"/>
    <x v="6"/>
    <x v="3"/>
    <s v="6 Roda"/>
    <d v="2026-04-30T00:00:00"/>
    <n v="3870"/>
    <n v="13210"/>
    <n v="9340"/>
    <m/>
    <d v="1899-12-30T11:44:00"/>
    <d v="1899-12-30T12:12:00"/>
    <s v="Datu"/>
    <s v="MULYADI"/>
    <n v="562"/>
    <s v="EXTERNAL"/>
    <s v="Palu"/>
  </r>
  <r>
    <n v="1"/>
    <s v="001082"/>
    <s v="RBDPL001082SCM"/>
    <s v="DP 8174 XY"/>
    <s v="007/OLEIN/WINS-CV SCMI/III/2026"/>
    <s v="CV. SCM/2/300"/>
    <x v="8"/>
    <x v="3"/>
    <s v="6 Roda"/>
    <d v="2026-04-30T00:00:00"/>
    <n v="3850"/>
    <n v="13600"/>
    <n v="9750"/>
    <m/>
    <d v="1899-12-30T13:53:00"/>
    <d v="1899-12-30T14:21:00"/>
    <s v="Datu"/>
    <s v="RUSTAM"/>
    <n v="400"/>
    <s v="EXTERNAL"/>
    <s v="Gowa"/>
  </r>
  <r>
    <n v="1"/>
    <s v="001083"/>
    <s v="RBDPL001083SCM"/>
    <s v="DP 8953 DK"/>
    <s v="007/OLEIN/WINS-CV SCMI/III/2026"/>
    <s v="CV. SCM/2/300"/>
    <x v="8"/>
    <x v="3"/>
    <s v="6 Roda"/>
    <d v="2026-04-30T00:00:00"/>
    <n v="4310"/>
    <n v="13440"/>
    <n v="9130"/>
    <m/>
    <d v="1899-12-30T15:30:00"/>
    <d v="1899-12-30T15:51:00"/>
    <s v="Datu"/>
    <s v="MUH. ARIF"/>
    <n v="400"/>
    <s v="EXTERNAL"/>
    <s v="Gowa"/>
  </r>
  <r>
    <n v="1"/>
    <s v="001084"/>
    <s v="RBDPL001084SCM"/>
    <s v="DC 8905 XH"/>
    <s v="007/OLEIN/WINS-CV SCMI/III/2026"/>
    <s v="CV. SCM/2/300"/>
    <x v="8"/>
    <x v="3"/>
    <s v="6 Roda"/>
    <d v="2026-04-30T00:00:00"/>
    <n v="4090"/>
    <n v="13270"/>
    <n v="9180"/>
    <m/>
    <d v="1899-12-30T16:55:00"/>
    <d v="1899-12-30T17:30:00"/>
    <s v="samsira"/>
    <s v="EDI MUHKTAR"/>
    <n v="400"/>
    <s v="EXTERNAL"/>
    <s v="Gowa"/>
  </r>
  <r>
    <n v="1"/>
    <s v="001086"/>
    <s v="RBDPL001086SCM"/>
    <s v="DP 8862 GG"/>
    <s v="007/OLEIN/WINS-CV SCMI/III/2026"/>
    <s v="CV. SCM/2/300"/>
    <x v="8"/>
    <x v="3"/>
    <s v="6 Roda"/>
    <d v="2026-04-30T00:00:00"/>
    <n v="3650"/>
    <n v="13550"/>
    <n v="9900"/>
    <m/>
    <d v="1899-12-30T17:38:00"/>
    <d v="1899-12-30T19:55:00"/>
    <s v="samsira"/>
    <s v="HERIL"/>
    <n v="400"/>
    <s v="EXTERNAL"/>
    <s v="Gowa"/>
  </r>
  <r>
    <n v="1"/>
    <s v="001085"/>
    <s v="RBDPL001085WIN"/>
    <s v="BM 8315 QO"/>
    <s v="031/OLEIN/WINS-WIN/IV/2026"/>
    <s v="WIN/6/28890"/>
    <x v="11"/>
    <x v="3"/>
    <s v="12 Roda"/>
    <d v="2026-04-30T00:00:00"/>
    <n v="17260"/>
    <n v="46150"/>
    <n v="28890"/>
    <m/>
    <d v="1899-12-30T17:16:00"/>
    <d v="1899-12-30T19:26:00"/>
    <s v="samsira"/>
    <s v="IQBAL"/>
    <n v="642"/>
    <s v="CV WIL"/>
    <s v="Torobulu"/>
  </r>
  <r>
    <n v="1"/>
    <s v="000199"/>
    <s v="CPO000199JAS"/>
    <s v="DD 8622 KB"/>
    <s v="012/CPO/JM-WINS/IV/2026"/>
    <s v="PT. JAS MULIA / 12 / 500"/>
    <x v="3"/>
    <x v="1"/>
    <s v="6 Roda"/>
    <d v="2026-04-30T00:00:00"/>
    <n v="13490"/>
    <n v="3920"/>
    <n v="9570"/>
    <n v="9560"/>
    <d v="1899-12-30T11:06:00"/>
    <d v="1899-12-30T11:52:00"/>
    <s v="Datu"/>
    <m/>
    <n v="68"/>
    <m/>
    <s v="Bone Bone"/>
  </r>
  <r>
    <n v="1"/>
    <s v="000200"/>
    <s v="CPO000200JAS"/>
    <s v="DP 8319 DB"/>
    <s v="012/CPO/JM-WINS/IV/2026"/>
    <s v="PT. JAS MULIA / 12 / 500"/>
    <x v="3"/>
    <x v="1"/>
    <s v="6 Roda"/>
    <d v="2026-04-30T00:00:00"/>
    <n v="13870"/>
    <n v="3940"/>
    <n v="9930"/>
    <n v="9860"/>
    <d v="1899-12-30T11:58:00"/>
    <d v="1899-12-30T13:23:00"/>
    <s v="Datu"/>
    <m/>
    <n v="68"/>
    <m/>
    <s v="Bone Bone"/>
  </r>
  <r>
    <n v="1"/>
    <s v="000201"/>
    <s v="CPO000201JAS"/>
    <s v="DP 9826 GA"/>
    <s v="012/CPO/JM-WINS/IV/2026"/>
    <s v="PT. JAS MULIA / 12 / 500"/>
    <x v="3"/>
    <x v="1"/>
    <s v="6 Roda"/>
    <d v="2026-04-30T00:00:00"/>
    <n v="13770"/>
    <n v="3980"/>
    <n v="9790"/>
    <n v="9740"/>
    <d v="1899-12-30T11:59:00"/>
    <d v="1899-12-30T13:17:00"/>
    <s v="Datu"/>
    <m/>
    <n v="68"/>
    <m/>
    <s v="Bone Bone"/>
  </r>
  <r>
    <n v="1"/>
    <s v="000202"/>
    <s v="CPO000202JAS"/>
    <s v="DP 9821 GA"/>
    <s v="012/CPO/JM-WINS/IV/2026"/>
    <s v="PT. JAS MULIA / 12 / 500"/>
    <x v="3"/>
    <x v="1"/>
    <s v="6 Roda"/>
    <d v="2026-04-30T00:00:00"/>
    <n v="13040"/>
    <n v="3770"/>
    <n v="9270"/>
    <n v="9130"/>
    <d v="1899-12-30T12:01:00"/>
    <d v="1899-12-30T13:22:00"/>
    <s v="Datu"/>
    <m/>
    <n v="68"/>
    <m/>
    <s v="Bone Bone"/>
  </r>
  <r>
    <n v="1"/>
    <s v="000203"/>
    <s v="CPO000203JAS"/>
    <s v="DD 8456 DI "/>
    <s v="012/CPO/JM-WINS/IV/2026"/>
    <s v="PT. JAS MULIA / 12 / 500"/>
    <x v="3"/>
    <x v="1"/>
    <s v="6 Roda"/>
    <d v="2026-04-30T00:00:00"/>
    <n v="13190"/>
    <n v="3880"/>
    <n v="9310"/>
    <n v="9240"/>
    <d v="1899-12-30T13:26:00"/>
    <d v="1899-12-30T13:50:00"/>
    <s v="Datu"/>
    <m/>
    <n v="68"/>
    <m/>
    <s v="Bone Bone"/>
  </r>
  <r>
    <n v="1"/>
    <s v="000204"/>
    <s v="CPO000204JAS"/>
    <s v="DP 8662 GH"/>
    <s v="012/CPO/JM-WINS/IV/2026"/>
    <s v="PT. JAS MULIA / 12 / 500"/>
    <x v="3"/>
    <x v="1"/>
    <s v="6 Roda"/>
    <d v="2026-04-30T00:00:00"/>
    <n v="13900"/>
    <n v="3910"/>
    <n v="9990"/>
    <n v="9940"/>
    <d v="1899-12-30T13:28:00"/>
    <d v="1899-12-30T13:47:00"/>
    <s v="Datu"/>
    <m/>
    <n v="68"/>
    <m/>
    <s v="Bone Bone"/>
  </r>
  <r>
    <n v="1"/>
    <s v="001089"/>
    <s v="RBDPL001089DA"/>
    <s v="DD 8171 VN"/>
    <m/>
    <m/>
    <x v="9"/>
    <x v="3"/>
    <s v="12 Roda"/>
    <d v="2026-05-04T00:00:00"/>
    <n v="19020"/>
    <n v="42630"/>
    <n v="23610"/>
    <m/>
    <d v="1899-12-30T09:22:00"/>
    <d v="1899-12-30T11:49:00"/>
    <s v="Datu"/>
    <s v="HARIANTO &amp; JUFRI"/>
    <n v="360"/>
    <s v="EXTERNAL"/>
    <s v="Makassar"/>
  </r>
  <r>
    <n v="1"/>
    <s v="001090"/>
    <s v="RBDPL001090DA"/>
    <s v="DC 8905 XH "/>
    <m/>
    <m/>
    <x v="9"/>
    <x v="3"/>
    <s v="6 Roda"/>
    <d v="2026-05-04T00:00:00"/>
    <n v="4090"/>
    <n v="13280"/>
    <n v="9190"/>
    <m/>
    <d v="1899-12-30T09:25:00"/>
    <d v="1899-12-30T10:50:00"/>
    <s v="Datu"/>
    <s v="EDI MUHKTAR"/>
    <n v="360"/>
    <s v="EXTERNAL"/>
    <s v="Makassar"/>
  </r>
  <r>
    <n v="1"/>
    <s v="001093"/>
    <s v="RBDPL001093DA"/>
    <s v="DP 8953 DK"/>
    <m/>
    <m/>
    <x v="9"/>
    <x v="3"/>
    <s v="6 Roda"/>
    <d v="2026-05-04T00:00:00"/>
    <n v="4310"/>
    <n v="13490"/>
    <n v="9180"/>
    <m/>
    <d v="1899-12-30T13:30:00"/>
    <d v="1899-12-30T15:08:00"/>
    <s v="Datu"/>
    <s v="MUH ARIF"/>
    <n v="360"/>
    <s v="EXTERNAL"/>
    <s v="Makassar"/>
  </r>
  <r>
    <n v="1"/>
    <s v="001091"/>
    <s v="RBDPL001091SCM"/>
    <s v="DP 8574 YE"/>
    <m/>
    <m/>
    <x v="8"/>
    <x v="3"/>
    <s v="6 Roda"/>
    <d v="2026-05-04T00:00:00"/>
    <n v="3990"/>
    <n v="13660"/>
    <n v="9670"/>
    <m/>
    <d v="1899-12-30T11:10:00"/>
    <d v="1899-12-30T12:38:00"/>
    <s v="Datu"/>
    <s v="LUKAS"/>
    <n v="400"/>
    <s v="EXTERNAL"/>
    <s v="Gowa"/>
  </r>
  <r>
    <n v="1"/>
    <s v="001092"/>
    <s v="RBDPL001092SCM"/>
    <s v="DW 8703 MF"/>
    <m/>
    <m/>
    <x v="8"/>
    <x v="3"/>
    <s v="6 Roda"/>
    <d v="2026-05-04T00:00:00"/>
    <n v="4090"/>
    <n v="13110"/>
    <n v="9020"/>
    <m/>
    <d v="1899-12-30T11:53:00"/>
    <d v="1899-12-30T13:14:00"/>
    <s v="Datu"/>
    <s v="IRWANDI"/>
    <n v="400"/>
    <s v="EXTERNAL"/>
    <s v="Gowa"/>
  </r>
  <r>
    <n v="1"/>
    <s v="001096"/>
    <s v="RBDPL001096SCM"/>
    <s v="DP 8953 DK"/>
    <m/>
    <m/>
    <x v="8"/>
    <x v="3"/>
    <s v="6 Roda"/>
    <d v="2026-05-04T00:00:00"/>
    <n v="4310"/>
    <n v="13450"/>
    <n v="9140"/>
    <m/>
    <d v="1899-12-30T19:01:00"/>
    <d v="1899-12-30T19:31:00"/>
    <s v="Datu"/>
    <s v="MUH ARIF"/>
    <n v="400"/>
    <s v="EXTERNAL"/>
    <s v="Gowa"/>
  </r>
  <r>
    <n v="1"/>
    <s v="001094"/>
    <s v="RBDPL001094WIN"/>
    <s v="DD 9236 XX"/>
    <m/>
    <m/>
    <x v="11"/>
    <x v="3"/>
    <s v="12 Roda"/>
    <d v="2026-05-04T00:00:00"/>
    <n v="17290"/>
    <n v="46170"/>
    <n v="28880"/>
    <m/>
    <d v="1899-12-30T14:45:00"/>
    <d v="1899-12-30T16:46:00"/>
    <s v="Datu"/>
    <s v="IBRAHIM"/>
    <n v="642"/>
    <s v="CV WIL"/>
    <s v="Torobulu"/>
  </r>
  <r>
    <n v="1"/>
    <s v="001095"/>
    <s v="RBDPL001095PUP"/>
    <s v="B 1918 SXX"/>
    <m/>
    <m/>
    <x v="13"/>
    <x v="3"/>
    <s v="10 Roda"/>
    <d v="2026-05-04T00:00:00"/>
    <n v="11650"/>
    <n v="26730"/>
    <n v="15080"/>
    <m/>
    <d v="1899-12-30T15:06:00"/>
    <d v="1899-12-30T16:58:00"/>
    <s v="Datu"/>
    <s v="WALDI"/>
    <n v="642"/>
    <s v="CV WIL"/>
    <s v="Torobulu"/>
  </r>
  <r>
    <n v="1"/>
    <s v="001103"/>
    <s v="RBDPL001103BJL"/>
    <s v="DN 8481 KK"/>
    <m/>
    <m/>
    <x v="6"/>
    <x v="3"/>
    <s v="6 Roda"/>
    <d v="2026-05-05T00:00:00"/>
    <n v="3860"/>
    <n v="13440"/>
    <n v="9580"/>
    <m/>
    <d v="1899-12-30T17:06:00"/>
    <d v="1899-12-30T17:41:00"/>
    <s v="Datu"/>
    <s v="YOHAN PARUNTU"/>
    <n v="562"/>
    <s v="EXTERNAL"/>
    <s v="Palu"/>
  </r>
  <r>
    <n v="1"/>
    <s v="001097"/>
    <s v="RBDPL001097BJL"/>
    <s v="DN 1814 XX"/>
    <m/>
    <m/>
    <x v="6"/>
    <x v="3"/>
    <s v="6 Roda"/>
    <d v="2026-05-05T00:00:00"/>
    <n v="3880"/>
    <n v="13210"/>
    <n v="9330"/>
    <m/>
    <d v="1899-12-30T14:47:00"/>
    <d v="1899-12-30T15:41:00"/>
    <s v="Datu"/>
    <s v="MULYADI"/>
    <n v="562"/>
    <s v="EXTERNAL"/>
    <s v="Palu"/>
  </r>
  <r>
    <n v="1"/>
    <s v="001098"/>
    <s v="RBDPL001098BJL"/>
    <s v="DN 8841 CS"/>
    <m/>
    <m/>
    <x v="6"/>
    <x v="3"/>
    <s v="6 Roda"/>
    <d v="2026-05-05T00:00:00"/>
    <n v="4010"/>
    <n v="13690"/>
    <n v="9680"/>
    <m/>
    <d v="1899-12-30T14:50:00"/>
    <d v="1899-12-30T16:01:00"/>
    <s v="Datu"/>
    <s v="MOH RISKY"/>
    <n v="562"/>
    <s v="EXTERNAL"/>
    <s v="Palu"/>
  </r>
  <r>
    <n v="1"/>
    <s v="001099"/>
    <s v="RBDPL001099BJL"/>
    <s v="DN 8115 XX"/>
    <m/>
    <m/>
    <x v="6"/>
    <x v="3"/>
    <s v="6 Roda"/>
    <d v="2026-05-05T00:00:00"/>
    <n v="4020"/>
    <n v="13370"/>
    <n v="9350"/>
    <m/>
    <d v="1899-12-30T14:52:00"/>
    <d v="1899-12-30T16:08:00"/>
    <s v="Datu"/>
    <s v="SYAMSUDDIN"/>
    <n v="562"/>
    <s v="EXTERNAL"/>
    <s v="Palu"/>
  </r>
  <r>
    <n v="1"/>
    <s v="001101"/>
    <s v="RBDPL001101BJL"/>
    <s v="DN 8916 EB"/>
    <m/>
    <m/>
    <x v="6"/>
    <x v="3"/>
    <s v="6 Roda"/>
    <d v="2026-05-05T00:00:00"/>
    <n v="4250"/>
    <n v="14230"/>
    <n v="9980"/>
    <m/>
    <d v="1899-12-30T16:12:00"/>
    <d v="1899-12-30T16:58:00"/>
    <s v="Datu"/>
    <s v="BUDI SUKARDIL"/>
    <n v="562"/>
    <s v="EXTERNAL"/>
    <s v="Palu"/>
  </r>
  <r>
    <n v="1"/>
    <s v="001109"/>
    <s v="RBDPL001109BJL"/>
    <s v="DP 8953 DK"/>
    <m/>
    <m/>
    <x v="6"/>
    <x v="3"/>
    <s v="6 Roda"/>
    <d v="2026-05-05T00:00:00"/>
    <n v="4320"/>
    <n v="13480"/>
    <n v="9160"/>
    <m/>
    <d v="1899-12-30T18:57:00"/>
    <d v="1899-12-30T19:33:00"/>
    <s v="Datu"/>
    <s v="MUH ARIF"/>
    <n v="562"/>
    <s v="EXTERNAL"/>
    <s v="Palu"/>
  </r>
  <r>
    <n v="1"/>
    <s v="001105"/>
    <s v="RBDPL001105DA"/>
    <s v="DN 8905 XH"/>
    <m/>
    <m/>
    <x v="9"/>
    <x v="3"/>
    <s v="6 Roda"/>
    <d v="2026-05-05T00:00:00"/>
    <n v="4120"/>
    <n v="13310"/>
    <n v="9190"/>
    <m/>
    <d v="1899-12-30T17:47:00"/>
    <d v="1899-12-30T18:09:00"/>
    <s v="Datu"/>
    <s v="EDI MUHKTAR"/>
    <n v="360"/>
    <s v="EXTERNAL"/>
    <s v="Makassar"/>
  </r>
  <r>
    <n v="1"/>
    <s v="001102"/>
    <s v="RBDPL001102DA"/>
    <s v="DP 8821 GL"/>
    <m/>
    <m/>
    <x v="9"/>
    <x v="3"/>
    <s v="6 Roda"/>
    <d v="2026-05-05T00:00:00"/>
    <n v="3920"/>
    <n v="13480"/>
    <n v="9560"/>
    <m/>
    <d v="1899-12-30T17:03:00"/>
    <d v="1899-12-30T17:38:00"/>
    <s v="Datu"/>
    <s v="IRWAN"/>
    <n v="360"/>
    <s v="EXTERNAL"/>
    <s v="Makassar"/>
  </r>
  <r>
    <n v="1"/>
    <s v="001106"/>
    <s v="RBDPL001106SCM"/>
    <s v="DC 8459 XL"/>
    <m/>
    <m/>
    <x v="8"/>
    <x v="3"/>
    <s v="6 Roda"/>
    <d v="2026-05-05T00:00:00"/>
    <n v="4090"/>
    <n v="13130"/>
    <n v="9040"/>
    <m/>
    <d v="1899-12-30T18:15:00"/>
    <d v="1899-12-30T18:36:00"/>
    <s v="Datu"/>
    <s v="HAERUDDIN"/>
    <n v="400"/>
    <s v="EXTERNAL"/>
    <s v="Gowa"/>
  </r>
  <r>
    <n v="1"/>
    <s v="001107"/>
    <s v="RBDPL001107SCM"/>
    <s v="DP 8928 GM"/>
    <m/>
    <m/>
    <x v="8"/>
    <x v="3"/>
    <s v="6 Roda"/>
    <d v="2026-05-05T00:00:00"/>
    <n v="3840"/>
    <n v="13960"/>
    <n v="10120"/>
    <m/>
    <d v="1899-12-30T18:18:00"/>
    <d v="1899-12-30T18:50:00"/>
    <s v="Datu"/>
    <s v="RISWAN"/>
    <n v="400"/>
    <s v="EXTERNAL"/>
    <s v="Gowa"/>
  </r>
  <r>
    <n v="1"/>
    <s v="001100"/>
    <s v="RBDPL001100WIN"/>
    <s v="BM 8315 QO"/>
    <m/>
    <m/>
    <x v="11"/>
    <x v="3"/>
    <s v="12 Roda"/>
    <d v="2026-05-05T00:00:00"/>
    <n v="17140"/>
    <n v="45890"/>
    <n v="28750"/>
    <m/>
    <d v="1899-12-30T14:57:00"/>
    <d v="1899-12-30T16:54:00"/>
    <s v="Datu"/>
    <s v="IQBAL"/>
    <n v="642"/>
    <s v="CV WIL"/>
    <s v="Torobulu"/>
  </r>
  <r>
    <n v="1"/>
    <s v="001104"/>
    <s v="RBDPL001104TDJ"/>
    <s v="DD 8711 XX"/>
    <m/>
    <m/>
    <x v="10"/>
    <x v="3"/>
    <s v="10 Roda"/>
    <d v="2026-05-05T00:00:00"/>
    <n v="10590"/>
    <n v="25060"/>
    <n v="14470"/>
    <m/>
    <d v="1899-12-30T17:12:00"/>
    <d v="1899-12-30T18:00:00"/>
    <s v="Datu"/>
    <s v="RONI"/>
    <n v="473"/>
    <s v="CV WIL"/>
    <s v="MOROWALI"/>
  </r>
  <r>
    <n v="1"/>
    <s v="001108"/>
    <s v="RBDPL001108PUP"/>
    <s v="DP 9859 GA"/>
    <m/>
    <m/>
    <x v="13"/>
    <x v="3"/>
    <s v="6 Roda"/>
    <d v="2026-05-05T00:00:00"/>
    <n v="4300"/>
    <n v="14370"/>
    <n v="10070"/>
    <m/>
    <d v="1899-12-30T18:22:00"/>
    <d v="1899-12-30T19:05:00"/>
    <s v="Datu"/>
    <s v="WIDIANTO"/>
    <n v="642"/>
    <s v="EXTERNAL"/>
    <s v="Torobulu"/>
  </r>
  <r>
    <n v="1"/>
    <s v="001110"/>
    <s v="RBDPL001110BJL"/>
    <s v="DN 8749 EB"/>
    <m/>
    <m/>
    <x v="6"/>
    <x v="3"/>
    <s v="6 Roda"/>
    <d v="2026-05-06T00:00:00"/>
    <n v="3920"/>
    <n v="13160"/>
    <n v="9240"/>
    <m/>
    <d v="1899-12-30T09:23:00"/>
    <d v="1899-12-30T11:00:00"/>
    <s v="Datu"/>
    <s v="MELKI SEDEK"/>
    <n v="562"/>
    <s v="EXTERNAL"/>
    <s v="Palu"/>
  </r>
  <r>
    <n v="1"/>
    <s v="001111"/>
    <s v="RBDPL001111BJL"/>
    <s v="DN 8902 UB "/>
    <m/>
    <m/>
    <x v="6"/>
    <x v="3"/>
    <s v="6 Roda"/>
    <d v="2026-05-06T00:00:00"/>
    <n v="4050"/>
    <n v="13430"/>
    <n v="9380"/>
    <m/>
    <d v="1899-12-30T09:27:00"/>
    <d v="1899-12-30T11:16:00"/>
    <s v="Datu"/>
    <s v="FERI"/>
    <n v="562"/>
    <s v="EXTERNAL"/>
    <s v="Palu"/>
  </r>
  <r>
    <n v="1"/>
    <s v="001114"/>
    <s v="RBDPL001114HSA"/>
    <s v="DP 8935 UA"/>
    <m/>
    <m/>
    <x v="7"/>
    <x v="3"/>
    <s v="6 Roda"/>
    <d v="2026-05-06T00:00:00"/>
    <n v="3990"/>
    <n v="14090"/>
    <n v="10100"/>
    <m/>
    <d v="1899-12-30T14:27:00"/>
    <d v="1899-12-30T14:54:00"/>
    <s v="Datu"/>
    <s v="BASO"/>
    <n v="360"/>
    <s v="IRFAN"/>
    <s v="Makassar"/>
  </r>
  <r>
    <n v="1"/>
    <s v="001115"/>
    <s v="RBDPL001115HSA"/>
    <s v="DC 8141 AS"/>
    <m/>
    <m/>
    <x v="7"/>
    <x v="3"/>
    <s v="6 Roda"/>
    <d v="2026-05-06T00:00:00"/>
    <n v="3950"/>
    <n v="13440"/>
    <n v="9490"/>
    <m/>
    <d v="1899-12-30T15:00:00"/>
    <d v="1899-12-30T15:24:00"/>
    <s v="Datu"/>
    <s v="TAMRIN"/>
    <n v="360"/>
    <s v="IRFAN"/>
    <s v="Makassar"/>
  </r>
  <r>
    <n v="1"/>
    <s v="001119"/>
    <s v="RBDPL001119HSA"/>
    <s v="DP 9856 GA"/>
    <m/>
    <m/>
    <x v="7"/>
    <x v="3"/>
    <s v="6 Roda"/>
    <d v="2026-05-06T00:00:00"/>
    <n v="3860"/>
    <n v="13160"/>
    <n v="9300"/>
    <m/>
    <d v="1899-12-30T16:41:00"/>
    <d v="1899-12-30T17:08:00"/>
    <s v="Datu"/>
    <s v="AMMANG"/>
    <n v="360"/>
    <s v="IRFAN"/>
    <s v="Makassar"/>
  </r>
  <r>
    <n v="1"/>
    <s v="001112"/>
    <s v="RBDPL001112DA"/>
    <s v="DD 8171 VN"/>
    <m/>
    <m/>
    <x v="9"/>
    <x v="3"/>
    <s v="12 Roda"/>
    <d v="2026-05-06T00:00:00"/>
    <n v="18980"/>
    <n v="42510"/>
    <n v="23530"/>
    <m/>
    <d v="1899-12-30T11:14:00"/>
    <d v="1899-12-30T13:03:00"/>
    <s v="Datu"/>
    <s v="HARIANTO &amp; JUFRI"/>
    <n v="360"/>
    <s v="EXTERNAL"/>
    <s v="Makassar"/>
  </r>
  <r>
    <n v="1"/>
    <s v="001113"/>
    <s v="RBDPL001113DA"/>
    <s v="DC 8459 XL "/>
    <m/>
    <m/>
    <x v="9"/>
    <x v="3"/>
    <s v="6 Roda"/>
    <d v="2026-05-06T00:00:00"/>
    <n v="4100"/>
    <n v="13160"/>
    <n v="9060"/>
    <m/>
    <d v="1899-12-30T13:23:00"/>
    <d v="1899-12-30T13:49:00"/>
    <s v="Datu"/>
    <s v="HAERUDDIN"/>
    <n v="360"/>
    <s v="EXTERNAL"/>
    <s v="Makassar"/>
  </r>
  <r>
    <n v="1"/>
    <s v="001117"/>
    <s v="RBDPL001117DA"/>
    <s v="DP 8732 GK"/>
    <m/>
    <m/>
    <x v="9"/>
    <x v="3"/>
    <s v="6 Roda"/>
    <d v="2026-05-06T00:00:00"/>
    <n v="4140"/>
    <n v="14290"/>
    <n v="10150"/>
    <m/>
    <d v="1899-12-30T15:26:00"/>
    <d v="1899-12-30T16:00:00"/>
    <s v="Datu"/>
    <s v="BAHTIAR"/>
    <n v="360"/>
    <s v="IRFAN"/>
    <s v="Makassar"/>
  </r>
  <r>
    <n v="1"/>
    <s v="001118"/>
    <s v="RBDPL001118DA"/>
    <s v="DP 8739 GO"/>
    <m/>
    <m/>
    <x v="9"/>
    <x v="3"/>
    <s v="6 Roda"/>
    <d v="2026-05-06T00:00:00"/>
    <n v="3960"/>
    <n v="13270"/>
    <n v="9310"/>
    <m/>
    <d v="1899-12-30T15:40:00"/>
    <d v="1899-12-30T16:16:00"/>
    <s v="Datu"/>
    <s v="ABD HAMID"/>
    <n v="360"/>
    <s v="IRFAN"/>
    <s v="Makassar"/>
  </r>
  <r>
    <n v="1"/>
    <s v="001116"/>
    <s v="RBDPL001116SCM"/>
    <s v="DD 8574 YE"/>
    <m/>
    <m/>
    <x v="8"/>
    <x v="3"/>
    <s v="6 Roda"/>
    <d v="2026-05-06T00:00:00"/>
    <n v="3990"/>
    <n v="13640"/>
    <n v="9650"/>
    <m/>
    <d v="1899-12-30T15:09:00"/>
    <d v="1899-12-30T15:37:00"/>
    <s v="Datu"/>
    <s v="LUKAS"/>
    <n v="400"/>
    <s v="EXTERNAL"/>
    <s v="Makassar"/>
  </r>
  <r>
    <n v="1"/>
    <s v="001120"/>
    <s v="RBDPL001120SCM"/>
    <s v="DC 8905 XH"/>
    <m/>
    <m/>
    <x v="8"/>
    <x v="3"/>
    <s v="6 Roda"/>
    <d v="2026-05-07T00:00:00"/>
    <n v="4100"/>
    <n v="13280"/>
    <n v="9180"/>
    <m/>
    <d v="1899-12-30T10:24:00"/>
    <d v="1899-12-30T11:23:00"/>
    <s v="Datu"/>
    <s v="EDI MUHKTAR"/>
    <n v="400"/>
    <s v="EXTERNAL"/>
    <s v="Makassar"/>
  </r>
  <r>
    <n v="1"/>
    <s v="001122"/>
    <s v="RBDPL001122SCM"/>
    <s v="DN 8492 CU"/>
    <m/>
    <m/>
    <x v="8"/>
    <x v="3"/>
    <s v="6 Roda"/>
    <d v="2026-05-07T00:00:00"/>
    <n v="3950"/>
    <n v="13620"/>
    <n v="9670"/>
    <m/>
    <d v="1899-12-30T15:17:00"/>
    <d v="1899-12-30T15:51:00"/>
    <s v="Datu"/>
    <s v="ARHAM AKBAR"/>
    <n v="400"/>
    <s v="EXTERNAL"/>
    <s v="Makassar"/>
  </r>
  <r>
    <n v="1"/>
    <s v="001123"/>
    <s v="RBDPL001123SCM"/>
    <s v="DP 8004 GJ"/>
    <m/>
    <m/>
    <x v="8"/>
    <x v="3"/>
    <s v="6 Roda"/>
    <d v="2026-05-07T00:00:00"/>
    <n v="4150"/>
    <n v="13600"/>
    <n v="9450"/>
    <m/>
    <d v="1899-12-30T15:20:00"/>
    <d v="1899-12-30T16:33:00"/>
    <s v="Datu"/>
    <s v="MURKAS"/>
    <n v="400"/>
    <s v="EXTERNAL"/>
    <s v="Makassar"/>
  </r>
  <r>
    <n v="1"/>
    <s v="001124"/>
    <s v="RBDPL001124SCM"/>
    <s v=" DP 8851 GZ"/>
    <m/>
    <m/>
    <x v="8"/>
    <x v="3"/>
    <s v="6 Roda"/>
    <d v="2026-05-07T00:00:00"/>
    <n v="4130"/>
    <n v="13320"/>
    <n v="9190"/>
    <m/>
    <d v="1899-12-30T15:53:00"/>
    <d v="1899-12-30T16:25:00"/>
    <s v="Datu"/>
    <s v="DIRGA"/>
    <n v="400"/>
    <s v="EXTERNAL"/>
    <s v="Makassar"/>
  </r>
  <r>
    <n v="1"/>
    <s v="001125"/>
    <s v="RBDPL001125SCM"/>
    <s v="DP 8928 GM"/>
    <m/>
    <m/>
    <x v="8"/>
    <x v="3"/>
    <s v="6 Roda"/>
    <d v="2026-05-07T00:00:00"/>
    <n v="3890"/>
    <n v="14020"/>
    <n v="10130"/>
    <m/>
    <d v="1899-12-30T15:55:00"/>
    <d v="1899-12-30T16:52:00"/>
    <s v="Datu"/>
    <s v="RISWAN"/>
    <n v="400"/>
    <s v="EXTERNAL"/>
    <s v="Makassar"/>
  </r>
  <r>
    <n v="1"/>
    <s v="001128"/>
    <s v="RBDPL001128SCM"/>
    <s v="DP 8856 GZ"/>
    <m/>
    <m/>
    <x v="8"/>
    <x v="3"/>
    <s v="6 Roda"/>
    <d v="2026-05-07T00:00:00"/>
    <n v="4010"/>
    <n v="13070"/>
    <n v="9060"/>
    <m/>
    <d v="1899-12-30T18:08:00"/>
    <d v="1899-12-30T19:11:00"/>
    <s v="Datu"/>
    <s v="SYAIFUL MARDIN"/>
    <n v="400"/>
    <s v="EXTERNAL"/>
    <s v="Makassar"/>
  </r>
  <r>
    <n v="1"/>
    <s v="001126"/>
    <s v="RBDPL001126DA"/>
    <s v="DD 8983 UC"/>
    <m/>
    <m/>
    <x v="9"/>
    <x v="3"/>
    <s v="6 Roda"/>
    <d v="2026-05-07T00:00:00"/>
    <n v="4340"/>
    <n v="14530"/>
    <n v="10190"/>
    <m/>
    <d v="1899-12-30T17:14:00"/>
    <d v="1899-12-30T17:45:00"/>
    <s v="Datu"/>
    <s v="ARISTO"/>
    <n v="360"/>
    <s v="IRFAN"/>
    <s v="Makassar"/>
  </r>
  <r>
    <n v="1"/>
    <s v="001127"/>
    <s v="RBDPL001127DA"/>
    <s v="DP 8172 GN"/>
    <m/>
    <m/>
    <x v="9"/>
    <x v="3"/>
    <s v="6 Roda"/>
    <d v="2026-05-07T00:00:00"/>
    <n v="3930"/>
    <n v="13470"/>
    <n v="9540"/>
    <m/>
    <d v="1899-12-30T17:20:00"/>
    <d v="1899-12-30T18:10:00"/>
    <s v="Datu"/>
    <s v="HALIK"/>
    <n v="360"/>
    <s v="IRFAN"/>
    <s v="Makassar"/>
  </r>
  <r>
    <n v="1"/>
    <s v="001129"/>
    <s v="RBDPL001129DA"/>
    <s v="DC 8459 XL "/>
    <m/>
    <m/>
    <x v="9"/>
    <x v="3"/>
    <s v="6 Roda"/>
    <d v="2026-05-07T00:00:00"/>
    <n v="4090"/>
    <n v="13140"/>
    <n v="9050"/>
    <m/>
    <d v="1899-12-30T18:16:00"/>
    <d v="1899-12-30T18:47:00"/>
    <s v="Datu"/>
    <s v="HAERUDDIN"/>
    <n v="360"/>
    <s v="IRFAN"/>
    <s v="Makassar"/>
  </r>
  <r>
    <n v="1"/>
    <s v="001121"/>
    <s v="RBDPL001121BJL"/>
    <s v="DC 8002 XB"/>
    <m/>
    <m/>
    <x v="6"/>
    <x v="3"/>
    <s v="6 Roda"/>
    <d v="2026-05-07T00:00:00"/>
    <n v="3810"/>
    <n v="13120"/>
    <n v="9310"/>
    <m/>
    <d v="1899-12-30T13:49:00"/>
    <d v="1899-12-30T14:17:00"/>
    <s v="Datu"/>
    <s v="SUPRIANSYAH"/>
    <n v="562"/>
    <s v="EXTERNAL"/>
    <s v="Palu"/>
  </r>
  <r>
    <n v="1"/>
    <s v="001131"/>
    <s v="RBDPL001131DA"/>
    <s v="DD 8171 VN"/>
    <m/>
    <m/>
    <x v="9"/>
    <x v="3"/>
    <s v="12 Roda"/>
    <d v="2026-05-08T00:00:00"/>
    <n v="19000"/>
    <n v="42610"/>
    <n v="23610"/>
    <m/>
    <d v="1899-12-30T09:51:00"/>
    <d v="1899-12-30T13:04:00"/>
    <s v="Datu"/>
    <s v="HARIANTO &amp; JUFRI"/>
    <n v="360"/>
    <s v="EXTERNAL"/>
    <s v="Makassar"/>
  </r>
  <r>
    <n v="1"/>
    <s v="001135"/>
    <s v="RBDPL001135DA"/>
    <s v="DP 8739 GO"/>
    <m/>
    <m/>
    <x v="9"/>
    <x v="3"/>
    <s v="6 Roda"/>
    <d v="2026-05-08T00:00:00"/>
    <n v="4010"/>
    <n v="13320"/>
    <n v="9310"/>
    <m/>
    <d v="1899-12-30T14:10:00"/>
    <d v="1899-12-30T14:40:00"/>
    <s v="Datu"/>
    <s v="ABD HAMID"/>
    <n v="360"/>
    <s v="IRFAN"/>
    <s v="Makassar"/>
  </r>
  <r>
    <n v="1"/>
    <s v="001130"/>
    <s v="RBDPL001130SCM"/>
    <s v="S 9249 UU"/>
    <m/>
    <m/>
    <x v="8"/>
    <x v="3"/>
    <s v="6 Roda"/>
    <d v="2026-05-08T00:00:00"/>
    <n v="4510"/>
    <n v="13720"/>
    <n v="9210"/>
    <m/>
    <d v="1899-12-30T09:18:00"/>
    <d v="1899-12-30T10:25:00"/>
    <s v="Datu"/>
    <s v="HENDRIK"/>
    <n v="400"/>
    <s v="EXTERNAL"/>
    <s v="Makassar"/>
  </r>
  <r>
    <n v="1"/>
    <s v="001134"/>
    <s v="RBDPL001134SCM"/>
    <s v="DC 8989 EZ"/>
    <m/>
    <m/>
    <x v="8"/>
    <x v="3"/>
    <s v="6 Roda"/>
    <d v="2026-05-08T00:00:00"/>
    <n v="3970"/>
    <n v="13380"/>
    <n v="9410"/>
    <m/>
    <d v="1899-12-30T13:55:00"/>
    <d v="1899-12-30T14:23:00"/>
    <s v="Datu"/>
    <s v="ABD RAHMAN"/>
    <n v="400"/>
    <s v="EXTERNAL"/>
    <s v="Makassar"/>
  </r>
  <r>
    <n v="1"/>
    <s v="001136"/>
    <s v="RBDPL001136SCM"/>
    <s v="DD 8574 YE"/>
    <m/>
    <m/>
    <x v="8"/>
    <x v="3"/>
    <s v="6 Roda"/>
    <d v="2026-05-08T00:00:00"/>
    <n v="3990"/>
    <n v="13640"/>
    <n v="9650"/>
    <m/>
    <d v="1899-12-30T14:26:00"/>
    <d v="1899-12-30T15:01:00"/>
    <s v="Datu"/>
    <s v="LUKAS ALFIAN"/>
    <n v="400"/>
    <s v="EXTERNAL"/>
    <s v="Makassar"/>
  </r>
  <r>
    <n v="1"/>
    <s v="001132"/>
    <s v="RBDPL001132BJL"/>
    <s v="DN 8115 XX"/>
    <m/>
    <m/>
    <x v="6"/>
    <x v="3"/>
    <s v="6 Roda"/>
    <d v="2026-05-08T00:00:00"/>
    <n v="3970"/>
    <n v="13320"/>
    <n v="9350"/>
    <m/>
    <d v="1899-12-30T13:29:00"/>
    <d v="1899-12-30T13:53:00"/>
    <s v="Datu"/>
    <s v="SYAMSUDDIN"/>
    <n v="562"/>
    <s v="EXTERNAL"/>
    <s v="Palu"/>
  </r>
  <r>
    <n v="1"/>
    <s v="001133"/>
    <s v="RBDPL001133BJL"/>
    <s v="DN 8648 GA"/>
    <m/>
    <m/>
    <x v="6"/>
    <x v="3"/>
    <s v="6 Roda"/>
    <d v="2026-05-08T00:00:00"/>
    <n v="3860"/>
    <n v="13090"/>
    <n v="9230"/>
    <m/>
    <d v="1899-12-30T13:32:00"/>
    <d v="1899-12-30T14:07:00"/>
    <s v="Datu"/>
    <s v="MIMEIN BUSTAMIN"/>
    <n v="562"/>
    <s v="EXTERNAL"/>
    <s v="Palu"/>
  </r>
  <r>
    <n v="1"/>
    <s v="001137"/>
    <s v="RBDPL001137HSA"/>
    <s v="DP 9856 GA"/>
    <m/>
    <m/>
    <x v="7"/>
    <x v="3"/>
    <s v="6 Roda"/>
    <d v="2026-05-08T00:00:00"/>
    <n v="3910"/>
    <n v="13220"/>
    <n v="9310"/>
    <m/>
    <d v="1899-12-30T14:45:00"/>
    <d v="1899-12-30T15:24:00"/>
    <s v="Datu"/>
    <s v="AMMANG"/>
    <n v="360"/>
    <s v="IRFAN"/>
    <s v="Makassar"/>
  </r>
  <r>
    <n v="1"/>
    <s v="001138"/>
    <s v="RBDPL001138HSA"/>
    <s v="DP 8935 UA"/>
    <m/>
    <m/>
    <x v="7"/>
    <x v="3"/>
    <s v="6 Roda"/>
    <d v="2026-05-08T00:00:00"/>
    <n v="3970"/>
    <n v="14080"/>
    <n v="10110"/>
    <m/>
    <d v="1899-12-30T15:04:00"/>
    <d v="1899-12-30T16:37:00"/>
    <s v="Datu"/>
    <s v="BASO"/>
    <n v="360"/>
    <s v="IRFAN"/>
    <s v="Makassar"/>
  </r>
  <r>
    <n v="1"/>
    <s v="001139"/>
    <s v="RBDPL001139HSA"/>
    <s v="DC 8141 AS "/>
    <m/>
    <m/>
    <x v="7"/>
    <x v="3"/>
    <s v="6 Roda"/>
    <d v="2026-05-08T00:00:00"/>
    <n v="4000"/>
    <n v="13490"/>
    <n v="9490"/>
    <m/>
    <d v="1899-12-30T15:29:00"/>
    <d v="1899-12-30T16:44:00"/>
    <s v="Datu"/>
    <s v="TAMRIN"/>
    <n v="360"/>
    <s v="IRFAN"/>
    <s v="Makassar"/>
  </r>
  <r>
    <n v="1"/>
    <s v="001140"/>
    <s v="RBDPL001140HSA"/>
    <s v="DP 8732 GK"/>
    <m/>
    <m/>
    <x v="7"/>
    <x v="3"/>
    <s v="6 Roda"/>
    <d v="2026-05-08T00:00:00"/>
    <n v="4200"/>
    <n v="14350"/>
    <n v="10150"/>
    <m/>
    <d v="1899-12-30T16:41:00"/>
    <d v="1899-12-30T17:09:00"/>
    <s v="Datu"/>
    <s v="BAHTIAR"/>
    <n v="360"/>
    <s v="IRFAN"/>
    <s v="Makassar"/>
  </r>
  <r>
    <n v="1"/>
    <s v="001141"/>
    <s v="RBDPL001141PUP"/>
    <s v="DD 9236 XX"/>
    <m/>
    <m/>
    <x v="13"/>
    <x v="3"/>
    <s v="12 Roda"/>
    <d v="2026-05-08T00:00:00"/>
    <n v="17690"/>
    <n v="46560"/>
    <n v="28870"/>
    <m/>
    <d v="1899-12-30T18:24:00"/>
    <d v="1899-12-30T20:26:00"/>
    <s v="Datu"/>
    <s v="IBRAHIM"/>
    <n v="642"/>
    <s v="CV WIL"/>
    <s v="Torobulu"/>
  </r>
  <r>
    <n v="1"/>
    <s v="001142"/>
    <s v="RBDPL001142SCM"/>
    <s v="S 9249 UU"/>
    <m/>
    <m/>
    <x v="8"/>
    <x v="3"/>
    <s v="6 Roda"/>
    <d v="2026-05-09T00:00:00"/>
    <n v="4500"/>
    <n v="13690"/>
    <n v="9190"/>
    <m/>
    <d v="1899-12-30T09:22:00"/>
    <d v="1899-12-30T10:29:00"/>
    <s v="Datu"/>
    <s v="HENDRIK"/>
    <n v="400"/>
    <s v="EXTERNAL"/>
    <s v="Makassar"/>
  </r>
  <r>
    <n v="1"/>
    <s v="001143"/>
    <s v="RBDPL001143SCM"/>
    <s v="DW 8703 MF"/>
    <m/>
    <m/>
    <x v="8"/>
    <x v="3"/>
    <s v="6 Roda"/>
    <d v="2026-05-09T00:00:00"/>
    <n v="4080"/>
    <n v="13140"/>
    <n v="9060"/>
    <m/>
    <d v="1899-12-30T09:40:00"/>
    <d v="1899-12-30T10:36:00"/>
    <s v="Datu"/>
    <s v="IRWANDI"/>
    <n v="400"/>
    <s v="EXTERNAL"/>
    <s v="Makassar"/>
  </r>
  <r>
    <n v="1"/>
    <s v="001147"/>
    <s v="RBDPL001147SCM"/>
    <s v="DD 8983 UC"/>
    <m/>
    <m/>
    <x v="8"/>
    <x v="3"/>
    <s v="6 Roda"/>
    <d v="2026-05-09T00:00:00"/>
    <n v="4390"/>
    <n v="14540"/>
    <n v="10150"/>
    <m/>
    <d v="1899-12-30T15:33:00"/>
    <d v="1899-12-30T16:15:00"/>
    <s v="Datu"/>
    <s v="ARISTO"/>
    <n v="400"/>
    <s v="EXTERNAL"/>
    <s v="Makassar"/>
  </r>
  <r>
    <n v="1"/>
    <s v="001148"/>
    <s v="RBDPL001148SCM"/>
    <s v="BH 8459 MY"/>
    <m/>
    <m/>
    <x v="8"/>
    <x v="3"/>
    <s v="10 Roda"/>
    <d v="2026-05-09T00:00:00"/>
    <n v="12160"/>
    <n v="26970"/>
    <n v="14810"/>
    <m/>
    <d v="1899-12-30T16:57:00"/>
    <d v="1899-12-30T17:36:00"/>
    <s v="Datu"/>
    <s v="HAMSAL"/>
    <n v="400"/>
    <s v="CV WIL"/>
    <s v="Makassar"/>
  </r>
  <r>
    <n v="1"/>
    <s v="001144"/>
    <s v="RBDPL001144BJL"/>
    <s v="DP 8953 DK"/>
    <m/>
    <m/>
    <x v="6"/>
    <x v="3"/>
    <s v="6 Roda"/>
    <d v="2026-05-09T00:00:00"/>
    <n v="4340"/>
    <n v="13530"/>
    <n v="9190"/>
    <m/>
    <d v="1899-12-30T10:41:00"/>
    <d v="1899-12-30T11:09:00"/>
    <s v="Datu"/>
    <s v="MUH ARIF"/>
    <n v="562"/>
    <s v="EXTERNAL"/>
    <s v="Palu"/>
  </r>
  <r>
    <n v="1"/>
    <s v="001145"/>
    <s v="RBDPL001145BJL"/>
    <s v="DN 8841 CS "/>
    <m/>
    <m/>
    <x v="6"/>
    <x v="3"/>
    <s v="6 Roda"/>
    <d v="2026-05-09T00:00:00"/>
    <n v="4000"/>
    <n v="13720"/>
    <n v="9720"/>
    <m/>
    <d v="1899-12-30T13:28:00"/>
    <d v="1899-12-30T14:25:00"/>
    <s v="Datu"/>
    <s v="MOH RISKY"/>
    <n v="562"/>
    <s v="EXTERNAL"/>
    <s v="Palu"/>
  </r>
  <r>
    <n v="1"/>
    <s v="001146"/>
    <s v="RBDPL001146DA"/>
    <s v="DP 8172 GN "/>
    <m/>
    <m/>
    <x v="9"/>
    <x v="3"/>
    <s v="6 Roda"/>
    <d v="2026-05-09T00:00:00"/>
    <n v="4010"/>
    <n v="13570"/>
    <n v="9560"/>
    <m/>
    <d v="1899-12-30T15:29:00"/>
    <d v="1899-12-30T15:58:00"/>
    <s v="Datu"/>
    <s v="HALIK"/>
    <n v="360"/>
    <s v="IRFAN"/>
    <s v="Makassar"/>
  </r>
  <r>
    <n v="1"/>
    <s v="001149"/>
    <s v="RBDPL001149DA"/>
    <s v="DD 8171 VN "/>
    <m/>
    <m/>
    <x v="9"/>
    <x v="3"/>
    <s v="12 Roda"/>
    <d v="2026-05-11T00:00:00"/>
    <n v="18970"/>
    <n v="42670"/>
    <n v="23700"/>
    <m/>
    <d v="1899-12-30T08:59:00"/>
    <d v="1899-12-30T10:38:00"/>
    <s v="Datu"/>
    <s v="HARIANTO "/>
    <n v="360"/>
    <s v="EXTERNAL"/>
    <s v="Makassar"/>
  </r>
  <r>
    <n v="1"/>
    <s v="001152"/>
    <s v="RBDPL001152DA"/>
    <s v="DP 8004 GJ "/>
    <m/>
    <m/>
    <x v="9"/>
    <x v="3"/>
    <s v="6 Roda"/>
    <d v="2026-05-11T00:00:00"/>
    <n v="4190"/>
    <n v="13640"/>
    <n v="9450"/>
    <m/>
    <d v="1899-12-30T10:51:00"/>
    <d v="1899-12-30T12:20:00"/>
    <s v="Datu"/>
    <s v="MURKAS"/>
    <n v="360"/>
    <s v="EXTERNAL"/>
    <s v="Makassar"/>
  </r>
  <r>
    <n v="1"/>
    <s v="001155"/>
    <s v="RBDPL001155DA"/>
    <s v="DP 8732 GK "/>
    <m/>
    <m/>
    <x v="9"/>
    <x v="3"/>
    <s v="6 Roda"/>
    <d v="2026-05-11T00:00:00"/>
    <n v="4260"/>
    <n v="14330"/>
    <n v="10070"/>
    <m/>
    <d v="1899-12-30T12:19:00"/>
    <d v="1899-12-30T14:21:00"/>
    <s v="Datu"/>
    <s v="BAHTIAR"/>
    <n v="360"/>
    <s v="IRFAN"/>
    <s v="PALOPO"/>
  </r>
  <r>
    <n v="1"/>
    <s v="001172"/>
    <s v="RBDPL001172DA"/>
    <s v="DP 8732 GK"/>
    <m/>
    <m/>
    <x v="9"/>
    <x v="3"/>
    <s v="6 Roda"/>
    <d v="2026-05-11T00:00:00"/>
    <n v="4250"/>
    <n v="14410"/>
    <n v="10160"/>
    <m/>
    <d v="1899-12-30T18:38:00"/>
    <d v="1899-12-30T19:09:00"/>
    <s v="samsira"/>
    <s v="BAHTIAR"/>
    <n v="360"/>
    <s v="IRFAN"/>
    <s v="Makassar"/>
  </r>
  <r>
    <n v="1"/>
    <s v="001166"/>
    <s v="RBDPL001166DA"/>
    <s v="DD 8251 XX"/>
    <m/>
    <m/>
    <x v="9"/>
    <x v="3"/>
    <s v="10 Roda"/>
    <d v="2026-05-11T00:00:00"/>
    <n v="8110"/>
    <n v="28940"/>
    <n v="20830"/>
    <m/>
    <d v="1899-12-30T16:50:00"/>
    <d v="1899-12-30T17:51:00"/>
    <s v="samsira"/>
    <s v="AGUS LEO SABIR"/>
    <n v="360"/>
    <s v="EXTERNAL"/>
    <s v="Makassar"/>
  </r>
  <r>
    <n v="1"/>
    <s v="001150"/>
    <s v="RBDPL001150SCM"/>
    <s v="DW 8703 MF"/>
    <m/>
    <m/>
    <x v="8"/>
    <x v="3"/>
    <s v="6 Roda"/>
    <d v="2026-05-11T00:00:00"/>
    <n v="4080"/>
    <n v="13100"/>
    <n v="9020"/>
    <m/>
    <d v="1899-12-30T10:44:00"/>
    <d v="1899-12-30T11:56:00"/>
    <s v="Datu"/>
    <s v="IRWANDI"/>
    <n v="400"/>
    <s v="EXTERNAL"/>
    <s v="Makassar"/>
  </r>
  <r>
    <n v="1"/>
    <s v="001151"/>
    <s v="RBDPL001151SCM"/>
    <s v="DC 8459 XL "/>
    <m/>
    <m/>
    <x v="8"/>
    <x v="3"/>
    <s v="6 Roda"/>
    <d v="2026-05-11T00:00:00"/>
    <n v="4080"/>
    <n v="13120"/>
    <n v="9040"/>
    <m/>
    <d v="1899-12-30T10:46:00"/>
    <d v="1899-12-30T12:05:00"/>
    <s v="Datu"/>
    <s v="HAERUDDIN"/>
    <n v="400"/>
    <s v="EXTERNAL"/>
    <s v="Makassar"/>
  </r>
  <r>
    <n v="1"/>
    <s v="001156"/>
    <s v="RBDPL001156SCM"/>
    <s v="S 9249 UU"/>
    <m/>
    <m/>
    <x v="8"/>
    <x v="3"/>
    <s v="6 Roda"/>
    <d v="2026-05-11T00:00:00"/>
    <n v="4500"/>
    <n v="13670"/>
    <n v="9170"/>
    <m/>
    <d v="1899-12-30T14:17:00"/>
    <d v="1899-12-30T14:45:00"/>
    <s v="Datu"/>
    <s v="HENRIK"/>
    <n v="400"/>
    <s v="EXTERNAL"/>
    <s v="Makassar"/>
  </r>
  <r>
    <n v="1"/>
    <s v="001157"/>
    <s v="RBDPL001157SCM"/>
    <s v="DP 8928 GM"/>
    <m/>
    <m/>
    <x v="8"/>
    <x v="3"/>
    <s v="6 Roda"/>
    <d v="2026-05-11T00:00:00"/>
    <n v="3880"/>
    <n v="13980"/>
    <n v="10100"/>
    <m/>
    <d v="1899-12-30T14:19:00"/>
    <d v="1899-12-30T15:01:00"/>
    <s v="Datu"/>
    <s v="RISWAN"/>
    <n v="400"/>
    <s v="EXTERNAL"/>
    <s v="Makassar"/>
  </r>
  <r>
    <n v="1"/>
    <s v="001158"/>
    <s v="RBDPL001158SCM"/>
    <s v="DN 8492 CU"/>
    <m/>
    <m/>
    <x v="8"/>
    <x v="3"/>
    <s v="6 Roda"/>
    <d v="2026-05-11T00:00:00"/>
    <n v="3970"/>
    <n v="13640"/>
    <n v="9670"/>
    <m/>
    <d v="1899-12-30T14:48:00"/>
    <d v="1899-12-30T15:21:00"/>
    <s v="Datu"/>
    <s v="ARHAM AKBAR"/>
    <n v="400"/>
    <s v="EXTERNAL"/>
    <s v="Makassar"/>
  </r>
  <r>
    <n v="1"/>
    <s v="001160"/>
    <s v="RBDPL001160SCM"/>
    <s v="DP 8856 GZ"/>
    <m/>
    <m/>
    <x v="8"/>
    <x v="3"/>
    <s v="6 Roda"/>
    <d v="2026-05-11T00:00:00"/>
    <n v="4060"/>
    <n v="13120"/>
    <n v="9060"/>
    <m/>
    <d v="1899-12-30T15:05:00"/>
    <d v="1899-12-30T15:43:00"/>
    <s v="Datu"/>
    <s v="SAIFUL MARDI"/>
    <n v="400"/>
    <s v="EXTERNAL"/>
    <s v="Makassar"/>
  </r>
  <r>
    <n v="1"/>
    <s v="001163"/>
    <s v="RBDPL001163SCM"/>
    <s v="DP 8798 GH "/>
    <m/>
    <m/>
    <x v="8"/>
    <x v="3"/>
    <s v="6 Roda"/>
    <d v="2026-05-11T00:00:00"/>
    <n v="4020"/>
    <n v="13490"/>
    <n v="9470"/>
    <m/>
    <d v="1899-12-30T15:55:00"/>
    <d v="1899-12-30T16:41:00"/>
    <s v="Datu"/>
    <s v="MUHAMMAD RAYHAN"/>
    <n v="400"/>
    <s v="EXTERNAL"/>
    <s v="Makassar"/>
  </r>
  <r>
    <n v="1"/>
    <s v="001165"/>
    <s v="RBDPL001165SCM"/>
    <s v="DD 8574 YE"/>
    <m/>
    <m/>
    <x v="8"/>
    <x v="3"/>
    <s v="6 Roda"/>
    <d v="2026-05-11T00:00:00"/>
    <n v="3980"/>
    <n v="13640"/>
    <n v="9660"/>
    <m/>
    <d v="1899-12-30T16:46:00"/>
    <d v="1899-12-30T17:23:00"/>
    <s v="samsira"/>
    <s v="LUKAS"/>
    <n v="400"/>
    <s v="EXTERNAL"/>
    <s v="Makassar"/>
  </r>
  <r>
    <n v="1"/>
    <s v="001167"/>
    <s v="RBDPL001167SCM"/>
    <s v="DC 8989 EZ"/>
    <m/>
    <m/>
    <x v="8"/>
    <x v="3"/>
    <s v="6 Roda"/>
    <d v="2026-05-11T00:00:00"/>
    <n v="4030"/>
    <n v="13460"/>
    <n v="9430"/>
    <m/>
    <d v="1899-12-30T16:53:00"/>
    <d v="1899-12-30T17:56:00"/>
    <s v="samsira"/>
    <s v="ABD RAHMAN"/>
    <n v="400"/>
    <s v="EXTERNAL"/>
    <s v="Makassar"/>
  </r>
  <r>
    <n v="1"/>
    <s v="001169"/>
    <s v="RBDPL001169SCM"/>
    <s v="DP 8821 GL"/>
    <m/>
    <m/>
    <x v="8"/>
    <x v="3"/>
    <s v="6 Roda"/>
    <d v="2026-05-11T00:00:00"/>
    <n v="3810"/>
    <n v="13390"/>
    <n v="9580"/>
    <m/>
    <d v="1899-12-30T17:22:00"/>
    <d v="1899-12-30T18:29:00"/>
    <s v="samsira"/>
    <s v="IRWAN"/>
    <n v="400"/>
    <s v="EXTERNAL"/>
    <s v="Makassar"/>
  </r>
  <r>
    <n v="1"/>
    <s v="001170"/>
    <s v="RBDPL001170SCM"/>
    <s v="DC 8905 XH"/>
    <m/>
    <m/>
    <x v="8"/>
    <x v="3"/>
    <s v="6 Roda"/>
    <d v="2026-05-11T00:00:00"/>
    <n v="4040"/>
    <n v="13210"/>
    <n v="9170"/>
    <m/>
    <d v="1899-12-30T18:07:00"/>
    <d v="1899-12-30T18:40:00"/>
    <s v="samsira"/>
    <s v="EDI MUHKTAR"/>
    <n v="400"/>
    <s v="EXTERNAL"/>
    <s v="Makassar"/>
  </r>
  <r>
    <n v="1"/>
    <s v="001159"/>
    <s v="RBDPL001159SCM"/>
    <s v="DP 8851 GZ"/>
    <m/>
    <m/>
    <x v="8"/>
    <x v="3"/>
    <s v="6 Roda"/>
    <d v="2026-05-11T00:00:00"/>
    <n v="4140"/>
    <n v="13340"/>
    <n v="9200"/>
    <m/>
    <d v="1899-12-30T14:51:00"/>
    <d v="1899-12-30T15:26:00"/>
    <s v="Datu"/>
    <s v="DIRGA"/>
    <n v="400"/>
    <s v="EXTERNAL"/>
    <s v="Makassar"/>
  </r>
  <r>
    <n v="1"/>
    <s v="001153"/>
    <s v="RBDPL001153TDJ"/>
    <s v="B 1918 SXX"/>
    <m/>
    <m/>
    <x v="10"/>
    <x v="3"/>
    <s v="10 Roda"/>
    <d v="2026-05-11T00:00:00"/>
    <n v="12230"/>
    <n v="27300"/>
    <n v="15070"/>
    <m/>
    <d v="1899-12-30T11:36:00"/>
    <d v="1899-12-30T13:55:00"/>
    <s v="Datu"/>
    <s v="WALDI"/>
    <n v="473"/>
    <s v="CV WIL"/>
    <s v="MOROWALI"/>
  </r>
  <r>
    <n v="1"/>
    <s v="001154"/>
    <s v="RBDPL001154WIN"/>
    <s v="BM 8315 QO"/>
    <m/>
    <m/>
    <x v="11"/>
    <x v="3"/>
    <s v="12 Roda"/>
    <d v="2026-05-11T00:00:00"/>
    <n v="17680"/>
    <n v="46420"/>
    <n v="28740"/>
    <m/>
    <d v="1899-12-30T11:38:00"/>
    <d v="1899-12-30T14:13:00"/>
    <s v="Datu"/>
    <s v="IQBAL"/>
    <n v="642"/>
    <s v="CV WIL"/>
    <s v="Torobulu"/>
  </r>
  <r>
    <n v="1"/>
    <s v="001162"/>
    <s v="RBDPL001162BJL"/>
    <s v="DN 8114 XX"/>
    <m/>
    <m/>
    <x v="6"/>
    <x v="3"/>
    <s v="6 Roda"/>
    <d v="2026-05-11T00:00:00"/>
    <n v="3920"/>
    <n v="13260"/>
    <n v="9340"/>
    <m/>
    <d v="1899-12-30T15:52:00"/>
    <d v="1899-12-30T16:39:00"/>
    <s v="Datu"/>
    <s v="MULYADI"/>
    <n v="562"/>
    <s v="EXTERNAL"/>
    <s v="Palu"/>
  </r>
  <r>
    <n v="1"/>
    <s v="001161"/>
    <s v="RBDPL001161HSA"/>
    <s v="DP 9856 GA"/>
    <m/>
    <m/>
    <x v="7"/>
    <x v="3"/>
    <s v="6 Roda"/>
    <d v="2026-05-11T00:00:00"/>
    <n v="3880"/>
    <n v="13180"/>
    <n v="9300"/>
    <m/>
    <d v="1899-12-30T15:41:00"/>
    <d v="1899-12-30T16:09:00"/>
    <s v="Datu"/>
    <s v="AMMANG"/>
    <n v="360"/>
    <s v="IRFAN"/>
    <s v="Makassar"/>
  </r>
  <r>
    <n v="1"/>
    <s v="001164"/>
    <s v="RBDPL001164HSA"/>
    <s v="DC 8141 AS"/>
    <m/>
    <m/>
    <x v="7"/>
    <x v="3"/>
    <s v="6 Roda"/>
    <d v="2026-05-11T00:00:00"/>
    <n v="4000"/>
    <n v="13490"/>
    <n v="9490"/>
    <m/>
    <d v="1899-12-30T16:44:00"/>
    <d v="1899-12-30T17:06:00"/>
    <s v="samsira"/>
    <s v="TAMRIN"/>
    <n v="360"/>
    <s v="IRFAN"/>
    <s v="Makassar"/>
  </r>
  <r>
    <n v="1"/>
    <s v="001168"/>
    <s v="RBDPL001168HSA"/>
    <s v="DP 8935 UA"/>
    <m/>
    <m/>
    <x v="7"/>
    <x v="3"/>
    <s v="6 Roda"/>
    <d v="2026-05-11T00:00:00"/>
    <n v="3960"/>
    <n v="14060"/>
    <n v="10100"/>
    <m/>
    <d v="1899-12-30T17:20:00"/>
    <d v="1899-12-30T18:12:00"/>
    <s v="samsira"/>
    <s v="BASO"/>
    <n v="360"/>
    <s v="IRFAN"/>
    <s v="Makassar"/>
  </r>
  <r>
    <n v="1"/>
    <s v="001171"/>
    <s v="RBDPL001171HSA"/>
    <s v="DP 9836 GA"/>
    <m/>
    <m/>
    <x v="7"/>
    <x v="3"/>
    <s v="6 Roda"/>
    <d v="2026-05-11T00:00:00"/>
    <n v="4020"/>
    <n v="13300"/>
    <n v="9280"/>
    <m/>
    <d v="1899-12-30T18:10:00"/>
    <d v="1899-12-30T18:58:00"/>
    <s v="samsira"/>
    <s v="ABD HAMID"/>
    <n v="360"/>
    <s v="EXTERNAL"/>
    <s v="Makassar"/>
  </r>
  <r>
    <n v="1"/>
    <s v="001173"/>
    <s v="RBDPL001173BJL"/>
    <s v="DN 8916 EB"/>
    <m/>
    <m/>
    <x v="6"/>
    <x v="3"/>
    <s v="6 Roda"/>
    <d v="2026-05-12T00:00:00"/>
    <n v="4260"/>
    <n v="14240"/>
    <n v="9980"/>
    <m/>
    <d v="1899-12-30T08:36:00"/>
    <d v="1899-12-30T09:16:00"/>
    <s v="Datu"/>
    <s v="BUDI SUKARDIL"/>
    <n v="562"/>
    <s v="EXTERNAL"/>
    <s v="Palu"/>
  </r>
  <r>
    <n v="1"/>
    <s v="001174"/>
    <s v="RBDPL001174BJL"/>
    <s v="DP 8953 DK"/>
    <m/>
    <m/>
    <x v="6"/>
    <x v="3"/>
    <s v="6 Roda"/>
    <d v="2026-05-12T00:00:00"/>
    <n v="4360"/>
    <n v="13530"/>
    <n v="9170"/>
    <m/>
    <d v="1899-12-30T09:38:00"/>
    <d v="1899-12-30T10:06:00"/>
    <s v="Datu"/>
    <s v="MUH ARIF"/>
    <n v="562"/>
    <s v="EXTERNAL"/>
    <s v="Palu"/>
  </r>
  <r>
    <n v="1"/>
    <s v="001178"/>
    <s v="RBDPL001178BJL"/>
    <s v="DC 8002 XB"/>
    <m/>
    <m/>
    <x v="6"/>
    <x v="3"/>
    <s v="6 Roda"/>
    <d v="2026-05-12T00:00:00"/>
    <n v="3850"/>
    <n v="13180"/>
    <n v="9330"/>
    <m/>
    <d v="1899-12-30T11:55:00"/>
    <d v="1899-12-30T12:25:00"/>
    <s v="Datu"/>
    <s v="SUPRIANSYAH"/>
    <n v="562"/>
    <s v="EXTERNAL"/>
    <s v="Palu"/>
  </r>
  <r>
    <n v="1"/>
    <s v="001179"/>
    <s v="RBDPL001179DA"/>
    <s v="DP 8587 GC"/>
    <m/>
    <m/>
    <x v="9"/>
    <x v="3"/>
    <s v="10 Roda"/>
    <d v="2026-05-12T00:00:00"/>
    <n v="8320"/>
    <n v="27120"/>
    <n v="18800"/>
    <m/>
    <d v="1899-12-30T13:42:00"/>
    <d v="1899-12-30T14:25:00"/>
    <s v="Datu"/>
    <s v="DARWIS"/>
    <n v="360"/>
    <s v="EXTERNAL"/>
    <s v="Makassar"/>
  </r>
  <r>
    <n v="1"/>
    <s v="001180"/>
    <s v="RBDPL001180TDJ"/>
    <s v="DD 8711 XX"/>
    <m/>
    <m/>
    <x v="10"/>
    <x v="3"/>
    <s v="10 Roda"/>
    <d v="2026-05-12T00:00:00"/>
    <n v="10920"/>
    <n v="25440"/>
    <n v="14520"/>
    <m/>
    <d v="1899-12-30T13:48:00"/>
    <d v="1899-12-30T14:49:00"/>
    <s v="Datu"/>
    <s v="RONI"/>
    <n v="473"/>
    <s v="CV WIL"/>
    <s v="MOROWALI"/>
  </r>
  <r>
    <n v="1"/>
    <s v="001175"/>
    <s v="RBDPL001175HSA"/>
    <s v="DP 8172 GN"/>
    <m/>
    <m/>
    <x v="7"/>
    <x v="3"/>
    <s v="6 Roda"/>
    <d v="2026-05-12T00:00:00"/>
    <n v="4080"/>
    <n v="13630"/>
    <n v="9550"/>
    <m/>
    <d v="1899-12-30T10:41:00"/>
    <d v="1899-12-30T11:08:00"/>
    <s v="Datu"/>
    <s v="HALIK"/>
    <n v="360"/>
    <s v="IRFAN"/>
    <s v="Makassar"/>
  </r>
  <r>
    <n v="1"/>
    <s v="001176"/>
    <s v="RBDPL001176SCM"/>
    <s v="S 9249 UU"/>
    <m/>
    <m/>
    <x v="8"/>
    <x v="3"/>
    <s v="6 Roda"/>
    <d v="2026-05-12T00:00:00"/>
    <n v="4520"/>
    <n v="13730"/>
    <n v="9210"/>
    <m/>
    <d v="1899-12-30T10:48:00"/>
    <d v="1899-12-30T11:31:00"/>
    <s v="Datu"/>
    <s v="HENDRIK"/>
    <n v="400"/>
    <s v="EXTERNAL"/>
    <s v="Makassar"/>
  </r>
  <r>
    <n v="1"/>
    <s v="001177"/>
    <s v="RBDPL001177SCM"/>
    <s v="DP 8004 GJ"/>
    <m/>
    <m/>
    <x v="8"/>
    <x v="3"/>
    <s v="6 Roda"/>
    <d v="2026-05-12T00:00:00"/>
    <n v="4220"/>
    <n v="13660"/>
    <n v="9440"/>
    <m/>
    <d v="1899-12-30T11:12:00"/>
    <d v="1899-12-30T11:59:00"/>
    <s v="Datu"/>
    <s v="MURKAS"/>
    <n v="400"/>
    <s v="EXTERNAL"/>
    <s v="Makassar"/>
  </r>
  <r>
    <n v="1"/>
    <s v="001181"/>
    <s v="RBDPL001181SCM"/>
    <s v="DP 9859 GA"/>
    <m/>
    <m/>
    <x v="8"/>
    <x v="3"/>
    <s v="6 Roda"/>
    <d v="2026-05-12T00:00:00"/>
    <n v="4130"/>
    <n v="14200"/>
    <n v="10070"/>
    <m/>
    <d v="1899-12-30T14:27:00"/>
    <d v="1899-12-30T15:05:00"/>
    <s v="Datu"/>
    <s v="WIDIANTO"/>
    <n v="400"/>
    <s v="EXTERNAL"/>
    <s v="Makassar"/>
  </r>
  <r>
    <n v="1"/>
    <s v="001182"/>
    <s v="RBDPL001182SCM"/>
    <s v="DD 8983 UC"/>
    <m/>
    <m/>
    <x v="8"/>
    <x v="3"/>
    <s v="6 Roda"/>
    <d v="2026-05-12T00:00:00"/>
    <n v="4340"/>
    <n v="14410"/>
    <n v="10070"/>
    <m/>
    <d v="1899-12-30T17:28:00"/>
    <d v="1899-12-30T17:52:00"/>
    <s v="samsira"/>
    <s v="ARISTO"/>
    <n v="400"/>
    <s v="EXTERNAL"/>
    <s v="Makassar"/>
  </r>
  <r>
    <n v="1"/>
    <s v="001188"/>
    <s v="RBDPL001188DA"/>
    <s v="DP 8798 GH"/>
    <m/>
    <m/>
    <x v="9"/>
    <x v="3"/>
    <s v="6 Roda"/>
    <d v="2026-05-13T00:00:00"/>
    <n v="4000"/>
    <n v="13500"/>
    <n v="9500"/>
    <m/>
    <d v="1899-12-30T14:17:00"/>
    <d v="1899-12-30T14:44:00"/>
    <s v="Datu"/>
    <s v="MUHAMMAD RAYHAN"/>
    <n v="360"/>
    <s v="EXTERNAL"/>
    <s v="Makassar"/>
  </r>
  <r>
    <n v="1"/>
    <s v="001196"/>
    <s v="RBDPL001196DA"/>
    <s v="DP 8739 GO"/>
    <m/>
    <m/>
    <x v="9"/>
    <x v="3"/>
    <s v="6 Roda"/>
    <d v="2026-05-13T00:00:00"/>
    <n v="4010"/>
    <n v="13330"/>
    <n v="9320"/>
    <m/>
    <d v="1899-12-30T16:30:00"/>
    <d v="1899-12-30T17:59:00"/>
    <s v="samsira"/>
    <s v="ABD HAMID"/>
    <n v="360"/>
    <s v="IRFAN"/>
    <s v="Makassar"/>
  </r>
  <r>
    <n v="1"/>
    <s v="001197"/>
    <s v="RBDPL001197DA"/>
    <s v="DC 8141 AS"/>
    <m/>
    <m/>
    <x v="9"/>
    <x v="3"/>
    <s v="6 Roda"/>
    <d v="2026-05-13T00:00:00"/>
    <n v="3990"/>
    <n v="13500"/>
    <n v="9510"/>
    <m/>
    <d v="1899-12-30T17:17:00"/>
    <d v="1899-12-30T18:27:00"/>
    <s v="samsira"/>
    <s v="TAMRIN"/>
    <n v="360"/>
    <s v="IRFAN"/>
    <s v="Makassar"/>
  </r>
  <r>
    <n v="1"/>
    <s v="001189"/>
    <s v="RBDPL001189BJL"/>
    <s v="DN 8115 XX"/>
    <m/>
    <m/>
    <x v="6"/>
    <x v="3"/>
    <s v="6 Roda"/>
    <d v="2026-05-13T00:00:00"/>
    <n v="4080"/>
    <n v="13450"/>
    <n v="9370"/>
    <m/>
    <d v="1899-12-30T14:27:00"/>
    <d v="1899-12-30T15:13:00"/>
    <s v="Datu"/>
    <s v="SYAMSUDDIN"/>
    <n v="562"/>
    <s v="EXTERNAL"/>
    <s v="Palu"/>
  </r>
  <r>
    <n v="1"/>
    <s v="001191"/>
    <s v="RBDPL001191HSA"/>
    <s v="DP 9856 GA"/>
    <m/>
    <m/>
    <x v="7"/>
    <x v="3"/>
    <s v="6 Roda"/>
    <d v="2026-05-13T00:00:00"/>
    <n v="3880"/>
    <n v="13180"/>
    <n v="9300"/>
    <m/>
    <d v="1899-12-30T15:29:00"/>
    <d v="1899-12-30T16:03:00"/>
    <s v="Datu"/>
    <s v="AMMANG"/>
    <n v="360"/>
    <s v="IRFAN"/>
    <s v="Makassar"/>
  </r>
  <r>
    <n v="1"/>
    <s v="001190"/>
    <s v="RBDPL001190HSA"/>
    <s v="DP 8732 GK"/>
    <m/>
    <m/>
    <x v="7"/>
    <x v="3"/>
    <s v="6 Roda"/>
    <d v="2026-05-13T00:00:00"/>
    <n v="4230"/>
    <n v="14380"/>
    <n v="10150"/>
    <m/>
    <d v="1899-12-30T15:01:00"/>
    <d v="1899-12-30T15:38:00"/>
    <s v="Datu"/>
    <s v="BAHTIAR"/>
    <n v="360"/>
    <s v="IRFAN"/>
    <s v="Makassar"/>
  </r>
  <r>
    <n v="1"/>
    <s v="001183"/>
    <s v="RBDPL001183SCM"/>
    <s v="DN 8492 CU"/>
    <m/>
    <m/>
    <x v="8"/>
    <x v="3"/>
    <s v="6 Roda"/>
    <d v="2026-05-13T00:00:00"/>
    <n v="3980"/>
    <n v="13660"/>
    <n v="9680"/>
    <m/>
    <d v="1899-12-30T08:49:00"/>
    <d v="1899-12-30T09:14:00"/>
    <s v="Datu"/>
    <s v="ARHAM AKBAR"/>
    <n v="400"/>
    <s v="EXTERNAL"/>
    <s v="Makassar"/>
  </r>
  <r>
    <n v="1"/>
    <s v="001184"/>
    <s v="RBDPL001184SCM"/>
    <s v="DC 8905 XH"/>
    <m/>
    <m/>
    <x v="8"/>
    <x v="3"/>
    <s v="6 Roda"/>
    <d v="2026-05-13T00:00:00"/>
    <n v="4170"/>
    <n v="13360"/>
    <n v="9190"/>
    <m/>
    <d v="1899-12-30T11:06:00"/>
    <d v="1899-12-30T11:40:00"/>
    <s v="Datu"/>
    <s v="EDI MUHKTAR"/>
    <n v="400"/>
    <s v="EXTERNAL"/>
    <s v="Makassar"/>
  </r>
  <r>
    <n v="1"/>
    <s v="001185"/>
    <s v="RBDPL001185SCM"/>
    <s v="DC 8459 XL"/>
    <m/>
    <m/>
    <x v="8"/>
    <x v="3"/>
    <s v="6 Roda"/>
    <d v="2026-05-13T00:00:00"/>
    <n v="4130"/>
    <n v="13160"/>
    <n v="9030"/>
    <m/>
    <d v="1899-12-30T11:11:00"/>
    <d v="1899-12-30T11:59:00"/>
    <s v="Datu"/>
    <s v="HAERUDDIN"/>
    <n v="400"/>
    <s v="EXTERNAL"/>
    <s v="Makassar"/>
  </r>
  <r>
    <n v="1"/>
    <s v="001186"/>
    <s v="RBDPL001186SCM"/>
    <s v="DP 8856 GZ"/>
    <m/>
    <m/>
    <x v="8"/>
    <x v="3"/>
    <s v="6 Roda"/>
    <d v="2026-05-13T00:00:00"/>
    <n v="3990"/>
    <n v="13060"/>
    <n v="9070"/>
    <m/>
    <d v="1899-12-30T11:48:00"/>
    <d v="1899-12-30T12:13:00"/>
    <s v="Datu"/>
    <s v="SYAIFUL MARDIN"/>
    <n v="400"/>
    <s v="EXTERNAL"/>
    <s v="Makassar"/>
  </r>
  <r>
    <n v="1"/>
    <s v="001187"/>
    <s v="RBDPL001187SCM"/>
    <s v="DN 8609 VG"/>
    <m/>
    <m/>
    <x v="8"/>
    <x v="3"/>
    <s v="6 Roda"/>
    <d v="2026-05-13T00:00:00"/>
    <n v="3930"/>
    <n v="13240"/>
    <n v="9310"/>
    <m/>
    <d v="1899-12-30T13:14:00"/>
    <d v="1899-12-30T14:09:00"/>
    <s v="Datu"/>
    <s v="TIKO KARNO"/>
    <n v="400"/>
    <s v="EXTERNAL"/>
    <s v="Makassar"/>
  </r>
  <r>
    <n v="1"/>
    <s v="001198"/>
    <s v="RBDPL001198SCM"/>
    <s v="S 9249 UU"/>
    <m/>
    <m/>
    <x v="8"/>
    <x v="3"/>
    <s v="6 Roda"/>
    <d v="2026-05-13T00:00:00"/>
    <n v="4430"/>
    <n v="13650"/>
    <n v="9220"/>
    <m/>
    <d v="1899-12-30T20:02:00"/>
    <d v="1899-12-30T21:55:00"/>
    <s v="samsira"/>
    <s v="HENRIK"/>
    <n v="400"/>
    <s v="EXTERNAL"/>
    <s v="Makassar"/>
  </r>
  <r>
    <n v="1"/>
    <s v="001192"/>
    <s v="RBDPL001192SCM"/>
    <s v="DP 8928 GM"/>
    <m/>
    <m/>
    <x v="8"/>
    <x v="3"/>
    <s v="6 Roda"/>
    <d v="2026-05-13T00:00:00"/>
    <n v="3940"/>
    <n v="14070"/>
    <n v="10130"/>
    <m/>
    <d v="1899-12-30T15:42:00"/>
    <d v="1899-12-30T16:24:00"/>
    <s v="Datu"/>
    <s v="RISWAN"/>
    <n v="400"/>
    <s v="EXTERNAL"/>
    <s v="Makassar"/>
  </r>
  <r>
    <n v="1"/>
    <s v="001193"/>
    <s v="RBDPL001193SCM"/>
    <s v="DP 8821 GL"/>
    <m/>
    <m/>
    <x v="8"/>
    <x v="3"/>
    <s v="6 Roda"/>
    <d v="2026-05-13T00:00:00"/>
    <n v="3960"/>
    <n v="13540"/>
    <n v="9580"/>
    <m/>
    <d v="1899-12-30T16:20:00"/>
    <d v="1899-12-30T16:47:00"/>
    <s v="samsira"/>
    <s v="IRWAN"/>
    <n v="400"/>
    <s v="EXTERNAL"/>
    <s v="Makassar"/>
  </r>
  <r>
    <n v="1"/>
    <s v="001194"/>
    <s v="RBDPL001194SCM"/>
    <s v="DD 8574 YE "/>
    <m/>
    <m/>
    <x v="8"/>
    <x v="3"/>
    <s v="6 Roda"/>
    <d v="2026-05-13T00:00:00"/>
    <n v="4010"/>
    <n v="13660"/>
    <n v="9650"/>
    <m/>
    <d v="1899-12-30T16:23:00"/>
    <d v="1899-12-30T17:11:00"/>
    <s v="samsira"/>
    <s v="LUKAS"/>
    <n v="400"/>
    <s v="EXTERNAL"/>
    <s v="Makassar"/>
  </r>
  <r>
    <n v="1"/>
    <s v="001195"/>
    <s v="RBDPL001195SCM"/>
    <s v="DP 8851 GZ"/>
    <m/>
    <m/>
    <x v="8"/>
    <x v="3"/>
    <s v="6 Roda"/>
    <d v="2026-05-13T00:00:00"/>
    <n v="4250"/>
    <n v="13470"/>
    <n v="9220"/>
    <m/>
    <d v="1899-12-30T16:26:00"/>
    <d v="1899-12-30T17:37:00"/>
    <s v="samsira"/>
    <s v="DIRGA"/>
    <n v="400"/>
    <s v="EXTERNAL"/>
    <s v="Makassar"/>
  </r>
  <r>
    <n v="1"/>
    <s v="001199"/>
    <s v="RBDPL001199DA"/>
    <s v="DP 8172 GN "/>
    <m/>
    <m/>
    <x v="9"/>
    <x v="3"/>
    <s v="6 Roda"/>
    <d v="2026-05-14T00:00:00"/>
    <n v="4060"/>
    <n v="13590"/>
    <n v="9530"/>
    <m/>
    <d v="1899-12-30T14:11:00"/>
    <d v="1899-12-30T15:53:00"/>
    <s v="Datu"/>
    <s v="HALIK"/>
    <n v="360"/>
    <s v="IRFAN"/>
    <s v="PALOPO"/>
  </r>
  <r>
    <n v="1"/>
    <s v="001203"/>
    <s v="RBDPL001203DA"/>
    <s v="DP 8172 GN"/>
    <m/>
    <m/>
    <x v="9"/>
    <x v="3"/>
    <s v="6 Roda"/>
    <d v="2026-05-14T00:00:00"/>
    <n v="4010"/>
    <n v="13540"/>
    <n v="9530"/>
    <m/>
    <d v="1899-12-30T22:11:00"/>
    <d v="1899-12-30T22:33:00"/>
    <s v="samsira"/>
    <s v="HALIK"/>
    <n v="360"/>
    <s v="IRFAN"/>
    <s v="Makassar"/>
  </r>
  <r>
    <n v="1"/>
    <s v="001200"/>
    <s v="RBDPL001200SCM"/>
    <s v="S 9249 UU"/>
    <m/>
    <m/>
    <x v="8"/>
    <x v="3"/>
    <s v="6 Roda"/>
    <d v="2026-05-14T00:00:00"/>
    <n v="4430"/>
    <n v="13570"/>
    <n v="9140"/>
    <m/>
    <d v="1899-12-30T16:56:00"/>
    <d v="1899-12-30T17:36:00"/>
    <s v="samsira"/>
    <s v="HENRIK"/>
    <n v="400"/>
    <s v="EXTERNAL"/>
    <s v="Makassar"/>
  </r>
  <r>
    <n v="1"/>
    <s v="001201"/>
    <s v="RBDPL001201TDJ"/>
    <s v="DD 9236 XX"/>
    <m/>
    <m/>
    <x v="10"/>
    <x v="3"/>
    <s v="12 Roda"/>
    <d v="2026-05-14T00:00:00"/>
    <n v="17290"/>
    <n v="46140"/>
    <n v="28850"/>
    <m/>
    <d v="1899-12-30T17:01:00"/>
    <d v="1899-12-30T18:21:00"/>
    <s v="samsira"/>
    <s v="IBRAHIM"/>
    <n v="473"/>
    <s v="CV WIL"/>
    <s v="MOROWALI"/>
  </r>
  <r>
    <n v="1"/>
    <s v="001202"/>
    <s v="RBDPL001202WIN"/>
    <s v="B 1918 SXX"/>
    <m/>
    <m/>
    <x v="11"/>
    <x v="3"/>
    <s v="10 Roda"/>
    <d v="2026-05-14T00:00:00"/>
    <n v="11770"/>
    <n v="26860"/>
    <n v="15090"/>
    <m/>
    <d v="1899-12-30T17:11:00"/>
    <d v="1899-12-30T18:44:00"/>
    <s v="samsira"/>
    <s v="WALDI"/>
    <n v="642"/>
    <s v="CV WIL"/>
    <s v="Torobulu"/>
  </r>
  <r>
    <n v="1"/>
    <s v="001204"/>
    <s v="RBDPL001204DA"/>
    <s v="DD 8171 VN "/>
    <m/>
    <m/>
    <x v="9"/>
    <x v="3"/>
    <s v="12 Roda"/>
    <d v="2026-05-15T00:00:00"/>
    <n v="18970"/>
    <n v="42610"/>
    <n v="23640"/>
    <m/>
    <d v="1899-12-30T08:54:00"/>
    <d v="1899-12-30T10:16:00"/>
    <s v="Datu"/>
    <s v="HARIANTO "/>
    <n v="360"/>
    <s v="EXTERNAL"/>
    <s v="Makassar"/>
  </r>
  <r>
    <n v="1"/>
    <s v="001209"/>
    <s v="RBDPL001209HSA"/>
    <s v="DC 8141 AS"/>
    <m/>
    <m/>
    <x v="7"/>
    <x v="3"/>
    <s v="6 Roda"/>
    <d v="2026-05-15T00:00:00"/>
    <n v="3960"/>
    <n v="13440"/>
    <n v="9480"/>
    <m/>
    <d v="1899-12-30T15:26:00"/>
    <d v="1899-12-30T15:56:00"/>
    <s v="Datu"/>
    <s v="TAMRIN"/>
    <n v="360"/>
    <s v="IRFAN"/>
    <s v="Makassar"/>
  </r>
  <r>
    <n v="1"/>
    <s v="001210"/>
    <s v="RBDPL001210HSA"/>
    <s v="DP 8935 UA"/>
    <m/>
    <m/>
    <x v="7"/>
    <x v="3"/>
    <s v="6 Roda"/>
    <d v="2026-05-15T00:00:00"/>
    <n v="3920"/>
    <n v="14020"/>
    <n v="10100"/>
    <m/>
    <d v="1899-12-30T15:27:00"/>
    <d v="1899-12-30T16:19:00"/>
    <s v="samsira"/>
    <s v="BASO"/>
    <n v="360"/>
    <s v="IRFAN"/>
    <s v="Makassar"/>
  </r>
  <r>
    <n v="1"/>
    <s v="001212"/>
    <s v="RBDPL001212HSA"/>
    <s v="DP 8739 GO"/>
    <m/>
    <m/>
    <x v="7"/>
    <x v="3"/>
    <s v="6 Roda"/>
    <d v="2026-05-15T00:00:00"/>
    <n v="4020"/>
    <n v="13310"/>
    <n v="9290"/>
    <m/>
    <d v="1899-12-30T16:28:00"/>
    <d v="1899-12-30T17:02:00"/>
    <s v="samsira"/>
    <s v="ABD HAMID"/>
    <n v="360"/>
    <s v="IRFAN"/>
    <s v="Makassar"/>
  </r>
  <r>
    <n v="1"/>
    <s v="001211"/>
    <s v="RBDPL001211BJL"/>
    <s v="DP 8953 DK"/>
    <m/>
    <m/>
    <x v="6"/>
    <x v="3"/>
    <s v="6 Roda"/>
    <d v="2026-05-15T00:00:00"/>
    <n v="4410"/>
    <n v="13560"/>
    <n v="9150"/>
    <m/>
    <d v="1899-12-30T16:00:00"/>
    <d v="1899-12-30T16:46:00"/>
    <s v="samsira"/>
    <s v="MUH ARIF"/>
    <n v="562"/>
    <s v="EXTERNAL"/>
    <s v="Palu"/>
  </r>
  <r>
    <n v="1"/>
    <s v="001205"/>
    <s v="RBDPL001205SCM"/>
    <s v="DC 8459 XL "/>
    <m/>
    <m/>
    <x v="8"/>
    <x v="3"/>
    <s v="6 Roda"/>
    <d v="2026-05-15T00:00:00"/>
    <n v="4130"/>
    <n v="13160"/>
    <n v="9030"/>
    <m/>
    <d v="1899-12-30T10:20:00"/>
    <d v="1899-12-30T10:47:00"/>
    <s v="Datu"/>
    <s v="HAERUDDIN"/>
    <n v="400"/>
    <s v="EXTERNAL"/>
    <s v="Makassar"/>
  </r>
  <r>
    <n v="1"/>
    <s v="001206"/>
    <s v="RBDPL001206SCM"/>
    <s v="DN 8691 UA"/>
    <m/>
    <m/>
    <x v="8"/>
    <x v="3"/>
    <s v="6 Roda"/>
    <d v="2026-05-15T00:00:00"/>
    <n v="4210"/>
    <n v="13940"/>
    <n v="9730"/>
    <m/>
    <d v="1899-12-30T10:23:00"/>
    <d v="1899-12-30T11:04:00"/>
    <s v="Datu"/>
    <s v="RIZAL AR RAHIM"/>
    <n v="400"/>
    <s v="EXTERNAL"/>
    <s v="Makassar"/>
  </r>
  <r>
    <n v="1"/>
    <s v="001207"/>
    <s v="RBDPL001207SCM"/>
    <s v="DN 8609 VG"/>
    <m/>
    <m/>
    <x v="8"/>
    <x v="3"/>
    <s v="6 Roda"/>
    <d v="2026-05-15T00:00:00"/>
    <n v="3940"/>
    <n v="13260"/>
    <n v="9320"/>
    <m/>
    <d v="1899-12-30T14:28:00"/>
    <d v="1899-12-30T15:05:00"/>
    <s v="Datu"/>
    <s v="TINO KARNO"/>
    <n v="400"/>
    <s v="EXTERNAL"/>
    <s v="Makassar"/>
  </r>
  <r>
    <n v="1"/>
    <s v="001208"/>
    <s v="RBDPL001208SCM"/>
    <s v="DC 8989 EZ"/>
    <m/>
    <m/>
    <x v="8"/>
    <x v="3"/>
    <s v="6 Roda"/>
    <d v="2026-05-15T00:00:00"/>
    <n v="3940"/>
    <n v="13360"/>
    <n v="9420"/>
    <m/>
    <d v="1899-12-30T14:30:00"/>
    <d v="1899-12-30T15:22:00"/>
    <s v="Datu"/>
    <s v="ABD RAHMAN"/>
    <n v="400"/>
    <s v="EXTERNAL"/>
    <s v="Makassar"/>
  </r>
  <r>
    <n v="1"/>
    <s v="001213"/>
    <s v="RBDPL001213SCM"/>
    <s v="DC 8905 XH"/>
    <m/>
    <m/>
    <x v="8"/>
    <x v="3"/>
    <s v="6 Roda"/>
    <d v="2026-05-15T00:00:00"/>
    <n v="4080"/>
    <n v="13230"/>
    <n v="9150"/>
    <m/>
    <d v="1899-12-30T17:36:00"/>
    <d v="1899-12-30T18:01:00"/>
    <s v="samsira"/>
    <s v="EDI MUHKTAR"/>
    <n v="400"/>
    <s v="EXTERNAL"/>
    <s v="Makassar"/>
  </r>
  <r>
    <n v="1"/>
    <s v="001216"/>
    <s v="RBDPL001216DA"/>
    <s v="DP 8732 GK"/>
    <m/>
    <m/>
    <x v="9"/>
    <x v="3"/>
    <s v="6 Roda"/>
    <d v="2026-05-16T00:00:00"/>
    <n v="4260"/>
    <n v="14400"/>
    <n v="10140"/>
    <m/>
    <d v="1899-12-30T10:03:00"/>
    <d v="1899-12-30T10:41:00"/>
    <s v="Datu"/>
    <s v="BAHTIAR"/>
    <n v="360"/>
    <s v="EXTERNAL"/>
    <s v="Makassar"/>
  </r>
  <r>
    <n v="1"/>
    <s v="001214"/>
    <s v="RBDPL001214SCM"/>
    <s v="DW 8703 MF"/>
    <m/>
    <m/>
    <x v="8"/>
    <x v="3"/>
    <s v="6 Roda"/>
    <d v="2026-05-16T00:00:00"/>
    <n v="4090"/>
    <n v="13090"/>
    <n v="9000"/>
    <m/>
    <d v="1899-12-30T09:26:00"/>
    <d v="1899-12-30T09:54:00"/>
    <s v="Datu"/>
    <s v="RISWANDI"/>
    <n v="400"/>
    <s v="EXTERNAL"/>
    <s v="Makassar"/>
  </r>
  <r>
    <n v="1"/>
    <s v="001215"/>
    <s v="RBDPL001215SCM"/>
    <s v="DD 8607 SM"/>
    <m/>
    <m/>
    <x v="8"/>
    <x v="3"/>
    <s v="6 Roda"/>
    <d v="2026-05-16T00:00:00"/>
    <n v="4080"/>
    <n v="12410"/>
    <n v="8330"/>
    <m/>
    <d v="1899-12-30T09:46:00"/>
    <d v="1899-12-30T10:22:00"/>
    <s v="Datu"/>
    <s v="HERMAN HAFID"/>
    <n v="400"/>
    <s v="EXTERNAL"/>
    <s v="Makassar"/>
  </r>
  <r>
    <n v="1"/>
    <s v="001217"/>
    <s v="RBDPL001217SCM"/>
    <s v="DC 8459 XL"/>
    <m/>
    <m/>
    <x v="8"/>
    <x v="3"/>
    <s v="6 Roda"/>
    <d v="2026-05-16T00:00:00"/>
    <n v="4210"/>
    <n v="13240"/>
    <n v="9030"/>
    <m/>
    <d v="1899-12-30T11:15:00"/>
    <d v="1899-12-30T11:35:00"/>
    <s v="Datu"/>
    <s v="HAERUDDIN"/>
    <n v="400"/>
    <s v="EXTERNAL"/>
    <s v="Makassar"/>
  </r>
  <r>
    <n v="1"/>
    <s v="001218"/>
    <s v="RBDPL001218SCM"/>
    <s v="DC 8905 XH"/>
    <m/>
    <m/>
    <x v="8"/>
    <x v="3"/>
    <s v="6 Roda"/>
    <d v="2026-05-16T00:00:00"/>
    <n v="4070"/>
    <n v="13240"/>
    <n v="9170"/>
    <m/>
    <d v="1899-12-30T11:17:00"/>
    <d v="1899-12-30T12:12:00"/>
    <s v="Datu"/>
    <s v="EDI MUHKTAR"/>
    <n v="400"/>
    <s v="EXTERNAL"/>
    <s v="Makassar"/>
  </r>
  <r>
    <n v="1"/>
    <s v="001224"/>
    <s v="RBDPL001224SCM"/>
    <s v="DP 8856 GZ"/>
    <m/>
    <m/>
    <x v="8"/>
    <x v="3"/>
    <s v="6 Roda"/>
    <d v="2026-05-16T00:00:00"/>
    <n v="3990"/>
    <n v="13050"/>
    <n v="9060"/>
    <m/>
    <d v="1899-12-30T15:52:00"/>
    <d v="1899-12-30T16:29:00"/>
    <s v="samsira"/>
    <s v="SAIFUL MARDI"/>
    <n v="400"/>
    <s v="EXTERNAL"/>
    <s v="Makassar"/>
  </r>
  <r>
    <n v="1"/>
    <s v="001223"/>
    <s v="RBDPL001223SCM"/>
    <s v="DN 8492 CU"/>
    <m/>
    <m/>
    <x v="8"/>
    <x v="3"/>
    <s v="6 Roda"/>
    <d v="2026-05-16T00:00:00"/>
    <n v="4000"/>
    <n v="13660"/>
    <n v="9660"/>
    <m/>
    <d v="1899-12-30T15:35:00"/>
    <d v="1899-12-30T16:10:00"/>
    <s v="samsira"/>
    <s v="ARHAM AKBAR"/>
    <n v="400"/>
    <s v="EXTERNAL"/>
    <s v="Makassar"/>
  </r>
  <r>
    <n v="1"/>
    <s v="001222"/>
    <s v="RBDPL001222SCM"/>
    <s v="DD 8083 UC"/>
    <m/>
    <m/>
    <x v="8"/>
    <x v="3"/>
    <s v="6 Roda"/>
    <d v="2026-05-16T00:00:00"/>
    <n v="4370"/>
    <n v="14500"/>
    <n v="10130"/>
    <m/>
    <d v="1899-12-30T15:25:00"/>
    <d v="1899-12-30T15:49:00"/>
    <s v="samsira"/>
    <s v="ARISTO"/>
    <n v="400"/>
    <s v="EXTERNAL"/>
    <s v="Makassar"/>
  </r>
  <r>
    <n v="1"/>
    <s v="001221"/>
    <s v="RBDPL001221SCM"/>
    <s v="DP 8519 GJ"/>
    <m/>
    <m/>
    <x v="8"/>
    <x v="3"/>
    <s v="6 Roda"/>
    <d v="2026-05-16T00:00:00"/>
    <n v="4090"/>
    <n v="13410"/>
    <n v="9320"/>
    <m/>
    <d v="1899-12-30T14:28:00"/>
    <d v="1899-12-30T15:09:00"/>
    <s v="samsira"/>
    <s v="ANDI REVALDI"/>
    <n v="400"/>
    <s v="EXTERNAL"/>
    <s v="Makassar"/>
  </r>
  <r>
    <n v="1"/>
    <s v="001220"/>
    <s v="RBDPL001220SCM"/>
    <s v="DD 8574 YE"/>
    <m/>
    <m/>
    <x v="8"/>
    <x v="3"/>
    <s v="6 Roda"/>
    <d v="2026-05-16T00:00:00"/>
    <n v="4040"/>
    <n v="13680"/>
    <n v="9640"/>
    <m/>
    <d v="1899-12-30T13:49:00"/>
    <d v="1899-12-30T14:19:00"/>
    <s v="Datu"/>
    <s v="LUKAS"/>
    <n v="400"/>
    <s v="EXTERNAL"/>
    <s v="Makassar"/>
  </r>
  <r>
    <n v="1"/>
    <s v="001219"/>
    <s v="RBDPL001219HSA"/>
    <s v="DP 9856 GA"/>
    <m/>
    <m/>
    <x v="7"/>
    <x v="3"/>
    <s v="6 Roda"/>
    <d v="2026-05-16T00:00:00"/>
    <n v="3890"/>
    <n v="13200"/>
    <n v="9310"/>
    <m/>
    <d v="1899-12-30T13:08:00"/>
    <d v="1899-12-30T13:42:00"/>
    <s v="Datu"/>
    <s v="AMMANG"/>
    <n v="360"/>
    <s v="IRFAN"/>
    <s v="Makassar"/>
  </r>
  <r>
    <n v="1"/>
    <s v="000210"/>
    <s v="CPO000210JAS"/>
    <s v="DP 8319 DB"/>
    <s v="012/CPO/JM-WINS/IV/2026"/>
    <s v="PT. JAS MULIA / 12 / 500"/>
    <x v="3"/>
    <x v="1"/>
    <s v="6 Roda"/>
    <d v="2026-04-30T00:00:00"/>
    <n v="13840"/>
    <n v="3930"/>
    <n v="9910"/>
    <n v="9890"/>
    <d v="1899-12-30T22:53:00"/>
    <d v="1899-12-30T23:26:00"/>
    <s v="samsira"/>
    <m/>
    <n v="68"/>
    <m/>
    <s v="Bone Bone"/>
  </r>
  <r>
    <n v="1"/>
    <s v="000209"/>
    <s v="CPO000209JAS"/>
    <s v="DP 8662 GH"/>
    <s v="012/CPO/JM-WINS/IV/2026"/>
    <s v="PT. JAS MULIA / 12 / 500"/>
    <x v="3"/>
    <x v="1"/>
    <s v="6 Roda"/>
    <d v="2026-04-30T00:00:00"/>
    <n v="13920"/>
    <n v="3920"/>
    <n v="10000"/>
    <n v="9970"/>
    <d v="1899-12-30T19:28:00"/>
    <d v="1899-12-30T19:45:00"/>
    <s v="samsira"/>
    <m/>
    <n v="68"/>
    <m/>
    <s v="Bone Bone"/>
  </r>
  <r>
    <n v="1"/>
    <s v="000208"/>
    <s v="CPO000208JAS"/>
    <s v="DP 9821 GA"/>
    <s v="012/CPO/JM-WINS/IV/2026"/>
    <s v="PT. JAS MULIA / 12 / 500"/>
    <x v="3"/>
    <x v="1"/>
    <s v="6 Roda"/>
    <d v="2026-04-30T00:00:00"/>
    <n v="13000"/>
    <n v="3750"/>
    <n v="9250"/>
    <n v="9230"/>
    <d v="1899-12-30T18:45:00"/>
    <d v="1899-12-30T19:08:00"/>
    <s v="samsira"/>
    <m/>
    <n v="68"/>
    <m/>
    <s v="Bone Bone"/>
  </r>
  <r>
    <n v="1"/>
    <s v="000207"/>
    <s v="CPO000207JAS"/>
    <s v="DP 9826 GA"/>
    <s v="012/CPO/JM-WINS/IV/2026"/>
    <s v="PT. JAS MULIA / 12 / 500"/>
    <x v="3"/>
    <x v="1"/>
    <s v="6 Roda"/>
    <d v="2026-04-30T00:00:00"/>
    <n v="13780"/>
    <n v="3990"/>
    <n v="9790"/>
    <n v="9760"/>
    <d v="1899-12-30T18:35:00"/>
    <d v="1899-12-30T19:02:00"/>
    <s v="samsira"/>
    <m/>
    <n v="68"/>
    <m/>
    <s v="Bone Bone"/>
  </r>
  <r>
    <n v="1"/>
    <s v="000206"/>
    <s v="CPO000206JAS"/>
    <s v="DP 8319 DB"/>
    <s v="012/CPO/JM-WINS/IV/2026"/>
    <s v="PT. JAS MULIA / 12 / 500"/>
    <x v="3"/>
    <x v="1"/>
    <s v="6 Roda"/>
    <d v="2026-04-30T00:00:00"/>
    <n v="13830"/>
    <n v="3920"/>
    <n v="9910"/>
    <n v="9890"/>
    <d v="1899-12-30T17:39:00"/>
    <d v="1899-12-30T18:13:00"/>
    <s v="samsira"/>
    <m/>
    <n v="68"/>
    <m/>
    <s v="Bone Bone"/>
  </r>
  <r>
    <n v="1"/>
    <s v="000205"/>
    <s v="CPO000205JAS"/>
    <s v="DD 8622 KB"/>
    <s v="012/CPO/JM-WINS/IV/2026"/>
    <s v="PT. JAS MULIA / 12 / 500"/>
    <x v="3"/>
    <x v="1"/>
    <s v="6 Roda"/>
    <d v="2026-04-30T00:00:00"/>
    <n v="13450"/>
    <n v="3890"/>
    <n v="9560"/>
    <n v="9520"/>
    <d v="1899-12-30T16:30:00"/>
    <d v="1899-12-30T16:49:00"/>
    <s v="samsira"/>
    <m/>
    <n v="68"/>
    <m/>
    <s v="Bone Bone"/>
  </r>
  <r>
    <n v="1"/>
    <s v="000212"/>
    <s v="CPO000212JAS"/>
    <s v="DP 8004 GJ"/>
    <s v="013/CPO/JM-WINS/V/2026"/>
    <s v="PT. JAS MULIA / 13 / 500"/>
    <x v="3"/>
    <x v="1"/>
    <s v="6 Roda"/>
    <d v="2026-05-05T00:00:00"/>
    <n v="13560"/>
    <n v="4200"/>
    <n v="9360"/>
    <n v="9340"/>
    <d v="1899-12-30T15:11:00"/>
    <d v="1899-12-30T16:23:00"/>
    <s v="Datu"/>
    <m/>
    <n v="68"/>
    <m/>
    <s v="Bone Bone"/>
  </r>
  <r>
    <n v="1"/>
    <s v="000213"/>
    <s v="CPO000213JAS"/>
    <s v="DP 8594 GN"/>
    <s v="013/CPO/JM-WINS/V/2026"/>
    <s v="PT. JAS MULIA / 13 / 500"/>
    <x v="3"/>
    <x v="1"/>
    <s v="6 Roda"/>
    <d v="2026-05-05T00:00:00"/>
    <n v="13630"/>
    <n v="4270"/>
    <n v="9360"/>
    <n v="9350"/>
    <d v="1899-12-30T15:12:00"/>
    <d v="1899-12-30T16:17:00"/>
    <s v="Datu"/>
    <m/>
    <n v="68"/>
    <m/>
    <s v="Bone Bone"/>
  </r>
  <r>
    <n v="1"/>
    <s v="000214"/>
    <s v="CPO000214JAS"/>
    <s v="DP 8851 GZ"/>
    <s v="013/CPO/JM-WINS/V/2026"/>
    <s v="PT. JAS MULIA / 13 / 500"/>
    <x v="3"/>
    <x v="1"/>
    <s v="6 Roda"/>
    <d v="2026-05-05T00:00:00"/>
    <n v="13230"/>
    <n v="4120"/>
    <n v="9110"/>
    <n v="9080"/>
    <d v="1899-12-30T16:13:00"/>
    <d v="1899-12-30T16:48:00"/>
    <s v="Datu"/>
    <m/>
    <n v="68"/>
    <m/>
    <s v="Bone Bone"/>
  </r>
  <r>
    <n v="1"/>
    <s v="000215"/>
    <s v="CPO000215JAS"/>
    <s v="DP 8781 GZ"/>
    <s v="013/CPO/JM-WINS/V/2026"/>
    <s v="PT. JAS MULIA / 13 / 500"/>
    <x v="3"/>
    <x v="1"/>
    <s v="6 Roda"/>
    <d v="2026-05-05T00:00:00"/>
    <n v="13620"/>
    <n v="3940"/>
    <n v="9680"/>
    <n v="9640"/>
    <d v="1899-12-30T16:15:00"/>
    <d v="1899-12-30T16:36:00"/>
    <s v="Datu"/>
    <m/>
    <n v="68"/>
    <m/>
    <s v="Bone Bone"/>
  </r>
  <r>
    <n v="1"/>
    <s v="000216"/>
    <s v="CPO000216JAS"/>
    <s v="DN 8492 CU"/>
    <s v="013/CPO/JM-WINS/V/2026"/>
    <s v="PT. JAS MULIA / 13 / 500"/>
    <x v="3"/>
    <x v="1"/>
    <s v="6 Roda"/>
    <d v="2026-05-05T00:00:00"/>
    <n v="13540"/>
    <n v="3980"/>
    <n v="9560"/>
    <n v="9540"/>
    <d v="1899-12-30T16:27:00"/>
    <d v="1899-12-30T16:52:00"/>
    <s v="Datu"/>
    <m/>
    <n v="68"/>
    <m/>
    <s v="Bone Bone"/>
  </r>
  <r>
    <n v="1"/>
    <s v="000217"/>
    <s v="CPO000217JAS"/>
    <s v="DP 8951 GB"/>
    <s v="013/CPO/JM-WINS/V/2026"/>
    <s v="PT. JAS MULIA / 13 / 500"/>
    <x v="3"/>
    <x v="1"/>
    <s v="6 Roda"/>
    <d v="2026-05-05T00:00:00"/>
    <n v="13600"/>
    <n v="4050"/>
    <n v="9550"/>
    <n v="9530"/>
    <d v="1899-12-30T18:05:00"/>
    <d v="1899-12-30T18:31:00"/>
    <s v="Datu"/>
    <m/>
    <n v="68"/>
    <m/>
    <s v="Bone Bone"/>
  </r>
  <r>
    <n v="1"/>
    <s v="000218"/>
    <s v="CPO000218JAS"/>
    <s v="DP 8253 GM"/>
    <s v="013/CPO/JM-WINS/V/2026"/>
    <s v="PT. JAS MULIA / 13 / 500"/>
    <x v="3"/>
    <x v="1"/>
    <s v="6 Roda"/>
    <d v="2026-05-05T00:00:00"/>
    <n v="13900"/>
    <n v="4140"/>
    <n v="9760"/>
    <n v="9710"/>
    <d v="1899-12-30T18:08:00"/>
    <d v="1899-12-30T18:29:00"/>
    <s v="Datu"/>
    <m/>
    <n v="68"/>
    <m/>
    <s v="Bone Bone"/>
  </r>
  <r>
    <n v="1"/>
    <s v="000219"/>
    <s v="CPO000219JAS"/>
    <s v="DP 8031 GP"/>
    <s v="013/CPO/JM-WINS/V/2026"/>
    <s v="PT. JAS MULIA / 13 / 500"/>
    <x v="3"/>
    <x v="1"/>
    <s v="6 Roda"/>
    <d v="2026-05-05T00:00:00"/>
    <n v="12880"/>
    <n v="3960"/>
    <n v="8920"/>
    <n v="8920"/>
    <d v="1899-12-30T20:49:00"/>
    <d v="1899-12-30T22:01:00"/>
    <s v="Datu"/>
    <m/>
    <n v="68"/>
    <m/>
    <s v="Bone Bone"/>
  </r>
  <r>
    <n v="1"/>
    <s v="000220"/>
    <s v="CPO000220JAS"/>
    <s v="DP 8594 GN"/>
    <s v="013/CPO/JM-WINS/V/2026"/>
    <s v="PT. JAS MULIA / 13 / 500"/>
    <x v="3"/>
    <x v="1"/>
    <s v="6 Roda"/>
    <d v="2026-05-05T00:00:00"/>
    <n v="13610"/>
    <n v="4260"/>
    <n v="9350"/>
    <n v="9340"/>
    <d v="1899-12-30T21:05:00"/>
    <d v="1899-12-30T21:59:00"/>
    <s v="Datu"/>
    <m/>
    <n v="68"/>
    <m/>
    <s v="Bone Bone"/>
  </r>
  <r>
    <n v="1"/>
    <s v="000221"/>
    <s v="CPO000221JAS"/>
    <s v="DP 8951 GB"/>
    <s v="013/CPO/JM-WINS/V/2026"/>
    <s v="PT. JAS MULIA / 13 / 500"/>
    <x v="3"/>
    <x v="1"/>
    <s v="6 Roda"/>
    <d v="2026-05-05T00:00:00"/>
    <n v="13580"/>
    <n v="4030"/>
    <n v="9550"/>
    <n v="9530"/>
    <d v="1899-12-30T22:42:00"/>
    <d v="1899-12-30T23:09:00"/>
    <s v="Datu"/>
    <m/>
    <n v="68"/>
    <m/>
    <s v="Bone Bone"/>
  </r>
  <r>
    <n v="1"/>
    <s v="000222"/>
    <s v="CPO000222JAS"/>
    <s v="DP 8253 GM"/>
    <s v="013/CPO/JM-WINS/V/2026"/>
    <s v="PT. JAS MULIA / 13 / 500"/>
    <x v="3"/>
    <x v="1"/>
    <s v="6 Roda"/>
    <d v="2026-05-05T00:00:00"/>
    <n v="13880"/>
    <n v="4130"/>
    <n v="9750"/>
    <n v="9730"/>
    <d v="1899-12-30T22:43:00"/>
    <d v="1899-12-30T23:08:00"/>
    <s v="Datu"/>
    <m/>
    <n v="68"/>
    <m/>
    <s v="Bone Bone"/>
  </r>
  <r>
    <n v="1"/>
    <s v="000223"/>
    <s v="CPO000223JAS"/>
    <s v="DN 8492 CU"/>
    <s v="013/CPO/JM-WINS/V/2026"/>
    <s v="PT. JAS MULIA / 13 / 500"/>
    <x v="3"/>
    <x v="1"/>
    <s v="6 Roda"/>
    <d v="2026-05-05T00:00:00"/>
    <n v="13550"/>
    <n v="3990"/>
    <n v="9560"/>
    <n v="9530"/>
    <d v="1899-12-30T22:53:00"/>
    <d v="1899-12-30T23:20:00"/>
    <s v="Datu"/>
    <m/>
    <n v="68"/>
    <m/>
    <s v="Bone Bone"/>
  </r>
  <r>
    <n v="1"/>
    <s v="000224"/>
    <s v="CPO000224JAS"/>
    <s v="DP 8851 GZ"/>
    <s v="013/CPO/JM-WINS/V/2026"/>
    <s v="PT. JAS MULIA / 13 / 500"/>
    <x v="3"/>
    <x v="1"/>
    <s v="6 Roda"/>
    <d v="2026-05-05T00:00:00"/>
    <n v="13260"/>
    <n v="4160"/>
    <n v="9100"/>
    <n v="9070"/>
    <d v="1899-12-30T23:12:00"/>
    <d v="1899-12-30T23:37:00"/>
    <s v="Datu"/>
    <m/>
    <n v="68"/>
    <m/>
    <s v="Bone Bone"/>
  </r>
  <r>
    <n v="1"/>
    <s v="000225"/>
    <s v="CPO000225JAS"/>
    <s v="DP 8004 GJ"/>
    <s v="013/CPO/JM-WINS/V/2026"/>
    <s v="PT. JAS MULIA / 13 / 500"/>
    <x v="3"/>
    <x v="1"/>
    <s v="6 Roda"/>
    <d v="2026-05-05T00:00:00"/>
    <n v="13540"/>
    <n v="4250"/>
    <n v="9290"/>
    <n v="9340"/>
    <d v="1899-12-30T23:13:00"/>
    <d v="1899-12-30T23:42:00"/>
    <s v="Datu"/>
    <m/>
    <n v="68"/>
    <m/>
    <s v="Bone Bone"/>
  </r>
  <r>
    <n v="1"/>
    <s v="000226"/>
    <s v="CPO000226JAS"/>
    <s v="DP 8781 GZ"/>
    <s v="013/CPO/JM-WINS/V/2026"/>
    <s v="PT. JAS MULIA / 13 / 500"/>
    <x v="3"/>
    <x v="1"/>
    <s v="6 Roda"/>
    <d v="2026-05-05T00:00:00"/>
    <n v="13590"/>
    <n v="3940"/>
    <n v="9650"/>
    <n v="9630"/>
    <d v="1899-12-30T23:19:00"/>
    <d v="1899-12-30T23:40:00"/>
    <s v="Datu"/>
    <m/>
    <n v="68"/>
    <m/>
    <s v="Bone Bone"/>
  </r>
  <r>
    <n v="1"/>
    <s v="000227"/>
    <s v="CPO000227JAS"/>
    <s v="DP 8951 GB"/>
    <s v="013/CPO/JM-WINS/V/2026"/>
    <s v="PT. JAS MULIA / 13 / 500"/>
    <x v="3"/>
    <x v="1"/>
    <s v="6 Roda"/>
    <d v="2026-05-06T00:00:00"/>
    <n v="13590"/>
    <n v="4040"/>
    <n v="9550"/>
    <n v="9530"/>
    <d v="1899-12-30T12:08:00"/>
    <d v="1899-12-30T13:41:00"/>
    <s v="Datu"/>
    <m/>
    <n v="68"/>
    <m/>
    <s v="Bone Bone"/>
  </r>
  <r>
    <n v="1"/>
    <s v="000228"/>
    <s v="CPO000228JAS"/>
    <s v="DP 8253 GM"/>
    <s v="013/CPO/JM-WINS/V/2026"/>
    <s v="PT. JAS MULIA / 13 / 500"/>
    <x v="3"/>
    <x v="1"/>
    <s v="6 Roda"/>
    <d v="2026-05-06T00:00:00"/>
    <n v="13940"/>
    <n v="4180"/>
    <n v="9760"/>
    <n v="9730"/>
    <d v="1899-12-30T12:10:00"/>
    <d v="1899-12-30T13:47:00"/>
    <s v="Datu"/>
    <m/>
    <n v="68"/>
    <m/>
    <s v="Bone Bone"/>
  </r>
  <r>
    <n v="1"/>
    <s v="000229"/>
    <s v="CPO000229JAS"/>
    <s v="DP 8594 GN"/>
    <s v="013/CPO/JM-WINS/V/2026"/>
    <s v="PT. JAS MULIA / 13 / 500"/>
    <x v="3"/>
    <x v="1"/>
    <s v="6 Roda"/>
    <d v="2026-05-06T00:00:00"/>
    <n v="13560"/>
    <n v="4240"/>
    <n v="9320"/>
    <n v="9300"/>
    <d v="1899-12-30T12:12:00"/>
    <d v="1899-12-30T13:46:00"/>
    <s v="Datu"/>
    <m/>
    <n v="68"/>
    <m/>
    <s v="Bone Bone"/>
  </r>
  <r>
    <n v="1"/>
    <s v="000230"/>
    <s v="CPO000230JAS"/>
    <s v="DP 8004 GJ"/>
    <s v="013/CPO/JM-WINS/V/2026"/>
    <s v="PT. JAS MULIA / 13 / 500"/>
    <x v="3"/>
    <x v="1"/>
    <s v="6 Roda"/>
    <d v="2026-05-06T00:00:00"/>
    <n v="13520"/>
    <n v="4170"/>
    <n v="9350"/>
    <n v="9360"/>
    <d v="1899-12-30T13:44:00"/>
    <d v="1899-12-30T14:15:00"/>
    <s v="Datu"/>
    <m/>
    <n v="68"/>
    <m/>
    <s v="Bone Bone"/>
  </r>
  <r>
    <n v="1"/>
    <s v="000231"/>
    <s v="CPO000231JAS"/>
    <s v="DP 8851 GZ"/>
    <s v="013/CPO/JM-WINS/V/2026"/>
    <s v="PT. JAS MULIA / 13 / 500"/>
    <x v="3"/>
    <x v="1"/>
    <s v="6 Roda"/>
    <d v="2026-05-06T00:00:00"/>
    <n v="13220"/>
    <n v="4140"/>
    <n v="9080"/>
    <n v="9060"/>
    <d v="1899-12-30T13:50:00"/>
    <d v="1899-12-30T14:22:00"/>
    <s v="Datu"/>
    <m/>
    <n v="68"/>
    <m/>
    <s v="Bone Bone"/>
  </r>
  <r>
    <n v="1"/>
    <s v="000232"/>
    <s v="CPO000232JAS"/>
    <s v="DN 8492 CU "/>
    <s v="013/CPO/JM-WINS/V/2026"/>
    <s v="PT. JAS MULIA / 13 / 500"/>
    <x v="3"/>
    <x v="1"/>
    <s v="6 Roda"/>
    <d v="2026-05-06T00:00:00"/>
    <n v="13530"/>
    <n v="3980"/>
    <n v="9550"/>
    <n v="9530"/>
    <d v="1899-12-30T13:52:00"/>
    <d v="1899-12-30T14:26:00"/>
    <s v="Datu"/>
    <m/>
    <n v="68"/>
    <m/>
    <s v="Bone Bone"/>
  </r>
  <r>
    <n v="1"/>
    <s v="000233"/>
    <s v="CPO000233JAS"/>
    <s v="DP 8031 GP "/>
    <s v="013/CPO/JM-WINS/V/2026"/>
    <s v="PT. JAS MULIA / 13 / 500"/>
    <x v="3"/>
    <x v="1"/>
    <s v="6 Roda"/>
    <d v="2026-05-06T00:00:00"/>
    <n v="12850"/>
    <n v="3920"/>
    <n v="8930"/>
    <n v="8880"/>
    <d v="1899-12-30T14:19:00"/>
    <d v="1899-12-30T15:05:00"/>
    <s v="Datu"/>
    <m/>
    <n v="68"/>
    <m/>
    <s v="Bone Bone"/>
  </r>
  <r>
    <n v="1"/>
    <s v="000234"/>
    <s v="CPO000234JAS"/>
    <s v="DP 8781 GZ"/>
    <s v="013/CPO/JM-WINS/V/2026"/>
    <s v="PT. JAS MULIA / 13 / 500"/>
    <x v="3"/>
    <x v="1"/>
    <s v="6 Roda"/>
    <d v="2026-05-06T00:00:00"/>
    <n v="13560"/>
    <n v="3920"/>
    <n v="9640"/>
    <n v="9620"/>
    <d v="1899-12-30T14:24:00"/>
    <d v="1899-12-30T15:07:00"/>
    <s v="Datu"/>
    <m/>
    <n v="68"/>
    <m/>
    <s v="Bone Bone"/>
  </r>
  <r>
    <n v="1"/>
    <s v="000238"/>
    <s v="CPO000238JAS"/>
    <s v="DP 8781 GZ"/>
    <s v="013/CPO/JM-WINS/V/2026"/>
    <s v="PT. JAS MULIA / 13 / 500"/>
    <x v="3"/>
    <x v="1"/>
    <s v="6 Roda"/>
    <d v="2026-05-08T00:00:00"/>
    <n v="13550"/>
    <n v="3910"/>
    <n v="9640"/>
    <n v="9600"/>
    <d v="1899-12-30T17:22:00"/>
    <d v="1899-12-30T17:57:00"/>
    <s v="Datu"/>
    <m/>
    <n v="68"/>
    <m/>
    <s v="Bone Bone"/>
  </r>
  <r>
    <n v="1"/>
    <s v="000239"/>
    <s v="CPO000239JAS"/>
    <s v="DP 8031 GP"/>
    <s v="013/CPO/JM-WINS/V/2026"/>
    <s v="PT. JAS MULIA / 13 / 500"/>
    <x v="3"/>
    <x v="1"/>
    <s v="6 Roda"/>
    <d v="2026-05-08T00:00:00"/>
    <n v="12840"/>
    <n v="3920"/>
    <n v="8920"/>
    <n v="8880"/>
    <d v="1899-12-30T17:24:00"/>
    <d v="1899-12-30T18:02:00"/>
    <s v="Datu"/>
    <m/>
    <n v="68"/>
    <m/>
    <s v="Bone Bone"/>
  </r>
  <r>
    <n v="1"/>
    <s v="000240"/>
    <s v="CPO000240JAS"/>
    <s v="DP 8951 GB"/>
    <s v="013/CPO/JM-WINS/V/2026"/>
    <s v="PT. JAS MULIA / 13 / 500"/>
    <x v="3"/>
    <x v="1"/>
    <s v="6 Roda"/>
    <d v="2026-05-08T00:00:00"/>
    <n v="13580"/>
    <n v="4040"/>
    <n v="9540"/>
    <n v="9510"/>
    <d v="1899-12-30T18:45:00"/>
    <d v="1899-12-30T19:06:00"/>
    <s v="Datu"/>
    <m/>
    <n v="68"/>
    <m/>
    <s v="Bone Bone"/>
  </r>
  <r>
    <n v="1"/>
    <s v="000241"/>
    <s v="CPO000241JAS"/>
    <s v="DP 8253 GM"/>
    <s v="013/CPO/JM-WINS/V/2026"/>
    <s v="PT. JAS MULIA / 13 / 500"/>
    <x v="3"/>
    <x v="1"/>
    <s v="6 Roda"/>
    <d v="2026-05-08T00:00:00"/>
    <n v="13880"/>
    <n v="4230"/>
    <n v="9650"/>
    <n v="9700"/>
    <d v="1899-12-30T18:47:00"/>
    <d v="1899-12-30T19:07:00"/>
    <s v="Datu"/>
    <m/>
    <n v="68"/>
    <m/>
    <s v="Bone Bone"/>
  </r>
  <r>
    <n v="1"/>
    <s v="000243"/>
    <s v="CPO000243JAS"/>
    <s v="DP 8951 GB"/>
    <s v="013/CPO/JM-WINS/V/2026"/>
    <s v="PT. JAS MULIA / 13 / 500"/>
    <x v="3"/>
    <x v="1"/>
    <s v="6 Roda"/>
    <d v="2026-05-09T00:00:00"/>
    <n v="13580"/>
    <n v="4040"/>
    <n v="9540"/>
    <n v="9510"/>
    <d v="1899-12-30T11:42:00"/>
    <d v="1899-12-30T12:13:00"/>
    <s v="Datu"/>
    <m/>
    <n v="68"/>
    <m/>
    <s v="Bone Bone"/>
  </r>
  <r>
    <n v="1"/>
    <s v="000244"/>
    <s v="CPO000244JAS"/>
    <s v="DP 8253 GM"/>
    <s v="013/CPO/JM-WINS/V/2026"/>
    <s v="PT. JAS MULIA / 13 / 500"/>
    <x v="3"/>
    <x v="1"/>
    <s v="6 Roda"/>
    <d v="2026-05-09T00:00:00"/>
    <n v="13860"/>
    <n v="4140"/>
    <n v="9720"/>
    <n v="9690"/>
    <d v="1899-12-30T11:43:00"/>
    <d v="1899-12-30T12:15:00"/>
    <s v="Datu"/>
    <m/>
    <n v="68"/>
    <m/>
    <s v="Bone Bone"/>
  </r>
  <r>
    <n v="1"/>
    <s v="001230"/>
    <s v="RBDPL001230HSA"/>
    <s v="DC 8141 AS"/>
    <m/>
    <m/>
    <x v="7"/>
    <x v="3"/>
    <s v="6 Roda"/>
    <d v="2026-05-18T00:00:00"/>
    <n v="4010"/>
    <n v="13500"/>
    <n v="9490"/>
    <m/>
    <d v="1899-12-30T13:39:00"/>
    <d v="1899-12-30T14:20:00"/>
    <s v="samsira"/>
    <s v="TAMRIN"/>
    <n v="360"/>
    <s v="IRFAN"/>
    <s v="Makassar"/>
  </r>
  <r>
    <n v="1"/>
    <s v="001231"/>
    <s v="RBDPL001231HSA"/>
    <s v="DP 8732 GK"/>
    <m/>
    <m/>
    <x v="7"/>
    <x v="3"/>
    <s v="6 Roda"/>
    <d v="2026-05-18T00:00:00"/>
    <n v="4260"/>
    <n v="14400"/>
    <n v="10140"/>
    <m/>
    <d v="1899-12-30T14:13:00"/>
    <d v="1899-12-30T14:56:00"/>
    <s v="samsira"/>
    <s v="BAHTIAR"/>
    <n v="360"/>
    <s v="IRFAN"/>
    <s v="Makassar"/>
  </r>
  <r>
    <n v="1"/>
    <s v="001241"/>
    <s v="RBDPL001241HSA"/>
    <s v="DP 8739 GO"/>
    <m/>
    <m/>
    <x v="7"/>
    <x v="3"/>
    <s v="6 Roda"/>
    <d v="2026-05-18T00:00:00"/>
    <n v="3990"/>
    <n v="13280"/>
    <n v="9290"/>
    <m/>
    <d v="1899-12-30T17:40:00"/>
    <d v="1899-12-30T18:49:00"/>
    <s v="Datu"/>
    <s v="ABD HAMID"/>
    <n v="360"/>
    <s v="IRFAN"/>
    <s v="Makassar"/>
  </r>
  <r>
    <n v="1"/>
    <s v="001242"/>
    <s v="RBDPL001242HSA"/>
    <s v="DP 8935 UA"/>
    <m/>
    <m/>
    <x v="7"/>
    <x v="3"/>
    <s v="6 Roda"/>
    <d v="2026-05-18T00:00:00"/>
    <n v="3930"/>
    <n v="14040"/>
    <n v="10110"/>
    <m/>
    <d v="1899-12-30T18:17:00"/>
    <d v="1899-12-30T19:03:00"/>
    <s v="Datu"/>
    <s v="BASO"/>
    <n v="360"/>
    <s v="IRFAN"/>
    <s v="Makassar"/>
  </r>
  <r>
    <n v="1"/>
    <s v="001225"/>
    <s v="RBDPL001225DA"/>
    <s v="DD 8171 VN"/>
    <m/>
    <m/>
    <x v="9"/>
    <x v="3"/>
    <s v="12 Roda"/>
    <d v="2026-05-18T00:00:00"/>
    <n v="18980"/>
    <n v="42570"/>
    <n v="23590"/>
    <m/>
    <d v="1899-12-30T08:51:00"/>
    <d v="1899-12-30T12:21:00"/>
    <s v="samsira"/>
    <s v="HARIANTO"/>
    <n v="360"/>
    <s v="EXTERNAL"/>
    <s v="Makassar"/>
  </r>
  <r>
    <n v="1"/>
    <s v="001226"/>
    <s v="RBDPL001226DA"/>
    <s v="DP 8172 GN"/>
    <m/>
    <m/>
    <x v="9"/>
    <x v="3"/>
    <s v="6 Roda"/>
    <d v="2026-05-18T00:00:00"/>
    <n v="4010"/>
    <n v="13580"/>
    <n v="9570"/>
    <m/>
    <d v="1899-12-30T11:49:00"/>
    <d v="1899-12-30T13:32:00"/>
    <s v="samsira"/>
    <s v="HALIK"/>
    <n v="360"/>
    <s v="IRFAN"/>
    <s v="Makassar"/>
  </r>
  <r>
    <n v="1"/>
    <s v="001228"/>
    <s v="RBDPL001228DA"/>
    <s v="H 8291 OE"/>
    <m/>
    <m/>
    <x v="9"/>
    <x v="3"/>
    <s v="10 Roda"/>
    <d v="2026-05-18T00:00:00"/>
    <n v="7870"/>
    <n v="26250"/>
    <n v="18380"/>
    <m/>
    <d v="1899-12-30T13:26:00"/>
    <d v="1899-12-30T15:28:00"/>
    <s v="samsira"/>
    <s v="BASRI"/>
    <n v="360"/>
    <s v="EXTERNAL"/>
    <s v="Makassar"/>
  </r>
  <r>
    <n v="1"/>
    <s v="001229"/>
    <s v="RBDPL001229DA"/>
    <s v="DP 8851 GZ"/>
    <m/>
    <m/>
    <x v="9"/>
    <x v="3"/>
    <s v="6 Roda"/>
    <d v="2026-05-18T00:00:00"/>
    <n v="4220"/>
    <n v="13410"/>
    <n v="9190"/>
    <m/>
    <d v="1899-12-30T13:37:00"/>
    <d v="1899-12-30T14:34:00"/>
    <s v="samsira"/>
    <s v="DIRGA"/>
    <n v="360"/>
    <s v="EXTERNAL"/>
    <s v="Makassar"/>
  </r>
  <r>
    <n v="1"/>
    <s v="001236"/>
    <s v="RBDPL001236DA"/>
    <s v="DP 8953 DK"/>
    <m/>
    <m/>
    <x v="9"/>
    <x v="3"/>
    <s v="6 Roda"/>
    <d v="2026-05-18T00:00:00"/>
    <n v="4370"/>
    <n v="13520"/>
    <n v="9150"/>
    <m/>
    <d v="1899-12-30T15:14:00"/>
    <d v="1899-12-30T16:33:00"/>
    <s v="samsira"/>
    <s v="MUH ARIF"/>
    <n v="360"/>
    <s v="EXTERNAL"/>
    <s v="Makassar"/>
  </r>
  <r>
    <n v="1"/>
    <s v="001227"/>
    <s v="RBDPL001227SCM"/>
    <s v="DN 8691 UA"/>
    <m/>
    <m/>
    <x v="8"/>
    <x v="3"/>
    <s v="6 Roda"/>
    <d v="2026-05-18T00:00:00"/>
    <n v="4190"/>
    <n v="13960"/>
    <n v="9770"/>
    <m/>
    <d v="1899-12-30T13:23:00"/>
    <d v="1899-12-30T14:07:00"/>
    <s v="samsira"/>
    <s v="RIZAL AR RAHIM"/>
    <n v="400"/>
    <s v="EXTERNAL"/>
    <s v="Makassar"/>
  </r>
  <r>
    <n v="1"/>
    <s v="001232"/>
    <s v="RBDPL001232SCM"/>
    <s v="DP 8004 GJ"/>
    <m/>
    <m/>
    <x v="8"/>
    <x v="3"/>
    <s v="6 Roda"/>
    <d v="2026-05-18T00:00:00"/>
    <n v="4190"/>
    <n v="13650"/>
    <n v="9460"/>
    <m/>
    <d v="1899-12-30T14:16:00"/>
    <d v="1899-12-30T15:43:00"/>
    <s v="samsira"/>
    <s v="MURKAS"/>
    <n v="400"/>
    <s v="EXTERNAL"/>
    <s v="Makassar"/>
  </r>
  <r>
    <n v="1"/>
    <s v="001235"/>
    <s v="RBDPL001235SCM"/>
    <s v="DP 9859 GA"/>
    <m/>
    <m/>
    <x v="8"/>
    <x v="3"/>
    <s v="6 Roda"/>
    <d v="2026-05-18T00:00:00"/>
    <n v="4170"/>
    <n v="14260"/>
    <n v="10090"/>
    <m/>
    <d v="1899-12-30T15:02:00"/>
    <d v="1899-12-30T16:25:00"/>
    <s v="samsira"/>
    <s v="WIDIANTO"/>
    <n v="400"/>
    <s v="EXTERNAL"/>
    <s v="Makassar"/>
  </r>
  <r>
    <n v="1"/>
    <s v="001237"/>
    <s v="RBDPL001237SCM"/>
    <s v="DD 8408 RN"/>
    <m/>
    <m/>
    <x v="8"/>
    <x v="3"/>
    <s v="6 Roda"/>
    <d v="2026-05-18T00:00:00"/>
    <n v="4270"/>
    <n v="13910"/>
    <n v="9640"/>
    <m/>
    <d v="1899-12-30T15:31:00"/>
    <d v="1899-12-30T16:54:00"/>
    <s v="samsira"/>
    <s v="JURIADI"/>
    <n v="400"/>
    <s v="EXTERNAL"/>
    <s v="Makassar"/>
  </r>
  <r>
    <n v="1"/>
    <s v="001238"/>
    <s v="RBDPL001238SCM"/>
    <s v="DN 8609 VG"/>
    <m/>
    <m/>
    <x v="8"/>
    <x v="3"/>
    <s v="6 Roda"/>
    <d v="2026-05-18T00:00:00"/>
    <n v="4070"/>
    <n v="13400"/>
    <n v="9330"/>
    <m/>
    <d v="1899-12-30T16:50:00"/>
    <d v="1899-12-30T17:31:00"/>
    <s v="Datu"/>
    <s v="TINO KARNO"/>
    <n v="400"/>
    <s v="EXTERNAL"/>
    <s v="Makassar"/>
  </r>
  <r>
    <n v="1"/>
    <s v="001239"/>
    <s v="RBDPL001239SCM"/>
    <s v="DP 8798 GH"/>
    <m/>
    <m/>
    <x v="8"/>
    <x v="3"/>
    <s v="6 Roda"/>
    <d v="2026-05-18T00:00:00"/>
    <n v="4010"/>
    <n v="13500"/>
    <n v="9490"/>
    <m/>
    <d v="1899-12-30T16:51:00"/>
    <d v="1899-12-30T17:21:00"/>
    <s v="Datu"/>
    <s v="MUHAMMAD RAYHAN"/>
    <n v="400"/>
    <s v="EXTERNAL"/>
    <s v="Makassar"/>
  </r>
  <r>
    <n v="1"/>
    <s v="001240"/>
    <s v="RBDPL001240SCM"/>
    <s v="DN 8492 CU"/>
    <m/>
    <m/>
    <x v="8"/>
    <x v="3"/>
    <s v="6 Roda"/>
    <d v="2026-05-18T00:00:00"/>
    <n v="3990"/>
    <n v="13680"/>
    <n v="9690"/>
    <m/>
    <d v="1899-12-30T17:29:00"/>
    <d v="1899-12-30T18:11:00"/>
    <s v="Datu"/>
    <s v="ARHAM AKBAR"/>
    <n v="400"/>
    <s v="EXTERNAL"/>
    <s v="Makassar"/>
  </r>
  <r>
    <n v="1"/>
    <s v="001233"/>
    <s v="RBDPL001233BJL"/>
    <s v="DN 8115 XX"/>
    <m/>
    <m/>
    <x v="6"/>
    <x v="3"/>
    <s v="6 Roda"/>
    <d v="2026-05-18T00:00:00"/>
    <n v="4020"/>
    <n v="13370"/>
    <n v="9350"/>
    <m/>
    <d v="1899-12-30T14:46:00"/>
    <d v="1899-12-30T15:55:00"/>
    <s v="samsira"/>
    <s v="SYAMSUDDIN"/>
    <n v="562"/>
    <s v="EXTERNAL"/>
    <s v="Palu"/>
  </r>
  <r>
    <n v="1"/>
    <s v="001234"/>
    <s v="RBDPL001234BJL"/>
    <s v="DN 8648 GA"/>
    <m/>
    <m/>
    <x v="6"/>
    <x v="3"/>
    <s v="6 Roda"/>
    <d v="2026-05-18T00:00:00"/>
    <n v="3870"/>
    <n v="13070"/>
    <n v="9200"/>
    <m/>
    <d v="1899-12-30T14:47:00"/>
    <d v="1899-12-30T16:08:00"/>
    <s v="samsira"/>
    <s v="MUHAMMAD EMIN"/>
    <n v="562"/>
    <s v="EXTERNAL"/>
    <s v="Palu"/>
  </r>
  <r>
    <n v="1"/>
    <s v="001243"/>
    <s v="RBDPL001243TDJ"/>
    <s v="DD 9236 XX"/>
    <m/>
    <m/>
    <x v="10"/>
    <x v="3"/>
    <s v="12 Roda"/>
    <d v="2026-05-18T00:00:00"/>
    <n v="17170"/>
    <n v="46050"/>
    <n v="28880"/>
    <m/>
    <d v="1899-12-30T20:11:00"/>
    <d v="1899-12-30T21:21:00"/>
    <s v="Datu"/>
    <s v="IBRAHIM"/>
    <n v="473"/>
    <s v="CV WIL"/>
    <s v="Torobulu"/>
  </r>
  <r>
    <n v="1"/>
    <s v="001244"/>
    <s v="RBDPL001244WIN"/>
    <s v="BM 8315 QO"/>
    <m/>
    <m/>
    <x v="11"/>
    <x v="3"/>
    <s v="12 Roda"/>
    <d v="2026-05-18T00:00:00"/>
    <n v="17420"/>
    <n v="46250"/>
    <n v="28830"/>
    <m/>
    <d v="1899-12-30T20:17:00"/>
    <d v="1899-12-30T21:52:00"/>
    <s v="Datu"/>
    <s v="IQBAL"/>
    <n v="642"/>
    <s v="CV WIL"/>
    <s v="MOROWALI"/>
  </r>
  <r>
    <n v="1"/>
    <s v="000248"/>
    <s v="CPO000248JAS"/>
    <s v="DP 8063 DB"/>
    <s v="013/CPO/JM-WINS/V/2026"/>
    <s v="PT. JAS MULIA / 13 / 500"/>
    <x v="3"/>
    <x v="1"/>
    <s v="6 Roda"/>
    <d v="2026-05-18T00:00:00"/>
    <n v="12930"/>
    <n v="4010"/>
    <n v="8920"/>
    <n v="8890"/>
    <d v="1899-12-30T17:45:00"/>
    <d v="1899-12-30T19:37:00"/>
    <s v="Datu"/>
    <m/>
    <n v="68"/>
    <m/>
    <s v="Bone Bone"/>
  </r>
  <r>
    <n v="1"/>
    <s v="000249"/>
    <s v="CPO000249JAS"/>
    <s v="DP 8147 XY "/>
    <s v="013/CPO/JM-WINS/V/2026"/>
    <s v="PT. JAS MULIA / 13 / 500"/>
    <x v="3"/>
    <x v="1"/>
    <s v="6 Roda"/>
    <d v="2026-05-18T00:00:00"/>
    <n v="13450"/>
    <n v="3800"/>
    <n v="9650"/>
    <n v="9590"/>
    <d v="1899-12-30T17:47:00"/>
    <d v="1899-12-30T19:32:00"/>
    <s v="Datu"/>
    <m/>
    <n v="68"/>
    <m/>
    <s v="Bone Bone"/>
  </r>
  <r>
    <n v="1"/>
    <s v="000250"/>
    <s v="CPO000250JAS"/>
    <s v="DD 8574 HG"/>
    <s v="013/CPO/JM-WINS/V/2026"/>
    <s v="PT. JAS MULIA / 13 / 500"/>
    <x v="3"/>
    <x v="1"/>
    <s v="6 Roda"/>
    <d v="2026-05-18T00:00:00"/>
    <n v="12860"/>
    <n v="3990"/>
    <n v="8870"/>
    <n v="8820"/>
    <d v="1899-12-30T20:54:00"/>
    <d v="1899-12-30T21:34:00"/>
    <s v="Datu"/>
    <m/>
    <n v="68"/>
    <m/>
    <s v="Bone Bone"/>
  </r>
  <r>
    <n v="1"/>
    <s v="000252"/>
    <s v="CPO000252JAS"/>
    <s v="DP 8063 DB"/>
    <s v="013/CPO/JM-WINS/V/2026"/>
    <s v="PT. JAS MULIA / 13 / 500"/>
    <x v="3"/>
    <x v="1"/>
    <s v="6 Roda"/>
    <d v="2026-05-19T00:00:00"/>
    <n v="12870"/>
    <n v="3960"/>
    <n v="8910"/>
    <n v="8840"/>
    <d v="1899-12-30T10:54:00"/>
    <d v="1899-12-30T11:49:00"/>
    <s v="samsira"/>
    <m/>
    <n v="68"/>
    <m/>
    <s v="Bone Bone"/>
  </r>
  <r>
    <n v="1"/>
    <s v="000253"/>
    <s v="CPO000253JAS"/>
    <s v="DP 8174 XY"/>
    <s v="013/CPO/JM-WINS/V/2026"/>
    <s v="PT. JAS MULIA / 13 / 500"/>
    <x v="3"/>
    <x v="1"/>
    <s v="6 Roda"/>
    <d v="2026-05-19T00:00:00"/>
    <n v="13470"/>
    <n v="3820"/>
    <n v="9650"/>
    <n v="9620"/>
    <d v="1899-12-30T11:11:00"/>
    <d v="1899-12-30T11:43:00"/>
    <s v="samsira"/>
    <m/>
    <n v="68"/>
    <m/>
    <s v="Bone Bone"/>
  </r>
  <r>
    <n v="1"/>
    <s v="000254"/>
    <s v="CPO000254JAS"/>
    <s v="DD 8574 HG"/>
    <s v="013/CPO/JM-WINS/V/2026"/>
    <s v="PT. JAS MULIA / 13 / 500"/>
    <x v="3"/>
    <x v="1"/>
    <s v="6 Roda"/>
    <d v="2026-05-19T00:00:00"/>
    <n v="12790"/>
    <n v="3970"/>
    <n v="8820"/>
    <n v="8770"/>
    <d v="1899-12-30T11:32:00"/>
    <d v="1899-12-30T12:06:00"/>
    <s v="samsira"/>
    <m/>
    <n v="68"/>
    <m/>
    <s v="Bone Bone"/>
  </r>
  <r>
    <n v="1"/>
    <s v="000255"/>
    <s v="CPO000255JAS"/>
    <s v="DP 9821 GA"/>
    <s v="013/CPO/JM-WINS/V/2026"/>
    <s v="PT. JAS MULIA / 13 / 500"/>
    <x v="3"/>
    <x v="1"/>
    <s v="6 Roda"/>
    <d v="2026-05-19T00:00:00"/>
    <n v="13030"/>
    <n v="3770"/>
    <n v="9260"/>
    <n v="9220"/>
    <d v="1899-12-30T16:01:00"/>
    <d v="1899-12-30T16:42:00"/>
    <s v="samsira"/>
    <m/>
    <n v="68"/>
    <m/>
    <s v="Bone Bone"/>
  </r>
  <r>
    <n v="1"/>
    <s v="000256"/>
    <s v="CPO000256JAS"/>
    <s v="DP 8174 XY"/>
    <s v="013/CPO/JM-WINS/V/2026"/>
    <s v="PT. JAS MULIA / 13 / 500"/>
    <x v="3"/>
    <x v="1"/>
    <s v="6 Roda"/>
    <d v="2026-05-19T00:00:00"/>
    <n v="13470"/>
    <n v="3830"/>
    <n v="9640"/>
    <n v="9610"/>
    <d v="1899-12-30T16:33:00"/>
    <d v="1899-12-30T16:58:00"/>
    <s v="samsira"/>
    <m/>
    <n v="68"/>
    <m/>
    <s v="Bone Bone"/>
  </r>
  <r>
    <n v="1"/>
    <s v="000257"/>
    <s v="CPO000257JAS"/>
    <s v="DP 8063 DB"/>
    <s v="013/CPO/JM-WINS/V/2026"/>
    <s v="PT. JAS MULIA / 13 / 500"/>
    <x v="3"/>
    <x v="1"/>
    <s v="6 Roda"/>
    <d v="2026-05-19T00:00:00"/>
    <n v="12870"/>
    <n v="3970"/>
    <n v="8900"/>
    <n v="8860"/>
    <d v="1899-12-30T16:45:00"/>
    <d v="1899-12-30T17:13:00"/>
    <s v="samsira"/>
    <m/>
    <n v="68"/>
    <m/>
    <s v="Bone Bone"/>
  </r>
  <r>
    <n v="1"/>
    <s v="000258"/>
    <s v="CPO000258JAS"/>
    <s v="DD 8446 GC"/>
    <s v="013/CPO/JM-WINS/V/2026"/>
    <s v="PT. JAS MULIA / 13 / 500"/>
    <x v="3"/>
    <x v="1"/>
    <s v="6 Roda"/>
    <d v="2026-05-19T00:00:00"/>
    <n v="12770"/>
    <n v="3970"/>
    <n v="8800"/>
    <n v="8780"/>
    <d v="1899-12-30T16:48:00"/>
    <d v="1899-12-30T17:21:00"/>
    <s v="samsira"/>
    <m/>
    <n v="68"/>
    <m/>
    <s v="Bone Bone"/>
  </r>
  <r>
    <n v="1"/>
    <s v="000259"/>
    <s v="CPO000259JAS"/>
    <s v="DP 8063 BD"/>
    <s v="013/CPO/JM-WINS/V/2026"/>
    <s v="PT. JAS MULIA / 13 / 500"/>
    <x v="3"/>
    <x v="1"/>
    <s v="6 Roda"/>
    <d v="2026-05-19T00:00:00"/>
    <n v="12860"/>
    <n v="3960"/>
    <n v="8900"/>
    <n v="8880"/>
    <d v="1899-12-30T21:56:00"/>
    <d v="1899-12-30T22:35:00"/>
    <s v="Datu"/>
    <m/>
    <n v="68"/>
    <m/>
    <s v="Bone Bone"/>
  </r>
  <r>
    <n v="1"/>
    <s v="000260"/>
    <s v="CPO000260JAS"/>
    <s v="DP 8174 XY"/>
    <s v="013/CPO/JM-WINS/V/2026"/>
    <s v="PT. JAS MULIA / 13 / 500"/>
    <x v="3"/>
    <x v="1"/>
    <s v="6 Roda"/>
    <d v="2026-05-19T00:00:00"/>
    <n v="13440"/>
    <n v="3820"/>
    <n v="9620"/>
    <n v="9580"/>
    <d v="1899-12-30T22:24:00"/>
    <d v="1899-12-30T22:43:00"/>
    <s v="Datu"/>
    <m/>
    <n v="68"/>
    <m/>
    <s v="Bone Bone"/>
  </r>
  <r>
    <n v="1"/>
    <s v="000261"/>
    <s v="CPO000261JAS"/>
    <s v="DP 9821 GA"/>
    <s v="013/CPO/JM-WINS/V/2026"/>
    <s v="PT. JAS MULIA / 13 / 500"/>
    <x v="3"/>
    <x v="1"/>
    <s v="6 Roda"/>
    <d v="2026-05-19T00:00:00"/>
    <n v="13010"/>
    <n v="3780"/>
    <n v="9230"/>
    <n v="9220"/>
    <d v="1899-12-30T22:26:00"/>
    <d v="1899-12-30T23:03:00"/>
    <s v="Datu"/>
    <m/>
    <n v="68"/>
    <m/>
    <s v="Bone Bone"/>
  </r>
  <r>
    <n v="1"/>
    <s v="000262"/>
    <s v="CPO000262JAS"/>
    <s v="DD 8574 HG"/>
    <s v="013/CPO/JM-WINS/V/2026"/>
    <s v="PT. JAS MULIA / 13 / 500"/>
    <x v="3"/>
    <x v="1"/>
    <s v="6 Roda"/>
    <d v="2026-05-19T00:00:00"/>
    <n v="12780"/>
    <n v="3980"/>
    <n v="8800"/>
    <n v="8780"/>
    <d v="1899-12-30T22:41:00"/>
    <d v="1899-12-30T23:13:00"/>
    <s v="Datu"/>
    <m/>
    <n v="68"/>
    <m/>
    <s v="Bone Bone"/>
  </r>
  <r>
    <n v="1"/>
    <s v="000265"/>
    <s v="CPO000265JAS"/>
    <s v="DP 9821 GA"/>
    <s v="013/CPO/JM-WINS/V/2026"/>
    <s v="PT. JAS MULIA / 13 / 500"/>
    <x v="3"/>
    <x v="1"/>
    <s v="6 Roda"/>
    <d v="2026-05-20T00:00:00"/>
    <n v="13020"/>
    <n v="3770"/>
    <n v="9250"/>
    <n v="9210"/>
    <d v="1899-12-30T11:51:00"/>
    <d v="1899-12-30T12:21:00"/>
    <s v="samsira"/>
    <m/>
    <n v="68"/>
    <m/>
    <s v="Bone Bone"/>
  </r>
  <r>
    <n v="1"/>
    <s v="000264"/>
    <s v="CPO000264JAS"/>
    <s v="DP 8063 BD"/>
    <s v="013/CPO/JM-WINS/V/2026"/>
    <s v="PT. JAS MULIA / 13 / 500"/>
    <x v="3"/>
    <x v="1"/>
    <s v="6 Roda"/>
    <d v="2026-05-20T00:00:00"/>
    <n v="12830"/>
    <n v="3940"/>
    <n v="8890"/>
    <n v="8850"/>
    <d v="1899-12-30T11:49:00"/>
    <d v="1899-12-30T12:17:00"/>
    <s v="samsira"/>
    <m/>
    <n v="68"/>
    <m/>
    <s v="Bone Bone"/>
  </r>
  <r>
    <n v="1"/>
    <s v="000263"/>
    <s v="CPO000263JAS"/>
    <s v="DP 8174 XY"/>
    <s v="013/CPO/JM-WINS/V/2026"/>
    <s v="PT. JAS MULIA / 13 / 500"/>
    <x v="3"/>
    <x v="1"/>
    <s v="6 Roda"/>
    <d v="2026-05-20T00:00:00"/>
    <n v="13490"/>
    <n v="3830"/>
    <n v="9660"/>
    <n v="9620"/>
    <d v="1899-12-30T11:05:00"/>
    <d v="1899-12-30T11:33:00"/>
    <s v="samsira"/>
    <m/>
    <n v="68"/>
    <m/>
    <s v="Bone Bone"/>
  </r>
  <r>
    <n v="1"/>
    <s v="000005"/>
    <s v="B-40000005WNE"/>
    <s v="DD 8578 SK"/>
    <m/>
    <m/>
    <x v="14"/>
    <x v="4"/>
    <s v="10 Roda"/>
    <d v="2025-09-08T00:00:00"/>
    <n v="24800"/>
    <n v="11480"/>
    <n v="13320"/>
    <m/>
    <d v="1899-12-30T13:31:00"/>
    <d v="1899-12-30T16:08:00"/>
    <s v="samsira"/>
    <m/>
    <m/>
    <m/>
    <m/>
  </r>
  <r>
    <n v="1"/>
    <s v="000006"/>
    <s v="B-40000006WNE"/>
    <s v="DD 8578 SK"/>
    <m/>
    <m/>
    <x v="14"/>
    <x v="4"/>
    <s v="10 Roda"/>
    <d v="2025-09-09T00:00:00"/>
    <n v="24790"/>
    <n v="11520"/>
    <n v="13270"/>
    <m/>
    <d v="1899-12-30T13:15:00"/>
    <d v="1899-12-30T15:40:00"/>
    <s v="samsira"/>
    <m/>
    <m/>
    <m/>
    <m/>
  </r>
  <r>
    <n v="1"/>
    <s v="000007"/>
    <s v="B-40000007WNE"/>
    <s v="DD 8173 UY"/>
    <m/>
    <m/>
    <x v="14"/>
    <x v="4"/>
    <s v="10 Roda"/>
    <d v="2025-09-11T00:00:00"/>
    <n v="23970"/>
    <n v="10530"/>
    <n v="13440"/>
    <m/>
    <d v="1899-12-30T15:33:00"/>
    <d v="1899-12-30T16:56:00"/>
    <s v="samsira"/>
    <m/>
    <m/>
    <m/>
    <m/>
  </r>
  <r>
    <n v="1"/>
    <s v="000008"/>
    <s v="B-40000008WNE"/>
    <s v="DD 8173 UY"/>
    <m/>
    <m/>
    <x v="14"/>
    <x v="4"/>
    <s v="10 Roda"/>
    <d v="2025-09-12T00:00:00"/>
    <n v="23870"/>
    <n v="10510"/>
    <n v="13360"/>
    <m/>
    <d v="1899-12-30T13:27:00"/>
    <d v="1899-12-30T15:00:00"/>
    <s v="samsira"/>
    <m/>
    <m/>
    <m/>
    <m/>
  </r>
  <r>
    <n v="1"/>
    <s v="000009"/>
    <s v="B-40000009WNE"/>
    <s v="DD 8173 UY"/>
    <m/>
    <m/>
    <x v="14"/>
    <x v="4"/>
    <s v="10 Roda"/>
    <d v="2025-09-13T00:00:00"/>
    <n v="23930"/>
    <n v="10510"/>
    <n v="13420"/>
    <m/>
    <d v="1899-12-30T10:54:00"/>
    <d v="1899-12-30T12:18:00"/>
    <s v="samsira"/>
    <m/>
    <m/>
    <m/>
    <m/>
  </r>
  <r>
    <n v="1"/>
    <s v="000011"/>
    <s v="B-40000011WNE"/>
    <s v="DD 8173 UY"/>
    <m/>
    <m/>
    <x v="14"/>
    <x v="4"/>
    <s v="10 Roda"/>
    <d v="2025-09-15T00:00:00"/>
    <n v="24000"/>
    <n v="10540"/>
    <n v="13460"/>
    <m/>
    <d v="1899-12-30T15:43:00"/>
    <d v="1899-12-30T16:53:00"/>
    <s v="samsira"/>
    <m/>
    <m/>
    <m/>
    <m/>
  </r>
  <r>
    <n v="1"/>
    <s v="000010"/>
    <s v="B-40000010WNE"/>
    <s v="DD 8173 UY"/>
    <m/>
    <m/>
    <x v="14"/>
    <x v="4"/>
    <s v="10 Roda"/>
    <d v="2025-09-15T00:00:00"/>
    <n v="24000"/>
    <n v="10560"/>
    <n v="13440"/>
    <m/>
    <d v="1899-12-30T10:01:00"/>
    <d v="1899-12-30T11:16:00"/>
    <s v="samsira"/>
    <m/>
    <m/>
    <m/>
    <m/>
  </r>
  <r>
    <n v="1"/>
    <s v="000431"/>
    <s v="B-40000431WNE"/>
    <s v="DD 8570 RP"/>
    <m/>
    <m/>
    <x v="14"/>
    <x v="4"/>
    <s v="12 Roda"/>
    <d v="2025-12-27T00:00:00"/>
    <n v="33860"/>
    <n v="13830"/>
    <n v="20030"/>
    <m/>
    <d v="1899-12-30T11:16:00"/>
    <d v="1899-12-30T13:59:00"/>
    <s v="Datu"/>
    <m/>
    <m/>
    <m/>
    <m/>
  </r>
  <r>
    <n v="1"/>
    <s v="000436"/>
    <s v="B-40000436WNE"/>
    <s v="DD 8570 RP"/>
    <m/>
    <m/>
    <x v="14"/>
    <x v="4"/>
    <s v="12 Roda"/>
    <d v="2025-12-27T00:00:00"/>
    <n v="33840"/>
    <n v="13850"/>
    <n v="19990"/>
    <m/>
    <d v="1899-12-30T18:41:00"/>
    <d v="1899-12-30T21:06:00"/>
    <s v="Datu"/>
    <m/>
    <m/>
    <m/>
    <m/>
  </r>
  <r>
    <n v="1"/>
    <s v="000448"/>
    <s v="B-40000448WNE"/>
    <s v="DD 8429 RE"/>
    <m/>
    <m/>
    <x v="14"/>
    <x v="4"/>
    <s v="10 Roda"/>
    <d v="2025-12-30T00:00:00"/>
    <n v="31330"/>
    <n v="11310"/>
    <n v="20020"/>
    <m/>
    <d v="1899-12-30T12:16:00"/>
    <d v="1899-12-30T15:56:00"/>
    <s v="Datu"/>
    <m/>
    <m/>
    <m/>
    <m/>
  </r>
  <r>
    <n v="1"/>
    <s v="000451"/>
    <s v="B-40000451WNE"/>
    <s v="DD 8429 RE"/>
    <m/>
    <m/>
    <x v="14"/>
    <x v="4"/>
    <s v="10 Roda"/>
    <d v="2026-01-03T00:00:00"/>
    <n v="31340"/>
    <n v="11340"/>
    <n v="20000"/>
    <m/>
    <d v="1899-12-30T09:19:00"/>
    <d v="1899-12-30T11:46:00"/>
    <s v="samsira"/>
    <m/>
    <m/>
    <m/>
    <m/>
  </r>
  <r>
    <n v="1"/>
    <s v="000459"/>
    <s v="B-40000459WNE"/>
    <s v="DD 8429 RE"/>
    <m/>
    <m/>
    <x v="14"/>
    <x v="4"/>
    <s v="10 Roda"/>
    <d v="2026-01-07T00:00:00"/>
    <n v="31330"/>
    <n v="11350"/>
    <n v="19980"/>
    <m/>
    <d v="1899-12-30T11:19:00"/>
    <d v="1899-12-30T14:02:00"/>
    <s v="samsira"/>
    <m/>
    <m/>
    <m/>
    <m/>
  </r>
  <r>
    <n v="1"/>
    <s v="000460"/>
    <s v="B-40000460WNE"/>
    <s v="DD 8429 RE"/>
    <m/>
    <m/>
    <x v="14"/>
    <x v="4"/>
    <s v="10 Roda"/>
    <d v="2026-01-10T00:00:00"/>
    <n v="31330"/>
    <n v="11340"/>
    <n v="19990"/>
    <m/>
    <d v="1899-12-30T10:48:00"/>
    <d v="1899-12-30T13:13:00"/>
    <s v="Datu"/>
    <m/>
    <m/>
    <m/>
    <m/>
  </r>
  <r>
    <n v="1"/>
    <s v="000488"/>
    <s v="B-40000488WPE"/>
    <s v="DD 8709 SQ"/>
    <m/>
    <m/>
    <x v="15"/>
    <x v="4"/>
    <s v="10 Roda"/>
    <d v="2026-01-17T00:00:00"/>
    <n v="15310"/>
    <n v="7250"/>
    <n v="8060"/>
    <m/>
    <d v="1899-12-30T09:37:00"/>
    <d v="1899-12-30T12:09:00"/>
    <s v="Datu"/>
    <m/>
    <m/>
    <m/>
    <m/>
  </r>
  <r>
    <n v="1"/>
    <s v="000489"/>
    <s v="B-40000489WPE"/>
    <s v="DD 8902 SK "/>
    <m/>
    <m/>
    <x v="15"/>
    <x v="4"/>
    <s v="10 Roda"/>
    <d v="2026-01-17T00:00:00"/>
    <n v="14690"/>
    <n v="6710"/>
    <n v="7980"/>
    <m/>
    <d v="1899-12-30T09:39:00"/>
    <d v="1899-12-30T12:11:00"/>
    <s v="Datu"/>
    <m/>
    <m/>
    <m/>
    <m/>
  </r>
  <r>
    <n v="1"/>
    <s v="000509"/>
    <s v="B-40000509WPE"/>
    <s v="DD 8709 SQ"/>
    <m/>
    <m/>
    <x v="15"/>
    <x v="4"/>
    <s v="10 Roda"/>
    <d v="2026-01-21T00:00:00"/>
    <n v="15350"/>
    <n v="7240"/>
    <n v="8110"/>
    <m/>
    <d v="1899-12-30T08:48:00"/>
    <d v="1899-12-30T11:28:00"/>
    <s v="Datu"/>
    <m/>
    <m/>
    <m/>
    <m/>
  </r>
  <r>
    <n v="1"/>
    <s v="000510"/>
    <s v="B-40000510WPE"/>
    <s v="DD 8902 SK"/>
    <m/>
    <m/>
    <x v="15"/>
    <x v="4"/>
    <s v="10 Roda"/>
    <d v="2026-01-21T00:00:00"/>
    <n v="14670"/>
    <n v="6690"/>
    <n v="7980"/>
    <m/>
    <d v="1899-12-30T08:51:00"/>
    <d v="1899-12-30T11:25:00"/>
    <s v="Datu"/>
    <m/>
    <m/>
    <m/>
    <m/>
  </r>
  <r>
    <n v="1"/>
    <s v="000534"/>
    <s v="B-40000534WPE"/>
    <s v="DD 8902 SK"/>
    <m/>
    <m/>
    <x v="15"/>
    <x v="4"/>
    <s v="10 Roda"/>
    <d v="2026-01-27T00:00:00"/>
    <n v="14550"/>
    <n v="6710"/>
    <n v="7840"/>
    <m/>
    <d v="1899-12-30T08:21:00"/>
    <d v="1899-12-30T10:40:00"/>
    <s v="samsira"/>
    <m/>
    <m/>
    <m/>
    <m/>
  </r>
  <r>
    <n v="1"/>
    <s v="000533"/>
    <s v="B-40000533WPE"/>
    <s v="DD 8709 SQ"/>
    <m/>
    <m/>
    <x v="15"/>
    <x v="4"/>
    <s v="10 Roda"/>
    <d v="2026-01-27T00:00:00"/>
    <n v="15440"/>
    <n v="7190"/>
    <n v="8250"/>
    <m/>
    <d v="1899-12-30T08:19:00"/>
    <d v="1899-12-30T10:44:00"/>
    <s v="samsira"/>
    <m/>
    <m/>
    <m/>
    <m/>
  </r>
  <r>
    <n v="1"/>
    <s v="000535"/>
    <s v="B-40000535WNE"/>
    <s v="DD 8578 SK"/>
    <m/>
    <m/>
    <x v="14"/>
    <x v="4"/>
    <s v="10 Roda"/>
    <d v="2026-01-28T00:00:00"/>
    <n v="24810"/>
    <n v="11400"/>
    <n v="13410"/>
    <m/>
    <d v="1899-12-30T11:19:00"/>
    <d v="1899-12-30T13:00:00"/>
    <s v="samsira"/>
    <m/>
    <m/>
    <m/>
    <m/>
  </r>
  <r>
    <n v="1"/>
    <s v="000536"/>
    <s v="B-40000536WNE"/>
    <s v="DD 8429 RE"/>
    <m/>
    <m/>
    <x v="14"/>
    <x v="4"/>
    <s v="10 Roda"/>
    <d v="2026-01-28T00:00:00"/>
    <n v="31410"/>
    <n v="11360"/>
    <n v="20050"/>
    <m/>
    <d v="1899-12-30T13:27:00"/>
    <d v="1899-12-30T16:25:00"/>
    <s v="samsira"/>
    <m/>
    <m/>
    <m/>
    <m/>
  </r>
  <r>
    <n v="1"/>
    <s v="000569"/>
    <s v="B-40000569WPE"/>
    <s v="DD 8709 SQ"/>
    <m/>
    <m/>
    <x v="15"/>
    <x v="4"/>
    <s v="10 Roda"/>
    <d v="2026-01-31T00:00:00"/>
    <n v="15380"/>
    <n v="7130"/>
    <n v="8250"/>
    <m/>
    <d v="1899-12-30T09:12:00"/>
    <d v="1899-12-30T11:16:00"/>
    <s v="samsira"/>
    <m/>
    <m/>
    <m/>
    <m/>
  </r>
  <r>
    <n v="1"/>
    <s v="000586"/>
    <s v="B-40000586WPE"/>
    <s v="DD 8902 SK "/>
    <m/>
    <m/>
    <x v="15"/>
    <x v="4"/>
    <s v="10 Roda"/>
    <d v="2026-02-02T00:00:00"/>
    <n v="14710"/>
    <n v="6720"/>
    <n v="7990"/>
    <m/>
    <d v="1899-12-30T10:25:00"/>
    <d v="1899-12-30T12:15:00"/>
    <s v="Datu"/>
    <m/>
    <m/>
    <m/>
    <m/>
  </r>
  <r>
    <n v="1"/>
    <s v="000591"/>
    <s v="B-40000591WPE"/>
    <s v="DD 8709 SQ"/>
    <m/>
    <m/>
    <x v="15"/>
    <x v="4"/>
    <s v="10 Roda"/>
    <d v="2026-02-03T00:00:00"/>
    <n v="15390"/>
    <n v="7150"/>
    <n v="8240"/>
    <m/>
    <d v="1899-12-30T07:41:00"/>
    <d v="1899-12-30T09:44:00"/>
    <s v="Datu"/>
    <m/>
    <m/>
    <m/>
    <m/>
  </r>
  <r>
    <n v="1"/>
    <s v="000615"/>
    <s v="B-40000615WPE"/>
    <s v="DD 8891 RV"/>
    <m/>
    <m/>
    <x v="15"/>
    <x v="4"/>
    <s v="10 Roda"/>
    <d v="2026-02-04T00:00:00"/>
    <n v="15090"/>
    <n v="6920"/>
    <n v="8170"/>
    <m/>
    <d v="1899-12-30T14:02:00"/>
    <d v="1899-12-30T15:05:00"/>
    <s v="Datu"/>
    <m/>
    <m/>
    <m/>
    <m/>
  </r>
  <r>
    <n v="1"/>
    <s v="000716"/>
    <s v="B-40000716WPE"/>
    <s v="DD 8902 SK"/>
    <m/>
    <m/>
    <x v="15"/>
    <x v="4"/>
    <s v="10 Roda"/>
    <d v="2026-02-24T00:00:00"/>
    <n v="14510"/>
    <n v="6660"/>
    <n v="7850"/>
    <m/>
    <d v="1899-12-30T08:06:00"/>
    <d v="1899-12-30T10:39:00"/>
    <s v="Datu"/>
    <m/>
    <m/>
    <m/>
    <m/>
  </r>
  <r>
    <n v="1"/>
    <s v="000715"/>
    <s v="B-40000715WPE"/>
    <s v="DD 8709 SQ"/>
    <m/>
    <m/>
    <x v="15"/>
    <x v="4"/>
    <s v="10 Roda"/>
    <d v="2026-02-24T00:00:00"/>
    <n v="15250"/>
    <n v="7190"/>
    <n v="8060"/>
    <m/>
    <d v="1899-12-30T08:04:00"/>
    <d v="1899-12-30T10:37:00"/>
    <s v="Datu"/>
    <m/>
    <m/>
    <m/>
    <m/>
  </r>
  <r>
    <n v="1"/>
    <s v="000771"/>
    <s v="B-40000771WPE"/>
    <s v="DD 8891 RV"/>
    <m/>
    <m/>
    <x v="15"/>
    <x v="4"/>
    <s v="10 Roda"/>
    <d v="2026-03-08T00:00:00"/>
    <n v="15040"/>
    <n v="6970"/>
    <n v="8070"/>
    <m/>
    <d v="1899-12-30T10:02:00"/>
    <d v="1899-12-30T11:18:00"/>
    <s v="Datu"/>
    <m/>
    <m/>
    <m/>
    <m/>
  </r>
  <r>
    <n v="1"/>
    <s v="000773"/>
    <s v="B-40000773WNE"/>
    <s v="DD 8702 SK"/>
    <m/>
    <m/>
    <x v="14"/>
    <x v="4"/>
    <s v="10 Roda"/>
    <d v="2026-03-09T00:00:00"/>
    <n v="14730"/>
    <n v="6680"/>
    <n v="8050"/>
    <m/>
    <d v="1899-12-30T09:39:00"/>
    <d v="1899-12-30T10:51:00"/>
    <s v="samsira"/>
    <m/>
    <m/>
    <m/>
    <m/>
  </r>
  <r>
    <n v="1"/>
    <s v="000810"/>
    <s v="B-40000810WPE"/>
    <s v="DD 8902 SK"/>
    <m/>
    <m/>
    <x v="15"/>
    <x v="4"/>
    <s v="10 Roda"/>
    <d v="2026-03-18T00:00:00"/>
    <n v="14640"/>
    <n v="6680"/>
    <n v="7960"/>
    <m/>
    <d v="1899-12-30T09:46:00"/>
    <d v="1899-12-30T11:25:00"/>
    <s v="Datu"/>
    <m/>
    <m/>
    <m/>
    <m/>
  </r>
  <r>
    <n v="1"/>
    <s v="000158"/>
    <s v="B-40000158WNE"/>
    <s v="DD 8570 RP"/>
    <m/>
    <m/>
    <x v="14"/>
    <x v="4"/>
    <s v="12 Roda"/>
    <d v="2026-04-14T00:00:00"/>
    <n v="33980"/>
    <n v="13980"/>
    <n v="20000"/>
    <m/>
    <d v="1899-12-30T14:44:00"/>
    <d v="1899-12-30T16:53:00"/>
    <s v="Datu"/>
    <m/>
    <m/>
    <m/>
    <m/>
  </r>
  <r>
    <n v="1"/>
    <s v="000159"/>
    <s v="B-40000159WNE"/>
    <s v="DD 8570 RP"/>
    <m/>
    <m/>
    <x v="14"/>
    <x v="4"/>
    <s v="12 Roda"/>
    <d v="2026-04-15T00:00:00"/>
    <n v="33950"/>
    <n v="14010"/>
    <n v="19940"/>
    <m/>
    <d v="1899-12-30T10:07:00"/>
    <d v="1899-12-30T12:18:00"/>
    <s v="Datu"/>
    <m/>
    <m/>
    <m/>
    <m/>
  </r>
  <r>
    <n v="1"/>
    <s v="000160"/>
    <s v="B-40000160WPE"/>
    <s v="DD 8902 SK"/>
    <m/>
    <m/>
    <x v="15"/>
    <x v="4"/>
    <s v="10 Roda"/>
    <d v="2026-04-16T00:00:00"/>
    <n v="14830"/>
    <n v="6650"/>
    <n v="8180"/>
    <m/>
    <d v="1899-12-30T08:10:00"/>
    <d v="1899-12-30T09:41:00"/>
    <s v="Datu"/>
    <m/>
    <m/>
    <m/>
    <m/>
  </r>
  <r>
    <n v="1"/>
    <s v="000161"/>
    <s v="B-40000161WPE"/>
    <s v="DD 8891 RV"/>
    <m/>
    <m/>
    <x v="15"/>
    <x v="4"/>
    <s v="10 Roda"/>
    <d v="2026-04-17T00:00:00"/>
    <n v="14980"/>
    <n v="6940"/>
    <n v="8040"/>
    <m/>
    <d v="1899-12-30T08:01:00"/>
    <d v="1899-12-30T09:17:00"/>
    <s v="Datu"/>
    <m/>
    <m/>
    <m/>
    <m/>
  </r>
  <r>
    <n v="1"/>
    <s v="000198"/>
    <s v="B-40000198WPE"/>
    <s v="DD 8891 RV"/>
    <m/>
    <m/>
    <x v="15"/>
    <x v="4"/>
    <s v="10 Roda"/>
    <d v="2026-04-30T00:00:00"/>
    <n v="14810"/>
    <n v="6940"/>
    <n v="7870"/>
    <m/>
    <d v="1899-12-30T08:18:00"/>
    <d v="1899-12-30T09:44:00"/>
    <s v="Datu"/>
    <m/>
    <m/>
    <m/>
    <m/>
  </r>
  <r>
    <n v="1"/>
    <s v="000211"/>
    <s v="B-40000211WPE"/>
    <s v="DD 8709 SQ"/>
    <m/>
    <m/>
    <x v="15"/>
    <x v="4"/>
    <s v="10 Roda"/>
    <d v="2026-05-02T00:00:00"/>
    <n v="15170"/>
    <n v="7170"/>
    <n v="8000"/>
    <m/>
    <d v="1899-12-30T09:35:00"/>
    <d v="1899-12-30T11:21:00"/>
    <s v="samsira"/>
    <m/>
    <m/>
    <m/>
    <m/>
  </r>
  <r>
    <n v="1"/>
    <s v="000235"/>
    <s v="B-40000235WPE"/>
    <s v="DD 8902 SK"/>
    <m/>
    <m/>
    <x v="15"/>
    <x v="4"/>
    <s v="10 Roda"/>
    <d v="2026-05-07T00:00:00"/>
    <n v="14550"/>
    <n v="6660"/>
    <n v="7890"/>
    <m/>
    <d v="1899-12-30T08:51:00"/>
    <d v="1899-12-30T12:08:00"/>
    <s v="Datu"/>
    <m/>
    <m/>
    <m/>
    <m/>
  </r>
  <r>
    <n v="1"/>
    <s v="000236"/>
    <s v="B-40000236WPE"/>
    <s v="DD 8681 KG"/>
    <m/>
    <m/>
    <x v="15"/>
    <x v="4"/>
    <s v="10 Roda"/>
    <d v="2026-05-07T00:00:00"/>
    <n v="14590"/>
    <n v="6600"/>
    <n v="7990"/>
    <m/>
    <d v="1899-12-30T08:53:00"/>
    <d v="1899-12-30T12:05:00"/>
    <s v="Datu"/>
    <m/>
    <m/>
    <m/>
    <m/>
  </r>
  <r>
    <n v="1"/>
    <s v="000237"/>
    <s v="B-40000237WPE"/>
    <s v="DD 8709 SQ"/>
    <m/>
    <m/>
    <x v="15"/>
    <x v="4"/>
    <s v="10 Roda"/>
    <d v="2026-05-08T00:00:00"/>
    <n v="15120"/>
    <n v="7140"/>
    <n v="7980"/>
    <m/>
    <d v="1899-12-30T09:16:00"/>
    <d v="1899-12-30T10:50:00"/>
    <s v="Datu"/>
    <m/>
    <m/>
    <m/>
    <m/>
  </r>
  <r>
    <n v="1"/>
    <s v="000242"/>
    <s v="B-40000242WPE"/>
    <s v="DD 8891 RV"/>
    <m/>
    <m/>
    <x v="15"/>
    <x v="4"/>
    <s v="10 Roda"/>
    <d v="2026-05-09T00:00:00"/>
    <n v="14940"/>
    <n v="6940"/>
    <n v="8000"/>
    <m/>
    <d v="1899-12-30T08:04:00"/>
    <d v="1899-12-30T09:36:00"/>
    <s v="Datu"/>
    <m/>
    <m/>
    <m/>
    <m/>
  </r>
  <r>
    <n v="1"/>
    <s v="000245"/>
    <s v="B-40000245WPE"/>
    <s v="DD 8681 KG"/>
    <m/>
    <m/>
    <x v="15"/>
    <x v="4"/>
    <s v="10 Roda"/>
    <d v="2026-05-16T00:00:00"/>
    <n v="14360"/>
    <n v="6590"/>
    <n v="7770"/>
    <m/>
    <d v="1899-12-30T14:32:00"/>
    <d v="1899-12-30T15:57:00"/>
    <s v="samsira"/>
    <m/>
    <m/>
    <m/>
    <m/>
  </r>
  <r>
    <n v="1"/>
    <s v="000246"/>
    <s v="B-40000246WPE"/>
    <s v="DD 8891 RV"/>
    <m/>
    <m/>
    <x v="15"/>
    <x v="4"/>
    <s v="10 Roda"/>
    <d v="2026-05-17T00:00:00"/>
    <n v="14840"/>
    <n v="6960"/>
    <n v="7880"/>
    <m/>
    <d v="1899-12-30T10:44:00"/>
    <d v="1899-12-30T12:41:00"/>
    <s v="Datu"/>
    <m/>
    <m/>
    <m/>
    <m/>
  </r>
  <r>
    <n v="1"/>
    <s v="000247"/>
    <s v="B-40000247WPE"/>
    <s v="DD 8902 SK"/>
    <m/>
    <m/>
    <x v="15"/>
    <x v="4"/>
    <s v="10 Roda"/>
    <d v="2026-05-17T00:00:00"/>
    <n v="14480"/>
    <n v="6690"/>
    <n v="7790"/>
    <m/>
    <d v="1899-12-30T10:45:00"/>
    <d v="1899-12-30T12:42:00"/>
    <s v="Datu"/>
    <m/>
    <m/>
    <m/>
    <m/>
  </r>
  <r>
    <n v="1"/>
    <s v="000251"/>
    <s v="B-40000251WPE"/>
    <s v="DD 8709 SQ"/>
    <m/>
    <m/>
    <x v="15"/>
    <x v="4"/>
    <s v="10 Roda"/>
    <d v="2026-05-19T00:00:00"/>
    <n v="15050"/>
    <n v="7110"/>
    <n v="7940"/>
    <m/>
    <d v="1899-12-30T08:24:00"/>
    <d v="1899-12-30T10:05:00"/>
    <s v="samsira"/>
    <m/>
    <m/>
    <m/>
    <m/>
  </r>
  <r>
    <n v="1"/>
    <s v="001262"/>
    <s v="RBDPS001262BMS"/>
    <s v="DD 8412 SO"/>
    <m/>
    <m/>
    <x v="16"/>
    <x v="5"/>
    <s v="10 Roda"/>
    <d v="2026-05-20T00:00:00"/>
    <n v="10780"/>
    <n v="30870"/>
    <n v="20090"/>
    <m/>
    <d v="1899-12-30T19:44:00"/>
    <d v="1899-12-30T21:04:00"/>
    <s v="Datu"/>
    <s v="LULLI"/>
    <m/>
    <m/>
    <m/>
  </r>
  <r>
    <n v="1"/>
    <s v="001263"/>
    <s v="RBDPS001263BMS"/>
    <s v="DD 8521 TS"/>
    <m/>
    <m/>
    <x v="16"/>
    <x v="5"/>
    <s v="10 Roda"/>
    <d v="2026-05-20T00:00:00"/>
    <n v="10920"/>
    <n v="31100"/>
    <n v="20180"/>
    <m/>
    <d v="1899-12-30T21:20:00"/>
    <d v="1899-12-30T22:01:00"/>
    <s v="Datu"/>
    <s v="RUSMAN "/>
    <m/>
    <m/>
    <m/>
  </r>
  <r>
    <n v="1"/>
    <s v="001264"/>
    <s v="RBDPS001264BMS"/>
    <s v="DP 8814 DE"/>
    <m/>
    <m/>
    <x v="16"/>
    <x v="5"/>
    <s v="10 Roda"/>
    <d v="2026-05-20T00:00:00"/>
    <n v="11690"/>
    <n v="31730"/>
    <n v="20040"/>
    <m/>
    <d v="1899-12-30T22:07:00"/>
    <d v="1899-12-30T23:03:00"/>
    <s v="Datu"/>
    <s v="SAMPAR"/>
    <m/>
    <m/>
    <m/>
  </r>
  <r>
    <n v="1"/>
    <s v="001265"/>
    <s v="RBDPS001265BMS"/>
    <s v="L 9155 UW"/>
    <m/>
    <m/>
    <x v="16"/>
    <x v="5"/>
    <s v="10 Roda"/>
    <d v="2026-05-20T00:00:00"/>
    <n v="11190"/>
    <n v="30950"/>
    <n v="19760"/>
    <m/>
    <d v="1899-12-30T23:06:00"/>
    <d v="1899-12-30T23:47:00"/>
    <s v="Datu"/>
    <s v="SUDIRMAN"/>
    <m/>
    <m/>
    <m/>
  </r>
  <r>
    <n v="1"/>
    <s v="001245"/>
    <s v="RBDPL001245SCM"/>
    <s v="DC 8989 EZ"/>
    <m/>
    <m/>
    <x v="8"/>
    <x v="3"/>
    <s v="6 Roda"/>
    <d v="2026-05-19T00:00:00"/>
    <n v="4060"/>
    <n v="13490"/>
    <n v="9430"/>
    <m/>
    <d v="1899-12-30T10:05:00"/>
    <d v="1899-12-30T11:01:00"/>
    <s v="samsira"/>
    <s v="ABD RAHMAN"/>
    <n v="400"/>
    <s v="EXTERNAL"/>
    <s v="Makassar"/>
  </r>
  <r>
    <n v="1"/>
    <s v="001247"/>
    <s v="RBDPL001247SCM"/>
    <s v="DD 8574 YE"/>
    <m/>
    <m/>
    <x v="8"/>
    <x v="3"/>
    <s v="6 Roda"/>
    <d v="2026-05-19T00:00:00"/>
    <n v="4030"/>
    <n v="13680"/>
    <n v="9650"/>
    <m/>
    <d v="1899-12-30T14:15:00"/>
    <d v="1899-12-30T14:47:00"/>
    <s v="samsira"/>
    <s v="LUKAS"/>
    <n v="400"/>
    <s v="EXTERNAL"/>
    <s v="Makassar"/>
  </r>
  <r>
    <n v="1"/>
    <s v="001248"/>
    <s v="RBDPL001248SCM"/>
    <s v="DC 8965 XH"/>
    <m/>
    <m/>
    <x v="8"/>
    <x v="3"/>
    <s v="6 Roda"/>
    <d v="2026-05-19T00:00:00"/>
    <n v="4050"/>
    <n v="13200"/>
    <n v="9150"/>
    <m/>
    <d v="1899-12-30T16:00:00"/>
    <d v="1899-12-30T16:23:00"/>
    <s v="samsira"/>
    <s v="EDI MUHKTAR"/>
    <n v="400"/>
    <s v="EXTERNAL"/>
    <s v="Makassar"/>
  </r>
  <r>
    <n v="1"/>
    <s v="001249"/>
    <s v="RBDPL001249SCM"/>
    <s v="DD 8983 UC"/>
    <m/>
    <m/>
    <x v="8"/>
    <x v="3"/>
    <s v="6 Roda"/>
    <d v="2026-05-19T00:00:00"/>
    <n v="4340"/>
    <n v="14440"/>
    <n v="10100"/>
    <m/>
    <d v="1899-12-30T16:45:00"/>
    <d v="1899-12-30T17:32:00"/>
    <s v="Datu"/>
    <s v="ARISTO"/>
    <n v="400"/>
    <s v="EXTERNAL"/>
    <s v="Makassar"/>
  </r>
  <r>
    <n v="1"/>
    <s v="001246"/>
    <s v="RBDPL001246DA"/>
    <s v="DP 9856 GA"/>
    <m/>
    <m/>
    <x v="9"/>
    <x v="3"/>
    <s v="6 Roda"/>
    <d v="2026-05-19T00:00:00"/>
    <n v="3880"/>
    <n v="13200"/>
    <n v="9320"/>
    <m/>
    <d v="1899-12-30T11:24:00"/>
    <d v="1899-12-30T12:03:00"/>
    <s v="samsira"/>
    <s v="AMMANG"/>
    <n v="360"/>
    <s v="IRFAN"/>
    <s v="Makassar"/>
  </r>
  <r>
    <n v="1"/>
    <s v="001257"/>
    <s v="RBDPL001257DA"/>
    <s v="DP 8732 GK"/>
    <m/>
    <m/>
    <x v="9"/>
    <x v="3"/>
    <s v="6 Roda"/>
    <d v="2026-05-20T00:00:00"/>
    <n v="4260"/>
    <n v="14390"/>
    <n v="10130"/>
    <m/>
    <d v="1899-12-30T14:52:00"/>
    <d v="1899-12-30T15:30:00"/>
    <s v="samsira"/>
    <s v="BAHTIAR"/>
    <n v="360"/>
    <s v="IRFAN"/>
    <s v="Makassar"/>
  </r>
  <r>
    <n v="1"/>
    <s v="001256"/>
    <s v="RBDPL001256DA"/>
    <s v="DC 8141 AS"/>
    <m/>
    <m/>
    <x v="9"/>
    <x v="3"/>
    <s v="6 Roda"/>
    <d v="2026-05-20T00:00:00"/>
    <n v="4010"/>
    <n v="13520"/>
    <n v="9510"/>
    <m/>
    <d v="1899-12-30T14:41:00"/>
    <d v="1899-12-30T15:15:00"/>
    <s v="samsira"/>
    <s v="TAMRIN"/>
    <n v="360"/>
    <s v="IRFAN"/>
    <s v="Makassar"/>
  </r>
  <r>
    <n v="1"/>
    <s v="001255"/>
    <s v="RBDPL001255DA"/>
    <s v="DP 9859 GA"/>
    <m/>
    <m/>
    <x v="9"/>
    <x v="3"/>
    <s v="6 Roda"/>
    <d v="2026-05-20T00:00:00"/>
    <n v="4250"/>
    <n v="14330"/>
    <n v="10080"/>
    <m/>
    <d v="1899-12-30T14:15:00"/>
    <d v="1899-12-30T14:46:00"/>
    <s v="samsira"/>
    <s v="WIDIANTO"/>
    <n v="360"/>
    <s v="EXTERNAL"/>
    <s v="Makassar"/>
  </r>
  <r>
    <n v="1"/>
    <s v="001254"/>
    <s v="RBDPL001254DA"/>
    <s v="DP 8172 GN"/>
    <m/>
    <m/>
    <x v="9"/>
    <x v="3"/>
    <s v="6 Roda"/>
    <d v="2026-05-20T00:00:00"/>
    <n v="4060"/>
    <n v="13610"/>
    <n v="9550"/>
    <m/>
    <d v="1899-12-30T13:51:00"/>
    <d v="1899-12-30T14:28:00"/>
    <s v="samsira"/>
    <s v="HALIK"/>
    <n v="360"/>
    <s v="IRFAN"/>
    <s v="Makassar"/>
  </r>
  <r>
    <n v="1"/>
    <s v="001259"/>
    <s v="RBDPL001259DA"/>
    <s v="DP 8798 GH"/>
    <m/>
    <m/>
    <x v="9"/>
    <x v="3"/>
    <s v="6 Roda"/>
    <d v="2026-05-20T00:00:00"/>
    <n v="4020"/>
    <n v="13520"/>
    <n v="9500"/>
    <m/>
    <d v="1899-12-30T15:37:00"/>
    <d v="1899-12-30T16:05:00"/>
    <s v="samsira"/>
    <s v="MUH RAYHAN"/>
    <n v="360"/>
    <s v="EXTERNAL"/>
    <s v="Makassar"/>
  </r>
  <r>
    <n v="1"/>
    <s v="001261"/>
    <s v="RBDPL001261DA"/>
    <s v="DP 8004 GJ"/>
    <m/>
    <m/>
    <x v="9"/>
    <x v="3"/>
    <s v="6 Roda"/>
    <d v="2026-05-20T00:00:00"/>
    <n v="4180"/>
    <n v="13630"/>
    <n v="9450"/>
    <m/>
    <d v="1899-12-30T17:34:00"/>
    <d v="1899-12-30T18:10:00"/>
    <s v="Datu"/>
    <s v="MURKAS"/>
    <n v="360"/>
    <s v="EXTERNAL"/>
    <s v="Makassar"/>
  </r>
  <r>
    <n v="1"/>
    <s v="001258"/>
    <s v="RBDPL001258SCM"/>
    <s v="DN 8691 UA"/>
    <m/>
    <m/>
    <x v="8"/>
    <x v="3"/>
    <s v="6 Roda"/>
    <d v="2026-05-20T00:00:00"/>
    <n v="4170"/>
    <n v="13920"/>
    <n v="9750"/>
    <m/>
    <d v="1899-12-30T15:06:00"/>
    <d v="1899-12-30T15:38:00"/>
    <s v="samsira"/>
    <s v="RIZAL AR RAHIM"/>
    <n v="400"/>
    <s v="EXTERNAL"/>
    <s v="Makassar"/>
  </r>
  <r>
    <n v="1"/>
    <s v="001253"/>
    <s v="RBDPL001253SCM"/>
    <s v="DD 8408 RN"/>
    <m/>
    <m/>
    <x v="8"/>
    <x v="3"/>
    <s v="6 Roda"/>
    <d v="2026-05-20T00:00:00"/>
    <n v="4230"/>
    <n v="13850"/>
    <n v="9620"/>
    <m/>
    <d v="1899-12-30T13:35:00"/>
    <d v="1899-12-30T14:11:00"/>
    <s v="samsira"/>
    <s v="JURIADI"/>
    <n v="400"/>
    <s v="EXTERNAL"/>
    <s v="Makassar"/>
  </r>
  <r>
    <n v="1"/>
    <s v="001252"/>
    <s v="RBDPL001252BJL"/>
    <s v="DC 8002 XD"/>
    <m/>
    <m/>
    <x v="6"/>
    <x v="3"/>
    <s v="6 Roda"/>
    <d v="2026-05-20T00:00:00"/>
    <n v="3810"/>
    <n v="13140"/>
    <n v="9330"/>
    <m/>
    <d v="1899-12-30T13:31:00"/>
    <d v="1899-12-30T14:03:00"/>
    <s v="samsira"/>
    <s v="SUPRIANSYAH"/>
    <n v="562"/>
    <s v="EXTERNAL"/>
    <s v="Palu"/>
  </r>
  <r>
    <n v="1"/>
    <s v="001251"/>
    <s v="RBDPL001251BJL"/>
    <s v="DN 8114 XX"/>
    <m/>
    <m/>
    <x v="6"/>
    <x v="3"/>
    <s v="6 Roda"/>
    <d v="2026-05-20T00:00:00"/>
    <n v="3890"/>
    <n v="13210"/>
    <n v="9320"/>
    <m/>
    <d v="1899-12-30T09:33:00"/>
    <d v="1899-12-30T10:43:00"/>
    <s v="samsira"/>
    <s v="MULYADI"/>
    <n v="562"/>
    <s v="EXTERNAL"/>
    <s v="Palu"/>
  </r>
  <r>
    <n v="1"/>
    <s v="001250"/>
    <s v="RBDPL001250BJL"/>
    <s v="DP 8953 DK"/>
    <m/>
    <m/>
    <x v="6"/>
    <x v="3"/>
    <s v="6 Roda"/>
    <d v="2026-05-20T00:00:00"/>
    <n v="4510"/>
    <n v="13680"/>
    <n v="9170"/>
    <m/>
    <d v="1899-12-30T09:31:00"/>
    <d v="1899-12-30T10:34:00"/>
    <s v="samsira"/>
    <s v="MUH ARIF"/>
    <n v="562"/>
    <s v="EXTERNAL"/>
    <s v="Palu"/>
  </r>
  <r>
    <n v="1"/>
    <s v="001260"/>
    <s v="RBDPL001260PUP"/>
    <s v="B 1918 SXX"/>
    <m/>
    <m/>
    <x v="13"/>
    <x v="3"/>
    <s v="10 Roda"/>
    <d v="2026-05-20T00:00:00"/>
    <n v="11840"/>
    <n v="26920"/>
    <n v="15080"/>
    <m/>
    <d v="1899-12-30T16:41:00"/>
    <d v="1899-12-30T17:21:00"/>
    <s v="Datu"/>
    <s v="WALDI"/>
    <n v="642"/>
    <s v="CV WIL"/>
    <s v="MOROWALI"/>
  </r>
  <r>
    <n v="1"/>
    <s v="001272"/>
    <s v="RBDPL001272DA"/>
    <s v="DD 8983 UC"/>
    <m/>
    <m/>
    <x v="9"/>
    <x v="3"/>
    <s v="10 Roda"/>
    <d v="2026-05-21T00:00:00"/>
    <n v="4380"/>
    <n v="14510"/>
    <n v="10130"/>
    <m/>
    <d v="1899-12-30T15:34:00"/>
    <d v="1899-12-30T16:07:00"/>
    <s v="samsira"/>
    <s v="ARISTO"/>
    <n v="360"/>
    <s v="EXTERNAL"/>
    <s v="Makassar"/>
  </r>
  <r>
    <n v="1"/>
    <s v="001271"/>
    <s v="RBDPL001271DA"/>
    <s v="DD 8574 YE"/>
    <m/>
    <m/>
    <x v="9"/>
    <x v="3"/>
    <s v="10 Roda"/>
    <d v="2026-05-21T00:00:00"/>
    <n v="4010"/>
    <n v="13650"/>
    <n v="9640"/>
    <m/>
    <d v="1899-12-30T15:10:00"/>
    <d v="1899-12-30T15:49:00"/>
    <s v="samsira"/>
    <s v="LUKAS"/>
    <n v="360"/>
    <s v="EXTERNAL"/>
    <s v="Makassar"/>
  </r>
  <r>
    <n v="1"/>
    <s v="001270"/>
    <s v="RBDPL001270DA"/>
    <s v="DP 8935 UA"/>
    <m/>
    <m/>
    <x v="9"/>
    <x v="3"/>
    <s v="10 Roda"/>
    <d v="2026-05-21T00:00:00"/>
    <n v="3960"/>
    <n v="14070"/>
    <n v="10110"/>
    <m/>
    <d v="1899-12-30T14:33:00"/>
    <d v="1899-12-30T15:28:00"/>
    <s v="samsira"/>
    <s v="BASO"/>
    <n v="360"/>
    <s v="IRFAN"/>
    <s v="Makassar"/>
  </r>
  <r>
    <n v="1"/>
    <s v="001269"/>
    <s v="RBDPL001269DA"/>
    <s v="DP 8739 GO"/>
    <m/>
    <m/>
    <x v="9"/>
    <x v="3"/>
    <s v="10 Roda"/>
    <d v="2026-05-21T00:00:00"/>
    <n v="4060"/>
    <n v="13360"/>
    <n v="9300"/>
    <m/>
    <d v="1899-12-30T14:11:00"/>
    <d v="1899-12-30T15:05:00"/>
    <s v="samsira"/>
    <s v="ABD HAMID"/>
    <n v="360"/>
    <s v="IRFAN"/>
    <s v="Makassar"/>
  </r>
  <r>
    <n v="1"/>
    <s v="001268"/>
    <s v="RBDPL001268DA"/>
    <s v="DP 9856 GA"/>
    <m/>
    <m/>
    <x v="9"/>
    <x v="3"/>
    <s v="10 Roda"/>
    <d v="2026-05-21T00:00:00"/>
    <n v="3910"/>
    <n v="13220"/>
    <n v="9310"/>
    <m/>
    <d v="1899-12-30T14:07:00"/>
    <d v="1899-12-30T14:49:00"/>
    <s v="samsira"/>
    <s v="AMMANG"/>
    <n v="360"/>
    <s v="IRFAN"/>
    <s v="Makassar"/>
  </r>
  <r>
    <n v="1"/>
    <s v="001267"/>
    <s v="RBDPL001267SCM"/>
    <s v="DC 8459 XL"/>
    <m/>
    <m/>
    <x v="8"/>
    <x v="3"/>
    <s v="10 Roda"/>
    <d v="2026-05-21T00:00:00"/>
    <n v="4060"/>
    <n v="13100"/>
    <n v="9040"/>
    <m/>
    <d v="1899-12-30T10:21:00"/>
    <d v="1899-12-30T10:49:00"/>
    <s v="samsira"/>
    <s v="HAERUDDIN"/>
    <n v="400"/>
    <s v="EXTERNAL"/>
    <s v="Makassar"/>
  </r>
  <r>
    <n v="1"/>
    <s v="001266"/>
    <s v="RBDPL001266SCM"/>
    <s v="DW 8703 MF"/>
    <m/>
    <m/>
    <x v="8"/>
    <x v="3"/>
    <s v="10 Roda"/>
    <d v="2026-05-21T00:00:00"/>
    <n v="4140"/>
    <n v="13160"/>
    <n v="9020"/>
    <m/>
    <d v="1899-12-30T09:53:00"/>
    <d v="1899-12-30T10:25:00"/>
    <s v="samsira"/>
    <s v="IRWANDI"/>
    <n v="400"/>
    <s v="EXTERNAL"/>
    <s v="Makassar"/>
  </r>
  <r>
    <n v="1"/>
    <s v="001277"/>
    <s v="RBDPL001277SCM"/>
    <s v="DP 8519 GJ"/>
    <m/>
    <m/>
    <x v="8"/>
    <x v="3"/>
    <s v="10 Roda"/>
    <d v="2026-05-22T00:00:00"/>
    <n v="4070"/>
    <n v="13370"/>
    <n v="9300"/>
    <m/>
    <d v="1899-12-30T10:20:00"/>
    <d v="1899-12-30T11:23:00"/>
    <s v="samsira"/>
    <s v="ANDI REVALDI"/>
    <n v="400"/>
    <s v="EXTERNAL"/>
    <s v="Makassar"/>
  </r>
  <r>
    <n v="1"/>
    <s v="001279"/>
    <s v="RBDPL001279SCM"/>
    <s v="DD 8532 KM"/>
    <m/>
    <m/>
    <x v="8"/>
    <x v="3"/>
    <s v="10 Roda"/>
    <d v="2026-05-22T00:00:00"/>
    <n v="3780"/>
    <n v="13250"/>
    <n v="9470"/>
    <m/>
    <d v="1899-12-30T13:44:00"/>
    <d v="1899-12-30T14:10:00"/>
    <s v="samsira"/>
    <s v="RESKIANTO"/>
    <n v="400"/>
    <s v="EXTERNAL"/>
    <s v="Makassar"/>
  </r>
  <r>
    <n v="1"/>
    <s v="001280"/>
    <s v="RBDPL001280SCM"/>
    <s v="DW 8703 MF"/>
    <m/>
    <m/>
    <x v="8"/>
    <x v="3"/>
    <s v="10 Roda"/>
    <d v="2026-05-22T00:00:00"/>
    <n v="4080"/>
    <n v="13150"/>
    <n v="9070"/>
    <m/>
    <d v="1899-12-30T13:46:00"/>
    <d v="1899-12-30T14:18:00"/>
    <s v="samsira"/>
    <s v="IRWANDI"/>
    <n v="400"/>
    <s v="EXTERNAL"/>
    <s v="Makassar"/>
  </r>
  <r>
    <n v="1"/>
    <s v="001281"/>
    <s v="RBDPL001281SCM"/>
    <s v="DP 8798 GH"/>
    <m/>
    <m/>
    <x v="8"/>
    <x v="3"/>
    <s v="10 Roda"/>
    <d v="2026-05-22T00:00:00"/>
    <n v="4020"/>
    <n v="13540"/>
    <n v="9520"/>
    <m/>
    <d v="1899-12-30T13:47:00"/>
    <d v="1899-12-30T14:39:00"/>
    <s v="samsira"/>
    <s v="MUHAMMAD RAYHAN"/>
    <n v="400"/>
    <s v="EXTERNAL"/>
    <s v="Makassar"/>
  </r>
  <r>
    <n v="1"/>
    <s v="001283"/>
    <s v="RBDPL001283SCM"/>
    <s v="DC 8905 XH "/>
    <m/>
    <m/>
    <x v="8"/>
    <x v="3"/>
    <s v="10 Roda"/>
    <d v="2026-05-22T00:00:00"/>
    <n v="4100"/>
    <n v="13260"/>
    <n v="9160"/>
    <m/>
    <d v="1899-12-30T16:17:00"/>
    <d v="1899-12-30T16:43:00"/>
    <s v="Datu"/>
    <s v="EDI MUHKTAR"/>
    <n v="400"/>
    <s v="EXTERNAL"/>
    <s v="Makassar"/>
  </r>
  <r>
    <n v="1"/>
    <s v="001284"/>
    <s v="RBDPL001284SCM"/>
    <s v="DN 8691 UA"/>
    <m/>
    <m/>
    <x v="8"/>
    <x v="3"/>
    <s v="10 Roda"/>
    <d v="2026-05-22T00:00:00"/>
    <n v="4120"/>
    <n v="13880"/>
    <n v="9760"/>
    <m/>
    <d v="1899-12-30T16:24:00"/>
    <d v="1899-12-30T17:00:00"/>
    <s v="Datu"/>
    <s v="RIZAL AR RAHIM"/>
    <n v="400"/>
    <s v="EXTERNAL"/>
    <s v="Makassar"/>
  </r>
  <r>
    <n v="1"/>
    <s v="001275"/>
    <s v="RBDPL001275DA"/>
    <s v="DN 8691 UA"/>
    <m/>
    <m/>
    <x v="9"/>
    <x v="3"/>
    <s v="10 Roda"/>
    <d v="2026-05-22T00:00:00"/>
    <n v="4110"/>
    <n v="13880"/>
    <n v="9770"/>
    <m/>
    <d v="1899-12-30T10:04:00"/>
    <d v="1899-12-30T10:45:00"/>
    <s v="samsira"/>
    <s v="RIZAL AR RAHIM"/>
    <n v="360"/>
    <s v="EXTERNAL"/>
    <s v="Makassar"/>
  </r>
  <r>
    <n v="1"/>
    <s v="001276"/>
    <s v="RBDPL001276DA"/>
    <s v="DN 8609 VG"/>
    <m/>
    <m/>
    <x v="9"/>
    <x v="3"/>
    <s v="10 Roda"/>
    <d v="2026-05-22T00:00:00"/>
    <n v="3930"/>
    <n v="13270"/>
    <n v="9340"/>
    <m/>
    <d v="1899-12-30T10:18:00"/>
    <d v="1899-12-30T11:08:00"/>
    <s v="samsira"/>
    <s v="TINO KARNO"/>
    <n v="360"/>
    <s v="EXTERNAL"/>
    <s v="Makassar"/>
  </r>
  <r>
    <n v="1"/>
    <s v="001285"/>
    <s v="RBDPL001285DA"/>
    <s v="DP 8172 GN"/>
    <m/>
    <m/>
    <x v="9"/>
    <x v="3"/>
    <s v="10 Roda"/>
    <d v="2026-05-22T00:00:00"/>
    <n v="4020"/>
    <n v="13540"/>
    <n v="9520"/>
    <m/>
    <d v="1899-12-30T16:48:00"/>
    <d v="1899-12-30T17:22:00"/>
    <s v="Datu"/>
    <s v="HALIK"/>
    <n v="360"/>
    <s v="IRFAN"/>
    <s v="Makassar"/>
  </r>
  <r>
    <n v="1"/>
    <s v="001286"/>
    <s v="RBDPL001286DA"/>
    <s v="DP 8732 GK"/>
    <m/>
    <m/>
    <x v="9"/>
    <x v="3"/>
    <s v="10 Roda"/>
    <d v="2026-05-22T00:00:00"/>
    <n v="4260"/>
    <n v="14390"/>
    <n v="10130"/>
    <m/>
    <d v="1899-12-30T17:20:00"/>
    <d v="1899-12-30T17:47:00"/>
    <s v="Datu"/>
    <s v="BAHTIAR"/>
    <n v="360"/>
    <s v="IRFAN"/>
    <s v="Makassar"/>
  </r>
  <r>
    <n v="1"/>
    <s v="001274"/>
    <s v="RBDPL001274BJL"/>
    <s v="DN 8115 XX"/>
    <m/>
    <m/>
    <x v="6"/>
    <x v="3"/>
    <s v="10 Roda"/>
    <d v="2026-05-22T00:00:00"/>
    <n v="4160"/>
    <n v="13540"/>
    <n v="9380"/>
    <m/>
    <d v="1899-12-30T08:53:00"/>
    <d v="1899-12-30T09:43:00"/>
    <s v="samsira"/>
    <s v="SYAMSUDDIN"/>
    <n v="562"/>
    <s v="EXTERNAL"/>
    <s v="Palu"/>
  </r>
  <r>
    <n v="1"/>
    <s v="001278"/>
    <s v="RBDPL001278BJL"/>
    <s v="DP 8953 DK"/>
    <m/>
    <m/>
    <x v="6"/>
    <x v="3"/>
    <s v="10 Roda"/>
    <d v="2026-05-22T00:00:00"/>
    <n v="4410"/>
    <n v="13590"/>
    <n v="9180"/>
    <m/>
    <d v="1899-12-30T11:16:00"/>
    <d v="1899-12-30T11:41:00"/>
    <s v="samsira"/>
    <s v="MUH ARIF"/>
    <n v="562"/>
    <s v="EXTERNAL"/>
    <s v="Palu"/>
  </r>
  <r>
    <n v="1"/>
    <s v="001282"/>
    <s v="RBDPL001282BJL"/>
    <s v="DN 8841 CS"/>
    <m/>
    <m/>
    <x v="6"/>
    <x v="3"/>
    <s v="10 Roda"/>
    <d v="2026-05-22T00:00:00"/>
    <n v="4030"/>
    <n v="13750"/>
    <n v="9720"/>
    <m/>
    <d v="1899-12-30T14:15:00"/>
    <d v="1899-12-30T15:03:00"/>
    <s v="samsira"/>
    <s v="MOH RISKY"/>
    <n v="562"/>
    <s v="EXTERNAL"/>
    <s v="Palu"/>
  </r>
  <r>
    <n v="1"/>
    <s v="001298"/>
    <s v="RBDPL001298SCM"/>
    <s v="DN 8609 VG"/>
    <m/>
    <m/>
    <x v="8"/>
    <x v="3"/>
    <s v="10 Roda"/>
    <d v="2026-05-23T00:00:00"/>
    <n v="3920"/>
    <n v="13240"/>
    <n v="9320"/>
    <m/>
    <d v="1899-12-30T17:31:00"/>
    <d v="1899-12-30T18:10:00"/>
    <s v="Datu"/>
    <s v="TINO KARNO"/>
    <n v="400"/>
    <s v="EXTERNAL"/>
    <s v="Makassar"/>
  </r>
  <r>
    <n v="1"/>
    <s v="001299"/>
    <s v="RBDPL001299SCM"/>
    <s v="DC 8989 EZ"/>
    <m/>
    <m/>
    <x v="8"/>
    <x v="3"/>
    <s v="10 Roda"/>
    <d v="2026-05-23T00:00:00"/>
    <n v="3900"/>
    <n v="13330"/>
    <n v="9430"/>
    <m/>
    <d v="1899-12-30T17:35:00"/>
    <d v="1899-12-30T18:29:00"/>
    <s v="Datu"/>
    <s v="ABD RAHMAN"/>
    <n v="400"/>
    <s v="EXTERNAL"/>
    <s v="Makassar"/>
  </r>
  <r>
    <n v="1"/>
    <s v="001300"/>
    <s v="RBDPL001300SCM"/>
    <s v="DP 9859 GA"/>
    <m/>
    <m/>
    <x v="8"/>
    <x v="3"/>
    <s v="10 Roda"/>
    <d v="2026-05-23T00:00:00"/>
    <n v="4260"/>
    <n v="14350"/>
    <n v="10090"/>
    <m/>
    <d v="1899-12-30T18:13:00"/>
    <d v="1899-12-30T18:49:00"/>
    <s v="Datu"/>
    <s v="WIDIANTO"/>
    <n v="400"/>
    <s v="EXTERNAL"/>
    <s v="Makassar"/>
  </r>
  <r>
    <n v="1"/>
    <s v="001288"/>
    <s v="RBDPL001288SCM"/>
    <s v="DP 800 GJ"/>
    <m/>
    <m/>
    <x v="8"/>
    <x v="3"/>
    <s v="10 Roda"/>
    <d v="2026-05-23T00:00:00"/>
    <n v="4200"/>
    <n v="13650"/>
    <n v="9450"/>
    <m/>
    <d v="1899-12-30T10:43:00"/>
    <d v="1899-12-30T11:36:00"/>
    <s v="samsira"/>
    <s v="MURKAS"/>
    <n v="400"/>
    <s v="EXTERNAL"/>
    <s v="Makassar"/>
  </r>
  <r>
    <n v="1"/>
    <s v="001301"/>
    <s v="RBDPL001301DA"/>
    <s v="DP 8739 GO"/>
    <m/>
    <m/>
    <x v="9"/>
    <x v="3"/>
    <s v="10 Roda"/>
    <d v="2026-05-23T00:00:00"/>
    <n v="4030"/>
    <n v="13340"/>
    <n v="9310"/>
    <m/>
    <d v="1899-12-30T18:33:00"/>
    <d v="1899-12-30T19:08:00"/>
    <s v="Datu"/>
    <s v="ABD HAMID"/>
    <n v="360"/>
    <s v="IRFAN"/>
    <s v="Makassar"/>
  </r>
  <r>
    <n v="1"/>
    <s v="001302"/>
    <s v="RBDPL001302DA"/>
    <s v="DP 9856 GA"/>
    <m/>
    <m/>
    <x v="9"/>
    <x v="3"/>
    <s v="10 Roda"/>
    <d v="2026-05-23T00:00:00"/>
    <n v="3880"/>
    <n v="13200"/>
    <n v="9320"/>
    <m/>
    <d v="1899-12-30T18:36:00"/>
    <d v="1899-12-30T19:35:00"/>
    <s v="Datu"/>
    <s v="AMMANG"/>
    <n v="360"/>
    <s v="IRFAN"/>
    <s v="Makassar"/>
  </r>
  <r>
    <n v="1"/>
    <s v="001292"/>
    <s v="RBDPL001292TDJ"/>
    <s v="DD 8711 XX"/>
    <m/>
    <m/>
    <x v="10"/>
    <x v="3"/>
    <s v="10 Roda"/>
    <d v="2026-05-23T00:00:00"/>
    <n v="10960"/>
    <n v="25440"/>
    <n v="14480"/>
    <m/>
    <d v="1899-12-30T14:02:00"/>
    <d v="1899-12-30T14:53:00"/>
    <s v="samsira"/>
    <s v="RONI"/>
    <n v="473"/>
    <s v="CV WIL"/>
    <s v="Siumbatu"/>
  </r>
  <r>
    <n v="1"/>
    <s v="001293"/>
    <s v="RBDPL001293TDJ"/>
    <s v="BH 8459 MY"/>
    <m/>
    <m/>
    <x v="10"/>
    <x v="3"/>
    <s v="10 Roda"/>
    <d v="2026-05-23T00:00:00"/>
    <n v="12180"/>
    <n v="26960"/>
    <n v="14780"/>
    <m/>
    <d v="1899-12-30T14:07:00"/>
    <d v="1899-12-30T16:52:00"/>
    <s v="samsira"/>
    <s v="HAMSAL"/>
    <n v="473"/>
    <s v="CV WIL"/>
    <s v="Siumbatu"/>
  </r>
  <r>
    <n v="1"/>
    <s v="001296"/>
    <s v="RBDPL001296WIN"/>
    <s v="BM 8315 QO"/>
    <m/>
    <m/>
    <x v="11"/>
    <x v="3"/>
    <s v="10 Roda"/>
    <d v="2026-05-23T00:00:00"/>
    <n v="17210"/>
    <n v="46000"/>
    <n v="28790"/>
    <m/>
    <d v="1899-12-30T14:55:00"/>
    <d v="1899-12-30T15:50:00"/>
    <s v="Datu"/>
    <s v="IQBAL"/>
    <n v="642"/>
    <s v="CV WIL"/>
    <s v="Torobulu"/>
  </r>
  <r>
    <n v="1"/>
    <s v="001297"/>
    <s v="RBDPL001297PUP"/>
    <s v="DD 9236 XX"/>
    <m/>
    <m/>
    <x v="13"/>
    <x v="3"/>
    <s v="10 Roda"/>
    <d v="2026-05-23T00:00:00"/>
    <n v="17340"/>
    <n v="46340"/>
    <n v="29000"/>
    <m/>
    <d v="1899-12-30T16:55:00"/>
    <d v="1899-12-30T17:51:00"/>
    <s v="Datu"/>
    <s v="IBRAHIM"/>
    <n v="642"/>
    <s v="CV WIL"/>
    <s v="Torobulu"/>
  </r>
  <r>
    <n v="1"/>
    <s v="001303"/>
    <s v="RBDPL001303BJL"/>
    <s v="DN 8114 XX"/>
    <m/>
    <m/>
    <x v="6"/>
    <x v="3"/>
    <s v="10 Roda"/>
    <d v="2026-05-25T00:00:00"/>
    <n v="3930"/>
    <n v="13280"/>
    <n v="9350"/>
    <m/>
    <d v="1899-12-30T09:04:00"/>
    <d v="1899-12-30T09:45:00"/>
    <s v="Datu"/>
    <s v="MULYADI"/>
    <n v="562"/>
    <s v="EXTERNAL"/>
    <s v="Palu"/>
  </r>
  <r>
    <n v="1"/>
    <s v="001305"/>
    <s v="RBDPL001305BJL"/>
    <s v="DN 8115 XX"/>
    <m/>
    <m/>
    <x v="6"/>
    <x v="3"/>
    <s v="10 Roda"/>
    <d v="2026-05-25T00:00:00"/>
    <n v="4010"/>
    <n v="13410"/>
    <n v="9400"/>
    <m/>
    <d v="1899-12-30T09:50:00"/>
    <d v="1899-12-30T10:15:00"/>
    <s v="Datu"/>
    <s v="SYAMSUDDIN"/>
    <n v="562"/>
    <s v="EXTERNAL"/>
    <s v="Palu"/>
  </r>
  <r>
    <n v="1"/>
    <s v="001306"/>
    <s v="RBDPL001306BJL"/>
    <s v="DN 8648 GA"/>
    <m/>
    <m/>
    <x v="6"/>
    <x v="3"/>
    <s v="10 Roda"/>
    <d v="2026-05-25T00:00:00"/>
    <n v="3870"/>
    <n v="13140"/>
    <n v="9270"/>
    <m/>
    <d v="1899-12-30T10:20:00"/>
    <d v="1899-12-30T10:54:00"/>
    <s v="Datu"/>
    <s v="MUHAMMAD EMIN"/>
    <n v="562"/>
    <s v="EXTERNAL"/>
    <s v="Palu"/>
  </r>
  <r>
    <n v="1"/>
    <s v="001311"/>
    <s v="RBDPL001311BJL"/>
    <s v="DC 8002 XB"/>
    <m/>
    <m/>
    <x v="6"/>
    <x v="3"/>
    <s v="10 Roda"/>
    <d v="2026-05-25T00:00:00"/>
    <n v="3840"/>
    <n v="13170"/>
    <n v="9330"/>
    <m/>
    <d v="1899-12-30T12:01:00"/>
    <d v="1899-12-30T12:32:00"/>
    <s v="Datu"/>
    <s v="SUPRIANSYAH"/>
    <n v="562"/>
    <s v="EXTERNAL"/>
    <s v="Palu"/>
  </r>
  <r>
    <n v="1"/>
    <s v="001308"/>
    <s v="RBDPL001308SCM"/>
    <s v="DN 8691 UA"/>
    <m/>
    <m/>
    <x v="8"/>
    <x v="3"/>
    <s v="10 Roda"/>
    <d v="2026-05-25T00:00:00"/>
    <n v="4110"/>
    <n v="13900"/>
    <n v="9790"/>
    <m/>
    <d v="1899-12-30T11:04:00"/>
    <d v="1899-12-30T11:27:00"/>
    <s v="Datu"/>
    <s v="RIZAL AR RAHIM"/>
    <n v="400"/>
    <s v="EXTERNAL"/>
    <s v="Makassar"/>
  </r>
  <r>
    <n v="1"/>
    <s v="001309"/>
    <s v="RBDPL001309SCM"/>
    <s v="DD 8983 UC"/>
    <m/>
    <m/>
    <x v="8"/>
    <x v="3"/>
    <s v="10 Roda"/>
    <d v="2026-05-25T00:00:00"/>
    <n v="4400"/>
    <n v="14620"/>
    <n v="10220"/>
    <m/>
    <d v="1899-12-30T11:07:00"/>
    <d v="1899-12-30T11:42:00"/>
    <s v="Datu"/>
    <s v="ARISTO"/>
    <n v="400"/>
    <s v="EXTERNAL"/>
    <s v="Makassar"/>
  </r>
  <r>
    <n v="1"/>
    <s v="001310"/>
    <s v="RBDPL001310SCM"/>
    <s v="DP 8729 GH"/>
    <m/>
    <m/>
    <x v="8"/>
    <x v="3"/>
    <s v="10 Roda"/>
    <d v="2026-05-25T00:00:00"/>
    <n v="3930"/>
    <n v="13440"/>
    <n v="9510"/>
    <m/>
    <d v="1899-12-30T11:37:00"/>
    <d v="1899-12-30T12:20:00"/>
    <s v="Datu"/>
    <s v="ARIF"/>
    <n v="400"/>
    <s v="EXTERNAL"/>
    <s v="Makassar"/>
  </r>
  <r>
    <n v="1"/>
    <s v="001312"/>
    <s v="RBDPL001312SCM"/>
    <s v="DP 8821 GL"/>
    <m/>
    <m/>
    <x v="8"/>
    <x v="3"/>
    <s v="10 Roda"/>
    <d v="2026-05-25T00:00:00"/>
    <n v="3790"/>
    <n v="13400"/>
    <n v="9610"/>
    <m/>
    <d v="1899-12-30T13:33:00"/>
    <d v="1899-12-30T14:47:00"/>
    <s v="Datu"/>
    <s v="IRWAN"/>
    <n v="400"/>
    <s v="EXTERNAL"/>
    <s v="Makassar"/>
  </r>
  <r>
    <n v="1"/>
    <s v="001313"/>
    <s v="RBDPL001313SCM"/>
    <s v="DD 8671 YD"/>
    <m/>
    <m/>
    <x v="8"/>
    <x v="3"/>
    <s v="10 Roda"/>
    <d v="2026-05-25T00:00:00"/>
    <n v="4640"/>
    <n v="14390"/>
    <n v="9750"/>
    <m/>
    <d v="1899-12-30T13:36:00"/>
    <d v="1899-12-30T14:37:00"/>
    <s v="Datu"/>
    <s v="IWAN"/>
    <n v="400"/>
    <s v="EXTERNAL"/>
    <s v="Makassar"/>
  </r>
  <r>
    <n v="1"/>
    <s v="001314"/>
    <s v="RBDPL001314SCM"/>
    <s v="DC 8989 EZ"/>
    <m/>
    <m/>
    <x v="8"/>
    <x v="3"/>
    <s v="10 Roda"/>
    <d v="2026-05-25T00:00:00"/>
    <n v="4050"/>
    <n v="13520"/>
    <n v="9470"/>
    <m/>
    <d v="1899-12-30T14:41:00"/>
    <d v="1899-12-30T15:10:00"/>
    <s v="Datu"/>
    <s v="ABD RAHMAN"/>
    <n v="400"/>
    <s v="EXTERNAL"/>
    <s v="Makassar"/>
  </r>
  <r>
    <n v="1"/>
    <s v="001304"/>
    <s v="RBDPL001304DA"/>
    <s v="DD 8171 VN"/>
    <m/>
    <m/>
    <x v="9"/>
    <x v="3"/>
    <s v="10 Roda"/>
    <d v="2026-05-25T00:00:00"/>
    <n v="19070"/>
    <n v="42740"/>
    <n v="23670"/>
    <m/>
    <d v="1899-12-30T09:07:00"/>
    <d v="1899-12-30T10:46:00"/>
    <s v="Datu"/>
    <s v="HARIANTO"/>
    <n v="360"/>
    <s v="EXTERNAL"/>
    <s v="Makassar"/>
  </r>
  <r>
    <n v="1"/>
    <s v="001315"/>
    <s v="RBDPL001315DA"/>
    <s v="DP 8935 UA"/>
    <m/>
    <m/>
    <x v="9"/>
    <x v="3"/>
    <s v="10 Roda"/>
    <d v="2026-05-25T00:00:00"/>
    <n v="3980"/>
    <n v="14120"/>
    <n v="10140"/>
    <m/>
    <d v="1899-12-30T16:27:00"/>
    <d v="1899-12-30T16:49:00"/>
    <s v="samsira"/>
    <s v="BASO"/>
    <n v="360"/>
    <s v="EXTERNAL"/>
    <s v="Makassar"/>
  </r>
  <r>
    <n v="1"/>
    <s v="001273"/>
    <s v="RBDPS001273BMS"/>
    <s v="DP 8168 JD"/>
    <m/>
    <m/>
    <x v="16"/>
    <x v="5"/>
    <s v="10 Roda"/>
    <d v="2026-05-21T00:00:00"/>
    <n v="11020"/>
    <n v="29740"/>
    <n v="19940"/>
    <m/>
    <d v="1899-12-30T17:57:00"/>
    <d v="1899-12-30T19:10:00"/>
    <s v="Datu"/>
    <s v="Jusman"/>
    <m/>
    <m/>
    <m/>
  </r>
  <r>
    <n v="1"/>
    <s v="001289"/>
    <s v="RBDPS001289BMS"/>
    <s v="DD 8794 MO"/>
    <m/>
    <m/>
    <x v="16"/>
    <x v="5"/>
    <s v="10 Roda"/>
    <d v="2026-05-23T00:00:00"/>
    <n v="12090"/>
    <n v="32860"/>
    <n v="20770"/>
    <m/>
    <d v="1899-12-30T12:00:00"/>
    <d v="1899-12-30T13:18:00"/>
    <s v="samsira"/>
    <s v="ABDULLAH"/>
    <m/>
    <m/>
    <m/>
  </r>
  <r>
    <n v="1"/>
    <s v="001290"/>
    <s v="RBDPS001290BMS"/>
    <s v="DD 8412 SO"/>
    <m/>
    <m/>
    <x v="16"/>
    <x v="5"/>
    <s v="10 Roda"/>
    <d v="2026-05-23T00:00:00"/>
    <n v="10860"/>
    <n v="30580"/>
    <n v="19720"/>
    <m/>
    <d v="1899-12-30T13:25:00"/>
    <d v="1899-12-30T14:09:00"/>
    <s v="samsira"/>
    <s v="LULLI"/>
    <m/>
    <m/>
    <m/>
  </r>
  <r>
    <n v="1"/>
    <s v="001291"/>
    <s v="RBDPS001291BMS"/>
    <s v="DD 8036 RV"/>
    <m/>
    <m/>
    <x v="16"/>
    <x v="5"/>
    <s v="10 Roda"/>
    <d v="2026-05-23T00:00:00"/>
    <n v="11870"/>
    <n v="32800"/>
    <n v="20930"/>
    <m/>
    <d v="1899-12-30T13:27:00"/>
    <d v="1899-12-30T14:42:00"/>
    <s v="samsira"/>
    <s v="SALDI"/>
    <m/>
    <m/>
    <m/>
  </r>
  <r>
    <n v="1"/>
    <s v="001294"/>
    <s v="RBDPS001294BMS"/>
    <s v="DD 8715 RI"/>
    <m/>
    <m/>
    <x v="16"/>
    <x v="5"/>
    <s v="10 Roda"/>
    <d v="2026-05-23T00:00:00"/>
    <n v="11000"/>
    <n v="30550"/>
    <n v="19550"/>
    <m/>
    <d v="1899-12-30T14:16:00"/>
    <d v="1899-12-30T15:25:00"/>
    <s v="Datu"/>
    <s v="FAJRIN"/>
    <m/>
    <m/>
    <m/>
  </r>
  <r>
    <n v="1"/>
    <s v="001295"/>
    <s v="RBDPS001295BMS"/>
    <s v="DD 8429 KR"/>
    <m/>
    <m/>
    <x v="16"/>
    <x v="5"/>
    <s v="10 Roda"/>
    <d v="2026-05-23T00:00:00"/>
    <n v="11490"/>
    <n v="30510"/>
    <n v="19020"/>
    <m/>
    <d v="1899-12-30T14:50:00"/>
    <d v="1899-12-30T17:12:00"/>
    <s v="Datu"/>
    <s v="JUMARDI"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  <r>
    <m/>
    <m/>
    <m/>
    <m/>
    <m/>
    <m/>
    <x v="0"/>
    <x v="0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13E1B8-C776-BB44-A8BB-BD3578739D1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7" firstHeaderRow="0" firstDataRow="1" firstDataCol="1"/>
  <pivotFields count="21">
    <pivotField dataField="1" showAll="0"/>
    <pivotField showAll="0"/>
    <pivotField showAll="0"/>
    <pivotField showAll="0"/>
    <pivotField showAll="0"/>
    <pivotField showAll="0"/>
    <pivotField axis="axisRow" showAll="0">
      <items count="18">
        <item x="9"/>
        <item x="7"/>
        <item x="12"/>
        <item x="8"/>
        <item x="6"/>
        <item x="3"/>
        <item x="1"/>
        <item x="2"/>
        <item x="5"/>
        <item x="13"/>
        <item x="4"/>
        <item x="10"/>
        <item x="11"/>
        <item x="14"/>
        <item x="15"/>
        <item x="0"/>
        <item x="16"/>
        <item t="default"/>
      </items>
    </pivotField>
    <pivotField axis="axisRow" showAll="0">
      <items count="7">
        <item x="4"/>
        <item x="2"/>
        <item x="1"/>
        <item x="3"/>
        <item x="5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7"/>
    <field x="6"/>
  </rowFields>
  <rowItems count="24">
    <i>
      <x/>
    </i>
    <i r="1">
      <x v="13"/>
    </i>
    <i r="1">
      <x v="14"/>
    </i>
    <i>
      <x v="1"/>
    </i>
    <i r="1">
      <x v="8"/>
    </i>
    <i>
      <x v="2"/>
    </i>
    <i r="1">
      <x v="5"/>
    </i>
    <i r="1">
      <x v="6"/>
    </i>
    <i r="1">
      <x v="7"/>
    </i>
    <i r="1">
      <x v="10"/>
    </i>
    <i>
      <x v="3"/>
    </i>
    <i r="1">
      <x/>
    </i>
    <i r="1">
      <x v="1"/>
    </i>
    <i r="1">
      <x v="2"/>
    </i>
    <i r="1">
      <x v="3"/>
    </i>
    <i r="1">
      <x v="4"/>
    </i>
    <i r="1">
      <x v="9"/>
    </i>
    <i r="1">
      <x v="11"/>
    </i>
    <i r="1">
      <x v="12"/>
    </i>
    <i>
      <x v="4"/>
    </i>
    <i r="1">
      <x v="16"/>
    </i>
    <i>
      <x v="5"/>
    </i>
    <i r="1"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Jumlah" fld="0" baseField="0" baseItem="0"/>
    <dataField name="Sum of Berat_x000a_Netto PT WINS" fld="12" baseField="0" baseItem="0" numFmtId="41"/>
  </dataFields>
  <formats count="2">
    <format dxfId="103">
      <pivotArea outline="0" collapsedLevelsAreSubtotals="1" fieldPosition="0"/>
    </format>
    <format dxfId="102">
      <pivotArea collapsedLevelsAreSubtotals="1" fieldPosition="0">
        <references count="2">
          <reference field="6" count="8">
            <x v="0"/>
            <x v="1"/>
            <x v="2"/>
            <x v="3"/>
            <x v="4"/>
            <x v="9"/>
            <x v="11"/>
            <x v="12"/>
          </reference>
          <reference field="7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772F13-FF51-D24F-9140-3721035A7301}" name="TableSummaryWB2" displayName="TableSummaryWB2" ref="B3:V1965" totalsRowShown="0" headerRowDxfId="127" dataDxfId="126" tableBorderDxfId="125">
  <autoFilter ref="B3:V1965" xr:uid="{00000000-0009-0000-0100-000002000000}"/>
  <tableColumns count="21">
    <tableColumn id="1" xr3:uid="{957BF633-DF52-4D49-B1C1-159786373C83}" name="Jumlah" dataDxfId="124"/>
    <tableColumn id="2" xr3:uid="{EAC7C6A1-3AD4-F948-8967-C0C7B1AE094C}" name="No. Seri" dataDxfId="123"/>
    <tableColumn id="3" xr3:uid="{DA0679B9-1494-264D-9C93-6B8635E5B7CA}" name="No Seri Relasi" dataDxfId="122"/>
    <tableColumn id="4" xr3:uid="{7A8E6CEA-970F-A545-824D-1F2121D0B2CB}" name="No. Polisi" dataDxfId="121"/>
    <tableColumn id="5" xr3:uid="{6FB59DFB-2CAA-B849-B53A-B51030D7B7D7}" name="No Kontrak" dataDxfId="120"/>
    <tableColumn id="6" xr3:uid="{65234D35-E773-B34B-8DB4-35D810793DD3}" name="DO" dataDxfId="119"/>
    <tableColumn id="7" xr3:uid="{72A5563B-833E-D741-BA02-819176B01A07}" name="Relasi" dataDxfId="118"/>
    <tableColumn id="8" xr3:uid="{59AB87EF-4FF2-7C42-BE1B-8C87121EF869}" name="Produk" dataDxfId="117"/>
    <tableColumn id="9" xr3:uid="{A4E6D65E-ADB5-F24D-9F73-1120168BDBF6}" name="Truck" dataDxfId="116"/>
    <tableColumn id="10" xr3:uid="{51A89057-497E-0D43-BEA4-13C34602B2D9}" name="Tanggal Masuk" dataDxfId="115"/>
    <tableColumn id="11" xr3:uid="{940FAC16-C57B-9444-97FF-298C5077CF01}" name="Berat_x000a_Masuk" dataDxfId="114"/>
    <tableColumn id="12" xr3:uid="{7853B1F1-4B57-A54C-9B2E-BB807A95805E}" name="Berat_x000a_Keluar" dataDxfId="113"/>
    <tableColumn id="13" xr3:uid="{AF50ADB5-AA6F-194D-8469-C6EB68958FF7}" name="Berat_x000a_Netto PT WINS" dataDxfId="112"/>
    <tableColumn id="21" xr3:uid="{0D0CAE4D-2DD6-A14E-BEEF-CA514177CD78}" name="Berat Relasi" dataDxfId="111"/>
    <tableColumn id="14" xr3:uid="{9ECEE268-3ADA-F842-BDC7-6D2F82E706BD}" name="Jam_x000a_Masuk" dataDxfId="110"/>
    <tableColumn id="15" xr3:uid="{6FD0535C-0C3D-EE4D-B856-BAEAE092CAB9}" name="Jam_x000a_Keluar" dataDxfId="109"/>
    <tableColumn id="16" xr3:uid="{D29EFF37-73E5-CF4E-92B1-4FF7A4499034}" name="Penimbang" dataDxfId="108"/>
    <tableColumn id="17" xr3:uid="{58EF58CF-DADC-634D-906C-3992D83C0851}" name="Driver" dataDxfId="107"/>
    <tableColumn id="18" xr3:uid="{D5780E40-C6D6-AF44-88D2-4E3CD675D576}" name="Distance (Km)" dataDxfId="106"/>
    <tableColumn id="19" xr3:uid="{881FB39F-C3E1-EA4E-ADE0-815FB8FC2EE7}" name="Transportir" dataDxfId="105"/>
    <tableColumn id="20" xr3:uid="{5810D1F6-FBF9-0644-8FCD-8FC562AB9098}" name="Lokasi pengiriman " dataDxfId="104"/>
  </tableColumns>
  <tableStyleInfo name="TableStyleMedium2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24437B-328A-A946-A841-6784CDA76229}" name="Table7" displayName="Table7" ref="B5:Y87" totalsRowShown="0" headerRowDxfId="101" dataDxfId="99" headerRowBorderDxfId="100" tableBorderDxfId="98" totalsRowBorderDxfId="97">
  <autoFilter ref="B5:Y87" xr:uid="{00000000-0009-0000-0100-000001000000}"/>
  <tableColumns count="24">
    <tableColumn id="1" xr3:uid="{1090900B-3C7C-FF48-9986-F90D6907DC5A}" name="No Kontrak" dataDxfId="96"/>
    <tableColumn id="16" xr3:uid="{C22A79BA-EAC9-E24F-80BF-DFF661334D2D}" name="DO" dataDxfId="95"/>
    <tableColumn id="2" xr3:uid="{B533C5D3-7E03-F149-A45D-3650402A1772}" name="Relasi" dataDxfId="94"/>
    <tableColumn id="3" xr3:uid="{3FF0278C-351C-EA43-93C9-DAA461FCC6AD}" name="Produk" dataDxfId="93"/>
    <tableColumn id="4" xr3:uid="{61BAF8D1-CA3B-174A-BD37-FE6C31F4E11C}" name="Quantity (Kg)" dataDxfId="92" dataCellStyle="Comma [0]"/>
    <tableColumn id="5" xr3:uid="{052F76E2-FB95-FC42-8767-069271AA845E}" name="Harga Satuan" dataDxfId="91" dataCellStyle="Comma [0]"/>
    <tableColumn id="6" xr3:uid="{0306DED7-2C34-4F46-959A-52F0E8C28E65}" name="PPn" dataDxfId="90">
      <calculatedColumnFormula>G6*$H$4</calculatedColumnFormula>
    </tableColumn>
    <tableColumn id="7" xr3:uid="{7BFC991B-BA82-ED47-A9D9-F5AB90FAD635}" name="Nett" dataDxfId="89"/>
    <tableColumn id="8" xr3:uid="{9B4F435E-76A7-DB49-8197-8FBF13826766}" name="Nilai Kontrak" dataDxfId="88"/>
    <tableColumn id="9" xr3:uid="{3411E38C-5082-0646-810B-916869BD61D9}" name="Lokasi Penyerahan" dataDxfId="87"/>
    <tableColumn id="10" xr3:uid="{B8D91258-C470-4C48-B096-3AB7D4DDC844}" name="Tanggal Penyerahan" dataDxfId="86"/>
    <tableColumn id="11" xr3:uid="{80926059-D92F-3849-990C-2BA2749F9636}" name="Jatuh Tempo" dataDxfId="85"/>
    <tableColumn id="12" xr3:uid="{C59AC61C-AD3C-5248-8E90-08852A6F0A38}" name="Status Pengiriman" dataDxfId="84"/>
    <tableColumn id="13" xr3:uid="{B206CB79-B2D9-BD47-9904-10C7F4FA4B90}" name="DP" dataDxfId="83"/>
    <tableColumn id="14" xr3:uid="{9F1DBA30-CD70-B947-9467-6A6BF069A597}" name="Jatuh Tempo Pengiriman" dataDxfId="82"/>
    <tableColumn id="15" xr3:uid="{A9922495-99F8-5A40-BF42-5D5D8F0996B5}" name="INFO" dataDxfId="81"/>
    <tableColumn id="17" xr3:uid="{5F579E86-B16D-704D-BF87-0EA24AE98E47}" name="Aktual Terkirim/Terima (Kg) Timbangan PT WINS" dataDxfId="80" dataCellStyle="Comma [0]"/>
    <tableColumn id="18" xr3:uid="{BAC2F871-FAF2-D34B-A13E-3D9A779B76C3}" name="Sisa Kuota (Kg)" dataDxfId="79"/>
    <tableColumn id="19" xr3:uid="{CE293549-C886-3944-B501-9D6661CDB2C5}" name="% Realisasi" dataDxfId="78"/>
    <tableColumn id="20" xr3:uid="{E663212D-1A13-CC41-8866-047F22CCBFE6}" name="Nilai Terkirim/Terima (Rp)" dataDxfId="77"/>
    <tableColumn id="21" xr3:uid="{E23EF41D-0213-B44F-AB7D-DD24EA3CE294}" name="Tagihan DP (Rp)" dataDxfId="76"/>
    <tableColumn id="22" xr3:uid="{C85AA6AD-1417-3F4D-B1E0-DA792B9EB2BB}" name="Status Jatuh Tempo DP" dataDxfId="75">
      <calculatedColumnFormula>IF(M6="","",IF(TODAY()&gt;M6,"Lewat Jatuh Tempo",IF(TODAY()=M6,"Jatuh Tempo Hari Ini","Belum Jatuh Tempo")))</calculatedColumnFormula>
    </tableColumn>
    <tableColumn id="23" xr3:uid="{67CC9FE1-6EB3-6647-BA40-C71C651B108E}" name="Arah" dataDxfId="74">
      <calculatedColumnFormula>IF(E6="","",IF(OR(E6="CPO",E6="PFAD"),"IN","OUT"))</calculatedColumnFormula>
    </tableColumn>
    <tableColumn id="24" xr3:uid="{8F452B03-258F-3548-BEE7-DF25E4A659E8}" name="Status Pengiriman2" dataDxfId="73">
      <calculatedColumnFormula>IF(E6="","",IF(T6=0,"Belum Kirim",IF(T6&lt;0.95,"Proses",IF(T6&lt;=1,"Selesai","Over"))))</calculatedColumnFormula>
    </tableColumn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5F8182B-AAA1-D34F-8F68-FD32B7A9D3E0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7ebe9cab-c872-4c90-abcf-2df6f44b80e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AD129-1C74-E342-A87A-AD17286339A4}">
  <dimension ref="A3:I27"/>
  <sheetViews>
    <sheetView showGridLines="0" topLeftCell="A8" zoomScale="156" zoomScaleNormal="166" workbookViewId="0">
      <selection activeCell="C17" activeCellId="2" sqref="C21:C22 C20 C17"/>
    </sheetView>
  </sheetViews>
  <sheetFormatPr baseColWidth="10" defaultRowHeight="15" x14ac:dyDescent="0.2"/>
  <cols>
    <col min="1" max="1" width="29.83203125" bestFit="1" customWidth="1"/>
    <col min="2" max="2" width="12.1640625" bestFit="1" customWidth="1"/>
    <col min="3" max="3" width="23.1640625" bestFit="1" customWidth="1"/>
  </cols>
  <sheetData>
    <row r="3" spans="1:9" x14ac:dyDescent="0.2">
      <c r="A3" s="346" t="s">
        <v>2107</v>
      </c>
      <c r="B3" t="s">
        <v>3238</v>
      </c>
      <c r="C3" t="s">
        <v>3237</v>
      </c>
    </row>
    <row r="4" spans="1:9" x14ac:dyDescent="0.2">
      <c r="A4" s="5" t="s">
        <v>66</v>
      </c>
      <c r="B4" s="423">
        <v>44</v>
      </c>
      <c r="C4" s="423">
        <v>503310</v>
      </c>
    </row>
    <row r="5" spans="1:9" x14ac:dyDescent="0.2">
      <c r="A5" s="422" t="s">
        <v>61</v>
      </c>
      <c r="B5" s="423">
        <v>18</v>
      </c>
      <c r="C5" s="423">
        <v>295170</v>
      </c>
    </row>
    <row r="6" spans="1:9" x14ac:dyDescent="0.2">
      <c r="A6" s="422" t="s">
        <v>94</v>
      </c>
      <c r="B6" s="423">
        <v>26</v>
      </c>
      <c r="C6" s="423">
        <v>208140</v>
      </c>
    </row>
    <row r="7" spans="1:9" x14ac:dyDescent="0.2">
      <c r="A7" s="5" t="s">
        <v>58</v>
      </c>
      <c r="B7" s="423">
        <v>5</v>
      </c>
      <c r="C7" s="423">
        <v>101500</v>
      </c>
    </row>
    <row r="8" spans="1:9" x14ac:dyDescent="0.2">
      <c r="A8" s="422" t="s">
        <v>98</v>
      </c>
      <c r="B8" s="423">
        <v>5</v>
      </c>
      <c r="C8" s="423">
        <v>101500</v>
      </c>
    </row>
    <row r="9" spans="1:9" x14ac:dyDescent="0.2">
      <c r="A9" s="5" t="s">
        <v>41</v>
      </c>
      <c r="B9" s="423">
        <v>955</v>
      </c>
      <c r="C9" s="423">
        <v>14931050</v>
      </c>
    </row>
    <row r="10" spans="1:9" x14ac:dyDescent="0.2">
      <c r="A10" s="422" t="s">
        <v>49</v>
      </c>
      <c r="B10" s="423">
        <v>402</v>
      </c>
      <c r="C10" s="423">
        <v>6495280</v>
      </c>
    </row>
    <row r="11" spans="1:9" x14ac:dyDescent="0.2">
      <c r="A11" s="422" t="s">
        <v>59</v>
      </c>
      <c r="B11" s="423">
        <v>174</v>
      </c>
      <c r="C11" s="423">
        <v>3939560</v>
      </c>
    </row>
    <row r="12" spans="1:9" x14ac:dyDescent="0.2">
      <c r="A12" s="422" t="s">
        <v>40</v>
      </c>
      <c r="B12" s="423">
        <v>282</v>
      </c>
      <c r="C12" s="423">
        <v>2697400</v>
      </c>
    </row>
    <row r="13" spans="1:9" x14ac:dyDescent="0.2">
      <c r="A13" s="422" t="s">
        <v>78</v>
      </c>
      <c r="B13" s="423">
        <v>97</v>
      </c>
      <c r="C13" s="423">
        <v>1798810</v>
      </c>
    </row>
    <row r="14" spans="1:9" x14ac:dyDescent="0.2">
      <c r="A14" s="5" t="s">
        <v>3</v>
      </c>
      <c r="B14" s="423">
        <v>537</v>
      </c>
      <c r="C14" s="423">
        <v>5851470</v>
      </c>
      <c r="D14" s="423"/>
      <c r="H14" s="424">
        <f>SUM(H15:H22)</f>
        <v>5388583</v>
      </c>
      <c r="I14" s="423">
        <f>GETPIVOTDATA("Berat
Netto PT WINS",$A$3,"Produk","RBDPL")-H14</f>
        <v>462887</v>
      </c>
    </row>
    <row r="15" spans="1:9" x14ac:dyDescent="0.2">
      <c r="A15" s="422" t="s">
        <v>111</v>
      </c>
      <c r="B15" s="423">
        <v>135</v>
      </c>
      <c r="C15" s="423">
        <v>1500660</v>
      </c>
      <c r="D15" s="423"/>
      <c r="E15">
        <v>135</v>
      </c>
      <c r="F15">
        <f>GETPIVOTDATA("Sum of Jumlah",$A$3,"Relasi","CV. DUTA ABADI","Produk","RBDPL")-E15</f>
        <v>0</v>
      </c>
      <c r="H15" s="86">
        <v>1361110</v>
      </c>
      <c r="I15" s="423">
        <f>GETPIVOTDATA("Berat
Netto PT WINS",$A$3,"Relasi","CV. DUTA ABADI","Produk","RBDPL")-H15</f>
        <v>139550</v>
      </c>
    </row>
    <row r="16" spans="1:9" x14ac:dyDescent="0.2">
      <c r="A16" s="422" t="s">
        <v>103</v>
      </c>
      <c r="B16" s="423">
        <v>76</v>
      </c>
      <c r="C16" s="423">
        <v>797790</v>
      </c>
      <c r="D16" s="423"/>
      <c r="E16">
        <v>76</v>
      </c>
      <c r="F16">
        <f>GETPIVOTDATA("Sum of Jumlah",$A$3,"Relasi","CV. HALILINTAR SAKTI ABADI","Produk","RBDPL")-E16</f>
        <v>0</v>
      </c>
      <c r="H16" s="86">
        <v>797790</v>
      </c>
      <c r="I16" s="423">
        <f>GETPIVOTDATA("Berat
Netto PT WINS",$A$3,"Relasi","CV. HALILINTAR SAKTI ABADI","Produk","RBDPL")-H16</f>
        <v>0</v>
      </c>
    </row>
    <row r="17" spans="1:9" x14ac:dyDescent="0.2">
      <c r="A17" s="422" t="s">
        <v>1640</v>
      </c>
      <c r="B17" s="423">
        <v>1</v>
      </c>
      <c r="C17" s="423">
        <v>15090</v>
      </c>
      <c r="D17" s="423"/>
      <c r="E17">
        <v>1</v>
      </c>
      <c r="F17">
        <f>GETPIVOTDATA("Sum of Jumlah",$A$3,"Relasi","CV. Nusantara Daya Jaya","Produk","RBDPL")-E17</f>
        <v>0</v>
      </c>
      <c r="H17" s="86">
        <v>15090</v>
      </c>
      <c r="I17" s="423">
        <f>GETPIVOTDATA("Berat
Netto PT WINS",$A$3,"Relasi","CV. Nusantara Daya Jaya","Produk","RBDPL")-H17</f>
        <v>0</v>
      </c>
    </row>
    <row r="18" spans="1:9" x14ac:dyDescent="0.2">
      <c r="A18" s="422" t="s">
        <v>107</v>
      </c>
      <c r="B18" s="423">
        <v>152</v>
      </c>
      <c r="C18" s="423">
        <v>1498140</v>
      </c>
      <c r="D18" s="423"/>
      <c r="E18">
        <v>152</v>
      </c>
      <c r="F18">
        <f>GETPIVOTDATA("Sum of Jumlah",$A$3,"Relasi","CV. SURYA CAHAYA MAS","Produk","RBDPL")-E18</f>
        <v>0</v>
      </c>
      <c r="H18" s="86">
        <v>1327330</v>
      </c>
      <c r="I18" s="423">
        <f>GETPIVOTDATA("Berat
Netto PT WINS",$A$3,"Relasi","CV. SURYA CAHAYA MAS","Produk","RBDPL")-H18</f>
        <v>170810</v>
      </c>
    </row>
    <row r="19" spans="1:9" x14ac:dyDescent="0.2">
      <c r="A19" s="422" t="s">
        <v>86</v>
      </c>
      <c r="B19" s="423">
        <v>137</v>
      </c>
      <c r="C19" s="423">
        <v>1290080</v>
      </c>
      <c r="D19" s="423"/>
      <c r="E19">
        <v>137</v>
      </c>
      <c r="F19">
        <f>GETPIVOTDATA("Sum of Jumlah",$A$3,"Relasi","PT. BUKIT JEJER LESTARI","Produk","RBDPL")-E19</f>
        <v>0</v>
      </c>
      <c r="H19" s="86">
        <v>1224516</v>
      </c>
      <c r="I19" s="423">
        <f>GETPIVOTDATA("Berat
Netto PT WINS",$A$3,"Relasi","PT. BUKIT JEJER LESTARI","Produk","RBDPL")-H19</f>
        <v>65564</v>
      </c>
    </row>
    <row r="20" spans="1:9" x14ac:dyDescent="0.2">
      <c r="A20" s="422" t="s">
        <v>1590</v>
      </c>
      <c r="B20" s="423">
        <v>6</v>
      </c>
      <c r="C20" s="423">
        <v>127010</v>
      </c>
      <c r="D20" s="423"/>
      <c r="E20">
        <v>6</v>
      </c>
      <c r="F20">
        <f>GETPIVOTDATA("Sum of Jumlah",$A$3,"Relasi","PT. PANDU URANE PERKASA","Produk","RBDPL")-E20</f>
        <v>0</v>
      </c>
      <c r="H20" s="86">
        <v>98039</v>
      </c>
      <c r="I20" s="423">
        <f>GETPIVOTDATA("Berat
Netto PT WINS",$A$3,"Relasi","PT. PANDU URANE PERKASA","Produk","RBDPL")-H20</f>
        <v>28971</v>
      </c>
    </row>
    <row r="21" spans="1:9" x14ac:dyDescent="0.2">
      <c r="A21" s="422" t="s">
        <v>1523</v>
      </c>
      <c r="B21" s="423">
        <v>16</v>
      </c>
      <c r="C21" s="423">
        <v>305980</v>
      </c>
      <c r="D21" s="423"/>
      <c r="E21">
        <v>16</v>
      </c>
      <c r="F21">
        <f>GETPIVOTDATA("Sum of Jumlah",$A$3,"Relasi","PT. TRI DAYA JAYA","Produk","RBDPL")-E21</f>
        <v>0</v>
      </c>
      <c r="H21" s="86">
        <v>276749</v>
      </c>
      <c r="I21" s="423">
        <f>GETPIVOTDATA("Berat
Netto PT WINS",$A$3,"Relasi","PT. TRI DAYA JAYA","Produk","RBDPL")-H21</f>
        <v>29231</v>
      </c>
    </row>
    <row r="22" spans="1:9" x14ac:dyDescent="0.2">
      <c r="A22" s="422" t="s">
        <v>115</v>
      </c>
      <c r="B22" s="423">
        <v>14</v>
      </c>
      <c r="C22" s="423">
        <v>316720</v>
      </c>
      <c r="D22" s="423"/>
      <c r="E22">
        <v>14</v>
      </c>
      <c r="F22">
        <f>GETPIVOTDATA("Sum of Jumlah",$A$3,"Relasi","PT. WIJAYA INTI NUSANTARA","Produk","RBDPL")-E22</f>
        <v>0</v>
      </c>
      <c r="H22" s="86">
        <v>287959</v>
      </c>
      <c r="I22" s="423">
        <f>GETPIVOTDATA("Berat
Netto PT WINS",$A$3,"Relasi","PT. WIJAYA INTI NUSANTARA","Produk","RBDPL")-H22</f>
        <v>28761</v>
      </c>
    </row>
    <row r="23" spans="1:9" x14ac:dyDescent="0.2">
      <c r="A23" s="5" t="s">
        <v>3142</v>
      </c>
      <c r="B23" s="423">
        <v>10</v>
      </c>
      <c r="C23" s="423">
        <v>200000</v>
      </c>
    </row>
    <row r="24" spans="1:9" x14ac:dyDescent="0.2">
      <c r="A24" s="422" t="s">
        <v>3143</v>
      </c>
      <c r="B24" s="423">
        <v>10</v>
      </c>
      <c r="C24" s="423">
        <v>200000</v>
      </c>
    </row>
    <row r="25" spans="1:9" x14ac:dyDescent="0.2">
      <c r="A25" s="5" t="s">
        <v>2108</v>
      </c>
      <c r="B25" s="423"/>
      <c r="C25" s="423"/>
    </row>
    <row r="26" spans="1:9" x14ac:dyDescent="0.2">
      <c r="A26" s="422" t="s">
        <v>2108</v>
      </c>
      <c r="B26" s="423"/>
      <c r="C26" s="423"/>
    </row>
    <row r="27" spans="1:9" x14ac:dyDescent="0.2">
      <c r="A27" s="5" t="s">
        <v>2109</v>
      </c>
      <c r="B27" s="423">
        <v>1551</v>
      </c>
      <c r="C27" s="423">
        <v>21587330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8" tint="0.39997558519241921"/>
  </sheetPr>
  <dimension ref="A1:Z64"/>
  <sheetViews>
    <sheetView showGridLines="0" showRowColHeaders="0" zoomScale="113" zoomScaleNormal="80" workbookViewId="0">
      <selection activeCell="H8" sqref="H8"/>
    </sheetView>
  </sheetViews>
  <sheetFormatPr baseColWidth="10" defaultColWidth="10.83203125" defaultRowHeight="30" customHeight="1" x14ac:dyDescent="0.2"/>
  <cols>
    <col min="1" max="1" width="1" style="3" customWidth="1"/>
    <col min="2" max="3" width="0.6640625" style="81" customWidth="1"/>
    <col min="4" max="4" width="16.6640625" style="3" customWidth="1"/>
    <col min="5" max="5" width="29" style="3" customWidth="1"/>
    <col min="6" max="6" width="19.83203125" style="3" customWidth="1"/>
    <col min="7" max="7" width="17.5" style="3" customWidth="1"/>
    <col min="8" max="8" width="25.1640625" style="3" customWidth="1"/>
    <col min="9" max="9" width="10.6640625" style="3" customWidth="1"/>
    <col min="10" max="10" width="18.83203125" style="3" customWidth="1"/>
    <col min="11" max="11" width="10.6640625" style="3" customWidth="1"/>
    <col min="12" max="12" width="16.6640625" style="3" customWidth="1"/>
    <col min="13" max="13" width="12.33203125" style="3" customWidth="1"/>
    <col min="14" max="14" width="15.33203125" style="3" customWidth="1"/>
    <col min="15" max="15" width="14.83203125" style="3" customWidth="1"/>
    <col min="16" max="16" width="1.5" style="3" customWidth="1"/>
    <col min="17" max="16384" width="10.83203125" style="3"/>
  </cols>
  <sheetData>
    <row r="1" spans="1:26" ht="4" customHeight="1" x14ac:dyDescent="0.2">
      <c r="Z1" s="81"/>
    </row>
    <row r="2" spans="1:26" ht="39" customHeight="1" x14ac:dyDescent="0.25">
      <c r="A2" s="81"/>
      <c r="B2" s="385"/>
      <c r="C2" s="385"/>
      <c r="D2" s="425" t="s">
        <v>0</v>
      </c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6"/>
    </row>
    <row r="3" spans="1:26" ht="10" customHeight="1" x14ac:dyDescent="0.25">
      <c r="A3" s="81"/>
      <c r="B3" s="385"/>
      <c r="C3" s="385"/>
      <c r="D3" s="386"/>
      <c r="E3" s="386"/>
      <c r="F3" s="386"/>
      <c r="G3" s="386"/>
      <c r="H3" s="386"/>
      <c r="I3" s="386"/>
      <c r="J3" s="386"/>
      <c r="K3" s="386"/>
      <c r="L3" s="386"/>
      <c r="M3" s="386"/>
      <c r="N3" s="386"/>
      <c r="O3" s="386"/>
      <c r="P3" s="386"/>
    </row>
    <row r="4" spans="1:26" ht="30" customHeight="1" x14ac:dyDescent="0.4">
      <c r="A4" s="81"/>
      <c r="B4" s="387"/>
      <c r="C4" s="387"/>
      <c r="D4" s="388" t="s">
        <v>1</v>
      </c>
      <c r="E4" s="389" t="str">
        <f>TEXT(_DB_Data!B7/1000,"#.##0")&amp;" Ton"</f>
        <v>21.764 Ton</v>
      </c>
      <c r="F4" s="390" t="str">
        <f ca="1">IF(_DB_Data!B12&gt;0,"↑ "&amp;TEXT(ABS(_DB_Data!B12),"0.0%"),"↓ "&amp;TEXT(ABS(_DB_Data!B12),"0.0%"))</f>
        <v>↓ 15%</v>
      </c>
      <c r="G4" s="391" t="str">
        <f ca="1">"Prev: "&amp;TEXT(INT(_DB_Data!B10/1000),"#.##0")&amp;" Ton"</f>
        <v>Prev: 3.853 Ton</v>
      </c>
      <c r="H4" s="387"/>
      <c r="I4" s="387"/>
      <c r="J4" s="387"/>
      <c r="K4" s="387" t="s">
        <v>2</v>
      </c>
      <c r="L4" s="387">
        <v>2025</v>
      </c>
      <c r="M4" s="387">
        <v>2026</v>
      </c>
      <c r="N4" s="387"/>
      <c r="O4" s="387"/>
      <c r="P4" s="387"/>
    </row>
    <row r="5" spans="1:26" ht="11" customHeight="1" x14ac:dyDescent="0.25">
      <c r="A5" s="81"/>
      <c r="B5" s="387"/>
      <c r="C5" s="387"/>
      <c r="D5" s="392"/>
      <c r="E5" s="392"/>
      <c r="F5" s="392"/>
      <c r="G5" s="392"/>
      <c r="H5" s="392"/>
      <c r="I5" s="392"/>
      <c r="J5" s="392"/>
      <c r="K5" s="392"/>
      <c r="L5" s="392"/>
      <c r="M5" s="392"/>
      <c r="N5" s="392"/>
      <c r="O5" s="392"/>
      <c r="P5" s="392"/>
    </row>
    <row r="6" spans="1:26" ht="30" customHeight="1" thickBot="1" x14ac:dyDescent="0.25">
      <c r="A6" s="81"/>
      <c r="B6" s="393"/>
      <c r="C6" s="393"/>
      <c r="D6" s="388" t="s">
        <v>1236</v>
      </c>
      <c r="E6" s="394" t="s">
        <v>3254</v>
      </c>
      <c r="F6" s="395">
        <v>0</v>
      </c>
      <c r="G6" s="391"/>
      <c r="H6" s="391"/>
      <c r="I6" s="391"/>
      <c r="J6" s="391"/>
      <c r="K6" s="391"/>
      <c r="L6" s="391"/>
      <c r="M6" s="391"/>
      <c r="N6" s="391"/>
      <c r="O6" s="391"/>
      <c r="P6" s="391"/>
    </row>
    <row r="7" spans="1:26" ht="30" customHeight="1" thickTop="1" x14ac:dyDescent="0.25">
      <c r="A7" s="81"/>
      <c r="B7" s="385"/>
      <c r="C7" s="385"/>
      <c r="D7" s="396" t="s">
        <v>4</v>
      </c>
      <c r="E7" s="397"/>
      <c r="F7" s="396" t="s">
        <v>5</v>
      </c>
      <c r="G7" s="397"/>
      <c r="H7" s="396" t="s">
        <v>6</v>
      </c>
      <c r="I7" s="397"/>
      <c r="J7" s="396" t="s">
        <v>7</v>
      </c>
      <c r="K7" s="397"/>
      <c r="L7" s="398"/>
      <c r="M7" s="396" t="s">
        <v>8</v>
      </c>
      <c r="N7" s="398"/>
      <c r="O7" s="396" t="s">
        <v>9</v>
      </c>
      <c r="P7" s="81"/>
    </row>
    <row r="8" spans="1:26" ht="30" customHeight="1" x14ac:dyDescent="0.25">
      <c r="A8" s="81"/>
      <c r="B8" s="385"/>
      <c r="C8" s="385"/>
      <c r="D8" s="399" cm="1">
        <f t="array" ref="D8">IF($E$6="Semua",IF($F$6=0,SUMPRODUCT((Database!$I$4:$I$4826&lt;&gt;"")*1),SUMPRODUCT((Database!$I$4:$I$4826&lt;&gt;"")*(MONTH(Database!$K$4:$K$4826)=$F$6))),IF($F$6=0,SUMPRODUCT((Database!$I$4:$I$4826=$E$6)*1),SUMPRODUCT((Database!$I$4:$I$4826=$E$6)*(MONTH(Database!$K$4:$K$4826)=$F$6))))</f>
        <v>1564</v>
      </c>
      <c r="E8" s="81"/>
      <c r="F8" s="399" cm="1">
        <f t="array" ref="F8">IF($E$6="Semua",IF($F$6=0,SUMPRODUCT((Database!$I$4:$I$4826&lt;&gt;"")*Database!$N$4:$N$4826),SUMPRODUCT((Database!$I$4:$I$4826&lt;&gt;"")*(MONTH(Database!$K$4:$K$4826)=$F$6)*Database!$N$4:$N$4826)),IF($F$6=0,SUMPRODUCT((Database!$I$4:$I$4826=$E$6)*Database!$N$4:$N$4826),SUMPRODUCT((Database!$I$4:$I$4826=$E$6)*(MONTH(Database!$K$4:$K$4826)=$F$6)*Database!$N$4:$N$4826)))</f>
        <v>21764280</v>
      </c>
      <c r="G8" s="81"/>
      <c r="H8" s="399" cm="1">
        <f t="array" ref="H8">IFERROR(ROUND(IF($E$6="Semua",IF($F$6=0,SUMPRODUCT((Database!$I$4:$I$4826&lt;&gt;"")*Database!$N$4:$N$4826),SUMPRODUCT((Database!$I$4:$I$4826&lt;&gt;"")*(MONTH(Database!$K$4:$K$4826)=$F$6)*Database!$N$4:$N$4826)),IF($F$6=0,SUMPRODUCT((Database!$I$4:$I$4826=$E$6)*Database!$N$4:$N$4826),SUMPRODUCT((Database!$I$4:$I$4826=$E$6)*(MONTH(Database!$K$4:$K$4826)=$F$6)*Database!$N$4:$N$4826)))/1000,0),0)</f>
        <v>21764</v>
      </c>
      <c r="I8" s="81"/>
      <c r="J8" s="399" cm="1">
        <f t="array" ref="J8">IFERROR(IF($E$6="Semua",IF($F$6=0,SUMPRODUCT((Database!$I$4:$I$4826&lt;&gt;"")*Database!$N$4:$N$4826),SUMPRODUCT((Database!$I$4:$I$4826&lt;&gt;"")*(MONTH(Database!$K$4:$K$4826)=$F$6)*Database!$N$4:$N$4826)),IF($F$6=0,SUMPRODUCT((Database!$I$4:$I$4826=$E$6)*Database!$N$4:$N$4826),SUMPRODUCT((Database!$I$4:$I$4826=$E$6)*(MONTH(Database!$K$4:$K$4826)=$F$6)*Database!$N$4:$N$4826)))/IF($E$6="Semua",IF($F$6=0,SUMPRODUCT((Database!$I$4:$I$4826&lt;&gt;"")*1),SUMPRODUCT((Database!$I$4:$I$4826&lt;&gt;"")*(MONTH(Database!$K$4:$K$4826)=$F$6))),IF($F$6=0,SUMPRODUCT((Database!$I$4:$I$4826=$E$6)*1),SUMPRODUCT((Database!$I$4:$I$4826=$E$6)*(MONTH(Database!$K$4:$K$4826)=$F$6)))),0)</f>
        <v>13915.780051150896</v>
      </c>
      <c r="K8" s="81"/>
      <c r="L8" s="398"/>
      <c r="M8" s="400">
        <f ca="1">IFERROR(IF($E$6="Semua",IF($F$6=0,_xlfn.MAXIFS(Database!$N$4:$N$4826,Database!$N$4:$N$4826,"&gt;"&amp;0),_xlfn.MAXIFS(Database!$N$4:$N$4826,Database!$N$4:$N$4826,"&gt;"&amp;0,Database!$K$4:$K$4826,"&gt;="&amp;DATE(YEAR(TODAY()),$F$6,1),Database!$K$4:$K$4826,"&lt;"&amp;EOMONTH(DATE(YEAR(TODAY()),$F$6,1),0)+1)),IF($F$6=0,_xlfn.MAXIFS(Database!$N$4:$N$4826,Database!$I$4:$I$4826,$E$6,Database!$N$4:$N$4826,"&gt;"&amp;0),_xlfn.MAXIFS(Database!$N$4:$N$4826,Database!$I$4:$I$4826,$E$6,Database!$N$4:$N$4826,"&gt;"&amp;0,Database!$K$4:$K$4826,"&gt;="&amp;DATE(YEAR(TODAY()),$F$6,1),Database!$K$4:$K$4826,"&lt;"&amp;EOMONTH(DATE(YEAR(TODAY()),$F$6,1),0)+1))),0)</f>
        <v>29000</v>
      </c>
      <c r="N8" s="398"/>
      <c r="O8" s="400">
        <f ca="1">IFERROR(IF($E$6="Semua",IF($F$6=0,_xlfn.MINIFS(Database!$N$4:$N$4826,Database!$N$4:$N$4826,"&gt;"&amp;100),_xlfn.MINIFS(Database!$N$4:$N$4826,Database!$N$4:$N$4826,"&gt;"&amp;100,Database!$K$4:$K$4826,"&gt;="&amp;DATE(YEAR(TODAY()),$F$6,1),Database!$K$4:$K$4826,"&lt;"&amp;EOMONTH(DATE(YEAR(TODAY()),$F$6,1),0)+1)),IF($F$6=0,_xlfn.MINIFS(Database!$N$4:$N$4826,Database!$I$4:$I$4826,$E$6,Database!$N$4:$N$4826,"&gt;"&amp;100),_xlfn.MINIFS(Database!$N$4:$N$4826,Database!$I$4:$I$4826,$E$6,Database!$N$4:$N$4826,"&gt;"&amp;100,Database!$K$4:$K$4826,"&gt;="&amp;DATE(YEAR(TODAY()),$F$6,1),Database!$K$4:$K$4826,"&lt;"&amp;EOMONTH(DATE(YEAR(TODAY()),$F$6,1),0)+1))),0)</f>
        <v>190</v>
      </c>
      <c r="P8" s="81"/>
    </row>
    <row r="9" spans="1:26" ht="30" customHeight="1" x14ac:dyDescent="0.2">
      <c r="A9" s="81"/>
      <c r="B9" s="391"/>
      <c r="C9" s="391"/>
      <c r="D9" s="401" t="s">
        <v>10</v>
      </c>
      <c r="E9" s="402"/>
      <c r="F9" s="401" t="s">
        <v>11</v>
      </c>
      <c r="G9" s="402"/>
      <c r="H9" s="401" t="s">
        <v>12</v>
      </c>
      <c r="I9" s="402"/>
      <c r="J9" s="401" t="s">
        <v>13</v>
      </c>
      <c r="K9" s="402"/>
      <c r="L9" s="398"/>
      <c r="M9" s="401" t="s">
        <v>11</v>
      </c>
      <c r="N9" s="398"/>
      <c r="O9" s="401" t="s">
        <v>11</v>
      </c>
      <c r="P9" s="402"/>
    </row>
    <row r="10" spans="1:26" ht="15" customHeight="1" x14ac:dyDescent="0.2">
      <c r="A10" s="81"/>
      <c r="D10" s="403"/>
      <c r="E10" s="403"/>
      <c r="F10" s="403"/>
      <c r="G10" s="403"/>
      <c r="H10" s="403"/>
      <c r="I10" s="403"/>
      <c r="J10" s="403"/>
      <c r="K10" s="403"/>
      <c r="L10" s="403"/>
      <c r="M10" s="403"/>
      <c r="N10" s="403"/>
      <c r="O10" s="403"/>
      <c r="P10" s="81"/>
    </row>
    <row r="11" spans="1:26" ht="15" customHeight="1" x14ac:dyDescent="0.25">
      <c r="A11" s="81"/>
      <c r="B11" s="387"/>
      <c r="C11" s="387"/>
      <c r="D11" s="392"/>
      <c r="E11" s="392"/>
      <c r="F11" s="392"/>
      <c r="G11" s="392"/>
      <c r="H11" s="392"/>
      <c r="I11" s="392"/>
      <c r="J11" s="392"/>
      <c r="K11" s="392"/>
      <c r="L11" s="392"/>
      <c r="M11" s="392"/>
      <c r="N11" s="392"/>
      <c r="O11" s="392"/>
      <c r="P11" s="392"/>
    </row>
    <row r="12" spans="1:26" ht="15" customHeight="1" x14ac:dyDescent="0.25">
      <c r="A12" s="81"/>
      <c r="B12" s="387"/>
      <c r="C12" s="387"/>
      <c r="D12" s="404"/>
      <c r="E12" s="405"/>
      <c r="F12" s="406"/>
      <c r="G12" s="407"/>
      <c r="H12" s="408"/>
      <c r="I12" s="409"/>
      <c r="J12" s="410"/>
      <c r="K12" s="411"/>
      <c r="L12" s="412"/>
      <c r="M12" s="413"/>
      <c r="N12" s="414"/>
      <c r="O12" s="415"/>
      <c r="P12" s="416"/>
    </row>
    <row r="13" spans="1:26" ht="158" customHeight="1" x14ac:dyDescent="0.25">
      <c r="A13" s="81"/>
      <c r="B13" s="387"/>
      <c r="C13" s="387"/>
      <c r="D13" s="392"/>
      <c r="E13" s="392"/>
      <c r="F13" s="392"/>
      <c r="G13" s="392"/>
      <c r="H13" s="392"/>
      <c r="I13" s="392"/>
      <c r="J13" s="392"/>
      <c r="K13" s="392"/>
      <c r="L13" s="392"/>
      <c r="M13" s="392"/>
      <c r="N13" s="392"/>
      <c r="O13" s="392"/>
      <c r="P13" s="392"/>
    </row>
    <row r="14" spans="1:26" ht="30" customHeight="1" x14ac:dyDescent="0.25">
      <c r="A14" s="81"/>
      <c r="B14" s="385"/>
      <c r="C14" s="385"/>
      <c r="D14" s="417" t="s">
        <v>1232</v>
      </c>
      <c r="E14" s="392"/>
      <c r="F14" s="392"/>
      <c r="G14" s="418"/>
      <c r="H14" s="418"/>
      <c r="I14" s="392"/>
      <c r="J14" s="392"/>
      <c r="K14" s="418"/>
      <c r="L14" s="392"/>
      <c r="M14" s="392"/>
      <c r="N14" s="418"/>
      <c r="O14" s="392"/>
      <c r="P14" s="392"/>
    </row>
    <row r="15" spans="1:26" ht="30" customHeight="1" x14ac:dyDescent="0.25">
      <c r="A15" s="81"/>
      <c r="B15" s="385"/>
      <c r="C15" s="385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</row>
    <row r="16" spans="1:26" ht="30" customHeight="1" x14ac:dyDescent="0.25">
      <c r="A16" s="81"/>
      <c r="B16" s="385"/>
      <c r="C16" s="385"/>
      <c r="D16" s="418"/>
      <c r="E16" s="392"/>
      <c r="F16" s="392"/>
      <c r="G16" s="418"/>
      <c r="H16" s="392"/>
      <c r="I16" s="392"/>
      <c r="J16" s="392"/>
      <c r="K16" s="418"/>
      <c r="L16" s="392"/>
      <c r="M16" s="392"/>
      <c r="N16" s="392"/>
      <c r="O16" s="392"/>
      <c r="P16" s="392"/>
    </row>
    <row r="17" spans="1:16" ht="30" customHeight="1" x14ac:dyDescent="0.25">
      <c r="A17" s="81"/>
      <c r="B17" s="387"/>
      <c r="C17" s="387"/>
      <c r="D17" s="417" t="s">
        <v>1233</v>
      </c>
      <c r="E17" s="392"/>
      <c r="F17" s="392"/>
      <c r="G17" s="418"/>
      <c r="H17" s="392"/>
      <c r="I17" s="392"/>
      <c r="J17" s="392"/>
      <c r="K17" s="418"/>
      <c r="L17" s="392"/>
      <c r="M17" s="392"/>
      <c r="N17" s="392"/>
      <c r="O17" s="392"/>
      <c r="P17" s="392"/>
    </row>
    <row r="18" spans="1:16" ht="152" customHeight="1" x14ac:dyDescent="0.25">
      <c r="A18" s="81"/>
      <c r="B18" s="385"/>
      <c r="C18" s="385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</row>
    <row r="19" spans="1:16" ht="30" customHeight="1" x14ac:dyDescent="0.2">
      <c r="A19" s="81"/>
      <c r="B19" s="419"/>
      <c r="C19" s="419"/>
      <c r="D19" s="420" t="str">
        <f>"Data: Summary WB  |  "&amp;TEXT(_DB_Data!B4,"#,##0")&amp;" Trip  |  Filter: "&amp;_DB_Data!B1&amp;"  |  Auto-update s/d baris 2000"</f>
        <v>Data: Summary WB  |  1564,0 Trip  |  Filter: Semua  |  Auto-update s/d baris 2000</v>
      </c>
      <c r="E19" s="420"/>
      <c r="F19" s="420"/>
      <c r="G19" s="420"/>
      <c r="H19" s="420"/>
      <c r="I19" s="420"/>
      <c r="J19" s="420"/>
      <c r="K19" s="420"/>
      <c r="L19" s="420"/>
      <c r="M19" s="420"/>
      <c r="N19" s="420"/>
      <c r="O19" s="420"/>
      <c r="P19" s="420"/>
    </row>
    <row r="20" spans="1:16" ht="30" customHeight="1" x14ac:dyDescent="0.25">
      <c r="A20" s="81"/>
      <c r="B20" s="385"/>
      <c r="C20" s="385"/>
      <c r="D20" s="385"/>
      <c r="E20" s="385"/>
      <c r="F20" s="385"/>
      <c r="G20" s="385"/>
      <c r="H20" s="385"/>
      <c r="I20" s="385"/>
      <c r="J20" s="385"/>
      <c r="K20" s="385"/>
      <c r="L20" s="385"/>
      <c r="M20" s="385"/>
      <c r="N20" s="385"/>
      <c r="O20" s="385"/>
      <c r="P20" s="385"/>
    </row>
    <row r="21" spans="1:16" ht="30" customHeight="1" x14ac:dyDescent="0.25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ht="30" customHeight="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ht="30" customHeight="1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ht="30" customHeight="1" x14ac:dyDescent="0.2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ht="30" customHeight="1" x14ac:dyDescent="0.2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ht="30" customHeight="1" x14ac:dyDescent="0.2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ht="30" customHeight="1" x14ac:dyDescent="0.25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ht="30" customHeight="1" x14ac:dyDescent="0.25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ht="30" customHeight="1" x14ac:dyDescent="0.25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ht="30" customHeight="1" x14ac:dyDescent="0.25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ht="30" customHeight="1" x14ac:dyDescent="0.25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ht="30" customHeight="1" x14ac:dyDescent="0.25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2:16" ht="30" customHeight="1" x14ac:dyDescent="0.2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2:16" ht="30" customHeight="1" x14ac:dyDescent="0.25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2:16" ht="30" customHeight="1" x14ac:dyDescent="0.2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2:16" ht="30" customHeight="1" x14ac:dyDescent="0.25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2:16" ht="30" customHeight="1" x14ac:dyDescent="0.2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2:16" ht="30" customHeight="1" x14ac:dyDescent="0.2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2:16" ht="30" customHeight="1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2:16" ht="30" customHeight="1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2:16" ht="30" customHeight="1" x14ac:dyDescent="0.25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2:16" ht="30" customHeight="1" x14ac:dyDescent="0.25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2:16" ht="30" customHeight="1" x14ac:dyDescent="0.25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2:16" ht="30" customHeight="1" x14ac:dyDescent="0.25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2:16" ht="30" customHeight="1" x14ac:dyDescent="0.2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2:16" ht="30" customHeight="1" x14ac:dyDescent="0.25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2:16" ht="30" customHeight="1" x14ac:dyDescent="0.25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2:16" ht="30" customHeight="1" x14ac:dyDescent="0.25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spans="2:16" ht="30" customHeight="1" x14ac:dyDescent="0.25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spans="2:16" ht="30" customHeight="1" x14ac:dyDescent="0.25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2:16" ht="30" customHeight="1" x14ac:dyDescent="0.25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spans="2:16" ht="30" customHeight="1" x14ac:dyDescent="0.25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spans="2:16" ht="30" customHeight="1" x14ac:dyDescent="0.25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spans="2:16" ht="30" customHeight="1" x14ac:dyDescent="0.25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spans="2:16" ht="30" customHeight="1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spans="2:16" ht="30" customHeight="1" x14ac:dyDescent="0.25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spans="2:16" ht="30" customHeight="1" x14ac:dyDescent="0.2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spans="2:16" ht="30" customHeight="1" x14ac:dyDescent="0.25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spans="2:16" ht="30" customHeight="1" x14ac:dyDescent="0.25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spans="2:16" ht="30" customHeight="1" x14ac:dyDescent="0.25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2:16" ht="30" customHeight="1" x14ac:dyDescent="0.25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spans="2:16" ht="30" customHeight="1" x14ac:dyDescent="0.25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spans="2:16" ht="30" customHeight="1" x14ac:dyDescent="0.25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spans="2:16" ht="30" customHeight="1" x14ac:dyDescent="0.25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</sheetData>
  <mergeCells count="1">
    <mergeCell ref="D2:P2"/>
  </mergeCells>
  <conditionalFormatting sqref="E12:P12">
    <cfRule type="expression" dxfId="72" priority="2">
      <formula>AND($F$6=E12,$F$6&lt;&gt;0)</formula>
    </cfRule>
  </conditionalFormatting>
  <dataValidations count="2">
    <dataValidation type="list" allowBlank="1" showInputMessage="1" showErrorMessage="1" promptTitle="🔽 Filter Produk" prompt="Pilih: Semua / CPO / B-40 / RBDPL / BE" sqref="E6" xr:uid="{00000000-0002-0000-0000-000000000000}">
      <formula1>"Semua,CPO,B-40,RBDPL,RBDPS,BE"</formula1>
    </dataValidation>
    <dataValidation type="list" allowBlank="1" showInputMessage="1" showErrorMessage="1" sqref="F6" xr:uid="{00000000-0002-0000-0000-000001000000}">
      <formula1>"0,1,2,3,4,5,6,7,8,9,10,11,12"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6621B-F58B-6A40-80CE-E6E1DC8BD3FF}">
  <sheetPr>
    <tabColor rgb="FF1F4E79"/>
  </sheetPr>
  <dimension ref="A1:AR960"/>
  <sheetViews>
    <sheetView showGridLines="0" workbookViewId="0">
      <selection activeCell="A11" sqref="A11"/>
    </sheetView>
  </sheetViews>
  <sheetFormatPr baseColWidth="10" defaultRowHeight="15" x14ac:dyDescent="0.2"/>
  <cols>
    <col min="1" max="1" width="17.6640625" customWidth="1"/>
    <col min="3" max="3" width="15" customWidth="1"/>
    <col min="4" max="4" width="21.6640625" customWidth="1"/>
    <col min="5" max="5" width="0.83203125" customWidth="1"/>
    <col min="6" max="7" width="15.83203125" customWidth="1"/>
    <col min="8" max="8" width="5.83203125" customWidth="1"/>
    <col min="9" max="10" width="15.83203125" customWidth="1"/>
    <col min="11" max="11" width="5.83203125" customWidth="1"/>
    <col min="12" max="16" width="15.83203125" customWidth="1"/>
    <col min="17" max="17" width="5.83203125" customWidth="1"/>
    <col min="18" max="19" width="15.83203125" customWidth="1"/>
    <col min="20" max="20" width="5.83203125" customWidth="1"/>
    <col min="21" max="22" width="15.83203125" customWidth="1"/>
    <col min="23" max="23" width="5.83203125" customWidth="1"/>
    <col min="24" max="25" width="15.83203125" customWidth="1"/>
    <col min="26" max="26" width="5.83203125" customWidth="1"/>
    <col min="27" max="29" width="15.83203125" customWidth="1"/>
    <col min="30" max="30" width="5.83203125" customWidth="1"/>
    <col min="31" max="33" width="15.83203125" customWidth="1"/>
    <col min="34" max="34" width="5.83203125" customWidth="1"/>
    <col min="35" max="36" width="15.83203125" customWidth="1"/>
    <col min="37" max="37" width="5.83203125" customWidth="1"/>
    <col min="38" max="39" width="15.83203125" customWidth="1"/>
    <col min="40" max="40" width="5.83203125" customWidth="1"/>
    <col min="41" max="44" width="15.83203125" customWidth="1"/>
  </cols>
  <sheetData>
    <row r="1" spans="1:6" ht="21" x14ac:dyDescent="0.25">
      <c r="A1" s="351" t="s">
        <v>3127</v>
      </c>
    </row>
    <row r="2" spans="1:6" x14ac:dyDescent="0.2">
      <c r="A2" s="352"/>
    </row>
    <row r="4" spans="1:6" ht="17" x14ac:dyDescent="0.2">
      <c r="A4" s="353" t="s">
        <v>2227</v>
      </c>
      <c r="B4" s="205"/>
      <c r="C4" s="205"/>
      <c r="D4" s="205"/>
      <c r="E4" s="205"/>
      <c r="F4" s="205"/>
    </row>
    <row r="5" spans="1:6" x14ac:dyDescent="0.2">
      <c r="A5" s="345" t="s">
        <v>2228</v>
      </c>
      <c r="B5" s="354" t="s">
        <v>14</v>
      </c>
      <c r="C5" s="354" t="s">
        <v>1816</v>
      </c>
      <c r="D5" s="355"/>
      <c r="E5" s="345" t="s">
        <v>2229</v>
      </c>
      <c r="F5" s="354" t="s">
        <v>2230</v>
      </c>
    </row>
    <row r="6" spans="1:6" x14ac:dyDescent="0.2">
      <c r="A6" s="356" t="s">
        <v>2231</v>
      </c>
      <c r="B6" s="357">
        <v>941</v>
      </c>
      <c r="E6" t="s">
        <v>1157</v>
      </c>
      <c r="F6" s="78">
        <v>9</v>
      </c>
    </row>
    <row r="7" spans="1:6" x14ac:dyDescent="0.2">
      <c r="A7" s="356" t="s">
        <v>2232</v>
      </c>
      <c r="B7" s="357">
        <v>941</v>
      </c>
      <c r="E7" t="s">
        <v>19</v>
      </c>
      <c r="F7" s="362">
        <v>480</v>
      </c>
    </row>
    <row r="8" spans="1:6" x14ac:dyDescent="0.2">
      <c r="A8" t="s">
        <v>2233</v>
      </c>
      <c r="B8" s="78">
        <v>941</v>
      </c>
      <c r="E8" t="s">
        <v>1226</v>
      </c>
      <c r="F8" s="362">
        <v>526</v>
      </c>
    </row>
    <row r="9" spans="1:6" x14ac:dyDescent="0.2">
      <c r="A9" s="358" t="s">
        <v>2234</v>
      </c>
      <c r="B9" s="359">
        <v>235</v>
      </c>
      <c r="C9" s="360">
        <f>B9/B8</f>
        <v>0.24973432518597238</v>
      </c>
      <c r="E9" t="s">
        <v>2237</v>
      </c>
      <c r="F9" s="363">
        <v>0</v>
      </c>
    </row>
    <row r="10" spans="1:6" x14ac:dyDescent="0.2">
      <c r="A10" s="361" t="s">
        <v>2235</v>
      </c>
      <c r="B10" s="362">
        <v>706</v>
      </c>
      <c r="C10" s="360">
        <f>B10/B8</f>
        <v>0.75026567481402762</v>
      </c>
      <c r="E10" t="s">
        <v>2238</v>
      </c>
      <c r="F10" s="363">
        <v>0</v>
      </c>
    </row>
    <row r="11" spans="1:6" x14ac:dyDescent="0.2">
      <c r="A11" s="356" t="s">
        <v>2236</v>
      </c>
      <c r="B11" s="357">
        <v>0</v>
      </c>
      <c r="E11" t="s">
        <v>2239</v>
      </c>
      <c r="F11" s="363">
        <v>0</v>
      </c>
    </row>
    <row r="12" spans="1:6" x14ac:dyDescent="0.2">
      <c r="E12" t="s">
        <v>2240</v>
      </c>
      <c r="F12" s="363">
        <v>0</v>
      </c>
    </row>
    <row r="13" spans="1:6" x14ac:dyDescent="0.2">
      <c r="A13" s="365" t="s">
        <v>2243</v>
      </c>
      <c r="E13" t="s">
        <v>2241</v>
      </c>
      <c r="F13" s="363">
        <v>94</v>
      </c>
    </row>
    <row r="14" spans="1:6" x14ac:dyDescent="0.2">
      <c r="A14" s="364" t="s">
        <v>2244</v>
      </c>
      <c r="E14" t="s">
        <v>2242</v>
      </c>
      <c r="F14" s="363">
        <v>104</v>
      </c>
    </row>
    <row r="15" spans="1:6" x14ac:dyDescent="0.2">
      <c r="A15" s="364" t="s">
        <v>2245</v>
      </c>
      <c r="E15" t="s">
        <v>28</v>
      </c>
      <c r="F15" s="363">
        <v>46</v>
      </c>
    </row>
    <row r="16" spans="1:6" x14ac:dyDescent="0.2">
      <c r="A16" s="364" t="s">
        <v>2246</v>
      </c>
    </row>
    <row r="18" spans="1:44" ht="25" customHeight="1" x14ac:dyDescent="0.2">
      <c r="A18" s="353" t="s">
        <v>2247</v>
      </c>
      <c r="B18" s="205"/>
      <c r="C18" s="205"/>
      <c r="D18" s="205"/>
      <c r="E18" s="205"/>
      <c r="F18" s="428" t="s">
        <v>2248</v>
      </c>
      <c r="G18" s="428"/>
      <c r="H18" s="428"/>
      <c r="I18" s="429" t="s">
        <v>2249</v>
      </c>
      <c r="J18" s="429"/>
      <c r="K18" s="429"/>
      <c r="L18" s="430" t="s">
        <v>2250</v>
      </c>
      <c r="M18" s="430"/>
      <c r="N18" s="430"/>
      <c r="O18" s="431" t="s">
        <v>2251</v>
      </c>
      <c r="P18" s="431"/>
      <c r="Q18" s="431"/>
      <c r="R18" s="428" t="s">
        <v>2252</v>
      </c>
      <c r="S18" s="428"/>
      <c r="T18" s="428"/>
      <c r="U18" s="429" t="s">
        <v>2253</v>
      </c>
      <c r="V18" s="429"/>
      <c r="W18" s="429"/>
      <c r="X18" s="430" t="s">
        <v>2254</v>
      </c>
      <c r="Y18" s="430"/>
      <c r="Z18" s="430"/>
      <c r="AA18" s="430"/>
      <c r="AB18" s="431" t="s">
        <v>2255</v>
      </c>
      <c r="AC18" s="431"/>
      <c r="AD18" s="431"/>
      <c r="AE18" s="431"/>
      <c r="AF18" s="428" t="s">
        <v>2256</v>
      </c>
      <c r="AG18" s="428"/>
      <c r="AH18" s="428"/>
      <c r="AI18" s="429" t="s">
        <v>2257</v>
      </c>
      <c r="AJ18" s="429"/>
      <c r="AK18" s="429"/>
      <c r="AL18" s="430" t="s">
        <v>2258</v>
      </c>
      <c r="AM18" s="430"/>
      <c r="AN18" s="430"/>
      <c r="AO18" s="427" t="s">
        <v>2259</v>
      </c>
      <c r="AP18" s="427"/>
      <c r="AQ18" s="427"/>
      <c r="AR18" s="427"/>
    </row>
    <row r="19" spans="1:44" ht="22" customHeight="1" x14ac:dyDescent="0.2">
      <c r="A19" s="366" t="s">
        <v>2260</v>
      </c>
      <c r="B19" s="367" t="s">
        <v>2261</v>
      </c>
      <c r="C19" s="367" t="s">
        <v>2262</v>
      </c>
      <c r="D19" s="367" t="s">
        <v>1094</v>
      </c>
      <c r="E19" s="368"/>
      <c r="F19" s="367" t="s">
        <v>2263</v>
      </c>
      <c r="G19" s="367" t="s">
        <v>2264</v>
      </c>
      <c r="H19" s="367" t="s">
        <v>2265</v>
      </c>
      <c r="I19" s="367" t="s">
        <v>2263</v>
      </c>
      <c r="J19" s="367" t="s">
        <v>2264</v>
      </c>
      <c r="K19" s="367" t="s">
        <v>2265</v>
      </c>
      <c r="L19" s="367" t="s">
        <v>2266</v>
      </c>
      <c r="M19" s="367" t="s">
        <v>2267</v>
      </c>
      <c r="N19" s="367" t="s">
        <v>2268</v>
      </c>
      <c r="O19" s="367" t="s">
        <v>2263</v>
      </c>
      <c r="P19" s="367" t="s">
        <v>2264</v>
      </c>
      <c r="Q19" s="367" t="s">
        <v>2265</v>
      </c>
      <c r="R19" s="367" t="s">
        <v>2263</v>
      </c>
      <c r="S19" s="367" t="s">
        <v>2264</v>
      </c>
      <c r="T19" s="367" t="s">
        <v>2265</v>
      </c>
      <c r="U19" s="367" t="s">
        <v>2263</v>
      </c>
      <c r="V19" s="367" t="s">
        <v>2264</v>
      </c>
      <c r="W19" s="367" t="s">
        <v>2265</v>
      </c>
      <c r="X19" s="367" t="s">
        <v>2263</v>
      </c>
      <c r="Y19" s="367" t="s">
        <v>2264</v>
      </c>
      <c r="Z19" s="367" t="s">
        <v>2265</v>
      </c>
      <c r="AA19" s="367" t="s">
        <v>1706</v>
      </c>
      <c r="AB19" s="367" t="s">
        <v>2263</v>
      </c>
      <c r="AC19" s="367" t="s">
        <v>2264</v>
      </c>
      <c r="AD19" s="367" t="s">
        <v>2265</v>
      </c>
      <c r="AE19" s="367" t="s">
        <v>1706</v>
      </c>
      <c r="AF19" s="367" t="s">
        <v>2263</v>
      </c>
      <c r="AG19" s="367" t="s">
        <v>2264</v>
      </c>
      <c r="AH19" s="367" t="s">
        <v>2265</v>
      </c>
      <c r="AI19" s="367" t="s">
        <v>2263</v>
      </c>
      <c r="AJ19" s="367" t="s">
        <v>2264</v>
      </c>
      <c r="AK19" s="367" t="s">
        <v>2265</v>
      </c>
      <c r="AL19" s="367" t="s">
        <v>2263</v>
      </c>
      <c r="AM19" s="367" t="s">
        <v>2264</v>
      </c>
      <c r="AN19" s="367" t="s">
        <v>2265</v>
      </c>
      <c r="AO19" s="367" t="s">
        <v>16</v>
      </c>
      <c r="AP19" s="367" t="s">
        <v>29</v>
      </c>
      <c r="AQ19" s="367" t="s">
        <v>21</v>
      </c>
      <c r="AR19" s="369" t="s">
        <v>35</v>
      </c>
    </row>
    <row r="20" spans="1:44" x14ac:dyDescent="0.2">
      <c r="A20" s="370">
        <v>1</v>
      </c>
      <c r="B20" s="380">
        <v>3</v>
      </c>
      <c r="C20" s="371" t="s">
        <v>2269</v>
      </c>
      <c r="D20" s="371" t="s">
        <v>2270</v>
      </c>
      <c r="E20" s="206"/>
      <c r="F20" s="206" t="s">
        <v>39</v>
      </c>
      <c r="G20" s="206" t="s">
        <v>39</v>
      </c>
      <c r="H20" s="371" t="s">
        <v>2271</v>
      </c>
      <c r="I20" s="206" t="s">
        <v>1330</v>
      </c>
      <c r="J20" s="206" t="s">
        <v>1330</v>
      </c>
      <c r="K20" s="371" t="s">
        <v>2271</v>
      </c>
      <c r="L20" s="206" t="s">
        <v>2137</v>
      </c>
      <c r="M20" s="206" t="s">
        <v>1329</v>
      </c>
      <c r="N20" s="206" t="s">
        <v>40</v>
      </c>
      <c r="O20" s="372">
        <v>45964</v>
      </c>
      <c r="P20" s="372">
        <v>45964</v>
      </c>
      <c r="Q20" s="371" t="s">
        <v>2271</v>
      </c>
      <c r="R20" s="373">
        <v>13680</v>
      </c>
      <c r="S20" s="373">
        <v>13680</v>
      </c>
      <c r="T20" s="371" t="s">
        <v>2271</v>
      </c>
      <c r="U20" s="373">
        <v>4080</v>
      </c>
      <c r="V20" s="373">
        <v>4080</v>
      </c>
      <c r="W20" s="371" t="s">
        <v>2271</v>
      </c>
      <c r="X20" s="373">
        <v>9600</v>
      </c>
      <c r="Y20" s="373">
        <v>9600</v>
      </c>
      <c r="Z20" s="371" t="s">
        <v>2271</v>
      </c>
      <c r="AA20" s="373">
        <v>0</v>
      </c>
      <c r="AB20" s="373">
        <v>9580</v>
      </c>
      <c r="AC20" s="373">
        <v>9580</v>
      </c>
      <c r="AD20" s="371" t="s">
        <v>2271</v>
      </c>
      <c r="AE20" s="373">
        <v>0</v>
      </c>
      <c r="AF20" s="382">
        <v>0.343055555555556</v>
      </c>
      <c r="AG20" s="382">
        <v>0.343055555555556</v>
      </c>
      <c r="AH20" s="371" t="s">
        <v>2271</v>
      </c>
      <c r="AI20" s="382">
        <v>0.41249999999999998</v>
      </c>
      <c r="AJ20" s="382">
        <v>0.41249999999999998</v>
      </c>
      <c r="AK20" s="371" t="s">
        <v>2271</v>
      </c>
      <c r="AL20" s="206" t="s">
        <v>42</v>
      </c>
      <c r="AM20" s="206" t="s">
        <v>42</v>
      </c>
      <c r="AN20" s="371" t="s">
        <v>2271</v>
      </c>
      <c r="AO20" s="206" t="s">
        <v>2272</v>
      </c>
      <c r="AP20" s="206"/>
      <c r="AQ20" s="206" t="s">
        <v>1131</v>
      </c>
      <c r="AR20" s="207" t="s">
        <v>82</v>
      </c>
    </row>
    <row r="21" spans="1:44" x14ac:dyDescent="0.2">
      <c r="A21" s="370">
        <v>2</v>
      </c>
      <c r="B21" s="380">
        <v>4</v>
      </c>
      <c r="C21" s="371" t="s">
        <v>2269</v>
      </c>
      <c r="D21" s="371" t="s">
        <v>2270</v>
      </c>
      <c r="E21" s="206"/>
      <c r="F21" s="206" t="s">
        <v>53</v>
      </c>
      <c r="G21" s="206" t="s">
        <v>53</v>
      </c>
      <c r="H21" s="371" t="s">
        <v>2271</v>
      </c>
      <c r="I21" s="206" t="s">
        <v>1330</v>
      </c>
      <c r="J21" s="206" t="s">
        <v>1330</v>
      </c>
      <c r="K21" s="371" t="s">
        <v>2271</v>
      </c>
      <c r="L21" s="206" t="s">
        <v>2137</v>
      </c>
      <c r="M21" s="206" t="s">
        <v>1329</v>
      </c>
      <c r="N21" s="206" t="s">
        <v>40</v>
      </c>
      <c r="O21" s="372">
        <v>45964</v>
      </c>
      <c r="P21" s="372">
        <v>45964</v>
      </c>
      <c r="Q21" s="371" t="s">
        <v>2271</v>
      </c>
      <c r="R21" s="373">
        <v>13260</v>
      </c>
      <c r="S21" s="373">
        <v>13260</v>
      </c>
      <c r="T21" s="371" t="s">
        <v>2271</v>
      </c>
      <c r="U21" s="373">
        <v>3750</v>
      </c>
      <c r="V21" s="373">
        <v>3750</v>
      </c>
      <c r="W21" s="371" t="s">
        <v>2271</v>
      </c>
      <c r="X21" s="373">
        <v>9510</v>
      </c>
      <c r="Y21" s="373">
        <v>9510</v>
      </c>
      <c r="Z21" s="371" t="s">
        <v>2271</v>
      </c>
      <c r="AA21" s="373">
        <v>0</v>
      </c>
      <c r="AB21" s="373">
        <v>9480</v>
      </c>
      <c r="AC21" s="373">
        <v>9480</v>
      </c>
      <c r="AD21" s="371" t="s">
        <v>2271</v>
      </c>
      <c r="AE21" s="373">
        <v>0</v>
      </c>
      <c r="AF21" s="382">
        <v>0.34375</v>
      </c>
      <c r="AG21" s="382">
        <v>0.34375</v>
      </c>
      <c r="AH21" s="371" t="s">
        <v>2271</v>
      </c>
      <c r="AI21" s="382">
        <v>0.39374999999999999</v>
      </c>
      <c r="AJ21" s="382">
        <v>0.39374999999999999</v>
      </c>
      <c r="AK21" s="371" t="s">
        <v>2271</v>
      </c>
      <c r="AL21" s="206" t="s">
        <v>42</v>
      </c>
      <c r="AM21" s="206" t="s">
        <v>42</v>
      </c>
      <c r="AN21" s="371" t="s">
        <v>2271</v>
      </c>
      <c r="AO21" s="206" t="s">
        <v>2273</v>
      </c>
      <c r="AP21" s="206"/>
      <c r="AQ21" s="206" t="s">
        <v>1131</v>
      </c>
      <c r="AR21" s="207" t="s">
        <v>82</v>
      </c>
    </row>
    <row r="22" spans="1:44" x14ac:dyDescent="0.2">
      <c r="A22" s="370">
        <v>3</v>
      </c>
      <c r="B22" s="380">
        <v>5</v>
      </c>
      <c r="C22" s="371" t="s">
        <v>2269</v>
      </c>
      <c r="D22" s="371" t="s">
        <v>2270</v>
      </c>
      <c r="E22" s="206"/>
      <c r="F22" s="206" t="s">
        <v>73</v>
      </c>
      <c r="G22" s="206" t="s">
        <v>73</v>
      </c>
      <c r="H22" s="371" t="s">
        <v>2271</v>
      </c>
      <c r="I22" s="206" t="s">
        <v>1330</v>
      </c>
      <c r="J22" s="206" t="s">
        <v>1330</v>
      </c>
      <c r="K22" s="371" t="s">
        <v>2271</v>
      </c>
      <c r="L22" s="206" t="s">
        <v>2137</v>
      </c>
      <c r="M22" s="206" t="s">
        <v>1329</v>
      </c>
      <c r="N22" s="206" t="s">
        <v>40</v>
      </c>
      <c r="O22" s="372">
        <v>45964</v>
      </c>
      <c r="P22" s="372">
        <v>45964</v>
      </c>
      <c r="Q22" s="371" t="s">
        <v>2271</v>
      </c>
      <c r="R22" s="373">
        <v>13390</v>
      </c>
      <c r="S22" s="373">
        <v>13390</v>
      </c>
      <c r="T22" s="371" t="s">
        <v>2271</v>
      </c>
      <c r="U22" s="373">
        <v>4000</v>
      </c>
      <c r="V22" s="373">
        <v>4000</v>
      </c>
      <c r="W22" s="371" t="s">
        <v>2271</v>
      </c>
      <c r="X22" s="373">
        <v>9390</v>
      </c>
      <c r="Y22" s="373">
        <v>9390</v>
      </c>
      <c r="Z22" s="371" t="s">
        <v>2271</v>
      </c>
      <c r="AA22" s="373">
        <v>0</v>
      </c>
      <c r="AB22" s="373">
        <v>9370</v>
      </c>
      <c r="AC22" s="373">
        <v>9370</v>
      </c>
      <c r="AD22" s="371" t="s">
        <v>2271</v>
      </c>
      <c r="AE22" s="373">
        <v>0</v>
      </c>
      <c r="AF22" s="382">
        <v>0.34513888888888899</v>
      </c>
      <c r="AG22" s="382">
        <v>0.34513888888888899</v>
      </c>
      <c r="AH22" s="371" t="s">
        <v>2271</v>
      </c>
      <c r="AI22" s="382">
        <v>0.38263888888888897</v>
      </c>
      <c r="AJ22" s="382">
        <v>0.38263888888888897</v>
      </c>
      <c r="AK22" s="371" t="s">
        <v>2271</v>
      </c>
      <c r="AL22" s="206" t="s">
        <v>42</v>
      </c>
      <c r="AM22" s="206" t="s">
        <v>42</v>
      </c>
      <c r="AN22" s="371" t="s">
        <v>2271</v>
      </c>
      <c r="AO22" s="206" t="s">
        <v>2274</v>
      </c>
      <c r="AP22" s="206"/>
      <c r="AQ22" s="206" t="s">
        <v>1131</v>
      </c>
      <c r="AR22" s="207" t="s">
        <v>82</v>
      </c>
    </row>
    <row r="23" spans="1:44" x14ac:dyDescent="0.2">
      <c r="A23" s="370">
        <v>4</v>
      </c>
      <c r="B23" s="380">
        <v>6</v>
      </c>
      <c r="C23" s="371" t="s">
        <v>2275</v>
      </c>
      <c r="D23" s="371" t="s">
        <v>2235</v>
      </c>
      <c r="E23" s="206"/>
      <c r="F23" s="206" t="s">
        <v>76</v>
      </c>
      <c r="G23" s="206" t="s">
        <v>76</v>
      </c>
      <c r="H23" s="371" t="s">
        <v>2271</v>
      </c>
      <c r="I23" s="206" t="s">
        <v>2138</v>
      </c>
      <c r="J23" s="206" t="s">
        <v>1331</v>
      </c>
      <c r="K23" s="371" t="s">
        <v>2276</v>
      </c>
      <c r="L23" s="206" t="s">
        <v>2139</v>
      </c>
      <c r="M23" s="206" t="s">
        <v>1731</v>
      </c>
      <c r="N23" s="206" t="s">
        <v>49</v>
      </c>
      <c r="O23" s="372">
        <v>45971</v>
      </c>
      <c r="P23" s="372">
        <v>45971</v>
      </c>
      <c r="Q23" s="371" t="s">
        <v>2271</v>
      </c>
      <c r="R23" s="373">
        <v>45780</v>
      </c>
      <c r="S23" s="373">
        <v>45780</v>
      </c>
      <c r="T23" s="371" t="s">
        <v>2271</v>
      </c>
      <c r="U23" s="373">
        <v>17430</v>
      </c>
      <c r="V23" s="373">
        <v>17430</v>
      </c>
      <c r="W23" s="371" t="s">
        <v>2271</v>
      </c>
      <c r="X23" s="373">
        <v>28350</v>
      </c>
      <c r="Y23" s="373">
        <v>28350</v>
      </c>
      <c r="Z23" s="371" t="s">
        <v>2271</v>
      </c>
      <c r="AA23" s="373">
        <v>0</v>
      </c>
      <c r="AB23" s="373">
        <v>28370</v>
      </c>
      <c r="AC23" s="373">
        <v>28370</v>
      </c>
      <c r="AD23" s="371" t="s">
        <v>2271</v>
      </c>
      <c r="AE23" s="373">
        <v>0</v>
      </c>
      <c r="AF23" s="382">
        <v>0.67777777777777803</v>
      </c>
      <c r="AG23" s="382">
        <v>0.67777777777777803</v>
      </c>
      <c r="AH23" s="371" t="s">
        <v>2271</v>
      </c>
      <c r="AI23" s="382">
        <v>0.749305555555556</v>
      </c>
      <c r="AJ23" s="382">
        <v>0.749305555555556</v>
      </c>
      <c r="AK23" s="371" t="s">
        <v>2271</v>
      </c>
      <c r="AL23" s="206" t="s">
        <v>42</v>
      </c>
      <c r="AM23" s="206" t="s">
        <v>42</v>
      </c>
      <c r="AN23" s="371" t="s">
        <v>2271</v>
      </c>
      <c r="AO23" s="206" t="s">
        <v>2277</v>
      </c>
      <c r="AP23" s="206" t="s">
        <v>1372</v>
      </c>
      <c r="AQ23" s="206" t="s">
        <v>1133</v>
      </c>
      <c r="AR23" s="207" t="s">
        <v>68</v>
      </c>
    </row>
    <row r="24" spans="1:44" x14ac:dyDescent="0.2">
      <c r="A24" s="370">
        <v>5</v>
      </c>
      <c r="B24" s="380">
        <v>7</v>
      </c>
      <c r="C24" s="371" t="s">
        <v>2275</v>
      </c>
      <c r="D24" s="371" t="s">
        <v>2235</v>
      </c>
      <c r="E24" s="206"/>
      <c r="F24" s="206" t="s">
        <v>1207</v>
      </c>
      <c r="G24" s="206" t="s">
        <v>70</v>
      </c>
      <c r="H24" s="371" t="s">
        <v>2276</v>
      </c>
      <c r="I24" s="206" t="s">
        <v>2138</v>
      </c>
      <c r="J24" s="206" t="s">
        <v>1331</v>
      </c>
      <c r="K24" s="371" t="s">
        <v>2276</v>
      </c>
      <c r="L24" s="206" t="s">
        <v>2139</v>
      </c>
      <c r="M24" s="206" t="s">
        <v>1731</v>
      </c>
      <c r="N24" s="206" t="s">
        <v>49</v>
      </c>
      <c r="O24" s="372">
        <v>45971</v>
      </c>
      <c r="P24" s="372">
        <v>45971</v>
      </c>
      <c r="Q24" s="371" t="s">
        <v>2271</v>
      </c>
      <c r="R24" s="373">
        <v>45890</v>
      </c>
      <c r="S24" s="373">
        <v>45890</v>
      </c>
      <c r="T24" s="371" t="s">
        <v>2271</v>
      </c>
      <c r="U24" s="373">
        <v>17510</v>
      </c>
      <c r="V24" s="373">
        <v>17510</v>
      </c>
      <c r="W24" s="371" t="s">
        <v>2271</v>
      </c>
      <c r="X24" s="373">
        <v>28380</v>
      </c>
      <c r="Y24" s="373">
        <v>28380</v>
      </c>
      <c r="Z24" s="371" t="s">
        <v>2271</v>
      </c>
      <c r="AA24" s="373">
        <v>0</v>
      </c>
      <c r="AB24" s="373">
        <v>28350</v>
      </c>
      <c r="AC24" s="373">
        <v>28350</v>
      </c>
      <c r="AD24" s="371" t="s">
        <v>2271</v>
      </c>
      <c r="AE24" s="373">
        <v>0</v>
      </c>
      <c r="AF24" s="382">
        <v>0.67986111111111103</v>
      </c>
      <c r="AG24" s="382">
        <v>0.67986111111111103</v>
      </c>
      <c r="AH24" s="371" t="s">
        <v>2271</v>
      </c>
      <c r="AI24" s="382">
        <v>0.76458333333333295</v>
      </c>
      <c r="AJ24" s="382">
        <v>0.76458333333333295</v>
      </c>
      <c r="AK24" s="371" t="s">
        <v>2271</v>
      </c>
      <c r="AL24" s="206" t="s">
        <v>42</v>
      </c>
      <c r="AM24" s="206" t="s">
        <v>42</v>
      </c>
      <c r="AN24" s="371" t="s">
        <v>2271</v>
      </c>
      <c r="AO24" s="206" t="s">
        <v>2278</v>
      </c>
      <c r="AP24" s="206" t="s">
        <v>1499</v>
      </c>
      <c r="AQ24" s="206" t="s">
        <v>1133</v>
      </c>
      <c r="AR24" s="207" t="s">
        <v>68</v>
      </c>
    </row>
    <row r="25" spans="1:44" x14ac:dyDescent="0.2">
      <c r="A25" s="370">
        <v>6</v>
      </c>
      <c r="B25" s="380">
        <v>8</v>
      </c>
      <c r="C25" s="371" t="s">
        <v>2275</v>
      </c>
      <c r="D25" s="371" t="s">
        <v>2235</v>
      </c>
      <c r="E25" s="206"/>
      <c r="F25" s="206" t="s">
        <v>56</v>
      </c>
      <c r="G25" s="206" t="s">
        <v>56</v>
      </c>
      <c r="H25" s="371" t="s">
        <v>2271</v>
      </c>
      <c r="I25" s="206" t="s">
        <v>2138</v>
      </c>
      <c r="J25" s="206" t="s">
        <v>1331</v>
      </c>
      <c r="K25" s="371" t="s">
        <v>2276</v>
      </c>
      <c r="L25" s="206" t="s">
        <v>2139</v>
      </c>
      <c r="M25" s="206" t="s">
        <v>1731</v>
      </c>
      <c r="N25" s="206" t="s">
        <v>49</v>
      </c>
      <c r="O25" s="372">
        <v>45971</v>
      </c>
      <c r="P25" s="372">
        <v>45971</v>
      </c>
      <c r="Q25" s="371" t="s">
        <v>2271</v>
      </c>
      <c r="R25" s="373">
        <v>25090</v>
      </c>
      <c r="S25" s="373">
        <v>25090</v>
      </c>
      <c r="T25" s="371" t="s">
        <v>2271</v>
      </c>
      <c r="U25" s="373">
        <v>10860</v>
      </c>
      <c r="V25" s="373">
        <v>10860</v>
      </c>
      <c r="W25" s="371" t="s">
        <v>2271</v>
      </c>
      <c r="X25" s="373">
        <v>14230</v>
      </c>
      <c r="Y25" s="373">
        <v>14230</v>
      </c>
      <c r="Z25" s="371" t="s">
        <v>2271</v>
      </c>
      <c r="AA25" s="373">
        <v>0</v>
      </c>
      <c r="AB25" s="373">
        <v>14180</v>
      </c>
      <c r="AC25" s="373">
        <v>14180</v>
      </c>
      <c r="AD25" s="371" t="s">
        <v>2271</v>
      </c>
      <c r="AE25" s="373">
        <v>0</v>
      </c>
      <c r="AF25" s="382">
        <v>0.686805555555556</v>
      </c>
      <c r="AG25" s="382">
        <v>0.686805555555556</v>
      </c>
      <c r="AH25" s="371" t="s">
        <v>2271</v>
      </c>
      <c r="AI25" s="382">
        <v>0.76736111111111105</v>
      </c>
      <c r="AJ25" s="382">
        <v>0.76736111111111105</v>
      </c>
      <c r="AK25" s="371" t="s">
        <v>2271</v>
      </c>
      <c r="AL25" s="206" t="s">
        <v>42</v>
      </c>
      <c r="AM25" s="206" t="s">
        <v>42</v>
      </c>
      <c r="AN25" s="371" t="s">
        <v>2271</v>
      </c>
      <c r="AO25" s="206" t="s">
        <v>2279</v>
      </c>
      <c r="AP25" s="206" t="s">
        <v>1781</v>
      </c>
      <c r="AQ25" s="206" t="s">
        <v>1132</v>
      </c>
      <c r="AR25" s="207" t="s">
        <v>68</v>
      </c>
    </row>
    <row r="26" spans="1:44" x14ac:dyDescent="0.2">
      <c r="A26" s="370">
        <v>7</v>
      </c>
      <c r="B26" s="380">
        <v>9</v>
      </c>
      <c r="C26" s="371" t="s">
        <v>2275</v>
      </c>
      <c r="D26" s="371" t="s">
        <v>2235</v>
      </c>
      <c r="E26" s="206"/>
      <c r="F26" s="206" t="s">
        <v>46</v>
      </c>
      <c r="G26" s="206" t="s">
        <v>46</v>
      </c>
      <c r="H26" s="371" t="s">
        <v>2271</v>
      </c>
      <c r="I26" s="206" t="s">
        <v>2138</v>
      </c>
      <c r="J26" s="206" t="s">
        <v>1331</v>
      </c>
      <c r="K26" s="371" t="s">
        <v>2276</v>
      </c>
      <c r="L26" s="206" t="s">
        <v>2139</v>
      </c>
      <c r="M26" s="206" t="s">
        <v>1731</v>
      </c>
      <c r="N26" s="206" t="s">
        <v>49</v>
      </c>
      <c r="O26" s="372">
        <v>45971</v>
      </c>
      <c r="P26" s="372">
        <v>45971</v>
      </c>
      <c r="Q26" s="371" t="s">
        <v>2271</v>
      </c>
      <c r="R26" s="373">
        <v>26510</v>
      </c>
      <c r="S26" s="373">
        <v>26510</v>
      </c>
      <c r="T26" s="371" t="s">
        <v>2271</v>
      </c>
      <c r="U26" s="373">
        <v>11650</v>
      </c>
      <c r="V26" s="373">
        <v>11650</v>
      </c>
      <c r="W26" s="371" t="s">
        <v>2271</v>
      </c>
      <c r="X26" s="373">
        <v>14860</v>
      </c>
      <c r="Y26" s="373">
        <v>14860</v>
      </c>
      <c r="Z26" s="371" t="s">
        <v>2271</v>
      </c>
      <c r="AA26" s="373">
        <v>0</v>
      </c>
      <c r="AB26" s="373">
        <v>14870</v>
      </c>
      <c r="AC26" s="373">
        <v>14870</v>
      </c>
      <c r="AD26" s="371" t="s">
        <v>2271</v>
      </c>
      <c r="AE26" s="373">
        <v>0</v>
      </c>
      <c r="AF26" s="382">
        <v>0.6875</v>
      </c>
      <c r="AG26" s="382">
        <v>0.6875</v>
      </c>
      <c r="AH26" s="371" t="s">
        <v>2271</v>
      </c>
      <c r="AI26" s="382">
        <v>0.780555555555556</v>
      </c>
      <c r="AJ26" s="382">
        <v>0.780555555555556</v>
      </c>
      <c r="AK26" s="371" t="s">
        <v>2271</v>
      </c>
      <c r="AL26" s="206" t="s">
        <v>42</v>
      </c>
      <c r="AM26" s="206" t="s">
        <v>42</v>
      </c>
      <c r="AN26" s="371" t="s">
        <v>2271</v>
      </c>
      <c r="AO26" s="206" t="s">
        <v>2280</v>
      </c>
      <c r="AP26" s="206" t="s">
        <v>1393</v>
      </c>
      <c r="AQ26" s="206" t="s">
        <v>1132</v>
      </c>
      <c r="AR26" s="207" t="s">
        <v>68</v>
      </c>
    </row>
    <row r="27" spans="1:44" x14ac:dyDescent="0.2">
      <c r="A27" s="370">
        <v>8</v>
      </c>
      <c r="B27" s="380">
        <v>10</v>
      </c>
      <c r="C27" s="371" t="s">
        <v>2275</v>
      </c>
      <c r="D27" s="371" t="s">
        <v>2235</v>
      </c>
      <c r="E27" s="206"/>
      <c r="F27" s="206" t="s">
        <v>84</v>
      </c>
      <c r="G27" s="206" t="s">
        <v>84</v>
      </c>
      <c r="H27" s="371" t="s">
        <v>2271</v>
      </c>
      <c r="I27" s="206" t="s">
        <v>2138</v>
      </c>
      <c r="J27" s="206" t="s">
        <v>1331</v>
      </c>
      <c r="K27" s="371" t="s">
        <v>2276</v>
      </c>
      <c r="L27" s="206" t="s">
        <v>2139</v>
      </c>
      <c r="M27" s="206" t="s">
        <v>1731</v>
      </c>
      <c r="N27" s="206" t="s">
        <v>49</v>
      </c>
      <c r="O27" s="372">
        <v>45972</v>
      </c>
      <c r="P27" s="372">
        <v>45972</v>
      </c>
      <c r="Q27" s="371" t="s">
        <v>2271</v>
      </c>
      <c r="R27" s="373">
        <v>26630</v>
      </c>
      <c r="S27" s="373">
        <v>26630</v>
      </c>
      <c r="T27" s="371" t="s">
        <v>2271</v>
      </c>
      <c r="U27" s="373">
        <v>12110</v>
      </c>
      <c r="V27" s="373">
        <v>12110</v>
      </c>
      <c r="W27" s="371" t="s">
        <v>2271</v>
      </c>
      <c r="X27" s="373">
        <v>14520</v>
      </c>
      <c r="Y27" s="373">
        <v>14520</v>
      </c>
      <c r="Z27" s="371" t="s">
        <v>2271</v>
      </c>
      <c r="AA27" s="373">
        <v>0</v>
      </c>
      <c r="AB27" s="373">
        <v>14540</v>
      </c>
      <c r="AC27" s="373">
        <v>14540</v>
      </c>
      <c r="AD27" s="371" t="s">
        <v>2271</v>
      </c>
      <c r="AE27" s="373">
        <v>0</v>
      </c>
      <c r="AF27" s="382">
        <v>0.33541666666666697</v>
      </c>
      <c r="AG27" s="382">
        <v>0.33541666666666697</v>
      </c>
      <c r="AH27" s="371" t="s">
        <v>2271</v>
      </c>
      <c r="AI27" s="382">
        <v>0.37708333333333299</v>
      </c>
      <c r="AJ27" s="382">
        <v>0.37708333333333299</v>
      </c>
      <c r="AK27" s="371" t="s">
        <v>2271</v>
      </c>
      <c r="AL27" s="206" t="s">
        <v>42</v>
      </c>
      <c r="AM27" s="206" t="s">
        <v>42</v>
      </c>
      <c r="AN27" s="371" t="s">
        <v>2271</v>
      </c>
      <c r="AO27" s="206" t="s">
        <v>2281</v>
      </c>
      <c r="AP27" s="206" t="s">
        <v>1782</v>
      </c>
      <c r="AQ27" s="206" t="s">
        <v>1132</v>
      </c>
      <c r="AR27" s="207" t="s">
        <v>68</v>
      </c>
    </row>
    <row r="28" spans="1:44" x14ac:dyDescent="0.2">
      <c r="A28" s="370">
        <v>9</v>
      </c>
      <c r="B28" s="380">
        <v>11</v>
      </c>
      <c r="C28" s="371" t="s">
        <v>2275</v>
      </c>
      <c r="D28" s="371" t="s">
        <v>2235</v>
      </c>
      <c r="E28" s="206"/>
      <c r="F28" s="206" t="s">
        <v>46</v>
      </c>
      <c r="G28" s="206" t="s">
        <v>46</v>
      </c>
      <c r="H28" s="371" t="s">
        <v>2271</v>
      </c>
      <c r="I28" s="206" t="s">
        <v>2138</v>
      </c>
      <c r="J28" s="206" t="s">
        <v>1331</v>
      </c>
      <c r="K28" s="371" t="s">
        <v>2276</v>
      </c>
      <c r="L28" s="206" t="s">
        <v>2139</v>
      </c>
      <c r="M28" s="206" t="s">
        <v>1731</v>
      </c>
      <c r="N28" s="206" t="s">
        <v>49</v>
      </c>
      <c r="O28" s="372">
        <v>45972</v>
      </c>
      <c r="P28" s="372">
        <v>45972</v>
      </c>
      <c r="Q28" s="371" t="s">
        <v>2271</v>
      </c>
      <c r="R28" s="373">
        <v>26500</v>
      </c>
      <c r="S28" s="373">
        <v>26500</v>
      </c>
      <c r="T28" s="371" t="s">
        <v>2271</v>
      </c>
      <c r="U28" s="373">
        <v>11690</v>
      </c>
      <c r="V28" s="373">
        <v>11690</v>
      </c>
      <c r="W28" s="371" t="s">
        <v>2271</v>
      </c>
      <c r="X28" s="373">
        <v>14810</v>
      </c>
      <c r="Y28" s="373">
        <v>14810</v>
      </c>
      <c r="Z28" s="371" t="s">
        <v>2271</v>
      </c>
      <c r="AA28" s="373">
        <v>0</v>
      </c>
      <c r="AB28" s="373">
        <v>14870</v>
      </c>
      <c r="AC28" s="373">
        <v>14870</v>
      </c>
      <c r="AD28" s="371" t="s">
        <v>2271</v>
      </c>
      <c r="AE28" s="373">
        <v>0</v>
      </c>
      <c r="AF28" s="382">
        <v>0.56944444444444398</v>
      </c>
      <c r="AG28" s="382">
        <v>0.56944444444444398</v>
      </c>
      <c r="AH28" s="371" t="s">
        <v>2271</v>
      </c>
      <c r="AI28" s="382">
        <v>0.62291666666666701</v>
      </c>
      <c r="AJ28" s="382">
        <v>0.62291666666666701</v>
      </c>
      <c r="AK28" s="371" t="s">
        <v>2271</v>
      </c>
      <c r="AL28" s="206" t="s">
        <v>42</v>
      </c>
      <c r="AM28" s="206" t="s">
        <v>42</v>
      </c>
      <c r="AN28" s="371" t="s">
        <v>2271</v>
      </c>
      <c r="AO28" s="206" t="s">
        <v>2282</v>
      </c>
      <c r="AP28" s="206" t="s">
        <v>1393</v>
      </c>
      <c r="AQ28" s="206" t="s">
        <v>1132</v>
      </c>
      <c r="AR28" s="207" t="s">
        <v>68</v>
      </c>
    </row>
    <row r="29" spans="1:44" x14ac:dyDescent="0.2">
      <c r="A29" s="370">
        <v>10</v>
      </c>
      <c r="B29" s="380">
        <v>12</v>
      </c>
      <c r="C29" s="371" t="s">
        <v>2275</v>
      </c>
      <c r="D29" s="371" t="s">
        <v>2235</v>
      </c>
      <c r="E29" s="206"/>
      <c r="F29" s="206" t="s">
        <v>56</v>
      </c>
      <c r="G29" s="206" t="s">
        <v>56</v>
      </c>
      <c r="H29" s="371" t="s">
        <v>2271</v>
      </c>
      <c r="I29" s="206" t="s">
        <v>2138</v>
      </c>
      <c r="J29" s="206" t="s">
        <v>1331</v>
      </c>
      <c r="K29" s="371" t="s">
        <v>2276</v>
      </c>
      <c r="L29" s="206" t="s">
        <v>2139</v>
      </c>
      <c r="M29" s="206" t="s">
        <v>1731</v>
      </c>
      <c r="N29" s="206" t="s">
        <v>49</v>
      </c>
      <c r="O29" s="372">
        <v>45972</v>
      </c>
      <c r="P29" s="372">
        <v>45972</v>
      </c>
      <c r="Q29" s="371" t="s">
        <v>2271</v>
      </c>
      <c r="R29" s="373">
        <v>25140</v>
      </c>
      <c r="S29" s="373">
        <v>25140</v>
      </c>
      <c r="T29" s="371" t="s">
        <v>2271</v>
      </c>
      <c r="U29" s="373">
        <v>10820</v>
      </c>
      <c r="V29" s="373">
        <v>10820</v>
      </c>
      <c r="W29" s="371" t="s">
        <v>2271</v>
      </c>
      <c r="X29" s="373">
        <v>14320</v>
      </c>
      <c r="Y29" s="373">
        <v>14320</v>
      </c>
      <c r="Z29" s="371" t="s">
        <v>2271</v>
      </c>
      <c r="AA29" s="373">
        <v>0</v>
      </c>
      <c r="AB29" s="373">
        <v>14270</v>
      </c>
      <c r="AC29" s="373">
        <v>14270</v>
      </c>
      <c r="AD29" s="371" t="s">
        <v>2271</v>
      </c>
      <c r="AE29" s="373">
        <v>0</v>
      </c>
      <c r="AF29" s="382">
        <v>0.57083333333333297</v>
      </c>
      <c r="AG29" s="382">
        <v>0.57083333333333297</v>
      </c>
      <c r="AH29" s="371" t="s">
        <v>2271</v>
      </c>
      <c r="AI29" s="382">
        <v>0.65</v>
      </c>
      <c r="AJ29" s="382">
        <v>0.65</v>
      </c>
      <c r="AK29" s="371" t="s">
        <v>2271</v>
      </c>
      <c r="AL29" s="206" t="s">
        <v>42</v>
      </c>
      <c r="AM29" s="206" t="s">
        <v>42</v>
      </c>
      <c r="AN29" s="371" t="s">
        <v>2271</v>
      </c>
      <c r="AO29" s="206" t="s">
        <v>2283</v>
      </c>
      <c r="AP29" s="206" t="s">
        <v>1781</v>
      </c>
      <c r="AQ29" s="206" t="s">
        <v>1132</v>
      </c>
      <c r="AR29" s="207" t="s">
        <v>68</v>
      </c>
    </row>
    <row r="30" spans="1:44" x14ac:dyDescent="0.2">
      <c r="A30" s="370">
        <v>11</v>
      </c>
      <c r="B30" s="380">
        <v>13</v>
      </c>
      <c r="C30" s="371" t="s">
        <v>2275</v>
      </c>
      <c r="D30" s="371" t="s">
        <v>2235</v>
      </c>
      <c r="E30" s="206"/>
      <c r="F30" s="206" t="s">
        <v>76</v>
      </c>
      <c r="G30" s="206" t="s">
        <v>76</v>
      </c>
      <c r="H30" s="371" t="s">
        <v>2271</v>
      </c>
      <c r="I30" s="206" t="s">
        <v>2138</v>
      </c>
      <c r="J30" s="206" t="s">
        <v>1331</v>
      </c>
      <c r="K30" s="371" t="s">
        <v>2276</v>
      </c>
      <c r="L30" s="206" t="s">
        <v>2139</v>
      </c>
      <c r="M30" s="206" t="s">
        <v>1731</v>
      </c>
      <c r="N30" s="206" t="s">
        <v>49</v>
      </c>
      <c r="O30" s="372">
        <v>45972</v>
      </c>
      <c r="P30" s="372">
        <v>45972</v>
      </c>
      <c r="Q30" s="371" t="s">
        <v>2271</v>
      </c>
      <c r="R30" s="373">
        <v>45950</v>
      </c>
      <c r="S30" s="373">
        <v>45950</v>
      </c>
      <c r="T30" s="371" t="s">
        <v>2271</v>
      </c>
      <c r="U30" s="373">
        <v>17730</v>
      </c>
      <c r="V30" s="373">
        <v>17730</v>
      </c>
      <c r="W30" s="371" t="s">
        <v>2271</v>
      </c>
      <c r="X30" s="373">
        <v>28220</v>
      </c>
      <c r="Y30" s="373">
        <v>28220</v>
      </c>
      <c r="Z30" s="371" t="s">
        <v>2271</v>
      </c>
      <c r="AA30" s="373">
        <v>0</v>
      </c>
      <c r="AB30" s="373">
        <v>28300</v>
      </c>
      <c r="AC30" s="373">
        <v>28300</v>
      </c>
      <c r="AD30" s="371" t="s">
        <v>2271</v>
      </c>
      <c r="AE30" s="373">
        <v>0</v>
      </c>
      <c r="AF30" s="382">
        <v>0.57222222222222197</v>
      </c>
      <c r="AG30" s="382">
        <v>0.57222222222222197</v>
      </c>
      <c r="AH30" s="371" t="s">
        <v>2271</v>
      </c>
      <c r="AI30" s="382">
        <v>0.63541666666666696</v>
      </c>
      <c r="AJ30" s="382">
        <v>0.63541666666666696</v>
      </c>
      <c r="AK30" s="371" t="s">
        <v>2271</v>
      </c>
      <c r="AL30" s="206" t="s">
        <v>42</v>
      </c>
      <c r="AM30" s="206" t="s">
        <v>42</v>
      </c>
      <c r="AN30" s="371" t="s">
        <v>2271</v>
      </c>
      <c r="AO30" s="206" t="s">
        <v>2284</v>
      </c>
      <c r="AP30" s="206" t="s">
        <v>1372</v>
      </c>
      <c r="AQ30" s="206" t="s">
        <v>1133</v>
      </c>
      <c r="AR30" s="207" t="s">
        <v>68</v>
      </c>
    </row>
    <row r="31" spans="1:44" x14ac:dyDescent="0.2">
      <c r="A31" s="370">
        <v>12</v>
      </c>
      <c r="B31" s="380">
        <v>14</v>
      </c>
      <c r="C31" s="371" t="s">
        <v>2275</v>
      </c>
      <c r="D31" s="371" t="s">
        <v>2235</v>
      </c>
      <c r="E31" s="206"/>
      <c r="F31" s="206" t="s">
        <v>84</v>
      </c>
      <c r="G31" s="206" t="s">
        <v>84</v>
      </c>
      <c r="H31" s="371" t="s">
        <v>2271</v>
      </c>
      <c r="I31" s="206" t="s">
        <v>2138</v>
      </c>
      <c r="J31" s="206" t="s">
        <v>1331</v>
      </c>
      <c r="K31" s="371" t="s">
        <v>2276</v>
      </c>
      <c r="L31" s="206" t="s">
        <v>2139</v>
      </c>
      <c r="M31" s="206" t="s">
        <v>1731</v>
      </c>
      <c r="N31" s="206" t="s">
        <v>49</v>
      </c>
      <c r="O31" s="372">
        <v>45972</v>
      </c>
      <c r="P31" s="372">
        <v>45972</v>
      </c>
      <c r="Q31" s="371" t="s">
        <v>2271</v>
      </c>
      <c r="R31" s="373">
        <v>26570</v>
      </c>
      <c r="S31" s="373">
        <v>26570</v>
      </c>
      <c r="T31" s="371" t="s">
        <v>2271</v>
      </c>
      <c r="U31" s="373">
        <v>12130</v>
      </c>
      <c r="V31" s="373">
        <v>12130</v>
      </c>
      <c r="W31" s="371" t="s">
        <v>2271</v>
      </c>
      <c r="X31" s="373">
        <v>14440</v>
      </c>
      <c r="Y31" s="373">
        <v>14440</v>
      </c>
      <c r="Z31" s="371" t="s">
        <v>2271</v>
      </c>
      <c r="AA31" s="373">
        <v>0</v>
      </c>
      <c r="AB31" s="373">
        <v>14470</v>
      </c>
      <c r="AC31" s="373">
        <v>14470</v>
      </c>
      <c r="AD31" s="371" t="s">
        <v>2271</v>
      </c>
      <c r="AE31" s="373">
        <v>0</v>
      </c>
      <c r="AF31" s="382">
        <v>0.61180555555555605</v>
      </c>
      <c r="AG31" s="382">
        <v>0.61180555555555605</v>
      </c>
      <c r="AH31" s="371" t="s">
        <v>2271</v>
      </c>
      <c r="AI31" s="382">
        <v>0.68125000000000002</v>
      </c>
      <c r="AJ31" s="382">
        <v>0.68125000000000002</v>
      </c>
      <c r="AK31" s="371" t="s">
        <v>2271</v>
      </c>
      <c r="AL31" s="206" t="s">
        <v>42</v>
      </c>
      <c r="AM31" s="206" t="s">
        <v>42</v>
      </c>
      <c r="AN31" s="371" t="s">
        <v>2271</v>
      </c>
      <c r="AO31" s="206" t="s">
        <v>2285</v>
      </c>
      <c r="AP31" s="206" t="s">
        <v>1782</v>
      </c>
      <c r="AQ31" s="206" t="s">
        <v>1132</v>
      </c>
      <c r="AR31" s="207" t="s">
        <v>68</v>
      </c>
    </row>
    <row r="32" spans="1:44" x14ac:dyDescent="0.2">
      <c r="A32" s="370">
        <v>13</v>
      </c>
      <c r="B32" s="380">
        <v>15</v>
      </c>
      <c r="C32" s="371" t="s">
        <v>2275</v>
      </c>
      <c r="D32" s="371" t="s">
        <v>2235</v>
      </c>
      <c r="E32" s="206"/>
      <c r="F32" s="206" t="s">
        <v>2140</v>
      </c>
      <c r="G32" s="206" t="s">
        <v>70</v>
      </c>
      <c r="H32" s="371" t="s">
        <v>2276</v>
      </c>
      <c r="I32" s="206" t="s">
        <v>2138</v>
      </c>
      <c r="J32" s="206" t="s">
        <v>1331</v>
      </c>
      <c r="K32" s="371" t="s">
        <v>2276</v>
      </c>
      <c r="L32" s="206" t="s">
        <v>2139</v>
      </c>
      <c r="M32" s="206" t="s">
        <v>1731</v>
      </c>
      <c r="N32" s="206" t="s">
        <v>49</v>
      </c>
      <c r="O32" s="372">
        <v>45972</v>
      </c>
      <c r="P32" s="372">
        <v>45972</v>
      </c>
      <c r="Q32" s="371" t="s">
        <v>2271</v>
      </c>
      <c r="R32" s="373">
        <v>45750</v>
      </c>
      <c r="S32" s="373">
        <v>45750</v>
      </c>
      <c r="T32" s="371" t="s">
        <v>2271</v>
      </c>
      <c r="U32" s="373">
        <v>17460</v>
      </c>
      <c r="V32" s="373">
        <v>17460</v>
      </c>
      <c r="W32" s="371" t="s">
        <v>2271</v>
      </c>
      <c r="X32" s="373">
        <v>28290</v>
      </c>
      <c r="Y32" s="373">
        <v>28290</v>
      </c>
      <c r="Z32" s="371" t="s">
        <v>2271</v>
      </c>
      <c r="AA32" s="373">
        <v>0</v>
      </c>
      <c r="AB32" s="373">
        <v>28300</v>
      </c>
      <c r="AC32" s="373">
        <v>28300</v>
      </c>
      <c r="AD32" s="371" t="s">
        <v>2271</v>
      </c>
      <c r="AE32" s="373">
        <v>0</v>
      </c>
      <c r="AF32" s="382">
        <v>0.61458333333333304</v>
      </c>
      <c r="AG32" s="382">
        <v>0.61458333333333304</v>
      </c>
      <c r="AH32" s="371" t="s">
        <v>2271</v>
      </c>
      <c r="AI32" s="382">
        <v>0.68333333333333302</v>
      </c>
      <c r="AJ32" s="382">
        <v>0.68333333333333302</v>
      </c>
      <c r="AK32" s="371" t="s">
        <v>2271</v>
      </c>
      <c r="AL32" s="206" t="s">
        <v>42</v>
      </c>
      <c r="AM32" s="206" t="s">
        <v>42</v>
      </c>
      <c r="AN32" s="371" t="s">
        <v>2271</v>
      </c>
      <c r="AO32" s="206" t="s">
        <v>2286</v>
      </c>
      <c r="AP32" s="206" t="s">
        <v>1499</v>
      </c>
      <c r="AQ32" s="206" t="s">
        <v>1133</v>
      </c>
      <c r="AR32" s="207" t="s">
        <v>68</v>
      </c>
    </row>
    <row r="33" spans="1:44" x14ac:dyDescent="0.2">
      <c r="A33" s="370">
        <v>14</v>
      </c>
      <c r="B33" s="380">
        <v>16</v>
      </c>
      <c r="C33" s="371" t="s">
        <v>2275</v>
      </c>
      <c r="D33" s="371" t="s">
        <v>2235</v>
      </c>
      <c r="E33" s="206"/>
      <c r="F33" s="206" t="s">
        <v>76</v>
      </c>
      <c r="G33" s="206" t="s">
        <v>76</v>
      </c>
      <c r="H33" s="371" t="s">
        <v>2271</v>
      </c>
      <c r="I33" s="206" t="s">
        <v>2138</v>
      </c>
      <c r="J33" s="206" t="s">
        <v>1331</v>
      </c>
      <c r="K33" s="371" t="s">
        <v>2276</v>
      </c>
      <c r="L33" s="206" t="s">
        <v>2139</v>
      </c>
      <c r="M33" s="206" t="s">
        <v>1731</v>
      </c>
      <c r="N33" s="206" t="s">
        <v>49</v>
      </c>
      <c r="O33" s="372">
        <v>45972</v>
      </c>
      <c r="P33" s="372">
        <v>45972</v>
      </c>
      <c r="Q33" s="371" t="s">
        <v>2271</v>
      </c>
      <c r="R33" s="373">
        <v>45840</v>
      </c>
      <c r="S33" s="373">
        <v>45840</v>
      </c>
      <c r="T33" s="371" t="s">
        <v>2271</v>
      </c>
      <c r="U33" s="373">
        <v>17690</v>
      </c>
      <c r="V33" s="373">
        <v>17690</v>
      </c>
      <c r="W33" s="371" t="s">
        <v>2271</v>
      </c>
      <c r="X33" s="373">
        <v>28150</v>
      </c>
      <c r="Y33" s="373">
        <v>28150</v>
      </c>
      <c r="Z33" s="371" t="s">
        <v>2271</v>
      </c>
      <c r="AA33" s="373">
        <v>0</v>
      </c>
      <c r="AB33" s="373">
        <v>28070</v>
      </c>
      <c r="AC33" s="373">
        <v>28070</v>
      </c>
      <c r="AD33" s="371" t="s">
        <v>2271</v>
      </c>
      <c r="AE33" s="373">
        <v>0</v>
      </c>
      <c r="AF33" s="382">
        <v>0.86597222222222203</v>
      </c>
      <c r="AG33" s="382">
        <v>0.86597222222222203</v>
      </c>
      <c r="AH33" s="371" t="s">
        <v>2271</v>
      </c>
      <c r="AI33" s="382">
        <v>0.97638888888888897</v>
      </c>
      <c r="AJ33" s="382">
        <v>0.97638888888888897</v>
      </c>
      <c r="AK33" s="371" t="s">
        <v>2271</v>
      </c>
      <c r="AL33" s="206" t="s">
        <v>42</v>
      </c>
      <c r="AM33" s="206" t="s">
        <v>42</v>
      </c>
      <c r="AN33" s="371" t="s">
        <v>2271</v>
      </c>
      <c r="AO33" s="206" t="s">
        <v>2287</v>
      </c>
      <c r="AP33" s="206" t="s">
        <v>1372</v>
      </c>
      <c r="AQ33" s="206" t="s">
        <v>1133</v>
      </c>
      <c r="AR33" s="207" t="s">
        <v>68</v>
      </c>
    </row>
    <row r="34" spans="1:44" x14ac:dyDescent="0.2">
      <c r="A34" s="370">
        <v>15</v>
      </c>
      <c r="B34" s="380">
        <v>17</v>
      </c>
      <c r="C34" s="371" t="s">
        <v>2275</v>
      </c>
      <c r="D34" s="371" t="s">
        <v>2235</v>
      </c>
      <c r="E34" s="206"/>
      <c r="F34" s="206" t="s">
        <v>56</v>
      </c>
      <c r="G34" s="206" t="s">
        <v>56</v>
      </c>
      <c r="H34" s="371" t="s">
        <v>2271</v>
      </c>
      <c r="I34" s="206" t="s">
        <v>2138</v>
      </c>
      <c r="J34" s="206" t="s">
        <v>1331</v>
      </c>
      <c r="K34" s="371" t="s">
        <v>2276</v>
      </c>
      <c r="L34" s="206" t="s">
        <v>2139</v>
      </c>
      <c r="M34" s="206" t="s">
        <v>1731</v>
      </c>
      <c r="N34" s="206" t="s">
        <v>49</v>
      </c>
      <c r="O34" s="372">
        <v>45972</v>
      </c>
      <c r="P34" s="372">
        <v>45972</v>
      </c>
      <c r="Q34" s="371" t="s">
        <v>2271</v>
      </c>
      <c r="R34" s="373">
        <v>25030</v>
      </c>
      <c r="S34" s="373">
        <v>25030</v>
      </c>
      <c r="T34" s="371" t="s">
        <v>2271</v>
      </c>
      <c r="U34" s="373">
        <v>10790</v>
      </c>
      <c r="V34" s="373">
        <v>10790</v>
      </c>
      <c r="W34" s="371" t="s">
        <v>2271</v>
      </c>
      <c r="X34" s="373">
        <v>14240</v>
      </c>
      <c r="Y34" s="373">
        <v>14240</v>
      </c>
      <c r="Z34" s="371" t="s">
        <v>2271</v>
      </c>
      <c r="AA34" s="373">
        <v>0</v>
      </c>
      <c r="AB34" s="373">
        <v>14190</v>
      </c>
      <c r="AC34" s="373">
        <v>14190</v>
      </c>
      <c r="AD34" s="371" t="s">
        <v>2271</v>
      </c>
      <c r="AE34" s="373">
        <v>0</v>
      </c>
      <c r="AF34" s="382">
        <v>0.87638888888888899</v>
      </c>
      <c r="AG34" s="382">
        <v>0.87638888888888899</v>
      </c>
      <c r="AH34" s="371" t="s">
        <v>2271</v>
      </c>
      <c r="AI34" s="382">
        <v>0.99583333333333302</v>
      </c>
      <c r="AJ34" s="382">
        <v>0.99583333333333302</v>
      </c>
      <c r="AK34" s="371" t="s">
        <v>2271</v>
      </c>
      <c r="AL34" s="206" t="s">
        <v>42</v>
      </c>
      <c r="AM34" s="206" t="s">
        <v>42</v>
      </c>
      <c r="AN34" s="371" t="s">
        <v>2271</v>
      </c>
      <c r="AO34" s="206" t="s">
        <v>2288</v>
      </c>
      <c r="AP34" s="206" t="s">
        <v>1781</v>
      </c>
      <c r="AQ34" s="206" t="s">
        <v>1132</v>
      </c>
      <c r="AR34" s="207" t="s">
        <v>68</v>
      </c>
    </row>
    <row r="35" spans="1:44" x14ac:dyDescent="0.2">
      <c r="A35" s="370">
        <v>16</v>
      </c>
      <c r="B35" s="380">
        <v>18</v>
      </c>
      <c r="C35" s="371" t="s">
        <v>2269</v>
      </c>
      <c r="D35" s="371" t="s">
        <v>2235</v>
      </c>
      <c r="E35" s="206"/>
      <c r="F35" s="206" t="s">
        <v>89</v>
      </c>
      <c r="G35" s="206" t="s">
        <v>89</v>
      </c>
      <c r="H35" s="371" t="s">
        <v>2271</v>
      </c>
      <c r="I35" s="206" t="s">
        <v>1328</v>
      </c>
      <c r="J35" s="206" t="s">
        <v>1328</v>
      </c>
      <c r="K35" s="371" t="s">
        <v>2271</v>
      </c>
      <c r="L35" s="206" t="s">
        <v>2136</v>
      </c>
      <c r="M35" s="206" t="s">
        <v>1327</v>
      </c>
      <c r="N35" s="206" t="s">
        <v>59</v>
      </c>
      <c r="O35" s="372">
        <v>45930</v>
      </c>
      <c r="P35" s="372">
        <v>45930</v>
      </c>
      <c r="Q35" s="371" t="s">
        <v>2271</v>
      </c>
      <c r="R35" s="373">
        <v>25000</v>
      </c>
      <c r="S35" s="373">
        <v>25000</v>
      </c>
      <c r="T35" s="371" t="s">
        <v>2271</v>
      </c>
      <c r="U35" s="373">
        <v>10740</v>
      </c>
      <c r="V35" s="373">
        <v>10740</v>
      </c>
      <c r="W35" s="371" t="s">
        <v>2271</v>
      </c>
      <c r="X35" s="373">
        <v>14260</v>
      </c>
      <c r="Y35" s="373">
        <v>14260</v>
      </c>
      <c r="Z35" s="371" t="s">
        <v>2271</v>
      </c>
      <c r="AA35" s="373">
        <v>0</v>
      </c>
      <c r="AB35" s="373">
        <v>14360</v>
      </c>
      <c r="AC35" s="373">
        <v>14360</v>
      </c>
      <c r="AD35" s="371" t="s">
        <v>2271</v>
      </c>
      <c r="AE35" s="373">
        <v>0</v>
      </c>
      <c r="AF35" s="382">
        <v>0.11944444444444401</v>
      </c>
      <c r="AG35" s="382">
        <v>0.11944444444444501</v>
      </c>
      <c r="AH35" s="371" t="s">
        <v>2276</v>
      </c>
      <c r="AI35" s="382">
        <v>0.61250000000000004</v>
      </c>
      <c r="AJ35" s="382">
        <v>0.61250000000000004</v>
      </c>
      <c r="AK35" s="371" t="s">
        <v>2271</v>
      </c>
      <c r="AL35" s="206" t="s">
        <v>42</v>
      </c>
      <c r="AM35" s="206" t="s">
        <v>42</v>
      </c>
      <c r="AN35" s="371" t="s">
        <v>2271</v>
      </c>
      <c r="AO35" s="206" t="s">
        <v>2289</v>
      </c>
      <c r="AP35" s="206" t="s">
        <v>1781</v>
      </c>
      <c r="AQ35" s="206" t="s">
        <v>1132</v>
      </c>
      <c r="AR35" s="207" t="s">
        <v>75</v>
      </c>
    </row>
    <row r="36" spans="1:44" x14ac:dyDescent="0.2">
      <c r="A36" s="370">
        <v>17</v>
      </c>
      <c r="B36" s="380">
        <v>18</v>
      </c>
      <c r="C36" s="371" t="s">
        <v>2275</v>
      </c>
      <c r="D36" s="371" t="s">
        <v>2235</v>
      </c>
      <c r="E36" s="206"/>
      <c r="F36" s="206" t="s">
        <v>46</v>
      </c>
      <c r="G36" s="206" t="s">
        <v>46</v>
      </c>
      <c r="H36" s="371" t="s">
        <v>2271</v>
      </c>
      <c r="I36" s="206" t="s">
        <v>2138</v>
      </c>
      <c r="J36" s="206" t="s">
        <v>1331</v>
      </c>
      <c r="K36" s="371" t="s">
        <v>2276</v>
      </c>
      <c r="L36" s="206" t="s">
        <v>2139</v>
      </c>
      <c r="M36" s="206" t="s">
        <v>1731</v>
      </c>
      <c r="N36" s="206" t="s">
        <v>49</v>
      </c>
      <c r="O36" s="372">
        <v>45972</v>
      </c>
      <c r="P36" s="372">
        <v>45972</v>
      </c>
      <c r="Q36" s="371" t="s">
        <v>2271</v>
      </c>
      <c r="R36" s="373">
        <v>26490</v>
      </c>
      <c r="S36" s="373">
        <v>26490</v>
      </c>
      <c r="T36" s="371" t="s">
        <v>2271</v>
      </c>
      <c r="U36" s="373">
        <v>11660</v>
      </c>
      <c r="V36" s="373">
        <v>11660</v>
      </c>
      <c r="W36" s="371" t="s">
        <v>2271</v>
      </c>
      <c r="X36" s="373">
        <v>14830</v>
      </c>
      <c r="Y36" s="373">
        <v>14830</v>
      </c>
      <c r="Z36" s="371" t="s">
        <v>2271</v>
      </c>
      <c r="AA36" s="373">
        <v>0</v>
      </c>
      <c r="AB36" s="373">
        <v>14800</v>
      </c>
      <c r="AC36" s="373">
        <v>14800</v>
      </c>
      <c r="AD36" s="371" t="s">
        <v>2271</v>
      </c>
      <c r="AE36" s="373">
        <v>0</v>
      </c>
      <c r="AF36" s="382">
        <v>0.88541666666666696</v>
      </c>
      <c r="AG36" s="382">
        <v>0.88541666666666696</v>
      </c>
      <c r="AH36" s="371" t="s">
        <v>2271</v>
      </c>
      <c r="AI36" s="382">
        <v>0.95625000000000004</v>
      </c>
      <c r="AJ36" s="382">
        <v>0.95625000000000004</v>
      </c>
      <c r="AK36" s="371" t="s">
        <v>2271</v>
      </c>
      <c r="AL36" s="206" t="s">
        <v>42</v>
      </c>
      <c r="AM36" s="206" t="s">
        <v>42</v>
      </c>
      <c r="AN36" s="371" t="s">
        <v>2271</v>
      </c>
      <c r="AO36" s="206" t="s">
        <v>2290</v>
      </c>
      <c r="AP36" s="206" t="s">
        <v>1393</v>
      </c>
      <c r="AQ36" s="206" t="s">
        <v>1132</v>
      </c>
      <c r="AR36" s="207" t="s">
        <v>68</v>
      </c>
    </row>
    <row r="37" spans="1:44" x14ac:dyDescent="0.2">
      <c r="A37" s="370">
        <v>18</v>
      </c>
      <c r="B37" s="380">
        <v>19</v>
      </c>
      <c r="C37" s="371" t="s">
        <v>2269</v>
      </c>
      <c r="D37" s="371" t="s">
        <v>2270</v>
      </c>
      <c r="E37" s="206"/>
      <c r="F37" s="206" t="s">
        <v>106</v>
      </c>
      <c r="G37" s="206" t="s">
        <v>106</v>
      </c>
      <c r="H37" s="371" t="s">
        <v>2271</v>
      </c>
      <c r="I37" s="206" t="s">
        <v>1328</v>
      </c>
      <c r="J37" s="206" t="s">
        <v>1328</v>
      </c>
      <c r="K37" s="371" t="s">
        <v>2271</v>
      </c>
      <c r="L37" s="206" t="s">
        <v>2136</v>
      </c>
      <c r="M37" s="206" t="s">
        <v>1327</v>
      </c>
      <c r="N37" s="206" t="s">
        <v>59</v>
      </c>
      <c r="O37" s="372">
        <v>45930</v>
      </c>
      <c r="P37" s="372">
        <v>45930</v>
      </c>
      <c r="Q37" s="371" t="s">
        <v>2271</v>
      </c>
      <c r="R37" s="373">
        <v>45770</v>
      </c>
      <c r="S37" s="373">
        <v>45770</v>
      </c>
      <c r="T37" s="371" t="s">
        <v>2271</v>
      </c>
      <c r="U37" s="373">
        <v>17820</v>
      </c>
      <c r="V37" s="373">
        <v>17820</v>
      </c>
      <c r="W37" s="371" t="s">
        <v>2271</v>
      </c>
      <c r="X37" s="373">
        <v>27950</v>
      </c>
      <c r="Y37" s="373">
        <v>27950</v>
      </c>
      <c r="Z37" s="371" t="s">
        <v>2271</v>
      </c>
      <c r="AA37" s="373">
        <v>0</v>
      </c>
      <c r="AB37" s="373">
        <v>28420</v>
      </c>
      <c r="AC37" s="373">
        <v>28420</v>
      </c>
      <c r="AD37" s="371" t="s">
        <v>2271</v>
      </c>
      <c r="AE37" s="373">
        <v>0</v>
      </c>
      <c r="AF37" s="382">
        <v>0.45138888888888901</v>
      </c>
      <c r="AG37" s="382">
        <v>0.45138888888888901</v>
      </c>
      <c r="AH37" s="371" t="s">
        <v>2271</v>
      </c>
      <c r="AI37" s="382">
        <v>0.55138888888888904</v>
      </c>
      <c r="AJ37" s="382">
        <v>0.55138888888888904</v>
      </c>
      <c r="AK37" s="371" t="s">
        <v>2271</v>
      </c>
      <c r="AL37" s="206" t="s">
        <v>42</v>
      </c>
      <c r="AM37" s="206" t="s">
        <v>42</v>
      </c>
      <c r="AN37" s="371" t="s">
        <v>2271</v>
      </c>
      <c r="AO37" s="206" t="s">
        <v>2291</v>
      </c>
      <c r="AP37" s="206" t="s">
        <v>1372</v>
      </c>
      <c r="AQ37" s="206" t="s">
        <v>1133</v>
      </c>
      <c r="AR37" s="207" t="s">
        <v>75</v>
      </c>
    </row>
    <row r="38" spans="1:44" x14ac:dyDescent="0.2">
      <c r="A38" s="370">
        <v>19</v>
      </c>
      <c r="B38" s="380">
        <v>19</v>
      </c>
      <c r="C38" s="371" t="s">
        <v>2275</v>
      </c>
      <c r="D38" s="371" t="s">
        <v>2235</v>
      </c>
      <c r="E38" s="206"/>
      <c r="F38" s="206" t="s">
        <v>84</v>
      </c>
      <c r="G38" s="206" t="s">
        <v>84</v>
      </c>
      <c r="H38" s="371" t="s">
        <v>2271</v>
      </c>
      <c r="I38" s="206" t="s">
        <v>2138</v>
      </c>
      <c r="J38" s="206" t="s">
        <v>1331</v>
      </c>
      <c r="K38" s="371" t="s">
        <v>2276</v>
      </c>
      <c r="L38" s="206" t="s">
        <v>2139</v>
      </c>
      <c r="M38" s="206" t="s">
        <v>1731</v>
      </c>
      <c r="N38" s="206" t="s">
        <v>49</v>
      </c>
      <c r="O38" s="372">
        <v>45972</v>
      </c>
      <c r="P38" s="372">
        <v>45972</v>
      </c>
      <c r="Q38" s="371" t="s">
        <v>2271</v>
      </c>
      <c r="R38" s="373">
        <v>26640</v>
      </c>
      <c r="S38" s="373">
        <v>26640</v>
      </c>
      <c r="T38" s="371" t="s">
        <v>2271</v>
      </c>
      <c r="U38" s="373">
        <v>12090</v>
      </c>
      <c r="V38" s="373">
        <v>12090</v>
      </c>
      <c r="W38" s="371" t="s">
        <v>2271</v>
      </c>
      <c r="X38" s="373">
        <v>14550</v>
      </c>
      <c r="Y38" s="373">
        <v>14550</v>
      </c>
      <c r="Z38" s="371" t="s">
        <v>2271</v>
      </c>
      <c r="AA38" s="373">
        <v>0</v>
      </c>
      <c r="AB38" s="373">
        <v>14530</v>
      </c>
      <c r="AC38" s="373">
        <v>14530</v>
      </c>
      <c r="AD38" s="371" t="s">
        <v>2271</v>
      </c>
      <c r="AE38" s="373">
        <v>0</v>
      </c>
      <c r="AF38" s="382">
        <v>0.91736111111111096</v>
      </c>
      <c r="AG38" s="382">
        <v>0.91736111111111096</v>
      </c>
      <c r="AH38" s="371" t="s">
        <v>2271</v>
      </c>
      <c r="AI38" s="382">
        <v>0.99722222222222201</v>
      </c>
      <c r="AJ38" s="382">
        <v>0.99722222222222201</v>
      </c>
      <c r="AK38" s="371" t="s">
        <v>2271</v>
      </c>
      <c r="AL38" s="206" t="s">
        <v>42</v>
      </c>
      <c r="AM38" s="206" t="s">
        <v>42</v>
      </c>
      <c r="AN38" s="371" t="s">
        <v>2271</v>
      </c>
      <c r="AO38" s="206" t="s">
        <v>2292</v>
      </c>
      <c r="AP38" s="206" t="s">
        <v>1782</v>
      </c>
      <c r="AQ38" s="206" t="s">
        <v>1132</v>
      </c>
      <c r="AR38" s="207" t="s">
        <v>68</v>
      </c>
    </row>
    <row r="39" spans="1:44" x14ac:dyDescent="0.2">
      <c r="A39" s="370">
        <v>20</v>
      </c>
      <c r="B39" s="380">
        <v>20</v>
      </c>
      <c r="C39" s="371" t="s">
        <v>2269</v>
      </c>
      <c r="D39" s="371" t="s">
        <v>2270</v>
      </c>
      <c r="E39" s="206"/>
      <c r="F39" s="206" t="s">
        <v>102</v>
      </c>
      <c r="G39" s="206" t="s">
        <v>102</v>
      </c>
      <c r="H39" s="371" t="s">
        <v>2271</v>
      </c>
      <c r="I39" s="206" t="s">
        <v>1328</v>
      </c>
      <c r="J39" s="206" t="s">
        <v>1328</v>
      </c>
      <c r="K39" s="371" t="s">
        <v>2271</v>
      </c>
      <c r="L39" s="206" t="s">
        <v>2136</v>
      </c>
      <c r="M39" s="206" t="s">
        <v>1327</v>
      </c>
      <c r="N39" s="206" t="s">
        <v>59</v>
      </c>
      <c r="O39" s="372">
        <v>45930</v>
      </c>
      <c r="P39" s="372">
        <v>45930</v>
      </c>
      <c r="Q39" s="371" t="s">
        <v>2271</v>
      </c>
      <c r="R39" s="373">
        <v>45930</v>
      </c>
      <c r="S39" s="373">
        <v>45930</v>
      </c>
      <c r="T39" s="371" t="s">
        <v>2271</v>
      </c>
      <c r="U39" s="373">
        <v>18580</v>
      </c>
      <c r="V39" s="373">
        <v>18580</v>
      </c>
      <c r="W39" s="371" t="s">
        <v>2271</v>
      </c>
      <c r="X39" s="373">
        <v>27350</v>
      </c>
      <c r="Y39" s="373">
        <v>27350</v>
      </c>
      <c r="Z39" s="371" t="s">
        <v>2271</v>
      </c>
      <c r="AA39" s="373">
        <v>0</v>
      </c>
      <c r="AB39" s="373">
        <v>28520</v>
      </c>
      <c r="AC39" s="373">
        <v>28520</v>
      </c>
      <c r="AD39" s="371" t="s">
        <v>2271</v>
      </c>
      <c r="AE39" s="373">
        <v>0</v>
      </c>
      <c r="AF39" s="382">
        <v>0.45624999999999999</v>
      </c>
      <c r="AG39" s="382">
        <v>0.45624999999999999</v>
      </c>
      <c r="AH39" s="371" t="s">
        <v>2271</v>
      </c>
      <c r="AI39" s="382">
        <v>0.64027777777777795</v>
      </c>
      <c r="AJ39" s="382">
        <v>0.64027777777777795</v>
      </c>
      <c r="AK39" s="371" t="s">
        <v>2271</v>
      </c>
      <c r="AL39" s="206" t="s">
        <v>42</v>
      </c>
      <c r="AM39" s="206" t="s">
        <v>42</v>
      </c>
      <c r="AN39" s="371" t="s">
        <v>2271</v>
      </c>
      <c r="AO39" s="206" t="s">
        <v>2293</v>
      </c>
      <c r="AP39" s="206" t="s">
        <v>1499</v>
      </c>
      <c r="AQ39" s="206" t="s">
        <v>1133</v>
      </c>
      <c r="AR39" s="207" t="s">
        <v>75</v>
      </c>
    </row>
    <row r="40" spans="1:44" x14ac:dyDescent="0.2">
      <c r="A40" s="370">
        <v>21</v>
      </c>
      <c r="B40" s="380">
        <v>20</v>
      </c>
      <c r="C40" s="371" t="s">
        <v>2275</v>
      </c>
      <c r="D40" s="371" t="s">
        <v>2235</v>
      </c>
      <c r="E40" s="206"/>
      <c r="F40" s="206" t="s">
        <v>2140</v>
      </c>
      <c r="G40" s="206" t="s">
        <v>70</v>
      </c>
      <c r="H40" s="371" t="s">
        <v>2276</v>
      </c>
      <c r="I40" s="206" t="s">
        <v>2138</v>
      </c>
      <c r="J40" s="206" t="s">
        <v>1331</v>
      </c>
      <c r="K40" s="371" t="s">
        <v>2276</v>
      </c>
      <c r="L40" s="206" t="s">
        <v>2139</v>
      </c>
      <c r="M40" s="206" t="s">
        <v>1731</v>
      </c>
      <c r="N40" s="206" t="s">
        <v>49</v>
      </c>
      <c r="O40" s="372">
        <v>45972</v>
      </c>
      <c r="P40" s="372">
        <v>45972</v>
      </c>
      <c r="Q40" s="371" t="s">
        <v>2271</v>
      </c>
      <c r="R40" s="373">
        <v>45890</v>
      </c>
      <c r="S40" s="373">
        <v>45890</v>
      </c>
      <c r="T40" s="371" t="s">
        <v>2271</v>
      </c>
      <c r="U40" s="373">
        <v>17640</v>
      </c>
      <c r="V40" s="373">
        <v>17640</v>
      </c>
      <c r="W40" s="371" t="s">
        <v>2271</v>
      </c>
      <c r="X40" s="373">
        <v>28250</v>
      </c>
      <c r="Y40" s="373">
        <v>28250</v>
      </c>
      <c r="Z40" s="371" t="s">
        <v>2271</v>
      </c>
      <c r="AA40" s="373">
        <v>0</v>
      </c>
      <c r="AB40" s="373">
        <v>28230</v>
      </c>
      <c r="AC40" s="373">
        <v>28230</v>
      </c>
      <c r="AD40" s="371" t="s">
        <v>2271</v>
      </c>
      <c r="AE40" s="373">
        <v>0</v>
      </c>
      <c r="AF40" s="382">
        <v>0.938194444444444</v>
      </c>
      <c r="AG40" s="382">
        <v>0.938194444444444</v>
      </c>
      <c r="AH40" s="371" t="s">
        <v>2271</v>
      </c>
      <c r="AI40" s="382">
        <v>0.99305555555555503</v>
      </c>
      <c r="AJ40" s="382">
        <v>0.99305555555555602</v>
      </c>
      <c r="AK40" s="371" t="s">
        <v>2276</v>
      </c>
      <c r="AL40" s="206" t="s">
        <v>42</v>
      </c>
      <c r="AM40" s="206" t="s">
        <v>42</v>
      </c>
      <c r="AN40" s="371" t="s">
        <v>2271</v>
      </c>
      <c r="AO40" s="206" t="s">
        <v>2294</v>
      </c>
      <c r="AP40" s="206" t="s">
        <v>1499</v>
      </c>
      <c r="AQ40" s="206" t="s">
        <v>1133</v>
      </c>
      <c r="AR40" s="207" t="s">
        <v>68</v>
      </c>
    </row>
    <row r="41" spans="1:44" x14ac:dyDescent="0.2">
      <c r="A41" s="370">
        <v>22</v>
      </c>
      <c r="B41" s="380">
        <v>21</v>
      </c>
      <c r="C41" s="371" t="s">
        <v>2269</v>
      </c>
      <c r="D41" s="371" t="s">
        <v>2270</v>
      </c>
      <c r="E41" s="206"/>
      <c r="F41" s="206" t="s">
        <v>97</v>
      </c>
      <c r="G41" s="206" t="s">
        <v>97</v>
      </c>
      <c r="H41" s="371" t="s">
        <v>2271</v>
      </c>
      <c r="I41" s="206" t="s">
        <v>1328</v>
      </c>
      <c r="J41" s="206" t="s">
        <v>1328</v>
      </c>
      <c r="K41" s="371" t="s">
        <v>2271</v>
      </c>
      <c r="L41" s="206" t="s">
        <v>2136</v>
      </c>
      <c r="M41" s="206" t="s">
        <v>1327</v>
      </c>
      <c r="N41" s="206" t="s">
        <v>59</v>
      </c>
      <c r="O41" s="372">
        <v>45930</v>
      </c>
      <c r="P41" s="372">
        <v>45930</v>
      </c>
      <c r="Q41" s="371" t="s">
        <v>2271</v>
      </c>
      <c r="R41" s="373">
        <v>26780</v>
      </c>
      <c r="S41" s="373">
        <v>26780</v>
      </c>
      <c r="T41" s="371" t="s">
        <v>2271</v>
      </c>
      <c r="U41" s="373">
        <v>12170</v>
      </c>
      <c r="V41" s="373">
        <v>12170</v>
      </c>
      <c r="W41" s="371" t="s">
        <v>2271</v>
      </c>
      <c r="X41" s="373">
        <v>14610</v>
      </c>
      <c r="Y41" s="373">
        <v>14610</v>
      </c>
      <c r="Z41" s="371" t="s">
        <v>2271</v>
      </c>
      <c r="AA41" s="373">
        <v>0</v>
      </c>
      <c r="AB41" s="373">
        <v>14720</v>
      </c>
      <c r="AC41" s="373">
        <v>14720</v>
      </c>
      <c r="AD41" s="371" t="s">
        <v>2271</v>
      </c>
      <c r="AE41" s="373">
        <v>0</v>
      </c>
      <c r="AF41" s="382">
        <v>0.45972222222222198</v>
      </c>
      <c r="AG41" s="382">
        <v>0.45972222222222198</v>
      </c>
      <c r="AH41" s="371" t="s">
        <v>2271</v>
      </c>
      <c r="AI41" s="382">
        <v>0.55000000000000004</v>
      </c>
      <c r="AJ41" s="382">
        <v>0.55000000000000004</v>
      </c>
      <c r="AK41" s="371" t="s">
        <v>2271</v>
      </c>
      <c r="AL41" s="206" t="s">
        <v>42</v>
      </c>
      <c r="AM41" s="206" t="s">
        <v>42</v>
      </c>
      <c r="AN41" s="371" t="s">
        <v>2271</v>
      </c>
      <c r="AO41" s="206" t="s">
        <v>2295</v>
      </c>
      <c r="AP41" s="206" t="s">
        <v>1782</v>
      </c>
      <c r="AQ41" s="206" t="s">
        <v>1132</v>
      </c>
      <c r="AR41" s="207" t="s">
        <v>75</v>
      </c>
    </row>
    <row r="42" spans="1:44" x14ac:dyDescent="0.2">
      <c r="A42" s="370">
        <v>23</v>
      </c>
      <c r="B42" s="380">
        <v>21</v>
      </c>
      <c r="C42" s="371" t="s">
        <v>2275</v>
      </c>
      <c r="D42" s="371" t="s">
        <v>2235</v>
      </c>
      <c r="E42" s="206"/>
      <c r="F42" s="206" t="s">
        <v>76</v>
      </c>
      <c r="G42" s="206" t="s">
        <v>76</v>
      </c>
      <c r="H42" s="371" t="s">
        <v>2271</v>
      </c>
      <c r="I42" s="206" t="s">
        <v>2138</v>
      </c>
      <c r="J42" s="206" t="s">
        <v>1331</v>
      </c>
      <c r="K42" s="371" t="s">
        <v>2276</v>
      </c>
      <c r="L42" s="206" t="s">
        <v>2139</v>
      </c>
      <c r="M42" s="206" t="s">
        <v>1731</v>
      </c>
      <c r="N42" s="206" t="s">
        <v>49</v>
      </c>
      <c r="O42" s="372">
        <v>45973</v>
      </c>
      <c r="P42" s="372">
        <v>45973</v>
      </c>
      <c r="Q42" s="371" t="s">
        <v>2271</v>
      </c>
      <c r="R42" s="373">
        <v>45840</v>
      </c>
      <c r="S42" s="373">
        <v>45840</v>
      </c>
      <c r="T42" s="371" t="s">
        <v>2271</v>
      </c>
      <c r="U42" s="373">
        <v>17510</v>
      </c>
      <c r="V42" s="373">
        <v>17510</v>
      </c>
      <c r="W42" s="371" t="s">
        <v>2271</v>
      </c>
      <c r="X42" s="373">
        <v>28330</v>
      </c>
      <c r="Y42" s="373">
        <v>28330</v>
      </c>
      <c r="Z42" s="371" t="s">
        <v>2271</v>
      </c>
      <c r="AA42" s="373">
        <v>0</v>
      </c>
      <c r="AB42" s="373">
        <v>28140</v>
      </c>
      <c r="AC42" s="373">
        <v>28140</v>
      </c>
      <c r="AD42" s="371" t="s">
        <v>2271</v>
      </c>
      <c r="AE42" s="373">
        <v>0</v>
      </c>
      <c r="AF42" s="382">
        <v>0.55902777777777801</v>
      </c>
      <c r="AG42" s="382">
        <v>0.55902777777777801</v>
      </c>
      <c r="AH42" s="371" t="s">
        <v>2271</v>
      </c>
      <c r="AI42" s="382">
        <v>0.68541666666666701</v>
      </c>
      <c r="AJ42" s="382">
        <v>0.68541666666666701</v>
      </c>
      <c r="AK42" s="371" t="s">
        <v>2271</v>
      </c>
      <c r="AL42" s="206" t="s">
        <v>42</v>
      </c>
      <c r="AM42" s="206" t="s">
        <v>42</v>
      </c>
      <c r="AN42" s="371" t="s">
        <v>2271</v>
      </c>
      <c r="AO42" s="206" t="s">
        <v>2296</v>
      </c>
      <c r="AP42" s="206" t="s">
        <v>1372</v>
      </c>
      <c r="AQ42" s="206" t="s">
        <v>1133</v>
      </c>
      <c r="AR42" s="207" t="s">
        <v>68</v>
      </c>
    </row>
    <row r="43" spans="1:44" x14ac:dyDescent="0.2">
      <c r="A43" s="370">
        <v>24</v>
      </c>
      <c r="B43" s="380">
        <v>22</v>
      </c>
      <c r="C43" s="371" t="s">
        <v>2269</v>
      </c>
      <c r="D43" s="371" t="s">
        <v>2235</v>
      </c>
      <c r="E43" s="206"/>
      <c r="F43" s="206" t="s">
        <v>89</v>
      </c>
      <c r="G43" s="206" t="s">
        <v>89</v>
      </c>
      <c r="H43" s="371" t="s">
        <v>2271</v>
      </c>
      <c r="I43" s="206" t="s">
        <v>1328</v>
      </c>
      <c r="J43" s="206" t="s">
        <v>1328</v>
      </c>
      <c r="K43" s="371" t="s">
        <v>2271</v>
      </c>
      <c r="L43" s="206" t="s">
        <v>2136</v>
      </c>
      <c r="M43" s="206" t="s">
        <v>1327</v>
      </c>
      <c r="N43" s="206" t="s">
        <v>59</v>
      </c>
      <c r="O43" s="372">
        <v>45930</v>
      </c>
      <c r="P43" s="372">
        <v>45930</v>
      </c>
      <c r="Q43" s="371" t="s">
        <v>2271</v>
      </c>
      <c r="R43" s="373">
        <v>24870</v>
      </c>
      <c r="S43" s="373">
        <v>24870</v>
      </c>
      <c r="T43" s="371" t="s">
        <v>2271</v>
      </c>
      <c r="U43" s="373">
        <v>10660</v>
      </c>
      <c r="V43" s="373">
        <v>10660</v>
      </c>
      <c r="W43" s="371" t="s">
        <v>2271</v>
      </c>
      <c r="X43" s="373">
        <v>14210</v>
      </c>
      <c r="Y43" s="373">
        <v>14210</v>
      </c>
      <c r="Z43" s="371" t="s">
        <v>2271</v>
      </c>
      <c r="AA43" s="373">
        <v>0</v>
      </c>
      <c r="AB43" s="373">
        <v>14200</v>
      </c>
      <c r="AC43" s="373">
        <v>14200</v>
      </c>
      <c r="AD43" s="371" t="s">
        <v>2271</v>
      </c>
      <c r="AE43" s="373">
        <v>0</v>
      </c>
      <c r="AF43" s="382">
        <v>0.86944444444444402</v>
      </c>
      <c r="AG43" s="382">
        <v>0.86944444444444502</v>
      </c>
      <c r="AH43" s="371" t="s">
        <v>2276</v>
      </c>
      <c r="AI43" s="382">
        <v>0.94236111111111098</v>
      </c>
      <c r="AJ43" s="382">
        <v>0.94236111111111098</v>
      </c>
      <c r="AK43" s="371" t="s">
        <v>2271</v>
      </c>
      <c r="AL43" s="206" t="s">
        <v>42</v>
      </c>
      <c r="AM43" s="206" t="s">
        <v>42</v>
      </c>
      <c r="AN43" s="371" t="s">
        <v>2271</v>
      </c>
      <c r="AO43" s="206" t="s">
        <v>2297</v>
      </c>
      <c r="AP43" s="206" t="s">
        <v>1781</v>
      </c>
      <c r="AQ43" s="206" t="s">
        <v>1132</v>
      </c>
      <c r="AR43" s="207" t="s">
        <v>75</v>
      </c>
    </row>
    <row r="44" spans="1:44" x14ac:dyDescent="0.2">
      <c r="A44" s="370">
        <v>25</v>
      </c>
      <c r="B44" s="380">
        <v>22</v>
      </c>
      <c r="C44" s="371" t="s">
        <v>2275</v>
      </c>
      <c r="D44" s="371" t="s">
        <v>2235</v>
      </c>
      <c r="E44" s="206"/>
      <c r="F44" s="206" t="s">
        <v>2140</v>
      </c>
      <c r="G44" s="206" t="s">
        <v>70</v>
      </c>
      <c r="H44" s="371" t="s">
        <v>2276</v>
      </c>
      <c r="I44" s="206" t="s">
        <v>2138</v>
      </c>
      <c r="J44" s="206" t="s">
        <v>1331</v>
      </c>
      <c r="K44" s="371" t="s">
        <v>2276</v>
      </c>
      <c r="L44" s="206" t="s">
        <v>2139</v>
      </c>
      <c r="M44" s="206" t="s">
        <v>1731</v>
      </c>
      <c r="N44" s="206" t="s">
        <v>49</v>
      </c>
      <c r="O44" s="372">
        <v>45973</v>
      </c>
      <c r="P44" s="372">
        <v>45973</v>
      </c>
      <c r="Q44" s="371" t="s">
        <v>2271</v>
      </c>
      <c r="R44" s="373">
        <v>45920</v>
      </c>
      <c r="S44" s="373">
        <v>45920</v>
      </c>
      <c r="T44" s="371" t="s">
        <v>2271</v>
      </c>
      <c r="U44" s="373">
        <v>17680</v>
      </c>
      <c r="V44" s="373">
        <v>17680</v>
      </c>
      <c r="W44" s="371" t="s">
        <v>2271</v>
      </c>
      <c r="X44" s="373">
        <v>28240</v>
      </c>
      <c r="Y44" s="373">
        <v>28240</v>
      </c>
      <c r="Z44" s="371" t="s">
        <v>2271</v>
      </c>
      <c r="AA44" s="373">
        <v>0</v>
      </c>
      <c r="AB44" s="373">
        <v>28230</v>
      </c>
      <c r="AC44" s="373">
        <v>28230</v>
      </c>
      <c r="AD44" s="371" t="s">
        <v>2271</v>
      </c>
      <c r="AE44" s="373">
        <v>0</v>
      </c>
      <c r="AF44" s="382">
        <v>0.68333333333333302</v>
      </c>
      <c r="AG44" s="382">
        <v>0.68333333333333302</v>
      </c>
      <c r="AH44" s="371" t="s">
        <v>2271</v>
      </c>
      <c r="AI44" s="382">
        <v>0.77152777777777803</v>
      </c>
      <c r="AJ44" s="382">
        <v>0.77152777777777803</v>
      </c>
      <c r="AK44" s="371" t="s">
        <v>2271</v>
      </c>
      <c r="AL44" s="206" t="s">
        <v>42</v>
      </c>
      <c r="AM44" s="206" t="s">
        <v>42</v>
      </c>
      <c r="AN44" s="371" t="s">
        <v>2271</v>
      </c>
      <c r="AO44" s="206" t="s">
        <v>2298</v>
      </c>
      <c r="AP44" s="206" t="s">
        <v>1499</v>
      </c>
      <c r="AQ44" s="206" t="s">
        <v>1133</v>
      </c>
      <c r="AR44" s="207" t="s">
        <v>68</v>
      </c>
    </row>
    <row r="45" spans="1:44" x14ac:dyDescent="0.2">
      <c r="A45" s="370">
        <v>26</v>
      </c>
      <c r="B45" s="380">
        <v>23</v>
      </c>
      <c r="C45" s="371" t="s">
        <v>2269</v>
      </c>
      <c r="D45" s="371" t="s">
        <v>2270</v>
      </c>
      <c r="E45" s="206"/>
      <c r="F45" s="206" t="s">
        <v>97</v>
      </c>
      <c r="G45" s="206" t="s">
        <v>97</v>
      </c>
      <c r="H45" s="371" t="s">
        <v>2271</v>
      </c>
      <c r="I45" s="206" t="s">
        <v>1328</v>
      </c>
      <c r="J45" s="206" t="s">
        <v>1328</v>
      </c>
      <c r="K45" s="371" t="s">
        <v>2271</v>
      </c>
      <c r="L45" s="206" t="s">
        <v>2136</v>
      </c>
      <c r="M45" s="206" t="s">
        <v>1327</v>
      </c>
      <c r="N45" s="206" t="s">
        <v>59</v>
      </c>
      <c r="O45" s="372">
        <v>45931</v>
      </c>
      <c r="P45" s="372">
        <v>45931</v>
      </c>
      <c r="Q45" s="371" t="s">
        <v>2271</v>
      </c>
      <c r="R45" s="373">
        <v>26650</v>
      </c>
      <c r="S45" s="373">
        <v>26650</v>
      </c>
      <c r="T45" s="371" t="s">
        <v>2271</v>
      </c>
      <c r="U45" s="373">
        <v>12110</v>
      </c>
      <c r="V45" s="373">
        <v>12110</v>
      </c>
      <c r="W45" s="371" t="s">
        <v>2271</v>
      </c>
      <c r="X45" s="373">
        <v>14540</v>
      </c>
      <c r="Y45" s="373">
        <v>14540</v>
      </c>
      <c r="Z45" s="371" t="s">
        <v>2271</v>
      </c>
      <c r="AA45" s="373">
        <v>0</v>
      </c>
      <c r="AB45" s="373">
        <v>14540</v>
      </c>
      <c r="AC45" s="373">
        <v>14540</v>
      </c>
      <c r="AD45" s="371" t="s">
        <v>2271</v>
      </c>
      <c r="AE45" s="373">
        <v>0</v>
      </c>
      <c r="AF45" s="382">
        <v>0.87013888888888902</v>
      </c>
      <c r="AG45" s="382">
        <v>0.87013888888888902</v>
      </c>
      <c r="AH45" s="371" t="s">
        <v>2271</v>
      </c>
      <c r="AI45" s="382">
        <v>7.6388888888888904E-3</v>
      </c>
      <c r="AJ45" s="382">
        <v>7.6388888888888904E-3</v>
      </c>
      <c r="AK45" s="371" t="s">
        <v>2271</v>
      </c>
      <c r="AL45" s="206" t="s">
        <v>42</v>
      </c>
      <c r="AM45" s="206" t="s">
        <v>42</v>
      </c>
      <c r="AN45" s="371" t="s">
        <v>2271</v>
      </c>
      <c r="AO45" s="206" t="s">
        <v>2299</v>
      </c>
      <c r="AP45" s="206" t="s">
        <v>1782</v>
      </c>
      <c r="AQ45" s="206" t="s">
        <v>1132</v>
      </c>
      <c r="AR45" s="207" t="s">
        <v>75</v>
      </c>
    </row>
    <row r="46" spans="1:44" x14ac:dyDescent="0.2">
      <c r="A46" s="370">
        <v>27</v>
      </c>
      <c r="B46" s="380">
        <v>23</v>
      </c>
      <c r="C46" s="371" t="s">
        <v>2275</v>
      </c>
      <c r="D46" s="371" t="s">
        <v>2235</v>
      </c>
      <c r="E46" s="206"/>
      <c r="F46" s="206" t="s">
        <v>76</v>
      </c>
      <c r="G46" s="206" t="s">
        <v>76</v>
      </c>
      <c r="H46" s="371" t="s">
        <v>2271</v>
      </c>
      <c r="I46" s="206" t="s">
        <v>2138</v>
      </c>
      <c r="J46" s="206" t="s">
        <v>1331</v>
      </c>
      <c r="K46" s="371" t="s">
        <v>2276</v>
      </c>
      <c r="L46" s="206" t="s">
        <v>2139</v>
      </c>
      <c r="M46" s="206" t="s">
        <v>1731</v>
      </c>
      <c r="N46" s="206" t="s">
        <v>49</v>
      </c>
      <c r="O46" s="372">
        <v>45974</v>
      </c>
      <c r="P46" s="372">
        <v>45974</v>
      </c>
      <c r="Q46" s="371" t="s">
        <v>2271</v>
      </c>
      <c r="R46" s="373">
        <v>45780</v>
      </c>
      <c r="S46" s="373">
        <v>45780</v>
      </c>
      <c r="T46" s="371" t="s">
        <v>2271</v>
      </c>
      <c r="U46" s="373">
        <v>17620</v>
      </c>
      <c r="V46" s="373">
        <v>17620</v>
      </c>
      <c r="W46" s="371" t="s">
        <v>2271</v>
      </c>
      <c r="X46" s="373">
        <v>28160</v>
      </c>
      <c r="Y46" s="373">
        <v>28160</v>
      </c>
      <c r="Z46" s="371" t="s">
        <v>2271</v>
      </c>
      <c r="AA46" s="373">
        <v>0</v>
      </c>
      <c r="AB46" s="373">
        <v>28250</v>
      </c>
      <c r="AC46" s="373">
        <v>28250</v>
      </c>
      <c r="AD46" s="371" t="s">
        <v>2271</v>
      </c>
      <c r="AE46" s="373">
        <v>0</v>
      </c>
      <c r="AF46" s="382">
        <v>0.99444444444444402</v>
      </c>
      <c r="AG46" s="382">
        <v>0.99444444444444502</v>
      </c>
      <c r="AH46" s="371" t="s">
        <v>2276</v>
      </c>
      <c r="AI46" s="382">
        <v>5.9722222222222197E-2</v>
      </c>
      <c r="AJ46" s="382">
        <v>5.9722222222222197E-2</v>
      </c>
      <c r="AK46" s="371" t="s">
        <v>2271</v>
      </c>
      <c r="AL46" s="206" t="s">
        <v>42</v>
      </c>
      <c r="AM46" s="206" t="s">
        <v>42</v>
      </c>
      <c r="AN46" s="371" t="s">
        <v>2271</v>
      </c>
      <c r="AO46" s="206" t="s">
        <v>2300</v>
      </c>
      <c r="AP46" s="206" t="s">
        <v>1372</v>
      </c>
      <c r="AQ46" s="206" t="s">
        <v>1133</v>
      </c>
      <c r="AR46" s="207" t="s">
        <v>68</v>
      </c>
    </row>
    <row r="47" spans="1:44" x14ac:dyDescent="0.2">
      <c r="A47" s="370">
        <v>28</v>
      </c>
      <c r="B47" s="380">
        <v>24</v>
      </c>
      <c r="C47" s="371" t="s">
        <v>2269</v>
      </c>
      <c r="D47" s="371" t="s">
        <v>2270</v>
      </c>
      <c r="E47" s="206"/>
      <c r="F47" s="206" t="s">
        <v>106</v>
      </c>
      <c r="G47" s="206" t="s">
        <v>106</v>
      </c>
      <c r="H47" s="371" t="s">
        <v>2271</v>
      </c>
      <c r="I47" s="206" t="s">
        <v>1328</v>
      </c>
      <c r="J47" s="206" t="s">
        <v>1328</v>
      </c>
      <c r="K47" s="371" t="s">
        <v>2271</v>
      </c>
      <c r="L47" s="206" t="s">
        <v>2136</v>
      </c>
      <c r="M47" s="206" t="s">
        <v>1327</v>
      </c>
      <c r="N47" s="206" t="s">
        <v>59</v>
      </c>
      <c r="O47" s="372">
        <v>45930</v>
      </c>
      <c r="P47" s="372">
        <v>45930</v>
      </c>
      <c r="Q47" s="371" t="s">
        <v>2271</v>
      </c>
      <c r="R47" s="373">
        <v>45770</v>
      </c>
      <c r="S47" s="373">
        <v>45770</v>
      </c>
      <c r="T47" s="371" t="s">
        <v>2271</v>
      </c>
      <c r="U47" s="373">
        <v>17500</v>
      </c>
      <c r="V47" s="373">
        <v>17500</v>
      </c>
      <c r="W47" s="371" t="s">
        <v>2271</v>
      </c>
      <c r="X47" s="373">
        <v>28270</v>
      </c>
      <c r="Y47" s="373">
        <v>28270</v>
      </c>
      <c r="Z47" s="371" t="s">
        <v>2271</v>
      </c>
      <c r="AA47" s="373">
        <v>0</v>
      </c>
      <c r="AB47" s="373">
        <v>28080</v>
      </c>
      <c r="AC47" s="373">
        <v>28080</v>
      </c>
      <c r="AD47" s="371" t="s">
        <v>2271</v>
      </c>
      <c r="AE47" s="373">
        <v>0</v>
      </c>
      <c r="AF47" s="382">
        <v>0.87291666666666701</v>
      </c>
      <c r="AG47" s="382">
        <v>0.87291666666666701</v>
      </c>
      <c r="AH47" s="371" t="s">
        <v>2271</v>
      </c>
      <c r="AI47" s="382">
        <v>0.95</v>
      </c>
      <c r="AJ47" s="382">
        <v>0.95</v>
      </c>
      <c r="AK47" s="371" t="s">
        <v>2271</v>
      </c>
      <c r="AL47" s="206" t="s">
        <v>42</v>
      </c>
      <c r="AM47" s="206" t="s">
        <v>42</v>
      </c>
      <c r="AN47" s="371" t="s">
        <v>2271</v>
      </c>
      <c r="AO47" s="206" t="s">
        <v>2301</v>
      </c>
      <c r="AP47" s="206" t="s">
        <v>1372</v>
      </c>
      <c r="AQ47" s="206" t="s">
        <v>1133</v>
      </c>
      <c r="AR47" s="207" t="s">
        <v>75</v>
      </c>
    </row>
    <row r="48" spans="1:44" x14ac:dyDescent="0.2">
      <c r="A48" s="370">
        <v>29</v>
      </c>
      <c r="B48" s="380">
        <v>24</v>
      </c>
      <c r="C48" s="371" t="s">
        <v>2275</v>
      </c>
      <c r="D48" s="371" t="s">
        <v>2235</v>
      </c>
      <c r="E48" s="206"/>
      <c r="F48" s="206" t="s">
        <v>2140</v>
      </c>
      <c r="G48" s="206" t="s">
        <v>70</v>
      </c>
      <c r="H48" s="371" t="s">
        <v>2276</v>
      </c>
      <c r="I48" s="206" t="s">
        <v>2138</v>
      </c>
      <c r="J48" s="206" t="s">
        <v>1331</v>
      </c>
      <c r="K48" s="371" t="s">
        <v>2276</v>
      </c>
      <c r="L48" s="206" t="s">
        <v>2139</v>
      </c>
      <c r="M48" s="206" t="s">
        <v>1731</v>
      </c>
      <c r="N48" s="206" t="s">
        <v>49</v>
      </c>
      <c r="O48" s="372">
        <v>45974</v>
      </c>
      <c r="P48" s="372">
        <v>45974</v>
      </c>
      <c r="Q48" s="371" t="s">
        <v>2271</v>
      </c>
      <c r="R48" s="373">
        <v>45850</v>
      </c>
      <c r="S48" s="373">
        <v>45850</v>
      </c>
      <c r="T48" s="371" t="s">
        <v>2271</v>
      </c>
      <c r="U48" s="373">
        <v>17640</v>
      </c>
      <c r="V48" s="373">
        <v>17640</v>
      </c>
      <c r="W48" s="371" t="s">
        <v>2271</v>
      </c>
      <c r="X48" s="373">
        <v>28210</v>
      </c>
      <c r="Y48" s="373">
        <v>28210</v>
      </c>
      <c r="Z48" s="371" t="s">
        <v>2271</v>
      </c>
      <c r="AA48" s="373">
        <v>0</v>
      </c>
      <c r="AB48" s="373">
        <v>28150</v>
      </c>
      <c r="AC48" s="373">
        <v>28150</v>
      </c>
      <c r="AD48" s="371" t="s">
        <v>2271</v>
      </c>
      <c r="AE48" s="373">
        <v>0</v>
      </c>
      <c r="AF48" s="382">
        <v>2.5000000000000001E-2</v>
      </c>
      <c r="AG48" s="382">
        <v>2.5000000000000001E-2</v>
      </c>
      <c r="AH48" s="371" t="s">
        <v>2271</v>
      </c>
      <c r="AI48" s="382">
        <v>7.7777777777777807E-2</v>
      </c>
      <c r="AJ48" s="382">
        <v>7.7777777777777807E-2</v>
      </c>
      <c r="AK48" s="371" t="s">
        <v>2271</v>
      </c>
      <c r="AL48" s="206" t="s">
        <v>42</v>
      </c>
      <c r="AM48" s="206" t="s">
        <v>42</v>
      </c>
      <c r="AN48" s="371" t="s">
        <v>2271</v>
      </c>
      <c r="AO48" s="206" t="s">
        <v>2302</v>
      </c>
      <c r="AP48" s="206" t="s">
        <v>1499</v>
      </c>
      <c r="AQ48" s="206" t="s">
        <v>1133</v>
      </c>
      <c r="AR48" s="207" t="s">
        <v>68</v>
      </c>
    </row>
    <row r="49" spans="1:44" x14ac:dyDescent="0.2">
      <c r="A49" s="370">
        <v>30</v>
      </c>
      <c r="B49" s="380">
        <v>25</v>
      </c>
      <c r="C49" s="371" t="s">
        <v>2269</v>
      </c>
      <c r="D49" s="371" t="s">
        <v>2235</v>
      </c>
      <c r="E49" s="206"/>
      <c r="F49" s="206" t="s">
        <v>102</v>
      </c>
      <c r="G49" s="206" t="s">
        <v>102</v>
      </c>
      <c r="H49" s="371" t="s">
        <v>2271</v>
      </c>
      <c r="I49" s="206" t="s">
        <v>1328</v>
      </c>
      <c r="J49" s="206" t="s">
        <v>1328</v>
      </c>
      <c r="K49" s="371" t="s">
        <v>2271</v>
      </c>
      <c r="L49" s="206" t="s">
        <v>2136</v>
      </c>
      <c r="M49" s="206" t="s">
        <v>1327</v>
      </c>
      <c r="N49" s="206" t="s">
        <v>59</v>
      </c>
      <c r="O49" s="372">
        <v>45931</v>
      </c>
      <c r="P49" s="372">
        <v>45931</v>
      </c>
      <c r="Q49" s="371" t="s">
        <v>2271</v>
      </c>
      <c r="R49" s="373">
        <v>45650</v>
      </c>
      <c r="S49" s="373">
        <v>45650</v>
      </c>
      <c r="T49" s="371" t="s">
        <v>2271</v>
      </c>
      <c r="U49" s="373">
        <v>17580</v>
      </c>
      <c r="V49" s="373">
        <v>17580</v>
      </c>
      <c r="W49" s="371" t="s">
        <v>2271</v>
      </c>
      <c r="X49" s="373">
        <v>28070</v>
      </c>
      <c r="Y49" s="373">
        <v>28070</v>
      </c>
      <c r="Z49" s="371" t="s">
        <v>2271</v>
      </c>
      <c r="AA49" s="373">
        <v>0</v>
      </c>
      <c r="AB49" s="373">
        <v>27180</v>
      </c>
      <c r="AC49" s="373">
        <v>27180</v>
      </c>
      <c r="AD49" s="371" t="s">
        <v>2271</v>
      </c>
      <c r="AE49" s="373">
        <v>0</v>
      </c>
      <c r="AF49" s="382">
        <v>0.89930555555555503</v>
      </c>
      <c r="AG49" s="382">
        <v>0.89930555555555602</v>
      </c>
      <c r="AH49" s="371" t="s">
        <v>2276</v>
      </c>
      <c r="AI49" s="382">
        <v>1.59722222222222E-2</v>
      </c>
      <c r="AJ49" s="382">
        <v>1.59722222222222E-2</v>
      </c>
      <c r="AK49" s="371" t="s">
        <v>2271</v>
      </c>
      <c r="AL49" s="206" t="s">
        <v>42</v>
      </c>
      <c r="AM49" s="206" t="s">
        <v>42</v>
      </c>
      <c r="AN49" s="371" t="s">
        <v>2271</v>
      </c>
      <c r="AO49" s="206" t="s">
        <v>2303</v>
      </c>
      <c r="AP49" s="206" t="s">
        <v>1499</v>
      </c>
      <c r="AQ49" s="206" t="s">
        <v>1133</v>
      </c>
      <c r="AR49" s="207" t="s">
        <v>75</v>
      </c>
    </row>
    <row r="50" spans="1:44" x14ac:dyDescent="0.2">
      <c r="A50" s="370">
        <v>31</v>
      </c>
      <c r="B50" s="380">
        <v>25</v>
      </c>
      <c r="C50" s="371" t="s">
        <v>2275</v>
      </c>
      <c r="D50" s="371" t="s">
        <v>2235</v>
      </c>
      <c r="E50" s="206"/>
      <c r="F50" s="206" t="s">
        <v>46</v>
      </c>
      <c r="G50" s="206" t="s">
        <v>46</v>
      </c>
      <c r="H50" s="371" t="s">
        <v>2271</v>
      </c>
      <c r="I50" s="206" t="s">
        <v>2138</v>
      </c>
      <c r="J50" s="206" t="s">
        <v>1331</v>
      </c>
      <c r="K50" s="371" t="s">
        <v>2276</v>
      </c>
      <c r="L50" s="206" t="s">
        <v>2139</v>
      </c>
      <c r="M50" s="206" t="s">
        <v>1731</v>
      </c>
      <c r="N50" s="206" t="s">
        <v>49</v>
      </c>
      <c r="O50" s="372">
        <v>45974</v>
      </c>
      <c r="P50" s="372">
        <v>45974</v>
      </c>
      <c r="Q50" s="371" t="s">
        <v>2271</v>
      </c>
      <c r="R50" s="373">
        <v>26600</v>
      </c>
      <c r="S50" s="373">
        <v>26600</v>
      </c>
      <c r="T50" s="371" t="s">
        <v>2271</v>
      </c>
      <c r="U50" s="373">
        <v>11760</v>
      </c>
      <c r="V50" s="373">
        <v>11760</v>
      </c>
      <c r="W50" s="371" t="s">
        <v>2271</v>
      </c>
      <c r="X50" s="373">
        <v>14840</v>
      </c>
      <c r="Y50" s="373">
        <v>14840</v>
      </c>
      <c r="Z50" s="371" t="s">
        <v>2271</v>
      </c>
      <c r="AA50" s="373">
        <v>0</v>
      </c>
      <c r="AB50" s="373">
        <v>14760</v>
      </c>
      <c r="AC50" s="373">
        <v>14760</v>
      </c>
      <c r="AD50" s="371" t="s">
        <v>2271</v>
      </c>
      <c r="AE50" s="373">
        <v>0</v>
      </c>
      <c r="AF50" s="382">
        <v>0.55416666666666703</v>
      </c>
      <c r="AG50" s="382">
        <v>0.55416666666666703</v>
      </c>
      <c r="AH50" s="371" t="s">
        <v>2271</v>
      </c>
      <c r="AI50" s="382">
        <v>0.63194444444444398</v>
      </c>
      <c r="AJ50" s="382">
        <v>0.63194444444444398</v>
      </c>
      <c r="AK50" s="371" t="s">
        <v>2271</v>
      </c>
      <c r="AL50" s="206" t="s">
        <v>42</v>
      </c>
      <c r="AM50" s="206" t="s">
        <v>42</v>
      </c>
      <c r="AN50" s="371" t="s">
        <v>2271</v>
      </c>
      <c r="AO50" s="206" t="s">
        <v>2304</v>
      </c>
      <c r="AP50" s="206" t="s">
        <v>1393</v>
      </c>
      <c r="AQ50" s="206" t="s">
        <v>1132</v>
      </c>
      <c r="AR50" s="207" t="s">
        <v>68</v>
      </c>
    </row>
    <row r="51" spans="1:44" x14ac:dyDescent="0.2">
      <c r="A51" s="370">
        <v>32</v>
      </c>
      <c r="B51" s="380">
        <v>26</v>
      </c>
      <c r="C51" s="371" t="s">
        <v>2269</v>
      </c>
      <c r="D51" s="371" t="s">
        <v>2270</v>
      </c>
      <c r="E51" s="206"/>
      <c r="F51" s="206" t="s">
        <v>97</v>
      </c>
      <c r="G51" s="206" t="s">
        <v>97</v>
      </c>
      <c r="H51" s="371" t="s">
        <v>2271</v>
      </c>
      <c r="I51" s="206" t="s">
        <v>1328</v>
      </c>
      <c r="J51" s="206" t="s">
        <v>1328</v>
      </c>
      <c r="K51" s="371" t="s">
        <v>2271</v>
      </c>
      <c r="L51" s="206" t="s">
        <v>2136</v>
      </c>
      <c r="M51" s="206" t="s">
        <v>1327</v>
      </c>
      <c r="N51" s="206" t="s">
        <v>59</v>
      </c>
      <c r="O51" s="372">
        <v>45931</v>
      </c>
      <c r="P51" s="372">
        <v>45931</v>
      </c>
      <c r="Q51" s="371" t="s">
        <v>2271</v>
      </c>
      <c r="R51" s="373">
        <v>26600</v>
      </c>
      <c r="S51" s="373">
        <v>26600</v>
      </c>
      <c r="T51" s="371" t="s">
        <v>2271</v>
      </c>
      <c r="U51" s="373">
        <v>12030</v>
      </c>
      <c r="V51" s="373">
        <v>12030</v>
      </c>
      <c r="W51" s="371" t="s">
        <v>2271</v>
      </c>
      <c r="X51" s="373">
        <v>14570</v>
      </c>
      <c r="Y51" s="373">
        <v>14570</v>
      </c>
      <c r="Z51" s="371" t="s">
        <v>2271</v>
      </c>
      <c r="AA51" s="373">
        <v>0</v>
      </c>
      <c r="AB51" s="373">
        <v>14560</v>
      </c>
      <c r="AC51" s="373">
        <v>14560</v>
      </c>
      <c r="AD51" s="371" t="s">
        <v>2271</v>
      </c>
      <c r="AE51" s="373">
        <v>0</v>
      </c>
      <c r="AF51" s="382">
        <v>0.54930555555555605</v>
      </c>
      <c r="AG51" s="382">
        <v>0.54930555555555605</v>
      </c>
      <c r="AH51" s="371" t="s">
        <v>2271</v>
      </c>
      <c r="AI51" s="382">
        <v>0.60208333333333297</v>
      </c>
      <c r="AJ51" s="382">
        <v>0.60208333333333297</v>
      </c>
      <c r="AK51" s="371" t="s">
        <v>2271</v>
      </c>
      <c r="AL51" s="206" t="s">
        <v>42</v>
      </c>
      <c r="AM51" s="206" t="s">
        <v>42</v>
      </c>
      <c r="AN51" s="371" t="s">
        <v>2271</v>
      </c>
      <c r="AO51" s="206" t="s">
        <v>2305</v>
      </c>
      <c r="AP51" s="206" t="s">
        <v>1782</v>
      </c>
      <c r="AQ51" s="206" t="s">
        <v>1132</v>
      </c>
      <c r="AR51" s="207" t="s">
        <v>75</v>
      </c>
    </row>
    <row r="52" spans="1:44" x14ac:dyDescent="0.2">
      <c r="A52" s="370">
        <v>33</v>
      </c>
      <c r="B52" s="380">
        <v>26</v>
      </c>
      <c r="C52" s="371" t="s">
        <v>2275</v>
      </c>
      <c r="D52" s="371" t="s">
        <v>2235</v>
      </c>
      <c r="E52" s="206"/>
      <c r="F52" s="206" t="s">
        <v>84</v>
      </c>
      <c r="G52" s="206" t="s">
        <v>84</v>
      </c>
      <c r="H52" s="371" t="s">
        <v>2271</v>
      </c>
      <c r="I52" s="206" t="s">
        <v>2138</v>
      </c>
      <c r="J52" s="206" t="s">
        <v>1331</v>
      </c>
      <c r="K52" s="371" t="s">
        <v>2276</v>
      </c>
      <c r="L52" s="206" t="s">
        <v>2139</v>
      </c>
      <c r="M52" s="206" t="s">
        <v>1731</v>
      </c>
      <c r="N52" s="206" t="s">
        <v>49</v>
      </c>
      <c r="O52" s="372">
        <v>45974</v>
      </c>
      <c r="P52" s="372">
        <v>45974</v>
      </c>
      <c r="Q52" s="371" t="s">
        <v>2271</v>
      </c>
      <c r="R52" s="373">
        <v>26570</v>
      </c>
      <c r="S52" s="373">
        <v>26570</v>
      </c>
      <c r="T52" s="371" t="s">
        <v>2271</v>
      </c>
      <c r="U52" s="373">
        <v>12040</v>
      </c>
      <c r="V52" s="373">
        <v>12040</v>
      </c>
      <c r="W52" s="371" t="s">
        <v>2271</v>
      </c>
      <c r="X52" s="373">
        <v>14530</v>
      </c>
      <c r="Y52" s="373">
        <v>14530</v>
      </c>
      <c r="Z52" s="371" t="s">
        <v>2271</v>
      </c>
      <c r="AA52" s="373">
        <v>0</v>
      </c>
      <c r="AB52" s="373">
        <v>14340</v>
      </c>
      <c r="AC52" s="373">
        <v>14340</v>
      </c>
      <c r="AD52" s="371" t="s">
        <v>2271</v>
      </c>
      <c r="AE52" s="373">
        <v>0</v>
      </c>
      <c r="AF52" s="382">
        <v>0.57986111111111105</v>
      </c>
      <c r="AG52" s="382">
        <v>0.57986111111111105</v>
      </c>
      <c r="AH52" s="371" t="s">
        <v>2271</v>
      </c>
      <c r="AI52" s="382">
        <v>0.64444444444444404</v>
      </c>
      <c r="AJ52" s="382">
        <v>0.64444444444444504</v>
      </c>
      <c r="AK52" s="371" t="s">
        <v>2276</v>
      </c>
      <c r="AL52" s="206" t="s">
        <v>42</v>
      </c>
      <c r="AM52" s="206" t="s">
        <v>42</v>
      </c>
      <c r="AN52" s="371" t="s">
        <v>2271</v>
      </c>
      <c r="AO52" s="206" t="s">
        <v>2306</v>
      </c>
      <c r="AP52" s="206" t="s">
        <v>1782</v>
      </c>
      <c r="AQ52" s="206" t="s">
        <v>1132</v>
      </c>
      <c r="AR52" s="207" t="s">
        <v>68</v>
      </c>
    </row>
    <row r="53" spans="1:44" x14ac:dyDescent="0.2">
      <c r="A53" s="370">
        <v>34</v>
      </c>
      <c r="B53" s="380">
        <v>27</v>
      </c>
      <c r="C53" s="371" t="s">
        <v>2269</v>
      </c>
      <c r="D53" s="371" t="s">
        <v>2270</v>
      </c>
      <c r="E53" s="206"/>
      <c r="F53" s="206" t="s">
        <v>102</v>
      </c>
      <c r="G53" s="206" t="s">
        <v>102</v>
      </c>
      <c r="H53" s="371" t="s">
        <v>2271</v>
      </c>
      <c r="I53" s="206" t="s">
        <v>1328</v>
      </c>
      <c r="J53" s="206" t="s">
        <v>1328</v>
      </c>
      <c r="K53" s="371" t="s">
        <v>2271</v>
      </c>
      <c r="L53" s="206" t="s">
        <v>2136</v>
      </c>
      <c r="M53" s="206" t="s">
        <v>1327</v>
      </c>
      <c r="N53" s="206" t="s">
        <v>59</v>
      </c>
      <c r="O53" s="372">
        <v>45931</v>
      </c>
      <c r="P53" s="372">
        <v>45931</v>
      </c>
      <c r="Q53" s="371" t="s">
        <v>2271</v>
      </c>
      <c r="R53" s="373">
        <v>45720</v>
      </c>
      <c r="S53" s="373">
        <v>45720</v>
      </c>
      <c r="T53" s="371" t="s">
        <v>2271</v>
      </c>
      <c r="U53" s="373">
        <v>17500</v>
      </c>
      <c r="V53" s="373">
        <v>17500</v>
      </c>
      <c r="W53" s="371" t="s">
        <v>2271</v>
      </c>
      <c r="X53" s="373">
        <v>28220</v>
      </c>
      <c r="Y53" s="373">
        <v>28220</v>
      </c>
      <c r="Z53" s="371" t="s">
        <v>2271</v>
      </c>
      <c r="AA53" s="373">
        <v>0</v>
      </c>
      <c r="AB53" s="373">
        <v>28240</v>
      </c>
      <c r="AC53" s="373">
        <v>28240</v>
      </c>
      <c r="AD53" s="371" t="s">
        <v>2271</v>
      </c>
      <c r="AE53" s="373">
        <v>0</v>
      </c>
      <c r="AF53" s="382">
        <v>0.55138888888888904</v>
      </c>
      <c r="AG53" s="382">
        <v>0.55138888888888904</v>
      </c>
      <c r="AH53" s="371" t="s">
        <v>2271</v>
      </c>
      <c r="AI53" s="382">
        <v>0.625</v>
      </c>
      <c r="AJ53" s="382">
        <v>0.625</v>
      </c>
      <c r="AK53" s="371" t="s">
        <v>2271</v>
      </c>
      <c r="AL53" s="206" t="s">
        <v>42</v>
      </c>
      <c r="AM53" s="206" t="s">
        <v>42</v>
      </c>
      <c r="AN53" s="371" t="s">
        <v>2271</v>
      </c>
      <c r="AO53" s="206" t="s">
        <v>2307</v>
      </c>
      <c r="AP53" s="206" t="s">
        <v>1499</v>
      </c>
      <c r="AQ53" s="206" t="s">
        <v>1133</v>
      </c>
      <c r="AR53" s="207" t="s">
        <v>75</v>
      </c>
    </row>
    <row r="54" spans="1:44" x14ac:dyDescent="0.2">
      <c r="A54" s="370">
        <v>35</v>
      </c>
      <c r="B54" s="380">
        <v>27</v>
      </c>
      <c r="C54" s="371" t="s">
        <v>2275</v>
      </c>
      <c r="D54" s="371" t="s">
        <v>2235</v>
      </c>
      <c r="E54" s="206"/>
      <c r="F54" s="206" t="s">
        <v>56</v>
      </c>
      <c r="G54" s="206" t="s">
        <v>56</v>
      </c>
      <c r="H54" s="371" t="s">
        <v>2271</v>
      </c>
      <c r="I54" s="206" t="s">
        <v>2138</v>
      </c>
      <c r="J54" s="206" t="s">
        <v>1331</v>
      </c>
      <c r="K54" s="371" t="s">
        <v>2276</v>
      </c>
      <c r="L54" s="206" t="s">
        <v>2139</v>
      </c>
      <c r="M54" s="206" t="s">
        <v>1731</v>
      </c>
      <c r="N54" s="206" t="s">
        <v>49</v>
      </c>
      <c r="O54" s="372">
        <v>45974</v>
      </c>
      <c r="P54" s="372">
        <v>45974</v>
      </c>
      <c r="Q54" s="371" t="s">
        <v>2271</v>
      </c>
      <c r="R54" s="373">
        <v>25150</v>
      </c>
      <c r="S54" s="373">
        <v>25150</v>
      </c>
      <c r="T54" s="371" t="s">
        <v>2271</v>
      </c>
      <c r="U54" s="373">
        <v>10940</v>
      </c>
      <c r="V54" s="373">
        <v>10940</v>
      </c>
      <c r="W54" s="371" t="s">
        <v>2271</v>
      </c>
      <c r="X54" s="373">
        <v>14210</v>
      </c>
      <c r="Y54" s="373">
        <v>14210</v>
      </c>
      <c r="Z54" s="371" t="s">
        <v>2271</v>
      </c>
      <c r="AA54" s="373">
        <v>0</v>
      </c>
      <c r="AB54" s="373">
        <v>14110</v>
      </c>
      <c r="AC54" s="373">
        <v>14110</v>
      </c>
      <c r="AD54" s="371" t="s">
        <v>2271</v>
      </c>
      <c r="AE54" s="373">
        <v>0</v>
      </c>
      <c r="AF54" s="382">
        <v>0.58958333333333302</v>
      </c>
      <c r="AG54" s="382">
        <v>0.58958333333333302</v>
      </c>
      <c r="AH54" s="371" t="s">
        <v>2271</v>
      </c>
      <c r="AI54" s="382">
        <v>0.72986111111111096</v>
      </c>
      <c r="AJ54" s="382">
        <v>0.72986111111111096</v>
      </c>
      <c r="AK54" s="371" t="s">
        <v>2271</v>
      </c>
      <c r="AL54" s="206" t="s">
        <v>42</v>
      </c>
      <c r="AM54" s="206" t="s">
        <v>42</v>
      </c>
      <c r="AN54" s="371" t="s">
        <v>2271</v>
      </c>
      <c r="AO54" s="206" t="s">
        <v>2308</v>
      </c>
      <c r="AP54" s="206" t="s">
        <v>1781</v>
      </c>
      <c r="AQ54" s="206" t="s">
        <v>1132</v>
      </c>
      <c r="AR54" s="207" t="s">
        <v>68</v>
      </c>
    </row>
    <row r="55" spans="1:44" x14ac:dyDescent="0.2">
      <c r="A55" s="370">
        <v>36</v>
      </c>
      <c r="B55" s="380">
        <v>28</v>
      </c>
      <c r="C55" s="371" t="s">
        <v>2269</v>
      </c>
      <c r="D55" s="371" t="s">
        <v>2270</v>
      </c>
      <c r="E55" s="206"/>
      <c r="F55" s="206" t="s">
        <v>106</v>
      </c>
      <c r="G55" s="206" t="s">
        <v>106</v>
      </c>
      <c r="H55" s="371" t="s">
        <v>2271</v>
      </c>
      <c r="I55" s="206" t="s">
        <v>1328</v>
      </c>
      <c r="J55" s="206" t="s">
        <v>1328</v>
      </c>
      <c r="K55" s="371" t="s">
        <v>2271</v>
      </c>
      <c r="L55" s="206" t="s">
        <v>2136</v>
      </c>
      <c r="M55" s="206" t="s">
        <v>1327</v>
      </c>
      <c r="N55" s="206" t="s">
        <v>59</v>
      </c>
      <c r="O55" s="372">
        <v>45931</v>
      </c>
      <c r="P55" s="372">
        <v>45931</v>
      </c>
      <c r="Q55" s="371" t="s">
        <v>2271</v>
      </c>
      <c r="R55" s="373">
        <v>45660</v>
      </c>
      <c r="S55" s="373">
        <v>45660</v>
      </c>
      <c r="T55" s="371" t="s">
        <v>2271</v>
      </c>
      <c r="U55" s="373">
        <v>17430</v>
      </c>
      <c r="V55" s="373">
        <v>17430</v>
      </c>
      <c r="W55" s="371" t="s">
        <v>2271</v>
      </c>
      <c r="X55" s="373">
        <v>28230</v>
      </c>
      <c r="Y55" s="373">
        <v>28230</v>
      </c>
      <c r="Z55" s="371" t="s">
        <v>2271</v>
      </c>
      <c r="AA55" s="373">
        <v>0</v>
      </c>
      <c r="AB55" s="373">
        <v>28260</v>
      </c>
      <c r="AC55" s="373">
        <v>28260</v>
      </c>
      <c r="AD55" s="371" t="s">
        <v>2271</v>
      </c>
      <c r="AE55" s="373">
        <v>0</v>
      </c>
      <c r="AF55" s="382">
        <v>0.55972222222222201</v>
      </c>
      <c r="AG55" s="382">
        <v>0.55972222222222201</v>
      </c>
      <c r="AH55" s="371" t="s">
        <v>2271</v>
      </c>
      <c r="AI55" s="382">
        <v>0.71250000000000002</v>
      </c>
      <c r="AJ55" s="382">
        <v>0.71250000000000002</v>
      </c>
      <c r="AK55" s="371" t="s">
        <v>2271</v>
      </c>
      <c r="AL55" s="206" t="s">
        <v>42</v>
      </c>
      <c r="AM55" s="206" t="s">
        <v>42</v>
      </c>
      <c r="AN55" s="371" t="s">
        <v>2271</v>
      </c>
      <c r="AO55" s="206" t="s">
        <v>2309</v>
      </c>
      <c r="AP55" s="206" t="s">
        <v>1372</v>
      </c>
      <c r="AQ55" s="206" t="s">
        <v>1133</v>
      </c>
      <c r="AR55" s="207" t="s">
        <v>75</v>
      </c>
    </row>
    <row r="56" spans="1:44" x14ac:dyDescent="0.2">
      <c r="A56" s="370">
        <v>37</v>
      </c>
      <c r="B56" s="380">
        <v>28</v>
      </c>
      <c r="C56" s="371" t="s">
        <v>2275</v>
      </c>
      <c r="D56" s="371" t="s">
        <v>2235</v>
      </c>
      <c r="E56" s="206"/>
      <c r="F56" s="206" t="s">
        <v>76</v>
      </c>
      <c r="G56" s="206" t="s">
        <v>76</v>
      </c>
      <c r="H56" s="371" t="s">
        <v>2271</v>
      </c>
      <c r="I56" s="206" t="s">
        <v>2138</v>
      </c>
      <c r="J56" s="206" t="s">
        <v>1331</v>
      </c>
      <c r="K56" s="371" t="s">
        <v>2276</v>
      </c>
      <c r="L56" s="206" t="s">
        <v>2139</v>
      </c>
      <c r="M56" s="206" t="s">
        <v>1731</v>
      </c>
      <c r="N56" s="206" t="s">
        <v>49</v>
      </c>
      <c r="O56" s="372">
        <v>45974</v>
      </c>
      <c r="P56" s="372">
        <v>45974</v>
      </c>
      <c r="Q56" s="371" t="s">
        <v>2271</v>
      </c>
      <c r="R56" s="373">
        <v>45940</v>
      </c>
      <c r="S56" s="373">
        <v>45940</v>
      </c>
      <c r="T56" s="371" t="s">
        <v>2271</v>
      </c>
      <c r="U56" s="373">
        <v>17630</v>
      </c>
      <c r="V56" s="373">
        <v>17630</v>
      </c>
      <c r="W56" s="371" t="s">
        <v>2271</v>
      </c>
      <c r="X56" s="373">
        <v>28310</v>
      </c>
      <c r="Y56" s="373">
        <v>28310</v>
      </c>
      <c r="Z56" s="371" t="s">
        <v>2271</v>
      </c>
      <c r="AA56" s="373">
        <v>0</v>
      </c>
      <c r="AB56" s="373">
        <v>28020</v>
      </c>
      <c r="AC56" s="373">
        <v>28020</v>
      </c>
      <c r="AD56" s="371" t="s">
        <v>2271</v>
      </c>
      <c r="AE56" s="373">
        <v>0</v>
      </c>
      <c r="AF56" s="382">
        <v>0.59930555555555598</v>
      </c>
      <c r="AG56" s="382">
        <v>0.59930555555555598</v>
      </c>
      <c r="AH56" s="371" t="s">
        <v>2271</v>
      </c>
      <c r="AI56" s="382">
        <v>0.6875</v>
      </c>
      <c r="AJ56" s="382">
        <v>0.6875</v>
      </c>
      <c r="AK56" s="371" t="s">
        <v>2271</v>
      </c>
      <c r="AL56" s="206" t="s">
        <v>42</v>
      </c>
      <c r="AM56" s="206" t="s">
        <v>42</v>
      </c>
      <c r="AN56" s="371" t="s">
        <v>2271</v>
      </c>
      <c r="AO56" s="206" t="s">
        <v>2310</v>
      </c>
      <c r="AP56" s="206" t="s">
        <v>1372</v>
      </c>
      <c r="AQ56" s="206" t="s">
        <v>1133</v>
      </c>
      <c r="AR56" s="207" t="s">
        <v>68</v>
      </c>
    </row>
    <row r="57" spans="1:44" x14ac:dyDescent="0.2">
      <c r="A57" s="370">
        <v>38</v>
      </c>
      <c r="B57" s="380">
        <v>29</v>
      </c>
      <c r="C57" s="371" t="s">
        <v>2269</v>
      </c>
      <c r="D57" s="371" t="s">
        <v>2270</v>
      </c>
      <c r="E57" s="206"/>
      <c r="F57" s="206" t="s">
        <v>89</v>
      </c>
      <c r="G57" s="206" t="s">
        <v>89</v>
      </c>
      <c r="H57" s="371" t="s">
        <v>2271</v>
      </c>
      <c r="I57" s="206" t="s">
        <v>1328</v>
      </c>
      <c r="J57" s="206" t="s">
        <v>1328</v>
      </c>
      <c r="K57" s="371" t="s">
        <v>2271</v>
      </c>
      <c r="L57" s="206" t="s">
        <v>2136</v>
      </c>
      <c r="M57" s="206" t="s">
        <v>1327</v>
      </c>
      <c r="N57" s="206" t="s">
        <v>59</v>
      </c>
      <c r="O57" s="372">
        <v>45931</v>
      </c>
      <c r="P57" s="372">
        <v>45931</v>
      </c>
      <c r="Q57" s="371" t="s">
        <v>2271</v>
      </c>
      <c r="R57" s="373">
        <v>24910</v>
      </c>
      <c r="S57" s="373">
        <v>24910</v>
      </c>
      <c r="T57" s="371" t="s">
        <v>2271</v>
      </c>
      <c r="U57" s="373">
        <v>10660</v>
      </c>
      <c r="V57" s="373">
        <v>10660</v>
      </c>
      <c r="W57" s="371" t="s">
        <v>2271</v>
      </c>
      <c r="X57" s="373">
        <v>14250</v>
      </c>
      <c r="Y57" s="373">
        <v>14250</v>
      </c>
      <c r="Z57" s="371" t="s">
        <v>2271</v>
      </c>
      <c r="AA57" s="373">
        <v>0</v>
      </c>
      <c r="AB57" s="373">
        <v>14300</v>
      </c>
      <c r="AC57" s="373">
        <v>14300</v>
      </c>
      <c r="AD57" s="371" t="s">
        <v>2271</v>
      </c>
      <c r="AE57" s="373">
        <v>0</v>
      </c>
      <c r="AF57" s="382">
        <v>0.63194444444444398</v>
      </c>
      <c r="AG57" s="382">
        <v>0.63194444444444398</v>
      </c>
      <c r="AH57" s="371" t="s">
        <v>2271</v>
      </c>
      <c r="AI57" s="382">
        <v>0.69166666666666698</v>
      </c>
      <c r="AJ57" s="382">
        <v>0.69166666666666698</v>
      </c>
      <c r="AK57" s="371" t="s">
        <v>2271</v>
      </c>
      <c r="AL57" s="206" t="s">
        <v>42</v>
      </c>
      <c r="AM57" s="206" t="s">
        <v>42</v>
      </c>
      <c r="AN57" s="371" t="s">
        <v>2271</v>
      </c>
      <c r="AO57" s="206" t="s">
        <v>2311</v>
      </c>
      <c r="AP57" s="206" t="s">
        <v>1781</v>
      </c>
      <c r="AQ57" s="206" t="s">
        <v>1132</v>
      </c>
      <c r="AR57" s="207" t="s">
        <v>75</v>
      </c>
    </row>
    <row r="58" spans="1:44" x14ac:dyDescent="0.2">
      <c r="A58" s="370">
        <v>39</v>
      </c>
      <c r="B58" s="380">
        <v>29</v>
      </c>
      <c r="C58" s="371" t="s">
        <v>2275</v>
      </c>
      <c r="D58" s="371" t="s">
        <v>2235</v>
      </c>
      <c r="E58" s="206"/>
      <c r="F58" s="206" t="s">
        <v>2140</v>
      </c>
      <c r="G58" s="206" t="s">
        <v>70</v>
      </c>
      <c r="H58" s="371" t="s">
        <v>2276</v>
      </c>
      <c r="I58" s="206" t="s">
        <v>2138</v>
      </c>
      <c r="J58" s="206" t="s">
        <v>1331</v>
      </c>
      <c r="K58" s="371" t="s">
        <v>2276</v>
      </c>
      <c r="L58" s="206" t="s">
        <v>2139</v>
      </c>
      <c r="M58" s="206" t="s">
        <v>1731</v>
      </c>
      <c r="N58" s="206" t="s">
        <v>49</v>
      </c>
      <c r="O58" s="372">
        <v>45974</v>
      </c>
      <c r="P58" s="372">
        <v>45974</v>
      </c>
      <c r="Q58" s="371" t="s">
        <v>2271</v>
      </c>
      <c r="R58" s="373">
        <v>45720</v>
      </c>
      <c r="S58" s="373">
        <v>45720</v>
      </c>
      <c r="T58" s="371" t="s">
        <v>2271</v>
      </c>
      <c r="U58" s="373">
        <v>17510</v>
      </c>
      <c r="V58" s="373">
        <v>17510</v>
      </c>
      <c r="W58" s="371" t="s">
        <v>2271</v>
      </c>
      <c r="X58" s="373">
        <v>28210</v>
      </c>
      <c r="Y58" s="373">
        <v>28210</v>
      </c>
      <c r="Z58" s="371" t="s">
        <v>2271</v>
      </c>
      <c r="AA58" s="373">
        <v>0</v>
      </c>
      <c r="AB58" s="373">
        <v>28060</v>
      </c>
      <c r="AC58" s="373">
        <v>28060</v>
      </c>
      <c r="AD58" s="371" t="s">
        <v>2271</v>
      </c>
      <c r="AE58" s="373">
        <v>0</v>
      </c>
      <c r="AF58" s="382">
        <v>0.63402777777777797</v>
      </c>
      <c r="AG58" s="382">
        <v>0.63402777777777797</v>
      </c>
      <c r="AH58" s="371" t="s">
        <v>2271</v>
      </c>
      <c r="AI58" s="382">
        <v>0.71319444444444402</v>
      </c>
      <c r="AJ58" s="382">
        <v>0.71319444444444502</v>
      </c>
      <c r="AK58" s="371" t="s">
        <v>2276</v>
      </c>
      <c r="AL58" s="206" t="s">
        <v>42</v>
      </c>
      <c r="AM58" s="206" t="s">
        <v>42</v>
      </c>
      <c r="AN58" s="371" t="s">
        <v>2271</v>
      </c>
      <c r="AO58" s="206" t="s">
        <v>2312</v>
      </c>
      <c r="AP58" s="206" t="s">
        <v>1499</v>
      </c>
      <c r="AQ58" s="206" t="s">
        <v>1133</v>
      </c>
      <c r="AR58" s="207" t="s">
        <v>68</v>
      </c>
    </row>
    <row r="59" spans="1:44" x14ac:dyDescent="0.2">
      <c r="A59" s="370">
        <v>40</v>
      </c>
      <c r="B59" s="380">
        <v>30</v>
      </c>
      <c r="C59" s="371" t="s">
        <v>2269</v>
      </c>
      <c r="D59" s="371" t="s">
        <v>2270</v>
      </c>
      <c r="E59" s="206"/>
      <c r="F59" s="206" t="s">
        <v>97</v>
      </c>
      <c r="G59" s="206" t="s">
        <v>97</v>
      </c>
      <c r="H59" s="371" t="s">
        <v>2271</v>
      </c>
      <c r="I59" s="206" t="s">
        <v>1328</v>
      </c>
      <c r="J59" s="206" t="s">
        <v>1328</v>
      </c>
      <c r="K59" s="371" t="s">
        <v>2271</v>
      </c>
      <c r="L59" s="206" t="s">
        <v>2136</v>
      </c>
      <c r="M59" s="206" t="s">
        <v>1327</v>
      </c>
      <c r="N59" s="206" t="s">
        <v>59</v>
      </c>
      <c r="O59" s="372">
        <v>45931</v>
      </c>
      <c r="P59" s="372">
        <v>45931</v>
      </c>
      <c r="Q59" s="371" t="s">
        <v>2271</v>
      </c>
      <c r="R59" s="373">
        <v>26560</v>
      </c>
      <c r="S59" s="373">
        <v>26560</v>
      </c>
      <c r="T59" s="371" t="s">
        <v>2271</v>
      </c>
      <c r="U59" s="373">
        <v>12010</v>
      </c>
      <c r="V59" s="373">
        <v>12010</v>
      </c>
      <c r="W59" s="371" t="s">
        <v>2271</v>
      </c>
      <c r="X59" s="373">
        <v>14550</v>
      </c>
      <c r="Y59" s="373">
        <v>14550</v>
      </c>
      <c r="Z59" s="371" t="s">
        <v>2271</v>
      </c>
      <c r="AA59" s="373">
        <v>0</v>
      </c>
      <c r="AB59" s="373">
        <v>14600</v>
      </c>
      <c r="AC59" s="373">
        <v>14600</v>
      </c>
      <c r="AD59" s="371" t="s">
        <v>2271</v>
      </c>
      <c r="AE59" s="373">
        <v>0</v>
      </c>
      <c r="AF59" s="382">
        <v>0.81527777777777799</v>
      </c>
      <c r="AG59" s="382">
        <v>0.81527777777777799</v>
      </c>
      <c r="AH59" s="371" t="s">
        <v>2271</v>
      </c>
      <c r="AI59" s="382">
        <v>0.88611111111111096</v>
      </c>
      <c r="AJ59" s="382">
        <v>0.88611111111111096</v>
      </c>
      <c r="AK59" s="371" t="s">
        <v>2271</v>
      </c>
      <c r="AL59" s="206" t="s">
        <v>42</v>
      </c>
      <c r="AM59" s="206" t="s">
        <v>42</v>
      </c>
      <c r="AN59" s="371" t="s">
        <v>2271</v>
      </c>
      <c r="AO59" s="206" t="s">
        <v>2313</v>
      </c>
      <c r="AP59" s="206" t="s">
        <v>1782</v>
      </c>
      <c r="AQ59" s="206" t="s">
        <v>1132</v>
      </c>
      <c r="AR59" s="207" t="s">
        <v>75</v>
      </c>
    </row>
    <row r="60" spans="1:44" x14ac:dyDescent="0.2">
      <c r="A60" s="370">
        <v>41</v>
      </c>
      <c r="B60" s="380">
        <v>30</v>
      </c>
      <c r="C60" s="371" t="s">
        <v>2275</v>
      </c>
      <c r="D60" s="371" t="s">
        <v>2235</v>
      </c>
      <c r="E60" s="206"/>
      <c r="F60" s="206" t="s">
        <v>56</v>
      </c>
      <c r="G60" s="206" t="s">
        <v>56</v>
      </c>
      <c r="H60" s="371" t="s">
        <v>2271</v>
      </c>
      <c r="I60" s="206" t="s">
        <v>2149</v>
      </c>
      <c r="J60" s="206" t="s">
        <v>1340</v>
      </c>
      <c r="K60" s="371" t="s">
        <v>2276</v>
      </c>
      <c r="L60" s="206" t="s">
        <v>2150</v>
      </c>
      <c r="M60" s="206" t="s">
        <v>1343</v>
      </c>
      <c r="N60" s="206" t="s">
        <v>78</v>
      </c>
      <c r="O60" s="372">
        <v>45989</v>
      </c>
      <c r="P60" s="372">
        <v>45989</v>
      </c>
      <c r="Q60" s="371" t="s">
        <v>2271</v>
      </c>
      <c r="R60" s="373">
        <v>24990</v>
      </c>
      <c r="S60" s="373">
        <v>24990</v>
      </c>
      <c r="T60" s="371" t="s">
        <v>2271</v>
      </c>
      <c r="U60" s="373">
        <v>10810</v>
      </c>
      <c r="V60" s="373">
        <v>10810</v>
      </c>
      <c r="W60" s="371" t="s">
        <v>2271</v>
      </c>
      <c r="X60" s="373">
        <v>14180</v>
      </c>
      <c r="Y60" s="373">
        <v>14180</v>
      </c>
      <c r="Z60" s="371" t="s">
        <v>2271</v>
      </c>
      <c r="AA60" s="373">
        <v>0</v>
      </c>
      <c r="AB60" s="373">
        <v>14180</v>
      </c>
      <c r="AC60" s="373">
        <v>14180</v>
      </c>
      <c r="AD60" s="371" t="s">
        <v>2271</v>
      </c>
      <c r="AE60" s="373">
        <v>0</v>
      </c>
      <c r="AF60" s="382">
        <v>0.71319444444444402</v>
      </c>
      <c r="AG60" s="382">
        <v>0.71319444444444502</v>
      </c>
      <c r="AH60" s="371" t="s">
        <v>2276</v>
      </c>
      <c r="AI60" s="382">
        <v>0.844444444444444</v>
      </c>
      <c r="AJ60" s="382">
        <v>0.844444444444444</v>
      </c>
      <c r="AK60" s="371" t="s">
        <v>2271</v>
      </c>
      <c r="AL60" s="206" t="s">
        <v>137</v>
      </c>
      <c r="AM60" s="206" t="s">
        <v>137</v>
      </c>
      <c r="AN60" s="371" t="s">
        <v>2271</v>
      </c>
      <c r="AO60" s="206" t="s">
        <v>2314</v>
      </c>
      <c r="AP60" s="206" t="s">
        <v>1781</v>
      </c>
      <c r="AQ60" s="206" t="s">
        <v>1132</v>
      </c>
      <c r="AR60" s="207" t="s">
        <v>88</v>
      </c>
    </row>
    <row r="61" spans="1:44" x14ac:dyDescent="0.2">
      <c r="A61" s="370">
        <v>42</v>
      </c>
      <c r="B61" s="380">
        <v>31</v>
      </c>
      <c r="C61" s="371" t="s">
        <v>2269</v>
      </c>
      <c r="D61" s="371" t="s">
        <v>2270</v>
      </c>
      <c r="E61" s="206"/>
      <c r="F61" s="206" t="s">
        <v>102</v>
      </c>
      <c r="G61" s="206" t="s">
        <v>102</v>
      </c>
      <c r="H61" s="371" t="s">
        <v>2271</v>
      </c>
      <c r="I61" s="206" t="s">
        <v>1328</v>
      </c>
      <c r="J61" s="206" t="s">
        <v>1328</v>
      </c>
      <c r="K61" s="371" t="s">
        <v>2271</v>
      </c>
      <c r="L61" s="206" t="s">
        <v>2136</v>
      </c>
      <c r="M61" s="206" t="s">
        <v>1327</v>
      </c>
      <c r="N61" s="206" t="s">
        <v>59</v>
      </c>
      <c r="O61" s="372">
        <v>45931</v>
      </c>
      <c r="P61" s="372">
        <v>45931</v>
      </c>
      <c r="Q61" s="371" t="s">
        <v>2271</v>
      </c>
      <c r="R61" s="373">
        <v>45560</v>
      </c>
      <c r="S61" s="373">
        <v>45560</v>
      </c>
      <c r="T61" s="371" t="s">
        <v>2271</v>
      </c>
      <c r="U61" s="373">
        <v>17480</v>
      </c>
      <c r="V61" s="373">
        <v>17480</v>
      </c>
      <c r="W61" s="371" t="s">
        <v>2271</v>
      </c>
      <c r="X61" s="373">
        <v>28080</v>
      </c>
      <c r="Y61" s="373">
        <v>28080</v>
      </c>
      <c r="Z61" s="371" t="s">
        <v>2271</v>
      </c>
      <c r="AA61" s="373">
        <v>0</v>
      </c>
      <c r="AB61" s="373">
        <v>28140</v>
      </c>
      <c r="AC61" s="373">
        <v>28140</v>
      </c>
      <c r="AD61" s="371" t="s">
        <v>2271</v>
      </c>
      <c r="AE61" s="373">
        <v>0</v>
      </c>
      <c r="AF61" s="382">
        <v>0.81666666666666698</v>
      </c>
      <c r="AG61" s="382">
        <v>0.81666666666666698</v>
      </c>
      <c r="AH61" s="371" t="s">
        <v>2271</v>
      </c>
      <c r="AI61" s="382">
        <v>0.88958333333333295</v>
      </c>
      <c r="AJ61" s="382">
        <v>0.88958333333333295</v>
      </c>
      <c r="AK61" s="371" t="s">
        <v>2271</v>
      </c>
      <c r="AL61" s="206" t="s">
        <v>42</v>
      </c>
      <c r="AM61" s="206" t="s">
        <v>42</v>
      </c>
      <c r="AN61" s="371" t="s">
        <v>2271</v>
      </c>
      <c r="AO61" s="206" t="s">
        <v>2315</v>
      </c>
      <c r="AP61" s="206" t="s">
        <v>1499</v>
      </c>
      <c r="AQ61" s="206" t="s">
        <v>1133</v>
      </c>
      <c r="AR61" s="207" t="s">
        <v>75</v>
      </c>
    </row>
    <row r="62" spans="1:44" x14ac:dyDescent="0.2">
      <c r="A62" s="370">
        <v>43</v>
      </c>
      <c r="B62" s="380">
        <v>31</v>
      </c>
      <c r="C62" s="371" t="s">
        <v>2269</v>
      </c>
      <c r="D62" s="371" t="s">
        <v>2270</v>
      </c>
      <c r="E62" s="206"/>
      <c r="F62" s="206" t="s">
        <v>76</v>
      </c>
      <c r="G62" s="206" t="s">
        <v>76</v>
      </c>
      <c r="H62" s="371" t="s">
        <v>2271</v>
      </c>
      <c r="I62" s="206" t="s">
        <v>1450</v>
      </c>
      <c r="J62" s="206" t="s">
        <v>1450</v>
      </c>
      <c r="K62" s="371" t="s">
        <v>2271</v>
      </c>
      <c r="L62" s="206" t="s">
        <v>2147</v>
      </c>
      <c r="M62" s="206" t="s">
        <v>1342</v>
      </c>
      <c r="N62" s="206" t="s">
        <v>59</v>
      </c>
      <c r="O62" s="372">
        <v>45989</v>
      </c>
      <c r="P62" s="372">
        <v>45989</v>
      </c>
      <c r="Q62" s="371" t="s">
        <v>2271</v>
      </c>
      <c r="R62" s="373">
        <v>45830</v>
      </c>
      <c r="S62" s="373">
        <v>45830</v>
      </c>
      <c r="T62" s="371" t="s">
        <v>2271</v>
      </c>
      <c r="U62" s="373">
        <v>17570</v>
      </c>
      <c r="V62" s="373">
        <v>17570</v>
      </c>
      <c r="W62" s="371" t="s">
        <v>2271</v>
      </c>
      <c r="X62" s="373">
        <v>28260</v>
      </c>
      <c r="Y62" s="373">
        <v>28260</v>
      </c>
      <c r="Z62" s="371" t="s">
        <v>2271</v>
      </c>
      <c r="AA62" s="373">
        <v>0</v>
      </c>
      <c r="AB62" s="373">
        <v>28260</v>
      </c>
      <c r="AC62" s="373">
        <v>28260</v>
      </c>
      <c r="AD62" s="371" t="s">
        <v>2271</v>
      </c>
      <c r="AE62" s="373">
        <v>0</v>
      </c>
      <c r="AF62" s="382">
        <v>0.71458333333333302</v>
      </c>
      <c r="AG62" s="382">
        <v>0.71458333333333302</v>
      </c>
      <c r="AH62" s="371" t="s">
        <v>2271</v>
      </c>
      <c r="AI62" s="382">
        <v>0.78402777777777799</v>
      </c>
      <c r="AJ62" s="382">
        <v>0.78402777777777799</v>
      </c>
      <c r="AK62" s="371" t="s">
        <v>2271</v>
      </c>
      <c r="AL62" s="206" t="s">
        <v>137</v>
      </c>
      <c r="AM62" s="206" t="s">
        <v>137</v>
      </c>
      <c r="AN62" s="371" t="s">
        <v>2271</v>
      </c>
      <c r="AO62" s="206" t="s">
        <v>2315</v>
      </c>
      <c r="AP62" s="206" t="s">
        <v>1372</v>
      </c>
      <c r="AQ62" s="206" t="s">
        <v>1133</v>
      </c>
      <c r="AR62" s="207" t="s">
        <v>75</v>
      </c>
    </row>
    <row r="63" spans="1:44" x14ac:dyDescent="0.2">
      <c r="A63" s="370">
        <v>44</v>
      </c>
      <c r="B63" s="380">
        <v>32</v>
      </c>
      <c r="C63" s="371" t="s">
        <v>2269</v>
      </c>
      <c r="D63" s="371" t="s">
        <v>2270</v>
      </c>
      <c r="E63" s="206"/>
      <c r="F63" s="206" t="s">
        <v>106</v>
      </c>
      <c r="G63" s="206" t="s">
        <v>106</v>
      </c>
      <c r="H63" s="371" t="s">
        <v>2271</v>
      </c>
      <c r="I63" s="206" t="s">
        <v>1328</v>
      </c>
      <c r="J63" s="206" t="s">
        <v>1328</v>
      </c>
      <c r="K63" s="371" t="s">
        <v>2271</v>
      </c>
      <c r="L63" s="206" t="s">
        <v>2136</v>
      </c>
      <c r="M63" s="206" t="s">
        <v>1327</v>
      </c>
      <c r="N63" s="206" t="s">
        <v>59</v>
      </c>
      <c r="O63" s="372">
        <v>45931</v>
      </c>
      <c r="P63" s="372">
        <v>45931</v>
      </c>
      <c r="Q63" s="371" t="s">
        <v>2271</v>
      </c>
      <c r="R63" s="373">
        <v>45700</v>
      </c>
      <c r="S63" s="373">
        <v>45700</v>
      </c>
      <c r="T63" s="371" t="s">
        <v>2271</v>
      </c>
      <c r="U63" s="373">
        <v>17400</v>
      </c>
      <c r="V63" s="373">
        <v>17400</v>
      </c>
      <c r="W63" s="371" t="s">
        <v>2271</v>
      </c>
      <c r="X63" s="373">
        <v>28300</v>
      </c>
      <c r="Y63" s="373">
        <v>28300</v>
      </c>
      <c r="Z63" s="371" t="s">
        <v>2271</v>
      </c>
      <c r="AA63" s="373">
        <v>0</v>
      </c>
      <c r="AB63" s="373">
        <v>28360</v>
      </c>
      <c r="AC63" s="373">
        <v>28360</v>
      </c>
      <c r="AD63" s="371" t="s">
        <v>2271</v>
      </c>
      <c r="AE63" s="373">
        <v>0</v>
      </c>
      <c r="AF63" s="382">
        <v>0.875694444444444</v>
      </c>
      <c r="AG63" s="382">
        <v>0.875694444444444</v>
      </c>
      <c r="AH63" s="371" t="s">
        <v>2271</v>
      </c>
      <c r="AI63" s="382">
        <v>0.97083333333333299</v>
      </c>
      <c r="AJ63" s="382">
        <v>0.97083333333333299</v>
      </c>
      <c r="AK63" s="371" t="s">
        <v>2271</v>
      </c>
      <c r="AL63" s="206" t="s">
        <v>42</v>
      </c>
      <c r="AM63" s="206" t="s">
        <v>42</v>
      </c>
      <c r="AN63" s="371" t="s">
        <v>2271</v>
      </c>
      <c r="AO63" s="206" t="s">
        <v>2316</v>
      </c>
      <c r="AP63" s="206" t="s">
        <v>1372</v>
      </c>
      <c r="AQ63" s="206" t="s">
        <v>1133</v>
      </c>
      <c r="AR63" s="207" t="s">
        <v>75</v>
      </c>
    </row>
    <row r="64" spans="1:44" x14ac:dyDescent="0.2">
      <c r="A64" s="370">
        <v>45</v>
      </c>
      <c r="B64" s="380">
        <v>32</v>
      </c>
      <c r="C64" s="371" t="s">
        <v>2275</v>
      </c>
      <c r="D64" s="371" t="s">
        <v>2235</v>
      </c>
      <c r="E64" s="206"/>
      <c r="F64" s="206" t="s">
        <v>46</v>
      </c>
      <c r="G64" s="206" t="s">
        <v>46</v>
      </c>
      <c r="H64" s="371" t="s">
        <v>2271</v>
      </c>
      <c r="I64" s="206" t="s">
        <v>2149</v>
      </c>
      <c r="J64" s="206" t="s">
        <v>1340</v>
      </c>
      <c r="K64" s="371" t="s">
        <v>2276</v>
      </c>
      <c r="L64" s="206" t="s">
        <v>2150</v>
      </c>
      <c r="M64" s="206" t="s">
        <v>1343</v>
      </c>
      <c r="N64" s="206" t="s">
        <v>78</v>
      </c>
      <c r="O64" s="372">
        <v>45989</v>
      </c>
      <c r="P64" s="372">
        <v>45989</v>
      </c>
      <c r="Q64" s="371" t="s">
        <v>2271</v>
      </c>
      <c r="R64" s="373">
        <v>26520</v>
      </c>
      <c r="S64" s="373">
        <v>26520</v>
      </c>
      <c r="T64" s="371" t="s">
        <v>2271</v>
      </c>
      <c r="U64" s="373">
        <v>11780</v>
      </c>
      <c r="V64" s="373">
        <v>11780</v>
      </c>
      <c r="W64" s="371" t="s">
        <v>2271</v>
      </c>
      <c r="X64" s="373">
        <v>14740</v>
      </c>
      <c r="Y64" s="373">
        <v>14740</v>
      </c>
      <c r="Z64" s="371" t="s">
        <v>2271</v>
      </c>
      <c r="AA64" s="373">
        <v>0</v>
      </c>
      <c r="AB64" s="373">
        <v>14770</v>
      </c>
      <c r="AC64" s="373">
        <v>14770</v>
      </c>
      <c r="AD64" s="371" t="s">
        <v>2271</v>
      </c>
      <c r="AE64" s="373">
        <v>0</v>
      </c>
      <c r="AF64" s="382">
        <v>0.73194444444444395</v>
      </c>
      <c r="AG64" s="382">
        <v>0.73194444444444395</v>
      </c>
      <c r="AH64" s="371" t="s">
        <v>2271</v>
      </c>
      <c r="AI64" s="382">
        <v>0.81666666666666698</v>
      </c>
      <c r="AJ64" s="382">
        <v>0.81666666666666698</v>
      </c>
      <c r="AK64" s="371" t="s">
        <v>2271</v>
      </c>
      <c r="AL64" s="206" t="s">
        <v>137</v>
      </c>
      <c r="AM64" s="206" t="s">
        <v>137</v>
      </c>
      <c r="AN64" s="371" t="s">
        <v>2271</v>
      </c>
      <c r="AO64" s="206" t="s">
        <v>2317</v>
      </c>
      <c r="AP64" s="206" t="s">
        <v>1393</v>
      </c>
      <c r="AQ64" s="206" t="s">
        <v>1132</v>
      </c>
      <c r="AR64" s="207" t="s">
        <v>88</v>
      </c>
    </row>
    <row r="65" spans="1:44" x14ac:dyDescent="0.2">
      <c r="A65" s="370">
        <v>46</v>
      </c>
      <c r="B65" s="380">
        <v>33</v>
      </c>
      <c r="C65" s="371" t="s">
        <v>2269</v>
      </c>
      <c r="D65" s="371" t="s">
        <v>2270</v>
      </c>
      <c r="E65" s="206"/>
      <c r="F65" s="206" t="s">
        <v>102</v>
      </c>
      <c r="G65" s="206" t="s">
        <v>102</v>
      </c>
      <c r="H65" s="371" t="s">
        <v>2271</v>
      </c>
      <c r="I65" s="206" t="s">
        <v>1328</v>
      </c>
      <c r="J65" s="206" t="s">
        <v>1328</v>
      </c>
      <c r="K65" s="371" t="s">
        <v>2271</v>
      </c>
      <c r="L65" s="206" t="s">
        <v>2136</v>
      </c>
      <c r="M65" s="206" t="s">
        <v>1327</v>
      </c>
      <c r="N65" s="206" t="s">
        <v>59</v>
      </c>
      <c r="O65" s="372">
        <v>45932</v>
      </c>
      <c r="P65" s="372">
        <v>45932</v>
      </c>
      <c r="Q65" s="371" t="s">
        <v>2271</v>
      </c>
      <c r="R65" s="373">
        <v>45520</v>
      </c>
      <c r="S65" s="373">
        <v>45520</v>
      </c>
      <c r="T65" s="371" t="s">
        <v>2271</v>
      </c>
      <c r="U65" s="373">
        <v>17410</v>
      </c>
      <c r="V65" s="373">
        <v>17410</v>
      </c>
      <c r="W65" s="371" t="s">
        <v>2271</v>
      </c>
      <c r="X65" s="373">
        <v>28110</v>
      </c>
      <c r="Y65" s="373">
        <v>28110</v>
      </c>
      <c r="Z65" s="371" t="s">
        <v>2271</v>
      </c>
      <c r="AA65" s="373">
        <v>0</v>
      </c>
      <c r="AB65" s="373">
        <v>28160</v>
      </c>
      <c r="AC65" s="373">
        <v>28160</v>
      </c>
      <c r="AD65" s="371" t="s">
        <v>2271</v>
      </c>
      <c r="AE65" s="373">
        <v>0</v>
      </c>
      <c r="AF65" s="382">
        <v>0.55625000000000002</v>
      </c>
      <c r="AG65" s="382">
        <v>0.55625000000000002</v>
      </c>
      <c r="AH65" s="371" t="s">
        <v>2271</v>
      </c>
      <c r="AI65" s="382">
        <v>0.63472222222222197</v>
      </c>
      <c r="AJ65" s="382">
        <v>0.63472222222222197</v>
      </c>
      <c r="AK65" s="371" t="s">
        <v>2271</v>
      </c>
      <c r="AL65" s="206" t="s">
        <v>42</v>
      </c>
      <c r="AM65" s="206" t="s">
        <v>42</v>
      </c>
      <c r="AN65" s="371" t="s">
        <v>2271</v>
      </c>
      <c r="AO65" s="206" t="s">
        <v>2318</v>
      </c>
      <c r="AP65" s="206" t="s">
        <v>1499</v>
      </c>
      <c r="AQ65" s="206" t="s">
        <v>1133</v>
      </c>
      <c r="AR65" s="207" t="s">
        <v>75</v>
      </c>
    </row>
    <row r="66" spans="1:44" x14ac:dyDescent="0.2">
      <c r="A66" s="370">
        <v>47</v>
      </c>
      <c r="B66" s="380">
        <v>33</v>
      </c>
      <c r="C66" s="371" t="s">
        <v>2269</v>
      </c>
      <c r="D66" s="371" t="s">
        <v>2235</v>
      </c>
      <c r="E66" s="206"/>
      <c r="F66" s="206" t="s">
        <v>70</v>
      </c>
      <c r="G66" s="206" t="s">
        <v>70</v>
      </c>
      <c r="H66" s="371" t="s">
        <v>2271</v>
      </c>
      <c r="I66" s="206" t="s">
        <v>1450</v>
      </c>
      <c r="J66" s="206" t="s">
        <v>1450</v>
      </c>
      <c r="K66" s="371" t="s">
        <v>2271</v>
      </c>
      <c r="L66" s="206" t="s">
        <v>2147</v>
      </c>
      <c r="M66" s="206" t="s">
        <v>1342</v>
      </c>
      <c r="N66" s="206" t="s">
        <v>59</v>
      </c>
      <c r="O66" s="372">
        <v>45989</v>
      </c>
      <c r="P66" s="372">
        <v>45989</v>
      </c>
      <c r="Q66" s="371" t="s">
        <v>2271</v>
      </c>
      <c r="R66" s="373">
        <v>45690</v>
      </c>
      <c r="S66" s="373">
        <v>45690</v>
      </c>
      <c r="T66" s="371" t="s">
        <v>2271</v>
      </c>
      <c r="U66" s="373">
        <v>17580</v>
      </c>
      <c r="V66" s="373">
        <v>17580</v>
      </c>
      <c r="W66" s="371" t="s">
        <v>2271</v>
      </c>
      <c r="X66" s="373">
        <v>28110</v>
      </c>
      <c r="Y66" s="373">
        <v>28110</v>
      </c>
      <c r="Z66" s="371" t="s">
        <v>2271</v>
      </c>
      <c r="AA66" s="373">
        <v>0</v>
      </c>
      <c r="AB66" s="373">
        <v>28100</v>
      </c>
      <c r="AC66" s="373">
        <v>28100</v>
      </c>
      <c r="AD66" s="371" t="s">
        <v>2271</v>
      </c>
      <c r="AE66" s="373">
        <v>0</v>
      </c>
      <c r="AF66" s="382">
        <v>0.73611111111111105</v>
      </c>
      <c r="AG66" s="382">
        <v>0.73611111111111105</v>
      </c>
      <c r="AH66" s="371" t="s">
        <v>2271</v>
      </c>
      <c r="AI66" s="382">
        <v>0.78819444444444497</v>
      </c>
      <c r="AJ66" s="382">
        <v>0.78819444444444398</v>
      </c>
      <c r="AK66" s="371" t="s">
        <v>2276</v>
      </c>
      <c r="AL66" s="206" t="s">
        <v>137</v>
      </c>
      <c r="AM66" s="206" t="s">
        <v>137</v>
      </c>
      <c r="AN66" s="371" t="s">
        <v>2271</v>
      </c>
      <c r="AO66" s="206" t="s">
        <v>2318</v>
      </c>
      <c r="AP66" s="206" t="s">
        <v>1499</v>
      </c>
      <c r="AQ66" s="206" t="s">
        <v>1133</v>
      </c>
      <c r="AR66" s="207" t="s">
        <v>75</v>
      </c>
    </row>
    <row r="67" spans="1:44" x14ac:dyDescent="0.2">
      <c r="A67" s="370">
        <v>48</v>
      </c>
      <c r="B67" s="380">
        <v>34</v>
      </c>
      <c r="C67" s="371" t="s">
        <v>2269</v>
      </c>
      <c r="D67" s="371" t="s">
        <v>2270</v>
      </c>
      <c r="E67" s="206"/>
      <c r="F67" s="206" t="s">
        <v>106</v>
      </c>
      <c r="G67" s="206" t="s">
        <v>106</v>
      </c>
      <c r="H67" s="371" t="s">
        <v>2271</v>
      </c>
      <c r="I67" s="206" t="s">
        <v>1328</v>
      </c>
      <c r="J67" s="206" t="s">
        <v>1328</v>
      </c>
      <c r="K67" s="371" t="s">
        <v>2271</v>
      </c>
      <c r="L67" s="206" t="s">
        <v>2136</v>
      </c>
      <c r="M67" s="206" t="s">
        <v>1327</v>
      </c>
      <c r="N67" s="206" t="s">
        <v>59</v>
      </c>
      <c r="O67" s="372">
        <v>45932</v>
      </c>
      <c r="P67" s="372">
        <v>45932</v>
      </c>
      <c r="Q67" s="371" t="s">
        <v>2271</v>
      </c>
      <c r="R67" s="373">
        <v>45170</v>
      </c>
      <c r="S67" s="373">
        <v>45170</v>
      </c>
      <c r="T67" s="371" t="s">
        <v>2271</v>
      </c>
      <c r="U67" s="373">
        <v>17510</v>
      </c>
      <c r="V67" s="373">
        <v>17510</v>
      </c>
      <c r="W67" s="371" t="s">
        <v>2271</v>
      </c>
      <c r="X67" s="373">
        <v>27660</v>
      </c>
      <c r="Y67" s="373">
        <v>27660</v>
      </c>
      <c r="Z67" s="371" t="s">
        <v>2271</v>
      </c>
      <c r="AA67" s="373">
        <v>0</v>
      </c>
      <c r="AB67" s="373">
        <v>27680</v>
      </c>
      <c r="AC67" s="373">
        <v>27680</v>
      </c>
      <c r="AD67" s="371" t="s">
        <v>2271</v>
      </c>
      <c r="AE67" s="373">
        <v>0</v>
      </c>
      <c r="AF67" s="382">
        <v>0.55902777777777801</v>
      </c>
      <c r="AG67" s="382">
        <v>0.55902777777777801</v>
      </c>
      <c r="AH67" s="371" t="s">
        <v>2271</v>
      </c>
      <c r="AI67" s="382">
        <v>0.68125000000000002</v>
      </c>
      <c r="AJ67" s="382">
        <v>0.68125000000000002</v>
      </c>
      <c r="AK67" s="371" t="s">
        <v>2271</v>
      </c>
      <c r="AL67" s="206" t="s">
        <v>42</v>
      </c>
      <c r="AM67" s="206" t="s">
        <v>42</v>
      </c>
      <c r="AN67" s="371" t="s">
        <v>2271</v>
      </c>
      <c r="AO67" s="206" t="s">
        <v>2319</v>
      </c>
      <c r="AP67" s="206" t="s">
        <v>1372</v>
      </c>
      <c r="AQ67" s="206" t="s">
        <v>1133</v>
      </c>
      <c r="AR67" s="207" t="s">
        <v>75</v>
      </c>
    </row>
    <row r="68" spans="1:44" x14ac:dyDescent="0.2">
      <c r="A68" s="370">
        <v>49</v>
      </c>
      <c r="B68" s="380">
        <v>34</v>
      </c>
      <c r="C68" s="371" t="s">
        <v>2275</v>
      </c>
      <c r="D68" s="371" t="s">
        <v>2235</v>
      </c>
      <c r="E68" s="206"/>
      <c r="F68" s="206" t="s">
        <v>84</v>
      </c>
      <c r="G68" s="206" t="s">
        <v>84</v>
      </c>
      <c r="H68" s="371" t="s">
        <v>2271</v>
      </c>
      <c r="I68" s="206" t="s">
        <v>2149</v>
      </c>
      <c r="J68" s="206" t="s">
        <v>1340</v>
      </c>
      <c r="K68" s="371" t="s">
        <v>2276</v>
      </c>
      <c r="L68" s="206" t="s">
        <v>2150</v>
      </c>
      <c r="M68" s="206" t="s">
        <v>1343</v>
      </c>
      <c r="N68" s="206" t="s">
        <v>78</v>
      </c>
      <c r="O68" s="372">
        <v>45989</v>
      </c>
      <c r="P68" s="372">
        <v>45989</v>
      </c>
      <c r="Q68" s="371" t="s">
        <v>2271</v>
      </c>
      <c r="R68" s="373">
        <v>26360</v>
      </c>
      <c r="S68" s="373">
        <v>26360</v>
      </c>
      <c r="T68" s="371" t="s">
        <v>2271</v>
      </c>
      <c r="U68" s="373">
        <v>12130</v>
      </c>
      <c r="V68" s="373">
        <v>12130</v>
      </c>
      <c r="W68" s="371" t="s">
        <v>2271</v>
      </c>
      <c r="X68" s="373">
        <v>14230</v>
      </c>
      <c r="Y68" s="373">
        <v>14230</v>
      </c>
      <c r="Z68" s="371" t="s">
        <v>2271</v>
      </c>
      <c r="AA68" s="373">
        <v>0</v>
      </c>
      <c r="AB68" s="373">
        <v>14260</v>
      </c>
      <c r="AC68" s="373">
        <v>14260</v>
      </c>
      <c r="AD68" s="371" t="s">
        <v>2271</v>
      </c>
      <c r="AE68" s="373">
        <v>0</v>
      </c>
      <c r="AF68" s="382">
        <v>0.75763888888888897</v>
      </c>
      <c r="AG68" s="382">
        <v>0.75763888888888897</v>
      </c>
      <c r="AH68" s="371" t="s">
        <v>2271</v>
      </c>
      <c r="AI68" s="382">
        <v>0.86458333333333304</v>
      </c>
      <c r="AJ68" s="382">
        <v>0.86458333333333304</v>
      </c>
      <c r="AK68" s="371" t="s">
        <v>2271</v>
      </c>
      <c r="AL68" s="206" t="s">
        <v>137</v>
      </c>
      <c r="AM68" s="206" t="s">
        <v>137</v>
      </c>
      <c r="AN68" s="371" t="s">
        <v>2271</v>
      </c>
      <c r="AO68" s="206" t="s">
        <v>2320</v>
      </c>
      <c r="AP68" s="206" t="s">
        <v>1782</v>
      </c>
      <c r="AQ68" s="206" t="s">
        <v>1132</v>
      </c>
      <c r="AR68" s="207" t="s">
        <v>88</v>
      </c>
    </row>
    <row r="69" spans="1:44" x14ac:dyDescent="0.2">
      <c r="A69" s="370">
        <v>50</v>
      </c>
      <c r="B69" s="380">
        <v>35</v>
      </c>
      <c r="C69" s="371" t="s">
        <v>2269</v>
      </c>
      <c r="D69" s="371" t="s">
        <v>2270</v>
      </c>
      <c r="E69" s="206"/>
      <c r="F69" s="206" t="s">
        <v>93</v>
      </c>
      <c r="G69" s="206" t="s">
        <v>93</v>
      </c>
      <c r="H69" s="371" t="s">
        <v>2271</v>
      </c>
      <c r="I69" s="206" t="s">
        <v>1328</v>
      </c>
      <c r="J69" s="206" t="s">
        <v>1328</v>
      </c>
      <c r="K69" s="371" t="s">
        <v>2271</v>
      </c>
      <c r="L69" s="206" t="s">
        <v>2136</v>
      </c>
      <c r="M69" s="206" t="s">
        <v>1327</v>
      </c>
      <c r="N69" s="206" t="s">
        <v>59</v>
      </c>
      <c r="O69" s="372">
        <v>45932</v>
      </c>
      <c r="P69" s="372">
        <v>45932</v>
      </c>
      <c r="Q69" s="371" t="s">
        <v>2271</v>
      </c>
      <c r="R69" s="373">
        <v>26620</v>
      </c>
      <c r="S69" s="373">
        <v>26620</v>
      </c>
      <c r="T69" s="371" t="s">
        <v>2271</v>
      </c>
      <c r="U69" s="373">
        <v>11800</v>
      </c>
      <c r="V69" s="373">
        <v>11800</v>
      </c>
      <c r="W69" s="371" t="s">
        <v>2271</v>
      </c>
      <c r="X69" s="373">
        <v>14820</v>
      </c>
      <c r="Y69" s="373">
        <v>14820</v>
      </c>
      <c r="Z69" s="371" t="s">
        <v>2271</v>
      </c>
      <c r="AA69" s="373">
        <v>0</v>
      </c>
      <c r="AB69" s="373">
        <v>14860</v>
      </c>
      <c r="AC69" s="373">
        <v>14860</v>
      </c>
      <c r="AD69" s="371" t="s">
        <v>2271</v>
      </c>
      <c r="AE69" s="373">
        <v>0</v>
      </c>
      <c r="AF69" s="382">
        <v>0.60347222222222197</v>
      </c>
      <c r="AG69" s="382">
        <v>0.60347222222222197</v>
      </c>
      <c r="AH69" s="371" t="s">
        <v>2271</v>
      </c>
      <c r="AI69" s="382">
        <v>0.6875</v>
      </c>
      <c r="AJ69" s="382">
        <v>0.6875</v>
      </c>
      <c r="AK69" s="371" t="s">
        <v>2271</v>
      </c>
      <c r="AL69" s="206" t="s">
        <v>42</v>
      </c>
      <c r="AM69" s="206" t="s">
        <v>42</v>
      </c>
      <c r="AN69" s="371" t="s">
        <v>2271</v>
      </c>
      <c r="AO69" s="206" t="s">
        <v>2321</v>
      </c>
      <c r="AP69" s="206" t="s">
        <v>1393</v>
      </c>
      <c r="AQ69" s="206" t="s">
        <v>1132</v>
      </c>
      <c r="AR69" s="207" t="s">
        <v>75</v>
      </c>
    </row>
    <row r="70" spans="1:44" x14ac:dyDescent="0.2">
      <c r="A70" s="370">
        <v>51</v>
      </c>
      <c r="B70" s="380">
        <v>36</v>
      </c>
      <c r="C70" s="371" t="s">
        <v>2269</v>
      </c>
      <c r="D70" s="371" t="s">
        <v>2270</v>
      </c>
      <c r="E70" s="206"/>
      <c r="F70" s="206" t="s">
        <v>97</v>
      </c>
      <c r="G70" s="206" t="s">
        <v>97</v>
      </c>
      <c r="H70" s="371" t="s">
        <v>2271</v>
      </c>
      <c r="I70" s="206" t="s">
        <v>1328</v>
      </c>
      <c r="J70" s="206" t="s">
        <v>1328</v>
      </c>
      <c r="K70" s="371" t="s">
        <v>2271</v>
      </c>
      <c r="L70" s="206" t="s">
        <v>2136</v>
      </c>
      <c r="M70" s="206" t="s">
        <v>1327</v>
      </c>
      <c r="N70" s="206" t="s">
        <v>59</v>
      </c>
      <c r="O70" s="372">
        <v>45932</v>
      </c>
      <c r="P70" s="372">
        <v>45932</v>
      </c>
      <c r="Q70" s="371" t="s">
        <v>2271</v>
      </c>
      <c r="R70" s="373">
        <v>26660</v>
      </c>
      <c r="S70" s="373">
        <v>26660</v>
      </c>
      <c r="T70" s="371" t="s">
        <v>2271</v>
      </c>
      <c r="U70" s="373">
        <v>12120</v>
      </c>
      <c r="V70" s="373">
        <v>12120</v>
      </c>
      <c r="W70" s="371" t="s">
        <v>2271</v>
      </c>
      <c r="X70" s="373">
        <v>14540</v>
      </c>
      <c r="Y70" s="373">
        <v>14540</v>
      </c>
      <c r="Z70" s="371" t="s">
        <v>2271</v>
      </c>
      <c r="AA70" s="373">
        <v>0</v>
      </c>
      <c r="AB70" s="373">
        <v>14580</v>
      </c>
      <c r="AC70" s="373">
        <v>14580</v>
      </c>
      <c r="AD70" s="371" t="s">
        <v>2271</v>
      </c>
      <c r="AE70" s="373">
        <v>0</v>
      </c>
      <c r="AF70" s="382">
        <v>0.61041666666666705</v>
      </c>
      <c r="AG70" s="382">
        <v>0.61041666666666705</v>
      </c>
      <c r="AH70" s="371" t="s">
        <v>2271</v>
      </c>
      <c r="AI70" s="382">
        <v>0.73402777777777795</v>
      </c>
      <c r="AJ70" s="382">
        <v>0.73402777777777795</v>
      </c>
      <c r="AK70" s="371" t="s">
        <v>2271</v>
      </c>
      <c r="AL70" s="206" t="s">
        <v>42</v>
      </c>
      <c r="AM70" s="206" t="s">
        <v>42</v>
      </c>
      <c r="AN70" s="371" t="s">
        <v>2271</v>
      </c>
      <c r="AO70" s="206" t="s">
        <v>2322</v>
      </c>
      <c r="AP70" s="206" t="s">
        <v>1782</v>
      </c>
      <c r="AQ70" s="206" t="s">
        <v>1132</v>
      </c>
      <c r="AR70" s="207" t="s">
        <v>75</v>
      </c>
    </row>
    <row r="71" spans="1:44" x14ac:dyDescent="0.2">
      <c r="A71" s="370">
        <v>52</v>
      </c>
      <c r="B71" s="380">
        <v>36</v>
      </c>
      <c r="C71" s="371" t="s">
        <v>2275</v>
      </c>
      <c r="D71" s="371" t="s">
        <v>2235</v>
      </c>
      <c r="E71" s="206"/>
      <c r="F71" s="206" t="s">
        <v>46</v>
      </c>
      <c r="G71" s="206" t="s">
        <v>46</v>
      </c>
      <c r="H71" s="371" t="s">
        <v>2271</v>
      </c>
      <c r="I71" s="206" t="s">
        <v>2149</v>
      </c>
      <c r="J71" s="206" t="s">
        <v>1340</v>
      </c>
      <c r="K71" s="371" t="s">
        <v>2276</v>
      </c>
      <c r="L71" s="206" t="s">
        <v>2150</v>
      </c>
      <c r="M71" s="206" t="s">
        <v>1343</v>
      </c>
      <c r="N71" s="206" t="s">
        <v>78</v>
      </c>
      <c r="O71" s="372">
        <v>45990</v>
      </c>
      <c r="P71" s="372">
        <v>45990</v>
      </c>
      <c r="Q71" s="371" t="s">
        <v>2271</v>
      </c>
      <c r="R71" s="373">
        <v>25310</v>
      </c>
      <c r="S71" s="373">
        <v>25310</v>
      </c>
      <c r="T71" s="371" t="s">
        <v>2271</v>
      </c>
      <c r="U71" s="373">
        <v>11780</v>
      </c>
      <c r="V71" s="373">
        <v>11780</v>
      </c>
      <c r="W71" s="371" t="s">
        <v>2271</v>
      </c>
      <c r="X71" s="373">
        <v>13530</v>
      </c>
      <c r="Y71" s="373">
        <v>13530</v>
      </c>
      <c r="Z71" s="371" t="s">
        <v>2271</v>
      </c>
      <c r="AA71" s="373">
        <v>0</v>
      </c>
      <c r="AB71" s="373">
        <v>13570</v>
      </c>
      <c r="AC71" s="373">
        <v>13570</v>
      </c>
      <c r="AD71" s="371" t="s">
        <v>2271</v>
      </c>
      <c r="AE71" s="373">
        <v>0</v>
      </c>
      <c r="AF71" s="382">
        <v>0.91597222222222197</v>
      </c>
      <c r="AG71" s="382">
        <v>0.91597222222222197</v>
      </c>
      <c r="AH71" s="371" t="s">
        <v>2271</v>
      </c>
      <c r="AI71" s="382">
        <v>7.6388888888888904E-3</v>
      </c>
      <c r="AJ71" s="382">
        <v>7.6388888888888904E-3</v>
      </c>
      <c r="AK71" s="371" t="s">
        <v>2271</v>
      </c>
      <c r="AL71" s="206" t="s">
        <v>137</v>
      </c>
      <c r="AM71" s="206" t="s">
        <v>137</v>
      </c>
      <c r="AN71" s="371" t="s">
        <v>2271</v>
      </c>
      <c r="AO71" s="206" t="s">
        <v>2323</v>
      </c>
      <c r="AP71" s="206" t="s">
        <v>1393</v>
      </c>
      <c r="AQ71" s="206" t="s">
        <v>1132</v>
      </c>
      <c r="AR71" s="207" t="s">
        <v>88</v>
      </c>
    </row>
    <row r="72" spans="1:44" x14ac:dyDescent="0.2">
      <c r="A72" s="370">
        <v>53</v>
      </c>
      <c r="B72" s="380">
        <v>37</v>
      </c>
      <c r="C72" s="371" t="s">
        <v>2269</v>
      </c>
      <c r="D72" s="371" t="s">
        <v>2270</v>
      </c>
      <c r="E72" s="206"/>
      <c r="F72" s="206" t="s">
        <v>102</v>
      </c>
      <c r="G72" s="206" t="s">
        <v>102</v>
      </c>
      <c r="H72" s="371" t="s">
        <v>2271</v>
      </c>
      <c r="I72" s="206" t="s">
        <v>1328</v>
      </c>
      <c r="J72" s="206" t="s">
        <v>1328</v>
      </c>
      <c r="K72" s="371" t="s">
        <v>2271</v>
      </c>
      <c r="L72" s="206" t="s">
        <v>2136</v>
      </c>
      <c r="M72" s="206" t="s">
        <v>1327</v>
      </c>
      <c r="N72" s="206" t="s">
        <v>59</v>
      </c>
      <c r="O72" s="372">
        <v>45932</v>
      </c>
      <c r="P72" s="372">
        <v>45932</v>
      </c>
      <c r="Q72" s="371" t="s">
        <v>2271</v>
      </c>
      <c r="R72" s="373">
        <v>45730</v>
      </c>
      <c r="S72" s="373">
        <v>45730</v>
      </c>
      <c r="T72" s="371" t="s">
        <v>2271</v>
      </c>
      <c r="U72" s="373">
        <v>17580</v>
      </c>
      <c r="V72" s="373">
        <v>17580</v>
      </c>
      <c r="W72" s="371" t="s">
        <v>2271</v>
      </c>
      <c r="X72" s="373">
        <v>28150</v>
      </c>
      <c r="Y72" s="373">
        <v>28150</v>
      </c>
      <c r="Z72" s="371" t="s">
        <v>2271</v>
      </c>
      <c r="AA72" s="373">
        <v>0</v>
      </c>
      <c r="AB72" s="373">
        <v>28200</v>
      </c>
      <c r="AC72" s="373">
        <v>28200</v>
      </c>
      <c r="AD72" s="371" t="s">
        <v>2271</v>
      </c>
      <c r="AE72" s="373">
        <v>0</v>
      </c>
      <c r="AF72" s="382">
        <v>0.82222222222222197</v>
      </c>
      <c r="AG72" s="382">
        <v>0.82222222222222197</v>
      </c>
      <c r="AH72" s="371" t="s">
        <v>2271</v>
      </c>
      <c r="AI72" s="382">
        <v>0.9</v>
      </c>
      <c r="AJ72" s="382">
        <v>0.9</v>
      </c>
      <c r="AK72" s="371" t="s">
        <v>2271</v>
      </c>
      <c r="AL72" s="206" t="s">
        <v>42</v>
      </c>
      <c r="AM72" s="206" t="s">
        <v>42</v>
      </c>
      <c r="AN72" s="371" t="s">
        <v>2271</v>
      </c>
      <c r="AO72" s="206" t="s">
        <v>2324</v>
      </c>
      <c r="AP72" s="206" t="s">
        <v>1499</v>
      </c>
      <c r="AQ72" s="206" t="s">
        <v>1133</v>
      </c>
      <c r="AR72" s="207" t="s">
        <v>75</v>
      </c>
    </row>
    <row r="73" spans="1:44" x14ac:dyDescent="0.2">
      <c r="A73" s="370">
        <v>54</v>
      </c>
      <c r="B73" s="380">
        <v>37</v>
      </c>
      <c r="C73" s="371" t="s">
        <v>2269</v>
      </c>
      <c r="D73" s="371" t="s">
        <v>2270</v>
      </c>
      <c r="E73" s="206"/>
      <c r="F73" s="206" t="s">
        <v>76</v>
      </c>
      <c r="G73" s="206" t="s">
        <v>76</v>
      </c>
      <c r="H73" s="371" t="s">
        <v>2271</v>
      </c>
      <c r="I73" s="206" t="s">
        <v>1450</v>
      </c>
      <c r="J73" s="206" t="s">
        <v>1450</v>
      </c>
      <c r="K73" s="371" t="s">
        <v>2271</v>
      </c>
      <c r="L73" s="206" t="s">
        <v>2147</v>
      </c>
      <c r="M73" s="206" t="s">
        <v>1342</v>
      </c>
      <c r="N73" s="206" t="s">
        <v>59</v>
      </c>
      <c r="O73" s="372">
        <v>45989</v>
      </c>
      <c r="P73" s="372">
        <v>45989</v>
      </c>
      <c r="Q73" s="371" t="s">
        <v>2271</v>
      </c>
      <c r="R73" s="373">
        <v>45680</v>
      </c>
      <c r="S73" s="373">
        <v>45680</v>
      </c>
      <c r="T73" s="371" t="s">
        <v>2271</v>
      </c>
      <c r="U73" s="373">
        <v>17550</v>
      </c>
      <c r="V73" s="373">
        <v>17550</v>
      </c>
      <c r="W73" s="371" t="s">
        <v>2271</v>
      </c>
      <c r="X73" s="373">
        <v>28130</v>
      </c>
      <c r="Y73" s="373">
        <v>28130</v>
      </c>
      <c r="Z73" s="371" t="s">
        <v>2271</v>
      </c>
      <c r="AA73" s="373">
        <v>0</v>
      </c>
      <c r="AB73" s="373">
        <v>28180</v>
      </c>
      <c r="AC73" s="373">
        <v>28180</v>
      </c>
      <c r="AD73" s="371" t="s">
        <v>2271</v>
      </c>
      <c r="AE73" s="373">
        <v>0</v>
      </c>
      <c r="AF73" s="382">
        <v>0.92916666666666703</v>
      </c>
      <c r="AG73" s="382">
        <v>0.92916666666666703</v>
      </c>
      <c r="AH73" s="371" t="s">
        <v>2271</v>
      </c>
      <c r="AI73" s="382">
        <v>0.96111111111111103</v>
      </c>
      <c r="AJ73" s="382">
        <v>0.96111111111111103</v>
      </c>
      <c r="AK73" s="371" t="s">
        <v>2271</v>
      </c>
      <c r="AL73" s="206" t="s">
        <v>137</v>
      </c>
      <c r="AM73" s="206" t="s">
        <v>137</v>
      </c>
      <c r="AN73" s="371" t="s">
        <v>2271</v>
      </c>
      <c r="AO73" s="206" t="s">
        <v>2324</v>
      </c>
      <c r="AP73" s="206" t="s">
        <v>1372</v>
      </c>
      <c r="AQ73" s="206" t="s">
        <v>1133</v>
      </c>
      <c r="AR73" s="207" t="s">
        <v>75</v>
      </c>
    </row>
    <row r="74" spans="1:44" x14ac:dyDescent="0.2">
      <c r="A74" s="370">
        <v>55</v>
      </c>
      <c r="B74" s="380">
        <v>38</v>
      </c>
      <c r="C74" s="371" t="s">
        <v>2269</v>
      </c>
      <c r="D74" s="371" t="s">
        <v>2270</v>
      </c>
      <c r="E74" s="206"/>
      <c r="F74" s="206" t="s">
        <v>106</v>
      </c>
      <c r="G74" s="206" t="s">
        <v>106</v>
      </c>
      <c r="H74" s="371" t="s">
        <v>2271</v>
      </c>
      <c r="I74" s="206" t="s">
        <v>1328</v>
      </c>
      <c r="J74" s="206" t="s">
        <v>1328</v>
      </c>
      <c r="K74" s="371" t="s">
        <v>2271</v>
      </c>
      <c r="L74" s="206" t="s">
        <v>2136</v>
      </c>
      <c r="M74" s="206" t="s">
        <v>1327</v>
      </c>
      <c r="N74" s="206" t="s">
        <v>59</v>
      </c>
      <c r="O74" s="372">
        <v>45932</v>
      </c>
      <c r="P74" s="372">
        <v>45932</v>
      </c>
      <c r="Q74" s="371" t="s">
        <v>2271</v>
      </c>
      <c r="R74" s="373">
        <v>45680</v>
      </c>
      <c r="S74" s="373">
        <v>45680</v>
      </c>
      <c r="T74" s="371" t="s">
        <v>2271</v>
      </c>
      <c r="U74" s="373">
        <v>17460</v>
      </c>
      <c r="V74" s="373">
        <v>17460</v>
      </c>
      <c r="W74" s="371" t="s">
        <v>2271</v>
      </c>
      <c r="X74" s="373">
        <v>28220</v>
      </c>
      <c r="Y74" s="373">
        <v>28220</v>
      </c>
      <c r="Z74" s="371" t="s">
        <v>2271</v>
      </c>
      <c r="AA74" s="373">
        <v>0</v>
      </c>
      <c r="AB74" s="373">
        <v>28260</v>
      </c>
      <c r="AC74" s="373">
        <v>28260</v>
      </c>
      <c r="AD74" s="371" t="s">
        <v>2271</v>
      </c>
      <c r="AE74" s="373">
        <v>0</v>
      </c>
      <c r="AF74" s="382">
        <v>0.83402777777777803</v>
      </c>
      <c r="AG74" s="382">
        <v>0.83402777777777803</v>
      </c>
      <c r="AH74" s="371" t="s">
        <v>2271</v>
      </c>
      <c r="AI74" s="382">
        <v>0.95069444444444395</v>
      </c>
      <c r="AJ74" s="382">
        <v>0.95069444444444395</v>
      </c>
      <c r="AK74" s="371" t="s">
        <v>2271</v>
      </c>
      <c r="AL74" s="206" t="s">
        <v>42</v>
      </c>
      <c r="AM74" s="206" t="s">
        <v>42</v>
      </c>
      <c r="AN74" s="371" t="s">
        <v>2271</v>
      </c>
      <c r="AO74" s="206" t="s">
        <v>2325</v>
      </c>
      <c r="AP74" s="206" t="s">
        <v>1372</v>
      </c>
      <c r="AQ74" s="206" t="s">
        <v>1133</v>
      </c>
      <c r="AR74" s="207" t="s">
        <v>75</v>
      </c>
    </row>
    <row r="75" spans="1:44" x14ac:dyDescent="0.2">
      <c r="A75" s="370">
        <v>56</v>
      </c>
      <c r="B75" s="380">
        <v>38</v>
      </c>
      <c r="C75" s="371" t="s">
        <v>2269</v>
      </c>
      <c r="D75" s="371" t="s">
        <v>2270</v>
      </c>
      <c r="E75" s="206"/>
      <c r="F75" s="206" t="s">
        <v>70</v>
      </c>
      <c r="G75" s="206" t="s">
        <v>70</v>
      </c>
      <c r="H75" s="371" t="s">
        <v>2271</v>
      </c>
      <c r="I75" s="206" t="s">
        <v>1450</v>
      </c>
      <c r="J75" s="206" t="s">
        <v>1450</v>
      </c>
      <c r="K75" s="371" t="s">
        <v>2271</v>
      </c>
      <c r="L75" s="206" t="s">
        <v>2147</v>
      </c>
      <c r="M75" s="206" t="s">
        <v>1342</v>
      </c>
      <c r="N75" s="206" t="s">
        <v>59</v>
      </c>
      <c r="O75" s="372">
        <v>45990</v>
      </c>
      <c r="P75" s="372">
        <v>45990</v>
      </c>
      <c r="Q75" s="371" t="s">
        <v>2271</v>
      </c>
      <c r="R75" s="373">
        <v>45580</v>
      </c>
      <c r="S75" s="373">
        <v>45580</v>
      </c>
      <c r="T75" s="371" t="s">
        <v>2271</v>
      </c>
      <c r="U75" s="373">
        <v>17540</v>
      </c>
      <c r="V75" s="373">
        <v>17540</v>
      </c>
      <c r="W75" s="371" t="s">
        <v>2271</v>
      </c>
      <c r="X75" s="373">
        <v>28040</v>
      </c>
      <c r="Y75" s="373">
        <v>28040</v>
      </c>
      <c r="Z75" s="371" t="s">
        <v>2271</v>
      </c>
      <c r="AA75" s="373">
        <v>0</v>
      </c>
      <c r="AB75" s="373">
        <v>28060</v>
      </c>
      <c r="AC75" s="373">
        <v>28060</v>
      </c>
      <c r="AD75" s="371" t="s">
        <v>2271</v>
      </c>
      <c r="AE75" s="373">
        <v>0</v>
      </c>
      <c r="AF75" s="382">
        <v>0.97083333333333299</v>
      </c>
      <c r="AG75" s="382">
        <v>0.97083333333333299</v>
      </c>
      <c r="AH75" s="371" t="s">
        <v>2271</v>
      </c>
      <c r="AI75" s="382">
        <v>4.8611111111111103E-3</v>
      </c>
      <c r="AJ75" s="382">
        <v>4.8611111111111103E-3</v>
      </c>
      <c r="AK75" s="371" t="s">
        <v>2271</v>
      </c>
      <c r="AL75" s="206" t="s">
        <v>137</v>
      </c>
      <c r="AM75" s="206" t="s">
        <v>137</v>
      </c>
      <c r="AN75" s="371" t="s">
        <v>2271</v>
      </c>
      <c r="AO75" s="206" t="s">
        <v>2325</v>
      </c>
      <c r="AP75" s="206" t="s">
        <v>1499</v>
      </c>
      <c r="AQ75" s="206" t="s">
        <v>1133</v>
      </c>
      <c r="AR75" s="207" t="s">
        <v>75</v>
      </c>
    </row>
    <row r="76" spans="1:44" x14ac:dyDescent="0.2">
      <c r="A76" s="370">
        <v>57</v>
      </c>
      <c r="B76" s="380">
        <v>39</v>
      </c>
      <c r="C76" s="371" t="s">
        <v>2269</v>
      </c>
      <c r="D76" s="371" t="s">
        <v>2270</v>
      </c>
      <c r="E76" s="206"/>
      <c r="F76" s="206" t="s">
        <v>93</v>
      </c>
      <c r="G76" s="206" t="s">
        <v>93</v>
      </c>
      <c r="H76" s="371" t="s">
        <v>2271</v>
      </c>
      <c r="I76" s="206" t="s">
        <v>1328</v>
      </c>
      <c r="J76" s="206" t="s">
        <v>1328</v>
      </c>
      <c r="K76" s="371" t="s">
        <v>2271</v>
      </c>
      <c r="L76" s="206" t="s">
        <v>2136</v>
      </c>
      <c r="M76" s="206" t="s">
        <v>1327</v>
      </c>
      <c r="N76" s="206" t="s">
        <v>59</v>
      </c>
      <c r="O76" s="372">
        <v>45932</v>
      </c>
      <c r="P76" s="372">
        <v>45932</v>
      </c>
      <c r="Q76" s="371" t="s">
        <v>2271</v>
      </c>
      <c r="R76" s="373">
        <v>26550</v>
      </c>
      <c r="S76" s="373">
        <v>26550</v>
      </c>
      <c r="T76" s="371" t="s">
        <v>2271</v>
      </c>
      <c r="U76" s="373">
        <v>11770</v>
      </c>
      <c r="V76" s="373">
        <v>11770</v>
      </c>
      <c r="W76" s="371" t="s">
        <v>2271</v>
      </c>
      <c r="X76" s="373">
        <v>14780</v>
      </c>
      <c r="Y76" s="373">
        <v>14780</v>
      </c>
      <c r="Z76" s="371" t="s">
        <v>2271</v>
      </c>
      <c r="AA76" s="373">
        <v>0</v>
      </c>
      <c r="AB76" s="373">
        <v>14800</v>
      </c>
      <c r="AC76" s="373">
        <v>14800</v>
      </c>
      <c r="AD76" s="371" t="s">
        <v>2271</v>
      </c>
      <c r="AE76" s="373">
        <v>0</v>
      </c>
      <c r="AF76" s="382">
        <v>0.85277777777777797</v>
      </c>
      <c r="AG76" s="382">
        <v>0.85277777777777797</v>
      </c>
      <c r="AH76" s="371" t="s">
        <v>2271</v>
      </c>
      <c r="AI76" s="382">
        <v>0.94027777777777799</v>
      </c>
      <c r="AJ76" s="382">
        <v>0.94027777777777799</v>
      </c>
      <c r="AK76" s="371" t="s">
        <v>2271</v>
      </c>
      <c r="AL76" s="206" t="s">
        <v>42</v>
      </c>
      <c r="AM76" s="206" t="s">
        <v>42</v>
      </c>
      <c r="AN76" s="371" t="s">
        <v>2271</v>
      </c>
      <c r="AO76" s="206" t="s">
        <v>2326</v>
      </c>
      <c r="AP76" s="206" t="s">
        <v>1393</v>
      </c>
      <c r="AQ76" s="206" t="s">
        <v>1132</v>
      </c>
      <c r="AR76" s="207" t="s">
        <v>75</v>
      </c>
    </row>
    <row r="77" spans="1:44" x14ac:dyDescent="0.2">
      <c r="A77" s="370">
        <v>58</v>
      </c>
      <c r="B77" s="380">
        <v>39</v>
      </c>
      <c r="C77" s="371" t="s">
        <v>2269</v>
      </c>
      <c r="D77" s="371" t="s">
        <v>2270</v>
      </c>
      <c r="E77" s="206"/>
      <c r="F77" s="206" t="s">
        <v>147</v>
      </c>
      <c r="G77" s="206" t="s">
        <v>147</v>
      </c>
      <c r="H77" s="371" t="s">
        <v>2271</v>
      </c>
      <c r="I77" s="206" t="s">
        <v>1345</v>
      </c>
      <c r="J77" s="206" t="s">
        <v>1345</v>
      </c>
      <c r="K77" s="371" t="s">
        <v>2271</v>
      </c>
      <c r="L77" s="206" t="s">
        <v>2159</v>
      </c>
      <c r="M77" s="206" t="s">
        <v>1344</v>
      </c>
      <c r="N77" s="206" t="s">
        <v>40</v>
      </c>
      <c r="O77" s="372">
        <v>46001</v>
      </c>
      <c r="P77" s="372">
        <v>46001</v>
      </c>
      <c r="Q77" s="371" t="s">
        <v>2271</v>
      </c>
      <c r="R77" s="373">
        <v>13900</v>
      </c>
      <c r="S77" s="373">
        <v>13900</v>
      </c>
      <c r="T77" s="371" t="s">
        <v>2271</v>
      </c>
      <c r="U77" s="373">
        <v>4020</v>
      </c>
      <c r="V77" s="373">
        <v>4020</v>
      </c>
      <c r="W77" s="371" t="s">
        <v>2271</v>
      </c>
      <c r="X77" s="373">
        <v>9690</v>
      </c>
      <c r="Y77" s="373">
        <v>9690</v>
      </c>
      <c r="Z77" s="371" t="s">
        <v>2271</v>
      </c>
      <c r="AA77" s="373">
        <v>0</v>
      </c>
      <c r="AB77" s="373">
        <v>9660</v>
      </c>
      <c r="AC77" s="373">
        <v>9660</v>
      </c>
      <c r="AD77" s="371" t="s">
        <v>2271</v>
      </c>
      <c r="AE77" s="373">
        <v>0</v>
      </c>
      <c r="AF77" s="382">
        <v>0.34166666666666701</v>
      </c>
      <c r="AG77" s="382">
        <v>0.34166666666666701</v>
      </c>
      <c r="AH77" s="371" t="s">
        <v>2271</v>
      </c>
      <c r="AI77" s="382">
        <v>0.40208333333333302</v>
      </c>
      <c r="AJ77" s="382">
        <v>0.40208333333333302</v>
      </c>
      <c r="AK77" s="371" t="s">
        <v>2271</v>
      </c>
      <c r="AL77" s="206" t="s">
        <v>1221</v>
      </c>
      <c r="AM77" s="206" t="s">
        <v>42</v>
      </c>
      <c r="AN77" s="371" t="s">
        <v>2271</v>
      </c>
      <c r="AO77" s="206" t="s">
        <v>2327</v>
      </c>
      <c r="AP77" s="206"/>
      <c r="AQ77" s="206" t="s">
        <v>1131</v>
      </c>
      <c r="AR77" s="207" t="s">
        <v>82</v>
      </c>
    </row>
    <row r="78" spans="1:44" x14ac:dyDescent="0.2">
      <c r="A78" s="370">
        <v>59</v>
      </c>
      <c r="B78" s="380">
        <v>39</v>
      </c>
      <c r="C78" s="371" t="s">
        <v>2269</v>
      </c>
      <c r="D78" s="371" t="s">
        <v>2235</v>
      </c>
      <c r="E78" s="206"/>
      <c r="F78" s="206" t="s">
        <v>147</v>
      </c>
      <c r="G78" s="206" t="s">
        <v>147</v>
      </c>
      <c r="H78" s="371" t="s">
        <v>2271</v>
      </c>
      <c r="I78" s="206" t="s">
        <v>1345</v>
      </c>
      <c r="J78" s="206" t="s">
        <v>1345</v>
      </c>
      <c r="K78" s="371" t="s">
        <v>2271</v>
      </c>
      <c r="L78" s="206" t="s">
        <v>2159</v>
      </c>
      <c r="M78" s="206" t="s">
        <v>1344</v>
      </c>
      <c r="N78" s="206" t="s">
        <v>40</v>
      </c>
      <c r="O78" s="372">
        <v>46001</v>
      </c>
      <c r="P78" s="372">
        <v>46001</v>
      </c>
      <c r="Q78" s="371" t="s">
        <v>2271</v>
      </c>
      <c r="R78" s="373">
        <v>14020</v>
      </c>
      <c r="S78" s="373">
        <v>14020</v>
      </c>
      <c r="T78" s="371" t="s">
        <v>2271</v>
      </c>
      <c r="U78" s="373">
        <v>3980</v>
      </c>
      <c r="V78" s="373">
        <v>3980</v>
      </c>
      <c r="W78" s="371" t="s">
        <v>2271</v>
      </c>
      <c r="X78" s="373">
        <v>10040</v>
      </c>
      <c r="Y78" s="373">
        <v>10040</v>
      </c>
      <c r="Z78" s="371" t="s">
        <v>2271</v>
      </c>
      <c r="AA78" s="373">
        <v>0</v>
      </c>
      <c r="AB78" s="373">
        <v>9970</v>
      </c>
      <c r="AC78" s="373">
        <v>9970</v>
      </c>
      <c r="AD78" s="371" t="s">
        <v>2271</v>
      </c>
      <c r="AE78" s="373">
        <v>0</v>
      </c>
      <c r="AF78" s="382">
        <v>0.33819444444444402</v>
      </c>
      <c r="AG78" s="382">
        <v>0.33819444444444502</v>
      </c>
      <c r="AH78" s="371" t="s">
        <v>2276</v>
      </c>
      <c r="AI78" s="382">
        <v>0.37777777777777799</v>
      </c>
      <c r="AJ78" s="382">
        <v>0.37777777777777799</v>
      </c>
      <c r="AK78" s="371" t="s">
        <v>2271</v>
      </c>
      <c r="AL78" s="206" t="s">
        <v>1221</v>
      </c>
      <c r="AM78" s="206" t="s">
        <v>42</v>
      </c>
      <c r="AN78" s="371" t="s">
        <v>2271</v>
      </c>
      <c r="AO78" s="206" t="s">
        <v>2327</v>
      </c>
      <c r="AP78" s="206"/>
      <c r="AQ78" s="206" t="s">
        <v>1131</v>
      </c>
      <c r="AR78" s="207" t="s">
        <v>82</v>
      </c>
    </row>
    <row r="79" spans="1:44" x14ac:dyDescent="0.2">
      <c r="A79" s="370">
        <v>60</v>
      </c>
      <c r="B79" s="380">
        <v>40</v>
      </c>
      <c r="C79" s="371" t="s">
        <v>2269</v>
      </c>
      <c r="D79" s="371" t="s">
        <v>2270</v>
      </c>
      <c r="E79" s="206"/>
      <c r="F79" s="206" t="s">
        <v>97</v>
      </c>
      <c r="G79" s="206" t="s">
        <v>97</v>
      </c>
      <c r="H79" s="371" t="s">
        <v>2271</v>
      </c>
      <c r="I79" s="206" t="s">
        <v>1328</v>
      </c>
      <c r="J79" s="206" t="s">
        <v>1328</v>
      </c>
      <c r="K79" s="371" t="s">
        <v>2271</v>
      </c>
      <c r="L79" s="206" t="s">
        <v>2136</v>
      </c>
      <c r="M79" s="206" t="s">
        <v>1327</v>
      </c>
      <c r="N79" s="206" t="s">
        <v>59</v>
      </c>
      <c r="O79" s="372">
        <v>45932</v>
      </c>
      <c r="P79" s="372">
        <v>45932</v>
      </c>
      <c r="Q79" s="371" t="s">
        <v>2271</v>
      </c>
      <c r="R79" s="373">
        <v>26640</v>
      </c>
      <c r="S79" s="373">
        <v>26640</v>
      </c>
      <c r="T79" s="371" t="s">
        <v>2271</v>
      </c>
      <c r="U79" s="373">
        <v>12080</v>
      </c>
      <c r="V79" s="373">
        <v>12080</v>
      </c>
      <c r="W79" s="371" t="s">
        <v>2271</v>
      </c>
      <c r="X79" s="373">
        <v>14560</v>
      </c>
      <c r="Y79" s="373">
        <v>14560</v>
      </c>
      <c r="Z79" s="371" t="s">
        <v>2271</v>
      </c>
      <c r="AA79" s="373">
        <v>0</v>
      </c>
      <c r="AB79" s="373">
        <v>14580</v>
      </c>
      <c r="AC79" s="373">
        <v>14580</v>
      </c>
      <c r="AD79" s="371" t="s">
        <v>2271</v>
      </c>
      <c r="AE79" s="373">
        <v>0</v>
      </c>
      <c r="AF79" s="382">
        <v>0.89861111111111103</v>
      </c>
      <c r="AG79" s="382">
        <v>0.89861111111111103</v>
      </c>
      <c r="AH79" s="371" t="s">
        <v>2271</v>
      </c>
      <c r="AI79" s="382">
        <v>0.99236111111111103</v>
      </c>
      <c r="AJ79" s="382">
        <v>0.99236111111111103</v>
      </c>
      <c r="AK79" s="371" t="s">
        <v>2271</v>
      </c>
      <c r="AL79" s="206" t="s">
        <v>42</v>
      </c>
      <c r="AM79" s="206" t="s">
        <v>42</v>
      </c>
      <c r="AN79" s="371" t="s">
        <v>2271</v>
      </c>
      <c r="AO79" s="206" t="s">
        <v>2328</v>
      </c>
      <c r="AP79" s="206" t="s">
        <v>1782</v>
      </c>
      <c r="AQ79" s="206" t="s">
        <v>1132</v>
      </c>
      <c r="AR79" s="207" t="s">
        <v>75</v>
      </c>
    </row>
    <row r="80" spans="1:44" x14ac:dyDescent="0.2">
      <c r="A80" s="370">
        <v>61</v>
      </c>
      <c r="B80" s="380">
        <v>40</v>
      </c>
      <c r="C80" s="371" t="s">
        <v>2269</v>
      </c>
      <c r="D80" s="371" t="s">
        <v>2270</v>
      </c>
      <c r="E80" s="206"/>
      <c r="F80" s="206" t="s">
        <v>149</v>
      </c>
      <c r="G80" s="206" t="s">
        <v>149</v>
      </c>
      <c r="H80" s="371" t="s">
        <v>2271</v>
      </c>
      <c r="I80" s="206" t="s">
        <v>1345</v>
      </c>
      <c r="J80" s="206" t="s">
        <v>1345</v>
      </c>
      <c r="K80" s="371" t="s">
        <v>2271</v>
      </c>
      <c r="L80" s="206" t="s">
        <v>2159</v>
      </c>
      <c r="M80" s="206" t="s">
        <v>1344</v>
      </c>
      <c r="N80" s="206" t="s">
        <v>40</v>
      </c>
      <c r="O80" s="372">
        <v>46001</v>
      </c>
      <c r="P80" s="372">
        <v>46001</v>
      </c>
      <c r="Q80" s="371" t="s">
        <v>2271</v>
      </c>
      <c r="R80" s="373">
        <v>13520</v>
      </c>
      <c r="S80" s="373">
        <v>13520</v>
      </c>
      <c r="T80" s="371" t="s">
        <v>2271</v>
      </c>
      <c r="U80" s="373">
        <v>4060</v>
      </c>
      <c r="V80" s="373">
        <v>4060</v>
      </c>
      <c r="W80" s="371" t="s">
        <v>2271</v>
      </c>
      <c r="X80" s="373">
        <v>9460</v>
      </c>
      <c r="Y80" s="373">
        <v>9460</v>
      </c>
      <c r="Z80" s="371" t="s">
        <v>2271</v>
      </c>
      <c r="AA80" s="373">
        <v>0</v>
      </c>
      <c r="AB80" s="373">
        <v>9430</v>
      </c>
      <c r="AC80" s="373">
        <v>9430</v>
      </c>
      <c r="AD80" s="371" t="s">
        <v>2271</v>
      </c>
      <c r="AE80" s="373">
        <v>0</v>
      </c>
      <c r="AF80" s="382">
        <v>0.34375</v>
      </c>
      <c r="AG80" s="382">
        <v>0.34375</v>
      </c>
      <c r="AH80" s="371" t="s">
        <v>2271</v>
      </c>
      <c r="AI80" s="382">
        <v>0.41805555555555601</v>
      </c>
      <c r="AJ80" s="382">
        <v>0.41805555555555601</v>
      </c>
      <c r="AK80" s="371" t="s">
        <v>2271</v>
      </c>
      <c r="AL80" s="206" t="s">
        <v>1221</v>
      </c>
      <c r="AM80" s="206" t="s">
        <v>42</v>
      </c>
      <c r="AN80" s="371" t="s">
        <v>2271</v>
      </c>
      <c r="AO80" s="206" t="s">
        <v>2329</v>
      </c>
      <c r="AP80" s="206"/>
      <c r="AQ80" s="206" t="s">
        <v>1131</v>
      </c>
      <c r="AR80" s="207" t="s">
        <v>82</v>
      </c>
    </row>
    <row r="81" spans="1:44" x14ac:dyDescent="0.2">
      <c r="A81" s="370">
        <v>62</v>
      </c>
      <c r="B81" s="380">
        <v>40</v>
      </c>
      <c r="C81" s="371" t="s">
        <v>2269</v>
      </c>
      <c r="D81" s="371" t="s">
        <v>2270</v>
      </c>
      <c r="E81" s="206"/>
      <c r="F81" s="206" t="s">
        <v>149</v>
      </c>
      <c r="G81" s="206" t="s">
        <v>149</v>
      </c>
      <c r="H81" s="371" t="s">
        <v>2271</v>
      </c>
      <c r="I81" s="206" t="s">
        <v>1335</v>
      </c>
      <c r="J81" s="206" t="s">
        <v>1335</v>
      </c>
      <c r="K81" s="371" t="s">
        <v>2271</v>
      </c>
      <c r="L81" s="206" t="s">
        <v>2160</v>
      </c>
      <c r="M81" s="206" t="s">
        <v>1334</v>
      </c>
      <c r="N81" s="206" t="s">
        <v>40</v>
      </c>
      <c r="O81" s="372">
        <v>46001</v>
      </c>
      <c r="P81" s="372">
        <v>46001</v>
      </c>
      <c r="Q81" s="371" t="s">
        <v>2271</v>
      </c>
      <c r="R81" s="373">
        <v>13900</v>
      </c>
      <c r="S81" s="373">
        <v>13900</v>
      </c>
      <c r="T81" s="371" t="s">
        <v>2271</v>
      </c>
      <c r="U81" s="373">
        <v>13710</v>
      </c>
      <c r="V81" s="373">
        <v>13710</v>
      </c>
      <c r="W81" s="371" t="s">
        <v>2271</v>
      </c>
      <c r="X81" s="373">
        <v>190</v>
      </c>
      <c r="Y81" s="373">
        <v>190</v>
      </c>
      <c r="Z81" s="371" t="s">
        <v>2271</v>
      </c>
      <c r="AA81" s="373">
        <v>0</v>
      </c>
      <c r="AB81" s="373">
        <v>190</v>
      </c>
      <c r="AC81" s="373">
        <v>190</v>
      </c>
      <c r="AD81" s="371" t="s">
        <v>2271</v>
      </c>
      <c r="AE81" s="373">
        <v>0</v>
      </c>
      <c r="AF81" s="382">
        <v>0.34166666666666701</v>
      </c>
      <c r="AG81" s="382">
        <v>0.34166666666666701</v>
      </c>
      <c r="AH81" s="371" t="s">
        <v>2271</v>
      </c>
      <c r="AI81" s="382">
        <v>0.40208333333333302</v>
      </c>
      <c r="AJ81" s="382">
        <v>0.40208333333333302</v>
      </c>
      <c r="AK81" s="371" t="s">
        <v>2271</v>
      </c>
      <c r="AL81" s="206" t="s">
        <v>42</v>
      </c>
      <c r="AM81" s="206" t="s">
        <v>42</v>
      </c>
      <c r="AN81" s="371" t="s">
        <v>2271</v>
      </c>
      <c r="AO81" s="206" t="s">
        <v>2329</v>
      </c>
      <c r="AP81" s="206"/>
      <c r="AQ81" s="206" t="s">
        <v>1131</v>
      </c>
      <c r="AR81" s="207" t="s">
        <v>82</v>
      </c>
    </row>
    <row r="82" spans="1:44" x14ac:dyDescent="0.2">
      <c r="A82" s="370">
        <v>63</v>
      </c>
      <c r="B82" s="380">
        <v>41</v>
      </c>
      <c r="C82" s="371" t="s">
        <v>2269</v>
      </c>
      <c r="D82" s="371" t="s">
        <v>2235</v>
      </c>
      <c r="E82" s="206"/>
      <c r="F82" s="206" t="s">
        <v>53</v>
      </c>
      <c r="G82" s="206" t="s">
        <v>53</v>
      </c>
      <c r="H82" s="371" t="s">
        <v>2271</v>
      </c>
      <c r="I82" s="206" t="s">
        <v>1330</v>
      </c>
      <c r="J82" s="206" t="s">
        <v>1330</v>
      </c>
      <c r="K82" s="371" t="s">
        <v>2271</v>
      </c>
      <c r="L82" s="206" t="s">
        <v>2137</v>
      </c>
      <c r="M82" s="206" t="s">
        <v>1329</v>
      </c>
      <c r="N82" s="206" t="s">
        <v>40</v>
      </c>
      <c r="O82" s="372">
        <v>45962</v>
      </c>
      <c r="P82" s="372">
        <v>45962</v>
      </c>
      <c r="Q82" s="371" t="s">
        <v>2271</v>
      </c>
      <c r="R82" s="373">
        <v>13370</v>
      </c>
      <c r="S82" s="373">
        <v>13370</v>
      </c>
      <c r="T82" s="371" t="s">
        <v>2271</v>
      </c>
      <c r="U82" s="373">
        <v>3790</v>
      </c>
      <c r="V82" s="373">
        <v>3790</v>
      </c>
      <c r="W82" s="371" t="s">
        <v>2271</v>
      </c>
      <c r="X82" s="373">
        <v>9580</v>
      </c>
      <c r="Y82" s="373">
        <v>9580</v>
      </c>
      <c r="Z82" s="371" t="s">
        <v>2271</v>
      </c>
      <c r="AA82" s="373">
        <v>0</v>
      </c>
      <c r="AB82" s="373">
        <v>9540</v>
      </c>
      <c r="AC82" s="373">
        <v>9540</v>
      </c>
      <c r="AD82" s="371" t="s">
        <v>2271</v>
      </c>
      <c r="AE82" s="373">
        <v>0</v>
      </c>
      <c r="AF82" s="382">
        <v>0.97569444444444497</v>
      </c>
      <c r="AG82" s="382">
        <v>0.97569444444444398</v>
      </c>
      <c r="AH82" s="371" t="s">
        <v>2276</v>
      </c>
      <c r="AI82" s="382">
        <v>4.72222222222222E-2</v>
      </c>
      <c r="AJ82" s="382">
        <v>4.72222222222222E-2</v>
      </c>
      <c r="AK82" s="371" t="s">
        <v>2271</v>
      </c>
      <c r="AL82" s="206" t="s">
        <v>42</v>
      </c>
      <c r="AM82" s="206" t="s">
        <v>42</v>
      </c>
      <c r="AN82" s="371" t="s">
        <v>2271</v>
      </c>
      <c r="AO82" s="206" t="s">
        <v>2330</v>
      </c>
      <c r="AP82" s="206"/>
      <c r="AQ82" s="206" t="s">
        <v>1131</v>
      </c>
      <c r="AR82" s="207" t="s">
        <v>82</v>
      </c>
    </row>
    <row r="83" spans="1:44" x14ac:dyDescent="0.2">
      <c r="A83" s="370">
        <v>64</v>
      </c>
      <c r="B83" s="380">
        <v>41</v>
      </c>
      <c r="C83" s="371" t="s">
        <v>2269</v>
      </c>
      <c r="D83" s="371" t="s">
        <v>2270</v>
      </c>
      <c r="E83" s="206"/>
      <c r="F83" s="206" t="s">
        <v>151</v>
      </c>
      <c r="G83" s="206" t="s">
        <v>151</v>
      </c>
      <c r="H83" s="371" t="s">
        <v>2271</v>
      </c>
      <c r="I83" s="206" t="s">
        <v>1345</v>
      </c>
      <c r="J83" s="206" t="s">
        <v>1345</v>
      </c>
      <c r="K83" s="371" t="s">
        <v>2271</v>
      </c>
      <c r="L83" s="206" t="s">
        <v>2159</v>
      </c>
      <c r="M83" s="206" t="s">
        <v>1344</v>
      </c>
      <c r="N83" s="206" t="s">
        <v>40</v>
      </c>
      <c r="O83" s="372">
        <v>46001</v>
      </c>
      <c r="P83" s="372">
        <v>46001</v>
      </c>
      <c r="Q83" s="371" t="s">
        <v>2271</v>
      </c>
      <c r="R83" s="373">
        <v>13580</v>
      </c>
      <c r="S83" s="373">
        <v>13580</v>
      </c>
      <c r="T83" s="371" t="s">
        <v>2271</v>
      </c>
      <c r="U83" s="373">
        <v>3980</v>
      </c>
      <c r="V83" s="373">
        <v>3980</v>
      </c>
      <c r="W83" s="371" t="s">
        <v>2271</v>
      </c>
      <c r="X83" s="373">
        <v>9600</v>
      </c>
      <c r="Y83" s="373">
        <v>9600</v>
      </c>
      <c r="Z83" s="371" t="s">
        <v>2271</v>
      </c>
      <c r="AA83" s="373">
        <v>0</v>
      </c>
      <c r="AB83" s="373">
        <v>9570</v>
      </c>
      <c r="AC83" s="373">
        <v>9570</v>
      </c>
      <c r="AD83" s="371" t="s">
        <v>2271</v>
      </c>
      <c r="AE83" s="373">
        <v>0</v>
      </c>
      <c r="AF83" s="382">
        <v>0.34513888888888899</v>
      </c>
      <c r="AG83" s="382">
        <v>0.34513888888888899</v>
      </c>
      <c r="AH83" s="371" t="s">
        <v>2271</v>
      </c>
      <c r="AI83" s="382">
        <v>0.43541666666666701</v>
      </c>
      <c r="AJ83" s="382">
        <v>0.43541666666666701</v>
      </c>
      <c r="AK83" s="371" t="s">
        <v>2271</v>
      </c>
      <c r="AL83" s="206" t="s">
        <v>1221</v>
      </c>
      <c r="AM83" s="206" t="s">
        <v>42</v>
      </c>
      <c r="AN83" s="371" t="s">
        <v>2271</v>
      </c>
      <c r="AO83" s="206" t="s">
        <v>2330</v>
      </c>
      <c r="AP83" s="206"/>
      <c r="AQ83" s="206" t="s">
        <v>1131</v>
      </c>
      <c r="AR83" s="207" t="s">
        <v>82</v>
      </c>
    </row>
    <row r="84" spans="1:44" x14ac:dyDescent="0.2">
      <c r="A84" s="370">
        <v>65</v>
      </c>
      <c r="B84" s="380">
        <v>42</v>
      </c>
      <c r="C84" s="371" t="s">
        <v>2269</v>
      </c>
      <c r="D84" s="371" t="s">
        <v>2270</v>
      </c>
      <c r="E84" s="206"/>
      <c r="F84" s="206" t="s">
        <v>39</v>
      </c>
      <c r="G84" s="206" t="s">
        <v>39</v>
      </c>
      <c r="H84" s="371" t="s">
        <v>2271</v>
      </c>
      <c r="I84" s="206" t="s">
        <v>1330</v>
      </c>
      <c r="J84" s="206" t="s">
        <v>1330</v>
      </c>
      <c r="K84" s="371" t="s">
        <v>2271</v>
      </c>
      <c r="L84" s="206" t="s">
        <v>2137</v>
      </c>
      <c r="M84" s="206" t="s">
        <v>1329</v>
      </c>
      <c r="N84" s="206" t="s">
        <v>40</v>
      </c>
      <c r="O84" s="372">
        <v>45962</v>
      </c>
      <c r="P84" s="372">
        <v>45962</v>
      </c>
      <c r="Q84" s="371" t="s">
        <v>2271</v>
      </c>
      <c r="R84" s="373">
        <v>13700</v>
      </c>
      <c r="S84" s="373">
        <v>13700</v>
      </c>
      <c r="T84" s="371" t="s">
        <v>2271</v>
      </c>
      <c r="U84" s="373">
        <v>4070</v>
      </c>
      <c r="V84" s="373">
        <v>4070</v>
      </c>
      <c r="W84" s="371" t="s">
        <v>2271</v>
      </c>
      <c r="X84" s="373">
        <v>9630</v>
      </c>
      <c r="Y84" s="373">
        <v>9630</v>
      </c>
      <c r="Z84" s="371" t="s">
        <v>2271</v>
      </c>
      <c r="AA84" s="373">
        <v>0</v>
      </c>
      <c r="AB84" s="373">
        <v>9590</v>
      </c>
      <c r="AC84" s="373">
        <v>9590</v>
      </c>
      <c r="AD84" s="371" t="s">
        <v>2271</v>
      </c>
      <c r="AE84" s="373">
        <v>0</v>
      </c>
      <c r="AF84" s="382">
        <v>0.97708333333333297</v>
      </c>
      <c r="AG84" s="382">
        <v>0.97708333333333297</v>
      </c>
      <c r="AH84" s="371" t="s">
        <v>2271</v>
      </c>
      <c r="AI84" s="382">
        <v>5.83333333333333E-2</v>
      </c>
      <c r="AJ84" s="382">
        <v>5.83333333333333E-2</v>
      </c>
      <c r="AK84" s="371" t="s">
        <v>2271</v>
      </c>
      <c r="AL84" s="206" t="s">
        <v>42</v>
      </c>
      <c r="AM84" s="206" t="s">
        <v>42</v>
      </c>
      <c r="AN84" s="371" t="s">
        <v>2271</v>
      </c>
      <c r="AO84" s="206" t="s">
        <v>2331</v>
      </c>
      <c r="AP84" s="206"/>
      <c r="AQ84" s="206" t="s">
        <v>1131</v>
      </c>
      <c r="AR84" s="207" t="s">
        <v>82</v>
      </c>
    </row>
    <row r="85" spans="1:44" x14ac:dyDescent="0.2">
      <c r="A85" s="370">
        <v>66</v>
      </c>
      <c r="B85" s="380">
        <v>42</v>
      </c>
      <c r="C85" s="371" t="s">
        <v>2269</v>
      </c>
      <c r="D85" s="371" t="s">
        <v>2270</v>
      </c>
      <c r="E85" s="206"/>
      <c r="F85" s="206" t="s">
        <v>153</v>
      </c>
      <c r="G85" s="206" t="s">
        <v>153</v>
      </c>
      <c r="H85" s="371" t="s">
        <v>2271</v>
      </c>
      <c r="I85" s="206" t="s">
        <v>1345</v>
      </c>
      <c r="J85" s="206" t="s">
        <v>1345</v>
      </c>
      <c r="K85" s="371" t="s">
        <v>2271</v>
      </c>
      <c r="L85" s="206" t="s">
        <v>2159</v>
      </c>
      <c r="M85" s="206" t="s">
        <v>1344</v>
      </c>
      <c r="N85" s="206" t="s">
        <v>40</v>
      </c>
      <c r="O85" s="372">
        <v>46001</v>
      </c>
      <c r="P85" s="372">
        <v>46001</v>
      </c>
      <c r="Q85" s="371" t="s">
        <v>2271</v>
      </c>
      <c r="R85" s="373">
        <v>14110</v>
      </c>
      <c r="S85" s="373">
        <v>14110</v>
      </c>
      <c r="T85" s="371" t="s">
        <v>2271</v>
      </c>
      <c r="U85" s="373">
        <v>4110</v>
      </c>
      <c r="V85" s="373">
        <v>4110</v>
      </c>
      <c r="W85" s="371" t="s">
        <v>2271</v>
      </c>
      <c r="X85" s="373">
        <v>10000</v>
      </c>
      <c r="Y85" s="373">
        <v>10000</v>
      </c>
      <c r="Z85" s="371" t="s">
        <v>2271</v>
      </c>
      <c r="AA85" s="373">
        <v>0</v>
      </c>
      <c r="AB85" s="373">
        <v>9970</v>
      </c>
      <c r="AC85" s="373">
        <v>9970</v>
      </c>
      <c r="AD85" s="371" t="s">
        <v>2271</v>
      </c>
      <c r="AE85" s="373">
        <v>0</v>
      </c>
      <c r="AF85" s="382">
        <v>0.34583333333333299</v>
      </c>
      <c r="AG85" s="382">
        <v>0.34583333333333299</v>
      </c>
      <c r="AH85" s="371" t="s">
        <v>2271</v>
      </c>
      <c r="AI85" s="382">
        <v>0.46180555555555602</v>
      </c>
      <c r="AJ85" s="382">
        <v>0.46180555555555602</v>
      </c>
      <c r="AK85" s="371" t="s">
        <v>2271</v>
      </c>
      <c r="AL85" s="206" t="s">
        <v>1221</v>
      </c>
      <c r="AM85" s="206" t="s">
        <v>42</v>
      </c>
      <c r="AN85" s="371" t="s">
        <v>2271</v>
      </c>
      <c r="AO85" s="206" t="s">
        <v>2331</v>
      </c>
      <c r="AP85" s="206"/>
      <c r="AQ85" s="206" t="s">
        <v>1131</v>
      </c>
      <c r="AR85" s="207" t="s">
        <v>82</v>
      </c>
    </row>
    <row r="86" spans="1:44" x14ac:dyDescent="0.2">
      <c r="A86" s="370">
        <v>67</v>
      </c>
      <c r="B86" s="380">
        <v>43</v>
      </c>
      <c r="C86" s="371" t="s">
        <v>2269</v>
      </c>
      <c r="D86" s="371" t="s">
        <v>2270</v>
      </c>
      <c r="E86" s="206"/>
      <c r="F86" s="206" t="s">
        <v>155</v>
      </c>
      <c r="G86" s="206" t="s">
        <v>155</v>
      </c>
      <c r="H86" s="371" t="s">
        <v>2271</v>
      </c>
      <c r="I86" s="206" t="s">
        <v>1330</v>
      </c>
      <c r="J86" s="206" t="s">
        <v>1330</v>
      </c>
      <c r="K86" s="371" t="s">
        <v>2271</v>
      </c>
      <c r="L86" s="206" t="s">
        <v>2137</v>
      </c>
      <c r="M86" s="206" t="s">
        <v>1329</v>
      </c>
      <c r="N86" s="206" t="s">
        <v>40</v>
      </c>
      <c r="O86" s="372">
        <v>45962</v>
      </c>
      <c r="P86" s="372">
        <v>45962</v>
      </c>
      <c r="Q86" s="371" t="s">
        <v>2271</v>
      </c>
      <c r="R86" s="373">
        <v>13570</v>
      </c>
      <c r="S86" s="373">
        <v>13570</v>
      </c>
      <c r="T86" s="371" t="s">
        <v>2271</v>
      </c>
      <c r="U86" s="373">
        <v>3910</v>
      </c>
      <c r="V86" s="373">
        <v>3910</v>
      </c>
      <c r="W86" s="371" t="s">
        <v>2271</v>
      </c>
      <c r="X86" s="373">
        <v>9660</v>
      </c>
      <c r="Y86" s="373">
        <v>9660</v>
      </c>
      <c r="Z86" s="371" t="s">
        <v>2271</v>
      </c>
      <c r="AA86" s="373">
        <v>0</v>
      </c>
      <c r="AB86" s="373">
        <v>9650</v>
      </c>
      <c r="AC86" s="373">
        <v>9650</v>
      </c>
      <c r="AD86" s="371" t="s">
        <v>2271</v>
      </c>
      <c r="AE86" s="373">
        <v>0</v>
      </c>
      <c r="AF86" s="382">
        <v>0.97777777777777797</v>
      </c>
      <c r="AG86" s="382">
        <v>0.97777777777777797</v>
      </c>
      <c r="AH86" s="371" t="s">
        <v>2271</v>
      </c>
      <c r="AI86" s="382">
        <v>9.5138888888888898E-2</v>
      </c>
      <c r="AJ86" s="382">
        <v>9.5138888888888898E-2</v>
      </c>
      <c r="AK86" s="371" t="s">
        <v>2271</v>
      </c>
      <c r="AL86" s="206" t="s">
        <v>42</v>
      </c>
      <c r="AM86" s="206" t="s">
        <v>42</v>
      </c>
      <c r="AN86" s="371" t="s">
        <v>2271</v>
      </c>
      <c r="AO86" s="206" t="s">
        <v>2332</v>
      </c>
      <c r="AP86" s="206"/>
      <c r="AQ86" s="206" t="s">
        <v>1131</v>
      </c>
      <c r="AR86" s="207" t="s">
        <v>82</v>
      </c>
    </row>
    <row r="87" spans="1:44" x14ac:dyDescent="0.2">
      <c r="A87" s="370">
        <v>68</v>
      </c>
      <c r="B87" s="380">
        <v>43</v>
      </c>
      <c r="C87" s="371" t="s">
        <v>2269</v>
      </c>
      <c r="D87" s="371" t="s">
        <v>2270</v>
      </c>
      <c r="E87" s="206"/>
      <c r="F87" s="206" t="s">
        <v>156</v>
      </c>
      <c r="G87" s="206" t="s">
        <v>156</v>
      </c>
      <c r="H87" s="371" t="s">
        <v>2271</v>
      </c>
      <c r="I87" s="206" t="s">
        <v>1345</v>
      </c>
      <c r="J87" s="206" t="s">
        <v>1345</v>
      </c>
      <c r="K87" s="371" t="s">
        <v>2271</v>
      </c>
      <c r="L87" s="206" t="s">
        <v>2159</v>
      </c>
      <c r="M87" s="206" t="s">
        <v>1344</v>
      </c>
      <c r="N87" s="206" t="s">
        <v>40</v>
      </c>
      <c r="O87" s="372">
        <v>46001</v>
      </c>
      <c r="P87" s="372">
        <v>46001</v>
      </c>
      <c r="Q87" s="371" t="s">
        <v>2271</v>
      </c>
      <c r="R87" s="373">
        <v>13540</v>
      </c>
      <c r="S87" s="373">
        <v>13540</v>
      </c>
      <c r="T87" s="371" t="s">
        <v>2271</v>
      </c>
      <c r="U87" s="373">
        <v>3920</v>
      </c>
      <c r="V87" s="373">
        <v>3920</v>
      </c>
      <c r="W87" s="371" t="s">
        <v>2271</v>
      </c>
      <c r="X87" s="373">
        <v>9620</v>
      </c>
      <c r="Y87" s="373">
        <v>9620</v>
      </c>
      <c r="Z87" s="371" t="s">
        <v>2271</v>
      </c>
      <c r="AA87" s="373">
        <v>0</v>
      </c>
      <c r="AB87" s="373">
        <v>10180</v>
      </c>
      <c r="AC87" s="373">
        <v>10180</v>
      </c>
      <c r="AD87" s="371" t="s">
        <v>2271</v>
      </c>
      <c r="AE87" s="373">
        <v>0</v>
      </c>
      <c r="AF87" s="382">
        <v>0.34791666666666698</v>
      </c>
      <c r="AG87" s="382">
        <v>0.34791666666666698</v>
      </c>
      <c r="AH87" s="371" t="s">
        <v>2271</v>
      </c>
      <c r="AI87" s="382">
        <v>0.47291666666666698</v>
      </c>
      <c r="AJ87" s="382">
        <v>0.47291666666666698</v>
      </c>
      <c r="AK87" s="371" t="s">
        <v>2271</v>
      </c>
      <c r="AL87" s="206" t="s">
        <v>1221</v>
      </c>
      <c r="AM87" s="206" t="s">
        <v>42</v>
      </c>
      <c r="AN87" s="371" t="s">
        <v>2271</v>
      </c>
      <c r="AO87" s="206" t="s">
        <v>2332</v>
      </c>
      <c r="AP87" s="206"/>
      <c r="AQ87" s="206" t="s">
        <v>1131</v>
      </c>
      <c r="AR87" s="207" t="s">
        <v>82</v>
      </c>
    </row>
    <row r="88" spans="1:44" x14ac:dyDescent="0.2">
      <c r="A88" s="370">
        <v>69</v>
      </c>
      <c r="B88" s="380">
        <v>44</v>
      </c>
      <c r="C88" s="371" t="s">
        <v>2269</v>
      </c>
      <c r="D88" s="371" t="s">
        <v>2270</v>
      </c>
      <c r="E88" s="206"/>
      <c r="F88" s="206" t="s">
        <v>158</v>
      </c>
      <c r="G88" s="206" t="s">
        <v>158</v>
      </c>
      <c r="H88" s="371" t="s">
        <v>2271</v>
      </c>
      <c r="I88" s="206" t="s">
        <v>1330</v>
      </c>
      <c r="J88" s="206" t="s">
        <v>1330</v>
      </c>
      <c r="K88" s="371" t="s">
        <v>2271</v>
      </c>
      <c r="L88" s="206" t="s">
        <v>2137</v>
      </c>
      <c r="M88" s="206" t="s">
        <v>1329</v>
      </c>
      <c r="N88" s="206" t="s">
        <v>40</v>
      </c>
      <c r="O88" s="372">
        <v>45962</v>
      </c>
      <c r="P88" s="372">
        <v>45962</v>
      </c>
      <c r="Q88" s="371" t="s">
        <v>2271</v>
      </c>
      <c r="R88" s="373">
        <v>13900</v>
      </c>
      <c r="S88" s="373">
        <v>13900</v>
      </c>
      <c r="T88" s="371" t="s">
        <v>2271</v>
      </c>
      <c r="U88" s="373">
        <v>3810</v>
      </c>
      <c r="V88" s="373">
        <v>3810</v>
      </c>
      <c r="W88" s="371" t="s">
        <v>2271</v>
      </c>
      <c r="X88" s="373">
        <v>10090</v>
      </c>
      <c r="Y88" s="373">
        <v>10090</v>
      </c>
      <c r="Z88" s="371" t="s">
        <v>2271</v>
      </c>
      <c r="AA88" s="373">
        <v>0</v>
      </c>
      <c r="AB88" s="373">
        <v>10090</v>
      </c>
      <c r="AC88" s="373">
        <v>10090</v>
      </c>
      <c r="AD88" s="371" t="s">
        <v>2271</v>
      </c>
      <c r="AE88" s="373">
        <v>0</v>
      </c>
      <c r="AF88" s="382">
        <v>0.97847222222222197</v>
      </c>
      <c r="AG88" s="382">
        <v>0.97847222222222197</v>
      </c>
      <c r="AH88" s="371" t="s">
        <v>2271</v>
      </c>
      <c r="AI88" s="382">
        <v>6.31944444444444E-2</v>
      </c>
      <c r="AJ88" s="382">
        <v>6.31944444444444E-2</v>
      </c>
      <c r="AK88" s="371" t="s">
        <v>2271</v>
      </c>
      <c r="AL88" s="206" t="s">
        <v>42</v>
      </c>
      <c r="AM88" s="206" t="s">
        <v>42</v>
      </c>
      <c r="AN88" s="371" t="s">
        <v>2271</v>
      </c>
      <c r="AO88" s="206" t="s">
        <v>2333</v>
      </c>
      <c r="AP88" s="206"/>
      <c r="AQ88" s="206" t="s">
        <v>1131</v>
      </c>
      <c r="AR88" s="207" t="s">
        <v>82</v>
      </c>
    </row>
    <row r="89" spans="1:44" x14ac:dyDescent="0.2">
      <c r="A89" s="370">
        <v>70</v>
      </c>
      <c r="B89" s="380">
        <v>44</v>
      </c>
      <c r="C89" s="371" t="s">
        <v>2269</v>
      </c>
      <c r="D89" s="371" t="s">
        <v>2270</v>
      </c>
      <c r="E89" s="206"/>
      <c r="F89" s="206" t="s">
        <v>155</v>
      </c>
      <c r="G89" s="206" t="s">
        <v>155</v>
      </c>
      <c r="H89" s="371" t="s">
        <v>2271</v>
      </c>
      <c r="I89" s="206" t="s">
        <v>1345</v>
      </c>
      <c r="J89" s="206" t="s">
        <v>1345</v>
      </c>
      <c r="K89" s="371" t="s">
        <v>2271</v>
      </c>
      <c r="L89" s="206" t="s">
        <v>2159</v>
      </c>
      <c r="M89" s="206" t="s">
        <v>1344</v>
      </c>
      <c r="N89" s="206" t="s">
        <v>40</v>
      </c>
      <c r="O89" s="372">
        <v>46001</v>
      </c>
      <c r="P89" s="372">
        <v>46001</v>
      </c>
      <c r="Q89" s="371" t="s">
        <v>2271</v>
      </c>
      <c r="R89" s="373">
        <v>13470</v>
      </c>
      <c r="S89" s="373">
        <v>13470</v>
      </c>
      <c r="T89" s="371" t="s">
        <v>2271</v>
      </c>
      <c r="U89" s="373">
        <v>3630</v>
      </c>
      <c r="V89" s="373">
        <v>3630</v>
      </c>
      <c r="W89" s="371" t="s">
        <v>2271</v>
      </c>
      <c r="X89" s="373">
        <v>9840</v>
      </c>
      <c r="Y89" s="373">
        <v>9840</v>
      </c>
      <c r="Z89" s="371" t="s">
        <v>2271</v>
      </c>
      <c r="AA89" s="373">
        <v>0</v>
      </c>
      <c r="AB89" s="373">
        <v>9830</v>
      </c>
      <c r="AC89" s="373">
        <v>9830</v>
      </c>
      <c r="AD89" s="371" t="s">
        <v>2271</v>
      </c>
      <c r="AE89" s="373">
        <v>0</v>
      </c>
      <c r="AF89" s="382">
        <v>0.43055555555555602</v>
      </c>
      <c r="AG89" s="382">
        <v>0.43055555555555602</v>
      </c>
      <c r="AH89" s="371" t="s">
        <v>2271</v>
      </c>
      <c r="AI89" s="382">
        <v>0.50208333333333299</v>
      </c>
      <c r="AJ89" s="382">
        <v>0.50208333333333299</v>
      </c>
      <c r="AK89" s="371" t="s">
        <v>2271</v>
      </c>
      <c r="AL89" s="206" t="s">
        <v>1221</v>
      </c>
      <c r="AM89" s="206" t="s">
        <v>42</v>
      </c>
      <c r="AN89" s="371" t="s">
        <v>2271</v>
      </c>
      <c r="AO89" s="206" t="s">
        <v>2333</v>
      </c>
      <c r="AP89" s="206"/>
      <c r="AQ89" s="206" t="s">
        <v>1131</v>
      </c>
      <c r="AR89" s="207" t="s">
        <v>82</v>
      </c>
    </row>
    <row r="90" spans="1:44" x14ac:dyDescent="0.2">
      <c r="A90" s="370">
        <v>71</v>
      </c>
      <c r="B90" s="380">
        <v>45</v>
      </c>
      <c r="C90" s="371" t="s">
        <v>2269</v>
      </c>
      <c r="D90" s="371" t="s">
        <v>2270</v>
      </c>
      <c r="E90" s="206"/>
      <c r="F90" s="206" t="s">
        <v>153</v>
      </c>
      <c r="G90" s="206" t="s">
        <v>153</v>
      </c>
      <c r="H90" s="371" t="s">
        <v>2271</v>
      </c>
      <c r="I90" s="206" t="s">
        <v>1330</v>
      </c>
      <c r="J90" s="206" t="s">
        <v>1330</v>
      </c>
      <c r="K90" s="371" t="s">
        <v>2271</v>
      </c>
      <c r="L90" s="206" t="s">
        <v>2137</v>
      </c>
      <c r="M90" s="206" t="s">
        <v>1329</v>
      </c>
      <c r="N90" s="206" t="s">
        <v>40</v>
      </c>
      <c r="O90" s="372">
        <v>45962</v>
      </c>
      <c r="P90" s="372">
        <v>45962</v>
      </c>
      <c r="Q90" s="371" t="s">
        <v>2271</v>
      </c>
      <c r="R90" s="373">
        <v>13600</v>
      </c>
      <c r="S90" s="373">
        <v>13600</v>
      </c>
      <c r="T90" s="371" t="s">
        <v>2271</v>
      </c>
      <c r="U90" s="373">
        <v>3990</v>
      </c>
      <c r="V90" s="373">
        <v>3990</v>
      </c>
      <c r="W90" s="371" t="s">
        <v>2271</v>
      </c>
      <c r="X90" s="373">
        <v>9610</v>
      </c>
      <c r="Y90" s="373">
        <v>9610</v>
      </c>
      <c r="Z90" s="371" t="s">
        <v>2271</v>
      </c>
      <c r="AA90" s="373">
        <v>0</v>
      </c>
      <c r="AB90" s="373">
        <v>9590</v>
      </c>
      <c r="AC90" s="373">
        <v>9590</v>
      </c>
      <c r="AD90" s="371" t="s">
        <v>2271</v>
      </c>
      <c r="AE90" s="373">
        <v>0</v>
      </c>
      <c r="AF90" s="382">
        <v>0.97916666666666696</v>
      </c>
      <c r="AG90" s="382">
        <v>0.97916666666666696</v>
      </c>
      <c r="AH90" s="371" t="s">
        <v>2271</v>
      </c>
      <c r="AI90" s="382">
        <v>0.115972222222222</v>
      </c>
      <c r="AJ90" s="382">
        <v>0.115972222222222</v>
      </c>
      <c r="AK90" s="371" t="s">
        <v>2271</v>
      </c>
      <c r="AL90" s="206" t="s">
        <v>42</v>
      </c>
      <c r="AM90" s="206" t="s">
        <v>42</v>
      </c>
      <c r="AN90" s="371" t="s">
        <v>2271</v>
      </c>
      <c r="AO90" s="206" t="s">
        <v>2334</v>
      </c>
      <c r="AP90" s="206"/>
      <c r="AQ90" s="206" t="s">
        <v>1131</v>
      </c>
      <c r="AR90" s="207" t="s">
        <v>82</v>
      </c>
    </row>
    <row r="91" spans="1:44" x14ac:dyDescent="0.2">
      <c r="A91" s="370">
        <v>72</v>
      </c>
      <c r="B91" s="380">
        <v>45</v>
      </c>
      <c r="C91" s="371" t="s">
        <v>2269</v>
      </c>
      <c r="D91" s="371" t="s">
        <v>2235</v>
      </c>
      <c r="E91" s="206"/>
      <c r="F91" s="206" t="s">
        <v>160</v>
      </c>
      <c r="G91" s="206" t="s">
        <v>160</v>
      </c>
      <c r="H91" s="371" t="s">
        <v>2271</v>
      </c>
      <c r="I91" s="206" t="s">
        <v>1345</v>
      </c>
      <c r="J91" s="206" t="s">
        <v>1345</v>
      </c>
      <c r="K91" s="371" t="s">
        <v>2271</v>
      </c>
      <c r="L91" s="206" t="s">
        <v>2159</v>
      </c>
      <c r="M91" s="206" t="s">
        <v>1344</v>
      </c>
      <c r="N91" s="206" t="s">
        <v>40</v>
      </c>
      <c r="O91" s="372">
        <v>46001</v>
      </c>
      <c r="P91" s="372">
        <v>46001</v>
      </c>
      <c r="Q91" s="371" t="s">
        <v>2271</v>
      </c>
      <c r="R91" s="373">
        <v>14540</v>
      </c>
      <c r="S91" s="373">
        <v>14540</v>
      </c>
      <c r="T91" s="371" t="s">
        <v>2271</v>
      </c>
      <c r="U91" s="373">
        <v>4370</v>
      </c>
      <c r="V91" s="373">
        <v>4370</v>
      </c>
      <c r="W91" s="371" t="s">
        <v>2271</v>
      </c>
      <c r="X91" s="373">
        <v>10170</v>
      </c>
      <c r="Y91" s="373">
        <v>10170</v>
      </c>
      <c r="Z91" s="371" t="s">
        <v>2271</v>
      </c>
      <c r="AA91" s="373">
        <v>0</v>
      </c>
      <c r="AB91" s="373">
        <v>9650</v>
      </c>
      <c r="AC91" s="373">
        <v>9650</v>
      </c>
      <c r="AD91" s="371" t="s">
        <v>2271</v>
      </c>
      <c r="AE91" s="373">
        <v>0</v>
      </c>
      <c r="AF91" s="382">
        <v>0.43194444444444402</v>
      </c>
      <c r="AG91" s="382">
        <v>0.43194444444444502</v>
      </c>
      <c r="AH91" s="371" t="s">
        <v>2276</v>
      </c>
      <c r="AI91" s="382">
        <v>0.51041666666666696</v>
      </c>
      <c r="AJ91" s="382">
        <v>0.51041666666666696</v>
      </c>
      <c r="AK91" s="371" t="s">
        <v>2271</v>
      </c>
      <c r="AL91" s="206" t="s">
        <v>1221</v>
      </c>
      <c r="AM91" s="206" t="s">
        <v>42</v>
      </c>
      <c r="AN91" s="371" t="s">
        <v>2271</v>
      </c>
      <c r="AO91" s="206" t="s">
        <v>2334</v>
      </c>
      <c r="AP91" s="206"/>
      <c r="AQ91" s="206" t="s">
        <v>1131</v>
      </c>
      <c r="AR91" s="207" t="s">
        <v>82</v>
      </c>
    </row>
    <row r="92" spans="1:44" x14ac:dyDescent="0.2">
      <c r="A92" s="370">
        <v>73</v>
      </c>
      <c r="B92" s="380">
        <v>46</v>
      </c>
      <c r="C92" s="371" t="s">
        <v>2269</v>
      </c>
      <c r="D92" s="371" t="s">
        <v>2270</v>
      </c>
      <c r="E92" s="206"/>
      <c r="F92" s="206" t="s">
        <v>73</v>
      </c>
      <c r="G92" s="206" t="s">
        <v>73</v>
      </c>
      <c r="H92" s="371" t="s">
        <v>2271</v>
      </c>
      <c r="I92" s="206" t="s">
        <v>1330</v>
      </c>
      <c r="J92" s="206" t="s">
        <v>1330</v>
      </c>
      <c r="K92" s="371" t="s">
        <v>2271</v>
      </c>
      <c r="L92" s="206" t="s">
        <v>2137</v>
      </c>
      <c r="M92" s="206" t="s">
        <v>1329</v>
      </c>
      <c r="N92" s="206" t="s">
        <v>40</v>
      </c>
      <c r="O92" s="372">
        <v>45962</v>
      </c>
      <c r="P92" s="372">
        <v>45962</v>
      </c>
      <c r="Q92" s="371" t="s">
        <v>2271</v>
      </c>
      <c r="R92" s="373">
        <v>13440</v>
      </c>
      <c r="S92" s="373">
        <v>13440</v>
      </c>
      <c r="T92" s="371" t="s">
        <v>2271</v>
      </c>
      <c r="U92" s="373">
        <v>3980</v>
      </c>
      <c r="V92" s="373">
        <v>3980</v>
      </c>
      <c r="W92" s="371" t="s">
        <v>2271</v>
      </c>
      <c r="X92" s="373">
        <v>9460</v>
      </c>
      <c r="Y92" s="373">
        <v>9460</v>
      </c>
      <c r="Z92" s="371" t="s">
        <v>2271</v>
      </c>
      <c r="AA92" s="373">
        <v>0</v>
      </c>
      <c r="AB92" s="373">
        <v>9420</v>
      </c>
      <c r="AC92" s="373">
        <v>9420</v>
      </c>
      <c r="AD92" s="371" t="s">
        <v>2271</v>
      </c>
      <c r="AE92" s="373">
        <v>0</v>
      </c>
      <c r="AF92" s="382">
        <v>0.97986111111111096</v>
      </c>
      <c r="AG92" s="382">
        <v>0.97986111111111096</v>
      </c>
      <c r="AH92" s="371" t="s">
        <v>2271</v>
      </c>
      <c r="AI92" s="382">
        <v>8.8888888888888906E-2</v>
      </c>
      <c r="AJ92" s="382">
        <v>8.8888888888888906E-2</v>
      </c>
      <c r="AK92" s="371" t="s">
        <v>2271</v>
      </c>
      <c r="AL92" s="206" t="s">
        <v>42</v>
      </c>
      <c r="AM92" s="206" t="s">
        <v>42</v>
      </c>
      <c r="AN92" s="371" t="s">
        <v>2271</v>
      </c>
      <c r="AO92" s="206" t="s">
        <v>2335</v>
      </c>
      <c r="AP92" s="206"/>
      <c r="AQ92" s="206" t="s">
        <v>1131</v>
      </c>
      <c r="AR92" s="207" t="s">
        <v>82</v>
      </c>
    </row>
    <row r="93" spans="1:44" x14ac:dyDescent="0.2">
      <c r="A93" s="370">
        <v>74</v>
      </c>
      <c r="B93" s="380">
        <v>47</v>
      </c>
      <c r="C93" s="371" t="s">
        <v>2269</v>
      </c>
      <c r="D93" s="371" t="s">
        <v>2270</v>
      </c>
      <c r="E93" s="206"/>
      <c r="F93" s="206" t="s">
        <v>163</v>
      </c>
      <c r="G93" s="206" t="s">
        <v>163</v>
      </c>
      <c r="H93" s="371" t="s">
        <v>2271</v>
      </c>
      <c r="I93" s="206" t="s">
        <v>1330</v>
      </c>
      <c r="J93" s="206" t="s">
        <v>1330</v>
      </c>
      <c r="K93" s="371" t="s">
        <v>2271</v>
      </c>
      <c r="L93" s="206" t="s">
        <v>2137</v>
      </c>
      <c r="M93" s="206" t="s">
        <v>1329</v>
      </c>
      <c r="N93" s="206" t="s">
        <v>40</v>
      </c>
      <c r="O93" s="372">
        <v>45962</v>
      </c>
      <c r="P93" s="372">
        <v>45962</v>
      </c>
      <c r="Q93" s="371" t="s">
        <v>2271</v>
      </c>
      <c r="R93" s="373">
        <v>14050</v>
      </c>
      <c r="S93" s="373">
        <v>14050</v>
      </c>
      <c r="T93" s="371" t="s">
        <v>2271</v>
      </c>
      <c r="U93" s="373">
        <v>3960</v>
      </c>
      <c r="V93" s="373">
        <v>3960</v>
      </c>
      <c r="W93" s="371" t="s">
        <v>2271</v>
      </c>
      <c r="X93" s="373">
        <v>10090</v>
      </c>
      <c r="Y93" s="373">
        <v>10090</v>
      </c>
      <c r="Z93" s="371" t="s">
        <v>2271</v>
      </c>
      <c r="AA93" s="373">
        <v>0</v>
      </c>
      <c r="AB93" s="373">
        <v>10070</v>
      </c>
      <c r="AC93" s="373">
        <v>10070</v>
      </c>
      <c r="AD93" s="371" t="s">
        <v>2271</v>
      </c>
      <c r="AE93" s="373">
        <v>0</v>
      </c>
      <c r="AF93" s="382">
        <v>9.0972222222222204E-2</v>
      </c>
      <c r="AG93" s="382">
        <v>9.0972222222222204E-2</v>
      </c>
      <c r="AH93" s="371" t="s">
        <v>2271</v>
      </c>
      <c r="AI93" s="382">
        <v>0.15208333333333299</v>
      </c>
      <c r="AJ93" s="382">
        <v>0.15208333333333299</v>
      </c>
      <c r="AK93" s="371" t="s">
        <v>2271</v>
      </c>
      <c r="AL93" s="206" t="s">
        <v>42</v>
      </c>
      <c r="AM93" s="206" t="s">
        <v>42</v>
      </c>
      <c r="AN93" s="371" t="s">
        <v>2271</v>
      </c>
      <c r="AO93" s="206" t="s">
        <v>2336</v>
      </c>
      <c r="AP93" s="206"/>
      <c r="AQ93" s="206" t="s">
        <v>1131</v>
      </c>
      <c r="AR93" s="207" t="s">
        <v>82</v>
      </c>
    </row>
    <row r="94" spans="1:44" x14ac:dyDescent="0.2">
      <c r="A94" s="370">
        <v>75</v>
      </c>
      <c r="B94" s="380">
        <v>47</v>
      </c>
      <c r="C94" s="371" t="s">
        <v>2337</v>
      </c>
      <c r="D94" s="371" t="s">
        <v>2235</v>
      </c>
      <c r="E94" s="206"/>
      <c r="F94" s="206" t="s">
        <v>70</v>
      </c>
      <c r="G94" s="206" t="s">
        <v>70</v>
      </c>
      <c r="H94" s="371" t="s">
        <v>2271</v>
      </c>
      <c r="I94" s="206"/>
      <c r="J94" s="206"/>
      <c r="K94" s="371" t="s">
        <v>2271</v>
      </c>
      <c r="L94" s="206" t="s">
        <v>2197</v>
      </c>
      <c r="M94" s="206" t="s">
        <v>1362</v>
      </c>
      <c r="N94" s="206" t="s">
        <v>59</v>
      </c>
      <c r="O94" s="372">
        <v>46267</v>
      </c>
      <c r="P94" s="372">
        <v>46062</v>
      </c>
      <c r="Q94" s="371" t="s">
        <v>2276</v>
      </c>
      <c r="R94" s="373">
        <v>45900</v>
      </c>
      <c r="S94" s="373">
        <v>45900</v>
      </c>
      <c r="T94" s="371" t="s">
        <v>2271</v>
      </c>
      <c r="U94" s="373">
        <v>17600</v>
      </c>
      <c r="V94" s="373">
        <v>17600</v>
      </c>
      <c r="W94" s="371" t="s">
        <v>2271</v>
      </c>
      <c r="X94" s="373">
        <v>28300</v>
      </c>
      <c r="Y94" s="373">
        <v>28300</v>
      </c>
      <c r="Z94" s="371" t="s">
        <v>2271</v>
      </c>
      <c r="AA94" s="373">
        <v>0</v>
      </c>
      <c r="AB94" s="373">
        <v>28360</v>
      </c>
      <c r="AC94" s="373">
        <v>28360</v>
      </c>
      <c r="AD94" s="371" t="s">
        <v>2271</v>
      </c>
      <c r="AE94" s="373">
        <v>0</v>
      </c>
      <c r="AF94" s="382">
        <v>0.57013888888888897</v>
      </c>
      <c r="AG94" s="382">
        <v>0.57013888888888897</v>
      </c>
      <c r="AH94" s="371" t="s">
        <v>2271</v>
      </c>
      <c r="AI94" s="382">
        <v>0.63888888888888895</v>
      </c>
      <c r="AJ94" s="382">
        <v>0.63888888888888895</v>
      </c>
      <c r="AK94" s="371" t="s">
        <v>2271</v>
      </c>
      <c r="AL94" s="206" t="s">
        <v>1221</v>
      </c>
      <c r="AM94" s="206" t="s">
        <v>42</v>
      </c>
      <c r="AN94" s="371" t="s">
        <v>2271</v>
      </c>
      <c r="AO94" s="206" t="s">
        <v>2338</v>
      </c>
      <c r="AP94" s="206" t="s">
        <v>1499</v>
      </c>
      <c r="AQ94" s="206" t="s">
        <v>1133</v>
      </c>
      <c r="AR94" s="207" t="s">
        <v>75</v>
      </c>
    </row>
    <row r="95" spans="1:44" x14ac:dyDescent="0.2">
      <c r="A95" s="370">
        <v>76</v>
      </c>
      <c r="B95" s="380">
        <v>48</v>
      </c>
      <c r="C95" s="371" t="s">
        <v>2269</v>
      </c>
      <c r="D95" s="371" t="s">
        <v>2270</v>
      </c>
      <c r="E95" s="206"/>
      <c r="F95" s="206" t="s">
        <v>151</v>
      </c>
      <c r="G95" s="206" t="s">
        <v>151</v>
      </c>
      <c r="H95" s="371" t="s">
        <v>2271</v>
      </c>
      <c r="I95" s="206" t="s">
        <v>1330</v>
      </c>
      <c r="J95" s="206" t="s">
        <v>1330</v>
      </c>
      <c r="K95" s="371" t="s">
        <v>2271</v>
      </c>
      <c r="L95" s="206" t="s">
        <v>2137</v>
      </c>
      <c r="M95" s="206" t="s">
        <v>1329</v>
      </c>
      <c r="N95" s="206" t="s">
        <v>40</v>
      </c>
      <c r="O95" s="372">
        <v>45962</v>
      </c>
      <c r="P95" s="372">
        <v>45962</v>
      </c>
      <c r="Q95" s="371" t="s">
        <v>2271</v>
      </c>
      <c r="R95" s="373">
        <v>13500</v>
      </c>
      <c r="S95" s="373">
        <v>13500</v>
      </c>
      <c r="T95" s="371" t="s">
        <v>2271</v>
      </c>
      <c r="U95" s="373">
        <v>4090</v>
      </c>
      <c r="V95" s="373">
        <v>4090</v>
      </c>
      <c r="W95" s="371" t="s">
        <v>2271</v>
      </c>
      <c r="X95" s="373">
        <v>9410</v>
      </c>
      <c r="Y95" s="373">
        <v>9410</v>
      </c>
      <c r="Z95" s="371" t="s">
        <v>2271</v>
      </c>
      <c r="AA95" s="373">
        <v>0</v>
      </c>
      <c r="AB95" s="373">
        <v>9380</v>
      </c>
      <c r="AC95" s="373">
        <v>9380</v>
      </c>
      <c r="AD95" s="371" t="s">
        <v>2271</v>
      </c>
      <c r="AE95" s="373">
        <v>0</v>
      </c>
      <c r="AF95" s="382">
        <v>9.1666666666666702E-2</v>
      </c>
      <c r="AG95" s="382">
        <v>9.1666666666666702E-2</v>
      </c>
      <c r="AH95" s="371" t="s">
        <v>2271</v>
      </c>
      <c r="AI95" s="382">
        <v>0.16666666666666699</v>
      </c>
      <c r="AJ95" s="382">
        <v>0.16666666666666699</v>
      </c>
      <c r="AK95" s="371" t="s">
        <v>2271</v>
      </c>
      <c r="AL95" s="206" t="s">
        <v>42</v>
      </c>
      <c r="AM95" s="206" t="s">
        <v>42</v>
      </c>
      <c r="AN95" s="371" t="s">
        <v>2271</v>
      </c>
      <c r="AO95" s="206" t="s">
        <v>2339</v>
      </c>
      <c r="AP95" s="206"/>
      <c r="AQ95" s="206" t="s">
        <v>1131</v>
      </c>
      <c r="AR95" s="207" t="s">
        <v>82</v>
      </c>
    </row>
    <row r="96" spans="1:44" x14ac:dyDescent="0.2">
      <c r="A96" s="370">
        <v>77</v>
      </c>
      <c r="B96" s="380">
        <v>48</v>
      </c>
      <c r="C96" s="371" t="s">
        <v>2337</v>
      </c>
      <c r="D96" s="371" t="s">
        <v>2235</v>
      </c>
      <c r="E96" s="206"/>
      <c r="F96" s="206" t="s">
        <v>56</v>
      </c>
      <c r="G96" s="206" t="s">
        <v>56</v>
      </c>
      <c r="H96" s="371" t="s">
        <v>2271</v>
      </c>
      <c r="I96" s="206"/>
      <c r="J96" s="206"/>
      <c r="K96" s="371" t="s">
        <v>2271</v>
      </c>
      <c r="L96" s="206" t="s">
        <v>2197</v>
      </c>
      <c r="M96" s="206" t="s">
        <v>1362</v>
      </c>
      <c r="N96" s="206" t="s">
        <v>59</v>
      </c>
      <c r="O96" s="372">
        <v>46267</v>
      </c>
      <c r="P96" s="372">
        <v>46062</v>
      </c>
      <c r="Q96" s="371" t="s">
        <v>2276</v>
      </c>
      <c r="R96" s="373">
        <v>25000</v>
      </c>
      <c r="S96" s="373">
        <v>25000</v>
      </c>
      <c r="T96" s="371" t="s">
        <v>2271</v>
      </c>
      <c r="U96" s="373">
        <v>10720</v>
      </c>
      <c r="V96" s="373">
        <v>10720</v>
      </c>
      <c r="W96" s="371" t="s">
        <v>2271</v>
      </c>
      <c r="X96" s="373">
        <v>14280</v>
      </c>
      <c r="Y96" s="373">
        <v>14280</v>
      </c>
      <c r="Z96" s="371" t="s">
        <v>2271</v>
      </c>
      <c r="AA96" s="373">
        <v>0</v>
      </c>
      <c r="AB96" s="373">
        <v>14320</v>
      </c>
      <c r="AC96" s="373">
        <v>14320</v>
      </c>
      <c r="AD96" s="371" t="s">
        <v>2271</v>
      </c>
      <c r="AE96" s="373">
        <v>0</v>
      </c>
      <c r="AF96" s="382">
        <v>0.57291666666666696</v>
      </c>
      <c r="AG96" s="382">
        <v>0.57291666666666696</v>
      </c>
      <c r="AH96" s="371" t="s">
        <v>2271</v>
      </c>
      <c r="AI96" s="382">
        <v>0.62638888888888899</v>
      </c>
      <c r="AJ96" s="382">
        <v>0.62638888888888899</v>
      </c>
      <c r="AK96" s="371" t="s">
        <v>2271</v>
      </c>
      <c r="AL96" s="206" t="s">
        <v>1221</v>
      </c>
      <c r="AM96" s="206" t="s">
        <v>42</v>
      </c>
      <c r="AN96" s="371" t="s">
        <v>2271</v>
      </c>
      <c r="AO96" s="206" t="s">
        <v>2340</v>
      </c>
      <c r="AP96" s="206" t="s">
        <v>1781</v>
      </c>
      <c r="AQ96" s="206" t="s">
        <v>1132</v>
      </c>
      <c r="AR96" s="207" t="s">
        <v>75</v>
      </c>
    </row>
    <row r="97" spans="1:44" x14ac:dyDescent="0.2">
      <c r="A97" s="370">
        <v>78</v>
      </c>
      <c r="B97" s="380">
        <v>49</v>
      </c>
      <c r="C97" s="371" t="s">
        <v>2269</v>
      </c>
      <c r="D97" s="371" t="s">
        <v>2270</v>
      </c>
      <c r="E97" s="206"/>
      <c r="F97" s="206" t="s">
        <v>166</v>
      </c>
      <c r="G97" s="206" t="s">
        <v>166</v>
      </c>
      <c r="H97" s="371" t="s">
        <v>2271</v>
      </c>
      <c r="I97" s="206" t="s">
        <v>1330</v>
      </c>
      <c r="J97" s="206" t="s">
        <v>1330</v>
      </c>
      <c r="K97" s="371" t="s">
        <v>2271</v>
      </c>
      <c r="L97" s="206" t="s">
        <v>2137</v>
      </c>
      <c r="M97" s="206" t="s">
        <v>1329</v>
      </c>
      <c r="N97" s="206" t="s">
        <v>40</v>
      </c>
      <c r="O97" s="372">
        <v>45962</v>
      </c>
      <c r="P97" s="372">
        <v>45962</v>
      </c>
      <c r="Q97" s="371" t="s">
        <v>2271</v>
      </c>
      <c r="R97" s="373">
        <v>13150</v>
      </c>
      <c r="S97" s="373">
        <v>13150</v>
      </c>
      <c r="T97" s="371" t="s">
        <v>2271</v>
      </c>
      <c r="U97" s="373">
        <v>3810</v>
      </c>
      <c r="V97" s="373">
        <v>3810</v>
      </c>
      <c r="W97" s="371" t="s">
        <v>2271</v>
      </c>
      <c r="X97" s="373">
        <v>9340</v>
      </c>
      <c r="Y97" s="373">
        <v>9340</v>
      </c>
      <c r="Z97" s="371" t="s">
        <v>2271</v>
      </c>
      <c r="AA97" s="373">
        <v>0</v>
      </c>
      <c r="AB97" s="373">
        <v>9320</v>
      </c>
      <c r="AC97" s="373">
        <v>9320</v>
      </c>
      <c r="AD97" s="371" t="s">
        <v>2271</v>
      </c>
      <c r="AE97" s="373">
        <v>0</v>
      </c>
      <c r="AF97" s="382">
        <v>0.120833333333333</v>
      </c>
      <c r="AG97" s="382">
        <v>0.120833333333333</v>
      </c>
      <c r="AH97" s="371" t="s">
        <v>2271</v>
      </c>
      <c r="AI97" s="382">
        <v>0.17777777777777801</v>
      </c>
      <c r="AJ97" s="382">
        <v>0.17777777777777801</v>
      </c>
      <c r="AK97" s="371" t="s">
        <v>2271</v>
      </c>
      <c r="AL97" s="206" t="s">
        <v>42</v>
      </c>
      <c r="AM97" s="206" t="s">
        <v>42</v>
      </c>
      <c r="AN97" s="371" t="s">
        <v>2271</v>
      </c>
      <c r="AO97" s="206" t="s">
        <v>2341</v>
      </c>
      <c r="AP97" s="206"/>
      <c r="AQ97" s="206" t="s">
        <v>1131</v>
      </c>
      <c r="AR97" s="207" t="s">
        <v>82</v>
      </c>
    </row>
    <row r="98" spans="1:44" x14ac:dyDescent="0.2">
      <c r="A98" s="370">
        <v>79</v>
      </c>
      <c r="B98" s="380">
        <v>49</v>
      </c>
      <c r="C98" s="371" t="s">
        <v>2337</v>
      </c>
      <c r="D98" s="371" t="s">
        <v>2235</v>
      </c>
      <c r="E98" s="206"/>
      <c r="F98" s="206" t="s">
        <v>76</v>
      </c>
      <c r="G98" s="206" t="s">
        <v>76</v>
      </c>
      <c r="H98" s="371" t="s">
        <v>2271</v>
      </c>
      <c r="I98" s="206"/>
      <c r="J98" s="206"/>
      <c r="K98" s="371" t="s">
        <v>2271</v>
      </c>
      <c r="L98" s="206" t="s">
        <v>2197</v>
      </c>
      <c r="M98" s="206" t="s">
        <v>1362</v>
      </c>
      <c r="N98" s="206" t="s">
        <v>59</v>
      </c>
      <c r="O98" s="372">
        <v>46267</v>
      </c>
      <c r="P98" s="372">
        <v>46062</v>
      </c>
      <c r="Q98" s="371" t="s">
        <v>2276</v>
      </c>
      <c r="R98" s="373">
        <v>45800</v>
      </c>
      <c r="S98" s="373">
        <v>45800</v>
      </c>
      <c r="T98" s="371" t="s">
        <v>2271</v>
      </c>
      <c r="U98" s="373">
        <v>17560</v>
      </c>
      <c r="V98" s="373">
        <v>17560</v>
      </c>
      <c r="W98" s="371" t="s">
        <v>2271</v>
      </c>
      <c r="X98" s="373">
        <v>28240</v>
      </c>
      <c r="Y98" s="373">
        <v>28240</v>
      </c>
      <c r="Z98" s="371" t="s">
        <v>2271</v>
      </c>
      <c r="AA98" s="373">
        <v>0</v>
      </c>
      <c r="AB98" s="373">
        <v>28300</v>
      </c>
      <c r="AC98" s="373">
        <v>28300</v>
      </c>
      <c r="AD98" s="371" t="s">
        <v>2271</v>
      </c>
      <c r="AE98" s="373">
        <v>0</v>
      </c>
      <c r="AF98" s="382">
        <v>0.57361111111111096</v>
      </c>
      <c r="AG98" s="382">
        <v>0.57361111111111096</v>
      </c>
      <c r="AH98" s="371" t="s">
        <v>2271</v>
      </c>
      <c r="AI98" s="382">
        <v>0.63263888888888897</v>
      </c>
      <c r="AJ98" s="382">
        <v>0.63263888888888897</v>
      </c>
      <c r="AK98" s="371" t="s">
        <v>2271</v>
      </c>
      <c r="AL98" s="206" t="s">
        <v>1221</v>
      </c>
      <c r="AM98" s="206" t="s">
        <v>42</v>
      </c>
      <c r="AN98" s="371" t="s">
        <v>2271</v>
      </c>
      <c r="AO98" s="206" t="s">
        <v>2342</v>
      </c>
      <c r="AP98" s="206" t="s">
        <v>1372</v>
      </c>
      <c r="AQ98" s="206" t="s">
        <v>1133</v>
      </c>
      <c r="AR98" s="207" t="s">
        <v>75</v>
      </c>
    </row>
    <row r="99" spans="1:44" x14ac:dyDescent="0.2">
      <c r="A99" s="370">
        <v>80</v>
      </c>
      <c r="B99" s="380">
        <v>50</v>
      </c>
      <c r="C99" s="371" t="s">
        <v>2269</v>
      </c>
      <c r="D99" s="371" t="s">
        <v>2270</v>
      </c>
      <c r="E99" s="206"/>
      <c r="F99" s="206" t="s">
        <v>149</v>
      </c>
      <c r="G99" s="206" t="s">
        <v>149</v>
      </c>
      <c r="H99" s="371" t="s">
        <v>2271</v>
      </c>
      <c r="I99" s="206" t="s">
        <v>1330</v>
      </c>
      <c r="J99" s="206" t="s">
        <v>1330</v>
      </c>
      <c r="K99" s="371" t="s">
        <v>2271</v>
      </c>
      <c r="L99" s="206" t="s">
        <v>2137</v>
      </c>
      <c r="M99" s="206" t="s">
        <v>1329</v>
      </c>
      <c r="N99" s="206" t="s">
        <v>40</v>
      </c>
      <c r="O99" s="372">
        <v>45962</v>
      </c>
      <c r="P99" s="372">
        <v>45962</v>
      </c>
      <c r="Q99" s="371" t="s">
        <v>2271</v>
      </c>
      <c r="R99" s="373">
        <v>13910</v>
      </c>
      <c r="S99" s="373">
        <v>13910</v>
      </c>
      <c r="T99" s="371" t="s">
        <v>2271</v>
      </c>
      <c r="U99" s="373">
        <v>4030</v>
      </c>
      <c r="V99" s="373">
        <v>4030</v>
      </c>
      <c r="W99" s="371" t="s">
        <v>2271</v>
      </c>
      <c r="X99" s="373">
        <v>9880</v>
      </c>
      <c r="Y99" s="373">
        <v>9880</v>
      </c>
      <c r="Z99" s="371" t="s">
        <v>2271</v>
      </c>
      <c r="AA99" s="373">
        <v>0</v>
      </c>
      <c r="AB99" s="373">
        <v>9870</v>
      </c>
      <c r="AC99" s="373">
        <v>9870</v>
      </c>
      <c r="AD99" s="371" t="s">
        <v>2271</v>
      </c>
      <c r="AE99" s="373">
        <v>0</v>
      </c>
      <c r="AF99" s="382">
        <v>0.121527777777778</v>
      </c>
      <c r="AG99" s="382">
        <v>0.121527777777778</v>
      </c>
      <c r="AH99" s="371" t="s">
        <v>2271</v>
      </c>
      <c r="AI99" s="382">
        <v>0.18958333333333299</v>
      </c>
      <c r="AJ99" s="382">
        <v>0.18958333333333299</v>
      </c>
      <c r="AK99" s="371" t="s">
        <v>2271</v>
      </c>
      <c r="AL99" s="206" t="s">
        <v>42</v>
      </c>
      <c r="AM99" s="206" t="s">
        <v>42</v>
      </c>
      <c r="AN99" s="371" t="s">
        <v>2271</v>
      </c>
      <c r="AO99" s="206" t="s">
        <v>2343</v>
      </c>
      <c r="AP99" s="206"/>
      <c r="AQ99" s="206" t="s">
        <v>1131</v>
      </c>
      <c r="AR99" s="207" t="s">
        <v>82</v>
      </c>
    </row>
    <row r="100" spans="1:44" x14ac:dyDescent="0.2">
      <c r="A100" s="370">
        <v>81</v>
      </c>
      <c r="B100" s="380">
        <v>50</v>
      </c>
      <c r="C100" s="371" t="s">
        <v>2337</v>
      </c>
      <c r="D100" s="371" t="s">
        <v>2235</v>
      </c>
      <c r="E100" s="206"/>
      <c r="F100" s="206" t="s">
        <v>70</v>
      </c>
      <c r="G100" s="206" t="s">
        <v>70</v>
      </c>
      <c r="H100" s="371" t="s">
        <v>2271</v>
      </c>
      <c r="I100" s="206"/>
      <c r="J100" s="206"/>
      <c r="K100" s="371" t="s">
        <v>2271</v>
      </c>
      <c r="L100" s="206" t="s">
        <v>2197</v>
      </c>
      <c r="M100" s="206" t="s">
        <v>1362</v>
      </c>
      <c r="N100" s="206" t="s">
        <v>59</v>
      </c>
      <c r="O100" s="372">
        <v>46297</v>
      </c>
      <c r="P100" s="372">
        <v>46063</v>
      </c>
      <c r="Q100" s="371" t="s">
        <v>2276</v>
      </c>
      <c r="R100" s="373">
        <v>45890</v>
      </c>
      <c r="S100" s="373">
        <v>45890</v>
      </c>
      <c r="T100" s="371" t="s">
        <v>2271</v>
      </c>
      <c r="U100" s="373">
        <v>17560</v>
      </c>
      <c r="V100" s="373">
        <v>17560</v>
      </c>
      <c r="W100" s="371" t="s">
        <v>2271</v>
      </c>
      <c r="X100" s="373">
        <v>28330</v>
      </c>
      <c r="Y100" s="373">
        <v>28330</v>
      </c>
      <c r="Z100" s="371" t="s">
        <v>2271</v>
      </c>
      <c r="AA100" s="373">
        <v>0</v>
      </c>
      <c r="AB100" s="373">
        <v>28380</v>
      </c>
      <c r="AC100" s="373">
        <v>28380</v>
      </c>
      <c r="AD100" s="371" t="s">
        <v>2271</v>
      </c>
      <c r="AE100" s="373">
        <v>0</v>
      </c>
      <c r="AF100" s="382">
        <v>0.49652777777777801</v>
      </c>
      <c r="AG100" s="382">
        <v>0.49652777777777801</v>
      </c>
      <c r="AH100" s="371" t="s">
        <v>2271</v>
      </c>
      <c r="AI100" s="382">
        <v>0.55277777777777803</v>
      </c>
      <c r="AJ100" s="382">
        <v>0.55277777777777803</v>
      </c>
      <c r="AK100" s="371" t="s">
        <v>2271</v>
      </c>
      <c r="AL100" s="206" t="s">
        <v>1221</v>
      </c>
      <c r="AM100" s="206" t="s">
        <v>42</v>
      </c>
      <c r="AN100" s="371" t="s">
        <v>2271</v>
      </c>
      <c r="AO100" s="206" t="s">
        <v>2344</v>
      </c>
      <c r="AP100" s="206" t="s">
        <v>1499</v>
      </c>
      <c r="AQ100" s="206" t="s">
        <v>1133</v>
      </c>
      <c r="AR100" s="207" t="s">
        <v>75</v>
      </c>
    </row>
    <row r="101" spans="1:44" x14ac:dyDescent="0.2">
      <c r="A101" s="370">
        <v>82</v>
      </c>
      <c r="B101" s="380">
        <v>51</v>
      </c>
      <c r="C101" s="371" t="s">
        <v>2269</v>
      </c>
      <c r="D101" s="371" t="s">
        <v>2270</v>
      </c>
      <c r="E101" s="206"/>
      <c r="F101" s="206" t="s">
        <v>169</v>
      </c>
      <c r="G101" s="206" t="s">
        <v>169</v>
      </c>
      <c r="H101" s="371" t="s">
        <v>2271</v>
      </c>
      <c r="I101" s="206" t="s">
        <v>1330</v>
      </c>
      <c r="J101" s="206" t="s">
        <v>1330</v>
      </c>
      <c r="K101" s="371" t="s">
        <v>2271</v>
      </c>
      <c r="L101" s="206" t="s">
        <v>2137</v>
      </c>
      <c r="M101" s="206" t="s">
        <v>1329</v>
      </c>
      <c r="N101" s="206" t="s">
        <v>40</v>
      </c>
      <c r="O101" s="372">
        <v>45962</v>
      </c>
      <c r="P101" s="372">
        <v>45962</v>
      </c>
      <c r="Q101" s="371" t="s">
        <v>2271</v>
      </c>
      <c r="R101" s="373">
        <v>13450</v>
      </c>
      <c r="S101" s="373">
        <v>13450</v>
      </c>
      <c r="T101" s="371" t="s">
        <v>2271</v>
      </c>
      <c r="U101" s="373">
        <v>4020</v>
      </c>
      <c r="V101" s="373">
        <v>4020</v>
      </c>
      <c r="W101" s="371" t="s">
        <v>2271</v>
      </c>
      <c r="X101" s="373">
        <v>9430</v>
      </c>
      <c r="Y101" s="373">
        <v>9430</v>
      </c>
      <c r="Z101" s="371" t="s">
        <v>2271</v>
      </c>
      <c r="AA101" s="373">
        <v>0</v>
      </c>
      <c r="AB101" s="373">
        <v>9430</v>
      </c>
      <c r="AC101" s="373">
        <v>9430</v>
      </c>
      <c r="AD101" s="371" t="s">
        <v>2271</v>
      </c>
      <c r="AE101" s="373">
        <v>0</v>
      </c>
      <c r="AF101" s="382">
        <v>0.125694444444444</v>
      </c>
      <c r="AG101" s="382">
        <v>0.125694444444444</v>
      </c>
      <c r="AH101" s="371" t="s">
        <v>2271</v>
      </c>
      <c r="AI101" s="382">
        <v>0.20624999999999999</v>
      </c>
      <c r="AJ101" s="382">
        <v>0.20624999999999999</v>
      </c>
      <c r="AK101" s="371" t="s">
        <v>2271</v>
      </c>
      <c r="AL101" s="206" t="s">
        <v>42</v>
      </c>
      <c r="AM101" s="206" t="s">
        <v>42</v>
      </c>
      <c r="AN101" s="371" t="s">
        <v>2271</v>
      </c>
      <c r="AO101" s="206" t="s">
        <v>2345</v>
      </c>
      <c r="AP101" s="206"/>
      <c r="AQ101" s="206" t="s">
        <v>1131</v>
      </c>
      <c r="AR101" s="207" t="s">
        <v>82</v>
      </c>
    </row>
    <row r="102" spans="1:44" x14ac:dyDescent="0.2">
      <c r="A102" s="370">
        <v>83</v>
      </c>
      <c r="B102" s="380">
        <v>51</v>
      </c>
      <c r="C102" s="371" t="s">
        <v>2337</v>
      </c>
      <c r="D102" s="371" t="s">
        <v>2235</v>
      </c>
      <c r="E102" s="206"/>
      <c r="F102" s="206" t="s">
        <v>56</v>
      </c>
      <c r="G102" s="206" t="s">
        <v>56</v>
      </c>
      <c r="H102" s="371" t="s">
        <v>2271</v>
      </c>
      <c r="I102" s="206"/>
      <c r="J102" s="206"/>
      <c r="K102" s="371" t="s">
        <v>2271</v>
      </c>
      <c r="L102" s="206" t="s">
        <v>2197</v>
      </c>
      <c r="M102" s="206" t="s">
        <v>1362</v>
      </c>
      <c r="N102" s="206" t="s">
        <v>59</v>
      </c>
      <c r="O102" s="372">
        <v>46297</v>
      </c>
      <c r="P102" s="372">
        <v>46063</v>
      </c>
      <c r="Q102" s="371" t="s">
        <v>2276</v>
      </c>
      <c r="R102" s="373">
        <v>24960</v>
      </c>
      <c r="S102" s="373">
        <v>24960</v>
      </c>
      <c r="T102" s="371" t="s">
        <v>2271</v>
      </c>
      <c r="U102" s="373">
        <v>10670</v>
      </c>
      <c r="V102" s="373">
        <v>10670</v>
      </c>
      <c r="W102" s="371" t="s">
        <v>2271</v>
      </c>
      <c r="X102" s="373">
        <v>14290</v>
      </c>
      <c r="Y102" s="373">
        <v>14290</v>
      </c>
      <c r="Z102" s="371" t="s">
        <v>2271</v>
      </c>
      <c r="AA102" s="373">
        <v>0</v>
      </c>
      <c r="AB102" s="373">
        <v>14280</v>
      </c>
      <c r="AC102" s="373">
        <v>14280</v>
      </c>
      <c r="AD102" s="371" t="s">
        <v>2271</v>
      </c>
      <c r="AE102" s="373">
        <v>0</v>
      </c>
      <c r="AF102" s="382">
        <v>0.49791666666666701</v>
      </c>
      <c r="AG102" s="382">
        <v>0.49791666666666701</v>
      </c>
      <c r="AH102" s="371" t="s">
        <v>2271</v>
      </c>
      <c r="AI102" s="382">
        <v>0.55347222222222203</v>
      </c>
      <c r="AJ102" s="382">
        <v>0.55347222222222203</v>
      </c>
      <c r="AK102" s="371" t="s">
        <v>2271</v>
      </c>
      <c r="AL102" s="206" t="s">
        <v>1221</v>
      </c>
      <c r="AM102" s="206" t="s">
        <v>42</v>
      </c>
      <c r="AN102" s="371" t="s">
        <v>2271</v>
      </c>
      <c r="AO102" s="206" t="s">
        <v>2346</v>
      </c>
      <c r="AP102" s="206" t="s">
        <v>1781</v>
      </c>
      <c r="AQ102" s="206" t="s">
        <v>1132</v>
      </c>
      <c r="AR102" s="207" t="s">
        <v>75</v>
      </c>
    </row>
    <row r="103" spans="1:44" x14ac:dyDescent="0.2">
      <c r="A103" s="370">
        <v>84</v>
      </c>
      <c r="B103" s="380">
        <v>52</v>
      </c>
      <c r="C103" s="371" t="s">
        <v>2269</v>
      </c>
      <c r="D103" s="371" t="s">
        <v>2270</v>
      </c>
      <c r="E103" s="206"/>
      <c r="F103" s="206" t="s">
        <v>171</v>
      </c>
      <c r="G103" s="206" t="s">
        <v>171</v>
      </c>
      <c r="H103" s="371" t="s">
        <v>2271</v>
      </c>
      <c r="I103" s="206" t="s">
        <v>1330</v>
      </c>
      <c r="J103" s="206" t="s">
        <v>1330</v>
      </c>
      <c r="K103" s="371" t="s">
        <v>2271</v>
      </c>
      <c r="L103" s="206" t="s">
        <v>2137</v>
      </c>
      <c r="M103" s="206" t="s">
        <v>1329</v>
      </c>
      <c r="N103" s="206" t="s">
        <v>40</v>
      </c>
      <c r="O103" s="372">
        <v>45962</v>
      </c>
      <c r="P103" s="372">
        <v>45962</v>
      </c>
      <c r="Q103" s="371" t="s">
        <v>2271</v>
      </c>
      <c r="R103" s="373">
        <v>13210</v>
      </c>
      <c r="S103" s="373">
        <v>13210</v>
      </c>
      <c r="T103" s="371" t="s">
        <v>2271</v>
      </c>
      <c r="U103" s="373">
        <v>3620</v>
      </c>
      <c r="V103" s="373">
        <v>3620</v>
      </c>
      <c r="W103" s="371" t="s">
        <v>2271</v>
      </c>
      <c r="X103" s="373">
        <v>9590</v>
      </c>
      <c r="Y103" s="373">
        <v>9590</v>
      </c>
      <c r="Z103" s="371" t="s">
        <v>2271</v>
      </c>
      <c r="AA103" s="373">
        <v>0</v>
      </c>
      <c r="AB103" s="373">
        <v>9580</v>
      </c>
      <c r="AC103" s="373">
        <v>9580</v>
      </c>
      <c r="AD103" s="371" t="s">
        <v>2271</v>
      </c>
      <c r="AE103" s="373">
        <v>0</v>
      </c>
      <c r="AF103" s="382">
        <v>0.90625</v>
      </c>
      <c r="AG103" s="382">
        <v>0.90625</v>
      </c>
      <c r="AH103" s="371" t="s">
        <v>2271</v>
      </c>
      <c r="AI103" s="382">
        <v>0.94722222222222197</v>
      </c>
      <c r="AJ103" s="382">
        <v>0.94722222222222197</v>
      </c>
      <c r="AK103" s="371" t="s">
        <v>2271</v>
      </c>
      <c r="AL103" s="206" t="s">
        <v>42</v>
      </c>
      <c r="AM103" s="206" t="s">
        <v>42</v>
      </c>
      <c r="AN103" s="371" t="s">
        <v>2271</v>
      </c>
      <c r="AO103" s="206" t="s">
        <v>2347</v>
      </c>
      <c r="AP103" s="206"/>
      <c r="AQ103" s="206" t="s">
        <v>1131</v>
      </c>
      <c r="AR103" s="207" t="s">
        <v>82</v>
      </c>
    </row>
    <row r="104" spans="1:44" x14ac:dyDescent="0.2">
      <c r="A104" s="370">
        <v>85</v>
      </c>
      <c r="B104" s="380">
        <v>52</v>
      </c>
      <c r="C104" s="371" t="s">
        <v>2337</v>
      </c>
      <c r="D104" s="371" t="s">
        <v>2235</v>
      </c>
      <c r="E104" s="206"/>
      <c r="F104" s="206" t="s">
        <v>76</v>
      </c>
      <c r="G104" s="206" t="s">
        <v>76</v>
      </c>
      <c r="H104" s="371" t="s">
        <v>2271</v>
      </c>
      <c r="I104" s="206"/>
      <c r="J104" s="206"/>
      <c r="K104" s="371" t="s">
        <v>2271</v>
      </c>
      <c r="L104" s="206" t="s">
        <v>2197</v>
      </c>
      <c r="M104" s="206" t="s">
        <v>1362</v>
      </c>
      <c r="N104" s="206" t="s">
        <v>59</v>
      </c>
      <c r="O104" s="372">
        <v>46297</v>
      </c>
      <c r="P104" s="372">
        <v>46063</v>
      </c>
      <c r="Q104" s="371" t="s">
        <v>2276</v>
      </c>
      <c r="R104" s="373">
        <v>45790</v>
      </c>
      <c r="S104" s="373">
        <v>45790</v>
      </c>
      <c r="T104" s="371" t="s">
        <v>2271</v>
      </c>
      <c r="U104" s="373">
        <v>17540</v>
      </c>
      <c r="V104" s="373">
        <v>17540</v>
      </c>
      <c r="W104" s="371" t="s">
        <v>2271</v>
      </c>
      <c r="X104" s="373">
        <v>28250</v>
      </c>
      <c r="Y104" s="373">
        <v>28250</v>
      </c>
      <c r="Z104" s="371" t="s">
        <v>2271</v>
      </c>
      <c r="AA104" s="373">
        <v>0</v>
      </c>
      <c r="AB104" s="373">
        <v>28320</v>
      </c>
      <c r="AC104" s="373">
        <v>28320</v>
      </c>
      <c r="AD104" s="371" t="s">
        <v>2271</v>
      </c>
      <c r="AE104" s="373">
        <v>0</v>
      </c>
      <c r="AF104" s="382">
        <v>0.55208333333333304</v>
      </c>
      <c r="AG104" s="382">
        <v>0.55208333333333304</v>
      </c>
      <c r="AH104" s="371" t="s">
        <v>2271</v>
      </c>
      <c r="AI104" s="382">
        <v>0.58680555555555602</v>
      </c>
      <c r="AJ104" s="382">
        <v>0.58680555555555602</v>
      </c>
      <c r="AK104" s="371" t="s">
        <v>2271</v>
      </c>
      <c r="AL104" s="206" t="s">
        <v>1221</v>
      </c>
      <c r="AM104" s="206" t="s">
        <v>42</v>
      </c>
      <c r="AN104" s="371" t="s">
        <v>2271</v>
      </c>
      <c r="AO104" s="206" t="s">
        <v>2348</v>
      </c>
      <c r="AP104" s="206" t="s">
        <v>1372</v>
      </c>
      <c r="AQ104" s="206" t="s">
        <v>1133</v>
      </c>
      <c r="AR104" s="207" t="s">
        <v>75</v>
      </c>
    </row>
    <row r="105" spans="1:44" x14ac:dyDescent="0.2">
      <c r="A105" s="370">
        <v>86</v>
      </c>
      <c r="B105" s="380">
        <v>53</v>
      </c>
      <c r="C105" s="371" t="s">
        <v>2269</v>
      </c>
      <c r="D105" s="371" t="s">
        <v>2270</v>
      </c>
      <c r="E105" s="206"/>
      <c r="F105" s="206" t="s">
        <v>173</v>
      </c>
      <c r="G105" s="206" t="s">
        <v>173</v>
      </c>
      <c r="H105" s="371" t="s">
        <v>2271</v>
      </c>
      <c r="I105" s="206" t="s">
        <v>1330</v>
      </c>
      <c r="J105" s="206" t="s">
        <v>1330</v>
      </c>
      <c r="K105" s="371" t="s">
        <v>2271</v>
      </c>
      <c r="L105" s="206" t="s">
        <v>2137</v>
      </c>
      <c r="M105" s="206" t="s">
        <v>1329</v>
      </c>
      <c r="N105" s="206" t="s">
        <v>40</v>
      </c>
      <c r="O105" s="372">
        <v>45962</v>
      </c>
      <c r="P105" s="372">
        <v>45962</v>
      </c>
      <c r="Q105" s="371" t="s">
        <v>2271</v>
      </c>
      <c r="R105" s="373">
        <v>14260</v>
      </c>
      <c r="S105" s="373">
        <v>14260</v>
      </c>
      <c r="T105" s="371" t="s">
        <v>2271</v>
      </c>
      <c r="U105" s="373">
        <v>4580</v>
      </c>
      <c r="V105" s="373">
        <v>4580</v>
      </c>
      <c r="W105" s="371" t="s">
        <v>2271</v>
      </c>
      <c r="X105" s="373">
        <v>9680</v>
      </c>
      <c r="Y105" s="373">
        <v>9680</v>
      </c>
      <c r="Z105" s="371" t="s">
        <v>2271</v>
      </c>
      <c r="AA105" s="373">
        <v>0</v>
      </c>
      <c r="AB105" s="373">
        <v>9640</v>
      </c>
      <c r="AC105" s="373">
        <v>9640</v>
      </c>
      <c r="AD105" s="371" t="s">
        <v>2271</v>
      </c>
      <c r="AE105" s="373">
        <v>0</v>
      </c>
      <c r="AF105" s="382">
        <v>0.906944444444444</v>
      </c>
      <c r="AG105" s="382">
        <v>0.906944444444444</v>
      </c>
      <c r="AH105" s="371" t="s">
        <v>2271</v>
      </c>
      <c r="AI105" s="382">
        <v>0.94930555555555596</v>
      </c>
      <c r="AJ105" s="382">
        <v>0.94930555555555596</v>
      </c>
      <c r="AK105" s="371" t="s">
        <v>2271</v>
      </c>
      <c r="AL105" s="206" t="s">
        <v>42</v>
      </c>
      <c r="AM105" s="206" t="s">
        <v>42</v>
      </c>
      <c r="AN105" s="371" t="s">
        <v>2271</v>
      </c>
      <c r="AO105" s="206" t="s">
        <v>2349</v>
      </c>
      <c r="AP105" s="206"/>
      <c r="AQ105" s="206" t="s">
        <v>1131</v>
      </c>
      <c r="AR105" s="207" t="s">
        <v>82</v>
      </c>
    </row>
    <row r="106" spans="1:44" x14ac:dyDescent="0.2">
      <c r="A106" s="370">
        <v>87</v>
      </c>
      <c r="B106" s="380">
        <v>54</v>
      </c>
      <c r="C106" s="371" t="s">
        <v>2269</v>
      </c>
      <c r="D106" s="371" t="s">
        <v>2270</v>
      </c>
      <c r="E106" s="206"/>
      <c r="F106" s="206" t="s">
        <v>177</v>
      </c>
      <c r="G106" s="206" t="s">
        <v>177</v>
      </c>
      <c r="H106" s="371" t="s">
        <v>2271</v>
      </c>
      <c r="I106" s="206" t="s">
        <v>1330</v>
      </c>
      <c r="J106" s="206" t="s">
        <v>1330</v>
      </c>
      <c r="K106" s="371" t="s">
        <v>2271</v>
      </c>
      <c r="L106" s="206" t="s">
        <v>2137</v>
      </c>
      <c r="M106" s="206" t="s">
        <v>1329</v>
      </c>
      <c r="N106" s="206" t="s">
        <v>40</v>
      </c>
      <c r="O106" s="372">
        <v>45962</v>
      </c>
      <c r="P106" s="372">
        <v>45962</v>
      </c>
      <c r="Q106" s="371" t="s">
        <v>2271</v>
      </c>
      <c r="R106" s="373">
        <v>13810</v>
      </c>
      <c r="S106" s="373">
        <v>13810</v>
      </c>
      <c r="T106" s="371" t="s">
        <v>2271</v>
      </c>
      <c r="U106" s="373">
        <v>4090</v>
      </c>
      <c r="V106" s="373">
        <v>4090</v>
      </c>
      <c r="W106" s="371" t="s">
        <v>2271</v>
      </c>
      <c r="X106" s="373">
        <v>9720</v>
      </c>
      <c r="Y106" s="373">
        <v>9720</v>
      </c>
      <c r="Z106" s="371" t="s">
        <v>2271</v>
      </c>
      <c r="AA106" s="373">
        <v>0</v>
      </c>
      <c r="AB106" s="373">
        <v>9670</v>
      </c>
      <c r="AC106" s="373">
        <v>9670</v>
      </c>
      <c r="AD106" s="371" t="s">
        <v>2271</v>
      </c>
      <c r="AE106" s="373">
        <v>0</v>
      </c>
      <c r="AF106" s="382">
        <v>0.90833333333333299</v>
      </c>
      <c r="AG106" s="382">
        <v>0.90833333333333299</v>
      </c>
      <c r="AH106" s="371" t="s">
        <v>2271</v>
      </c>
      <c r="AI106" s="382">
        <v>0.96458333333333302</v>
      </c>
      <c r="AJ106" s="382">
        <v>0.96458333333333302</v>
      </c>
      <c r="AK106" s="371" t="s">
        <v>2271</v>
      </c>
      <c r="AL106" s="206" t="s">
        <v>42</v>
      </c>
      <c r="AM106" s="206" t="s">
        <v>42</v>
      </c>
      <c r="AN106" s="371" t="s">
        <v>2271</v>
      </c>
      <c r="AO106" s="206" t="s">
        <v>2350</v>
      </c>
      <c r="AP106" s="206"/>
      <c r="AQ106" s="206" t="s">
        <v>1131</v>
      </c>
      <c r="AR106" s="207" t="s">
        <v>82</v>
      </c>
    </row>
    <row r="107" spans="1:44" x14ac:dyDescent="0.2">
      <c r="A107" s="370">
        <v>88</v>
      </c>
      <c r="B107" s="380">
        <v>54</v>
      </c>
      <c r="C107" s="371" t="s">
        <v>2337</v>
      </c>
      <c r="D107" s="371" t="s">
        <v>2235</v>
      </c>
      <c r="E107" s="206"/>
      <c r="F107" s="206" t="s">
        <v>76</v>
      </c>
      <c r="G107" s="206" t="s">
        <v>76</v>
      </c>
      <c r="H107" s="371" t="s">
        <v>2271</v>
      </c>
      <c r="I107" s="206"/>
      <c r="J107" s="206" t="s">
        <v>1358</v>
      </c>
      <c r="K107" s="371" t="s">
        <v>2276</v>
      </c>
      <c r="L107" s="206" t="s">
        <v>2198</v>
      </c>
      <c r="M107" s="206" t="s">
        <v>1357</v>
      </c>
      <c r="N107" s="206" t="s">
        <v>78</v>
      </c>
      <c r="O107" s="372">
        <v>46297</v>
      </c>
      <c r="P107" s="372">
        <v>46063</v>
      </c>
      <c r="Q107" s="371" t="s">
        <v>2276</v>
      </c>
      <c r="R107" s="373">
        <v>45760</v>
      </c>
      <c r="S107" s="373">
        <v>45760</v>
      </c>
      <c r="T107" s="371" t="s">
        <v>2271</v>
      </c>
      <c r="U107" s="373">
        <v>17560</v>
      </c>
      <c r="V107" s="373">
        <v>17560</v>
      </c>
      <c r="W107" s="371" t="s">
        <v>2271</v>
      </c>
      <c r="X107" s="373">
        <v>28200</v>
      </c>
      <c r="Y107" s="373">
        <v>28200</v>
      </c>
      <c r="Z107" s="371" t="s">
        <v>2271</v>
      </c>
      <c r="AA107" s="373">
        <v>0</v>
      </c>
      <c r="AB107" s="373">
        <v>28100</v>
      </c>
      <c r="AC107" s="373">
        <v>28100</v>
      </c>
      <c r="AD107" s="371" t="s">
        <v>2271</v>
      </c>
      <c r="AE107" s="373">
        <v>0</v>
      </c>
      <c r="AF107" s="382">
        <v>0.89513888888888904</v>
      </c>
      <c r="AG107" s="382">
        <v>0.89513888888888904</v>
      </c>
      <c r="AH107" s="371" t="s">
        <v>2271</v>
      </c>
      <c r="AI107" s="382">
        <v>0.95694444444444404</v>
      </c>
      <c r="AJ107" s="382">
        <v>0.95694444444444504</v>
      </c>
      <c r="AK107" s="371" t="s">
        <v>2276</v>
      </c>
      <c r="AL107" s="206" t="s">
        <v>137</v>
      </c>
      <c r="AM107" s="206" t="s">
        <v>137</v>
      </c>
      <c r="AN107" s="371" t="s">
        <v>2271</v>
      </c>
      <c r="AO107" s="206" t="s">
        <v>2351</v>
      </c>
      <c r="AP107" s="206" t="s">
        <v>1372</v>
      </c>
      <c r="AQ107" s="206" t="s">
        <v>1133</v>
      </c>
      <c r="AR107" s="207" t="s">
        <v>88</v>
      </c>
    </row>
    <row r="108" spans="1:44" x14ac:dyDescent="0.2">
      <c r="A108" s="370">
        <v>89</v>
      </c>
      <c r="B108" s="380">
        <v>55</v>
      </c>
      <c r="C108" s="371" t="s">
        <v>2269</v>
      </c>
      <c r="D108" s="371" t="s">
        <v>2270</v>
      </c>
      <c r="E108" s="206"/>
      <c r="F108" s="206" t="s">
        <v>179</v>
      </c>
      <c r="G108" s="206" t="s">
        <v>179</v>
      </c>
      <c r="H108" s="371" t="s">
        <v>2271</v>
      </c>
      <c r="I108" s="206" t="s">
        <v>1330</v>
      </c>
      <c r="J108" s="206" t="s">
        <v>1330</v>
      </c>
      <c r="K108" s="371" t="s">
        <v>2271</v>
      </c>
      <c r="L108" s="206" t="s">
        <v>2137</v>
      </c>
      <c r="M108" s="206" t="s">
        <v>1329</v>
      </c>
      <c r="N108" s="206" t="s">
        <v>40</v>
      </c>
      <c r="O108" s="372">
        <v>45963</v>
      </c>
      <c r="P108" s="372">
        <v>45963</v>
      </c>
      <c r="Q108" s="371" t="s">
        <v>2271</v>
      </c>
      <c r="R108" s="373">
        <v>13910</v>
      </c>
      <c r="S108" s="373">
        <v>13910</v>
      </c>
      <c r="T108" s="371" t="s">
        <v>2271</v>
      </c>
      <c r="U108" s="373">
        <v>4120</v>
      </c>
      <c r="V108" s="373">
        <v>4120</v>
      </c>
      <c r="W108" s="371" t="s">
        <v>2271</v>
      </c>
      <c r="X108" s="373">
        <v>9790</v>
      </c>
      <c r="Y108" s="373">
        <v>9790</v>
      </c>
      <c r="Z108" s="371" t="s">
        <v>2271</v>
      </c>
      <c r="AA108" s="373">
        <v>0</v>
      </c>
      <c r="AB108" s="373">
        <v>9830</v>
      </c>
      <c r="AC108" s="373">
        <v>9830</v>
      </c>
      <c r="AD108" s="371" t="s">
        <v>2271</v>
      </c>
      <c r="AE108" s="373">
        <v>0</v>
      </c>
      <c r="AF108" s="382">
        <v>0.34236111111111101</v>
      </c>
      <c r="AG108" s="382">
        <v>0.34236111111111101</v>
      </c>
      <c r="AH108" s="371" t="s">
        <v>2271</v>
      </c>
      <c r="AI108" s="382">
        <v>0.375694444444444</v>
      </c>
      <c r="AJ108" s="382">
        <v>0.375694444444444</v>
      </c>
      <c r="AK108" s="371" t="s">
        <v>2271</v>
      </c>
      <c r="AL108" s="206" t="s">
        <v>42</v>
      </c>
      <c r="AM108" s="206" t="s">
        <v>42</v>
      </c>
      <c r="AN108" s="371" t="s">
        <v>2271</v>
      </c>
      <c r="AO108" s="206" t="s">
        <v>2352</v>
      </c>
      <c r="AP108" s="206"/>
      <c r="AQ108" s="206" t="s">
        <v>1131</v>
      </c>
      <c r="AR108" s="207" t="s">
        <v>82</v>
      </c>
    </row>
    <row r="109" spans="1:44" x14ac:dyDescent="0.2">
      <c r="A109" s="370">
        <v>90</v>
      </c>
      <c r="B109" s="380">
        <v>55</v>
      </c>
      <c r="C109" s="371" t="s">
        <v>2337</v>
      </c>
      <c r="D109" s="371" t="s">
        <v>2235</v>
      </c>
      <c r="E109" s="206"/>
      <c r="F109" s="206" t="s">
        <v>73</v>
      </c>
      <c r="G109" s="206" t="s">
        <v>73</v>
      </c>
      <c r="H109" s="371" t="s">
        <v>2271</v>
      </c>
      <c r="I109" s="206"/>
      <c r="J109" s="206" t="s">
        <v>1361</v>
      </c>
      <c r="K109" s="371" t="s">
        <v>2276</v>
      </c>
      <c r="L109" s="206" t="s">
        <v>2196</v>
      </c>
      <c r="M109" s="206" t="s">
        <v>1360</v>
      </c>
      <c r="N109" s="206" t="s">
        <v>40</v>
      </c>
      <c r="O109" s="372">
        <v>46297</v>
      </c>
      <c r="P109" s="372">
        <v>46063</v>
      </c>
      <c r="Q109" s="371" t="s">
        <v>2276</v>
      </c>
      <c r="R109" s="373">
        <v>13380</v>
      </c>
      <c r="S109" s="373">
        <v>13380</v>
      </c>
      <c r="T109" s="371" t="s">
        <v>2271</v>
      </c>
      <c r="U109" s="373">
        <v>4050</v>
      </c>
      <c r="V109" s="373">
        <v>4050</v>
      </c>
      <c r="W109" s="371" t="s">
        <v>2271</v>
      </c>
      <c r="X109" s="373">
        <v>9330</v>
      </c>
      <c r="Y109" s="373">
        <v>9330</v>
      </c>
      <c r="Z109" s="371" t="s">
        <v>2271</v>
      </c>
      <c r="AA109" s="373">
        <v>0</v>
      </c>
      <c r="AB109" s="373">
        <v>9330</v>
      </c>
      <c r="AC109" s="373">
        <v>9330</v>
      </c>
      <c r="AD109" s="371" t="s">
        <v>2271</v>
      </c>
      <c r="AE109" s="373">
        <v>0</v>
      </c>
      <c r="AF109" s="382">
        <v>0.89791666666666703</v>
      </c>
      <c r="AG109" s="382">
        <v>0.89791666666666703</v>
      </c>
      <c r="AH109" s="371" t="s">
        <v>2271</v>
      </c>
      <c r="AI109" s="382">
        <v>0.95833333333333304</v>
      </c>
      <c r="AJ109" s="382">
        <v>0.95833333333333304</v>
      </c>
      <c r="AK109" s="371" t="s">
        <v>2271</v>
      </c>
      <c r="AL109" s="206" t="s">
        <v>137</v>
      </c>
      <c r="AM109" s="206" t="s">
        <v>137</v>
      </c>
      <c r="AN109" s="371" t="s">
        <v>2271</v>
      </c>
      <c r="AO109" s="206" t="s">
        <v>2352</v>
      </c>
      <c r="AP109" s="206"/>
      <c r="AQ109" s="206" t="s">
        <v>1131</v>
      </c>
      <c r="AR109" s="207" t="s">
        <v>82</v>
      </c>
    </row>
    <row r="110" spans="1:44" x14ac:dyDescent="0.2">
      <c r="A110" s="370">
        <v>91</v>
      </c>
      <c r="B110" s="380">
        <v>56</v>
      </c>
      <c r="C110" s="371" t="s">
        <v>2269</v>
      </c>
      <c r="D110" s="371" t="s">
        <v>2235</v>
      </c>
      <c r="E110" s="206"/>
      <c r="F110" s="206" t="s">
        <v>181</v>
      </c>
      <c r="G110" s="206" t="s">
        <v>181</v>
      </c>
      <c r="H110" s="371" t="s">
        <v>2271</v>
      </c>
      <c r="I110" s="206" t="s">
        <v>1330</v>
      </c>
      <c r="J110" s="206" t="s">
        <v>1330</v>
      </c>
      <c r="K110" s="371" t="s">
        <v>2271</v>
      </c>
      <c r="L110" s="206" t="s">
        <v>2137</v>
      </c>
      <c r="M110" s="206" t="s">
        <v>1329</v>
      </c>
      <c r="N110" s="206" t="s">
        <v>40</v>
      </c>
      <c r="O110" s="372">
        <v>45963</v>
      </c>
      <c r="P110" s="372">
        <v>45963</v>
      </c>
      <c r="Q110" s="371" t="s">
        <v>2271</v>
      </c>
      <c r="R110" s="373">
        <v>13520</v>
      </c>
      <c r="S110" s="373">
        <v>13520</v>
      </c>
      <c r="T110" s="371" t="s">
        <v>2271</v>
      </c>
      <c r="U110" s="373">
        <v>4110</v>
      </c>
      <c r="V110" s="373">
        <v>4110</v>
      </c>
      <c r="W110" s="371" t="s">
        <v>2271</v>
      </c>
      <c r="X110" s="373">
        <v>9410</v>
      </c>
      <c r="Y110" s="373">
        <v>9410</v>
      </c>
      <c r="Z110" s="371" t="s">
        <v>2271</v>
      </c>
      <c r="AA110" s="373">
        <v>0</v>
      </c>
      <c r="AB110" s="373">
        <v>9550</v>
      </c>
      <c r="AC110" s="373">
        <v>9550</v>
      </c>
      <c r="AD110" s="371" t="s">
        <v>2271</v>
      </c>
      <c r="AE110" s="373">
        <v>0</v>
      </c>
      <c r="AF110" s="382">
        <v>0.34513888888888899</v>
      </c>
      <c r="AG110" s="382">
        <v>0.34513888888888899</v>
      </c>
      <c r="AH110" s="371" t="s">
        <v>2271</v>
      </c>
      <c r="AI110" s="382">
        <v>0.38819444444444401</v>
      </c>
      <c r="AJ110" s="382">
        <v>0.38819444444444501</v>
      </c>
      <c r="AK110" s="371" t="s">
        <v>2276</v>
      </c>
      <c r="AL110" s="206" t="s">
        <v>42</v>
      </c>
      <c r="AM110" s="206" t="s">
        <v>42</v>
      </c>
      <c r="AN110" s="371" t="s">
        <v>2271</v>
      </c>
      <c r="AO110" s="206" t="s">
        <v>2353</v>
      </c>
      <c r="AP110" s="206"/>
      <c r="AQ110" s="206" t="s">
        <v>1131</v>
      </c>
      <c r="AR110" s="207" t="s">
        <v>82</v>
      </c>
    </row>
    <row r="111" spans="1:44" x14ac:dyDescent="0.2">
      <c r="A111" s="370">
        <v>92</v>
      </c>
      <c r="B111" s="380">
        <v>56</v>
      </c>
      <c r="C111" s="371" t="s">
        <v>2337</v>
      </c>
      <c r="D111" s="371" t="s">
        <v>2235</v>
      </c>
      <c r="E111" s="206"/>
      <c r="F111" s="206" t="s">
        <v>39</v>
      </c>
      <c r="G111" s="206" t="s">
        <v>39</v>
      </c>
      <c r="H111" s="371" t="s">
        <v>2271</v>
      </c>
      <c r="I111" s="206"/>
      <c r="J111" s="206" t="s">
        <v>1361</v>
      </c>
      <c r="K111" s="371" t="s">
        <v>2276</v>
      </c>
      <c r="L111" s="206" t="s">
        <v>2196</v>
      </c>
      <c r="M111" s="206" t="s">
        <v>1360</v>
      </c>
      <c r="N111" s="206" t="s">
        <v>40</v>
      </c>
      <c r="O111" s="372">
        <v>46297</v>
      </c>
      <c r="P111" s="372">
        <v>46063</v>
      </c>
      <c r="Q111" s="371" t="s">
        <v>2276</v>
      </c>
      <c r="R111" s="373">
        <v>13730</v>
      </c>
      <c r="S111" s="373">
        <v>13730</v>
      </c>
      <c r="T111" s="371" t="s">
        <v>2271</v>
      </c>
      <c r="U111" s="373">
        <v>4130</v>
      </c>
      <c r="V111" s="373">
        <v>4130</v>
      </c>
      <c r="W111" s="371" t="s">
        <v>2271</v>
      </c>
      <c r="X111" s="373">
        <v>9600</v>
      </c>
      <c r="Y111" s="373">
        <v>9600</v>
      </c>
      <c r="Z111" s="371" t="s">
        <v>2271</v>
      </c>
      <c r="AA111" s="373">
        <v>0</v>
      </c>
      <c r="AB111" s="373">
        <v>9600</v>
      </c>
      <c r="AC111" s="373">
        <v>9600</v>
      </c>
      <c r="AD111" s="371" t="s">
        <v>2271</v>
      </c>
      <c r="AE111" s="373">
        <v>0</v>
      </c>
      <c r="AF111" s="382">
        <v>0.9</v>
      </c>
      <c r="AG111" s="382">
        <v>0.9</v>
      </c>
      <c r="AH111" s="371" t="s">
        <v>2271</v>
      </c>
      <c r="AI111" s="382">
        <v>0.94652777777777797</v>
      </c>
      <c r="AJ111" s="382">
        <v>0.94652777777777797</v>
      </c>
      <c r="AK111" s="371" t="s">
        <v>2271</v>
      </c>
      <c r="AL111" s="206" t="s">
        <v>137</v>
      </c>
      <c r="AM111" s="206" t="s">
        <v>137</v>
      </c>
      <c r="AN111" s="371" t="s">
        <v>2271</v>
      </c>
      <c r="AO111" s="206" t="s">
        <v>2353</v>
      </c>
      <c r="AP111" s="206"/>
      <c r="AQ111" s="206" t="s">
        <v>1131</v>
      </c>
      <c r="AR111" s="207" t="s">
        <v>82</v>
      </c>
    </row>
    <row r="112" spans="1:44" x14ac:dyDescent="0.2">
      <c r="A112" s="370">
        <v>93</v>
      </c>
      <c r="B112" s="380">
        <v>57</v>
      </c>
      <c r="C112" s="371" t="s">
        <v>2269</v>
      </c>
      <c r="D112" s="371" t="s">
        <v>2270</v>
      </c>
      <c r="E112" s="206"/>
      <c r="F112" s="206" t="s">
        <v>183</v>
      </c>
      <c r="G112" s="206" t="s">
        <v>183</v>
      </c>
      <c r="H112" s="371" t="s">
        <v>2271</v>
      </c>
      <c r="I112" s="206" t="s">
        <v>1330</v>
      </c>
      <c r="J112" s="206" t="s">
        <v>1330</v>
      </c>
      <c r="K112" s="371" t="s">
        <v>2271</v>
      </c>
      <c r="L112" s="206" t="s">
        <v>2137</v>
      </c>
      <c r="M112" s="206" t="s">
        <v>1329</v>
      </c>
      <c r="N112" s="206" t="s">
        <v>40</v>
      </c>
      <c r="O112" s="372">
        <v>45963</v>
      </c>
      <c r="P112" s="372">
        <v>45963</v>
      </c>
      <c r="Q112" s="371" t="s">
        <v>2271</v>
      </c>
      <c r="R112" s="373">
        <v>14190</v>
      </c>
      <c r="S112" s="373">
        <v>14190</v>
      </c>
      <c r="T112" s="371" t="s">
        <v>2271</v>
      </c>
      <c r="U112" s="373">
        <v>4180</v>
      </c>
      <c r="V112" s="373">
        <v>4180</v>
      </c>
      <c r="W112" s="371" t="s">
        <v>2271</v>
      </c>
      <c r="X112" s="373">
        <v>10010</v>
      </c>
      <c r="Y112" s="373">
        <v>10010</v>
      </c>
      <c r="Z112" s="371" t="s">
        <v>2271</v>
      </c>
      <c r="AA112" s="373">
        <v>0</v>
      </c>
      <c r="AB112" s="373">
        <v>9970</v>
      </c>
      <c r="AC112" s="373">
        <v>9970</v>
      </c>
      <c r="AD112" s="371" t="s">
        <v>2271</v>
      </c>
      <c r="AE112" s="373">
        <v>0</v>
      </c>
      <c r="AF112" s="382">
        <v>0.34722222222222199</v>
      </c>
      <c r="AG112" s="382">
        <v>0.34722222222222199</v>
      </c>
      <c r="AH112" s="371" t="s">
        <v>2271</v>
      </c>
      <c r="AI112" s="382">
        <v>0.40347222222222201</v>
      </c>
      <c r="AJ112" s="382">
        <v>0.40347222222222201</v>
      </c>
      <c r="AK112" s="371" t="s">
        <v>2271</v>
      </c>
      <c r="AL112" s="206" t="s">
        <v>42</v>
      </c>
      <c r="AM112" s="206" t="s">
        <v>42</v>
      </c>
      <c r="AN112" s="371" t="s">
        <v>2271</v>
      </c>
      <c r="AO112" s="206" t="s">
        <v>2354</v>
      </c>
      <c r="AP112" s="206"/>
      <c r="AQ112" s="206" t="s">
        <v>1131</v>
      </c>
      <c r="AR112" s="207" t="s">
        <v>82</v>
      </c>
    </row>
    <row r="113" spans="1:44" x14ac:dyDescent="0.2">
      <c r="A113" s="370">
        <v>94</v>
      </c>
      <c r="B113" s="380">
        <v>57</v>
      </c>
      <c r="C113" s="371" t="s">
        <v>2337</v>
      </c>
      <c r="D113" s="371" t="s">
        <v>2235</v>
      </c>
      <c r="E113" s="206"/>
      <c r="F113" s="206" t="s">
        <v>184</v>
      </c>
      <c r="G113" s="206" t="s">
        <v>184</v>
      </c>
      <c r="H113" s="371" t="s">
        <v>2271</v>
      </c>
      <c r="I113" s="206"/>
      <c r="J113" s="206" t="s">
        <v>1361</v>
      </c>
      <c r="K113" s="371" t="s">
        <v>2276</v>
      </c>
      <c r="L113" s="206" t="s">
        <v>2196</v>
      </c>
      <c r="M113" s="206" t="s">
        <v>1360</v>
      </c>
      <c r="N113" s="206" t="s">
        <v>40</v>
      </c>
      <c r="O113" s="372">
        <v>46297</v>
      </c>
      <c r="P113" s="372">
        <v>46063</v>
      </c>
      <c r="Q113" s="371" t="s">
        <v>2276</v>
      </c>
      <c r="R113" s="373">
        <v>13710</v>
      </c>
      <c r="S113" s="373">
        <v>13710</v>
      </c>
      <c r="T113" s="371" t="s">
        <v>2271</v>
      </c>
      <c r="U113" s="373">
        <v>4100</v>
      </c>
      <c r="V113" s="373">
        <v>4100</v>
      </c>
      <c r="W113" s="371" t="s">
        <v>2271</v>
      </c>
      <c r="X113" s="373">
        <v>9610</v>
      </c>
      <c r="Y113" s="373">
        <v>9610</v>
      </c>
      <c r="Z113" s="371" t="s">
        <v>2271</v>
      </c>
      <c r="AA113" s="373">
        <v>0</v>
      </c>
      <c r="AB113" s="373">
        <v>9780</v>
      </c>
      <c r="AC113" s="373">
        <v>9780</v>
      </c>
      <c r="AD113" s="371" t="s">
        <v>2271</v>
      </c>
      <c r="AE113" s="373">
        <v>0</v>
      </c>
      <c r="AF113" s="382">
        <v>0.90138888888888902</v>
      </c>
      <c r="AG113" s="382">
        <v>0.90138888888888902</v>
      </c>
      <c r="AH113" s="371" t="s">
        <v>2271</v>
      </c>
      <c r="AI113" s="382">
        <v>0.95972222222222203</v>
      </c>
      <c r="AJ113" s="382">
        <v>0.95972222222222203</v>
      </c>
      <c r="AK113" s="371" t="s">
        <v>2271</v>
      </c>
      <c r="AL113" s="206" t="s">
        <v>137</v>
      </c>
      <c r="AM113" s="206" t="s">
        <v>137</v>
      </c>
      <c r="AN113" s="371" t="s">
        <v>2271</v>
      </c>
      <c r="AO113" s="206" t="s">
        <v>2354</v>
      </c>
      <c r="AP113" s="206"/>
      <c r="AQ113" s="206" t="s">
        <v>1131</v>
      </c>
      <c r="AR113" s="207" t="s">
        <v>82</v>
      </c>
    </row>
    <row r="114" spans="1:44" x14ac:dyDescent="0.2">
      <c r="A114" s="370">
        <v>95</v>
      </c>
      <c r="B114" s="380">
        <v>58</v>
      </c>
      <c r="C114" s="371" t="s">
        <v>2269</v>
      </c>
      <c r="D114" s="371" t="s">
        <v>2270</v>
      </c>
      <c r="E114" s="206"/>
      <c r="F114" s="206" t="s">
        <v>186</v>
      </c>
      <c r="G114" s="206" t="s">
        <v>186</v>
      </c>
      <c r="H114" s="371" t="s">
        <v>2271</v>
      </c>
      <c r="I114" s="206" t="s">
        <v>1330</v>
      </c>
      <c r="J114" s="206" t="s">
        <v>1330</v>
      </c>
      <c r="K114" s="371" t="s">
        <v>2271</v>
      </c>
      <c r="L114" s="206" t="s">
        <v>2137</v>
      </c>
      <c r="M114" s="206" t="s">
        <v>1329</v>
      </c>
      <c r="N114" s="206" t="s">
        <v>40</v>
      </c>
      <c r="O114" s="372">
        <v>45963</v>
      </c>
      <c r="P114" s="372">
        <v>45963</v>
      </c>
      <c r="Q114" s="371" t="s">
        <v>2271</v>
      </c>
      <c r="R114" s="373">
        <v>13430</v>
      </c>
      <c r="S114" s="373">
        <v>13430</v>
      </c>
      <c r="T114" s="371" t="s">
        <v>2271</v>
      </c>
      <c r="U114" s="373">
        <v>3940</v>
      </c>
      <c r="V114" s="373">
        <v>3940</v>
      </c>
      <c r="W114" s="371" t="s">
        <v>2271</v>
      </c>
      <c r="X114" s="373">
        <v>9490</v>
      </c>
      <c r="Y114" s="373">
        <v>9490</v>
      </c>
      <c r="Z114" s="371" t="s">
        <v>2271</v>
      </c>
      <c r="AA114" s="373">
        <v>0</v>
      </c>
      <c r="AB114" s="373">
        <v>9480</v>
      </c>
      <c r="AC114" s="373">
        <v>9480</v>
      </c>
      <c r="AD114" s="371" t="s">
        <v>2271</v>
      </c>
      <c r="AE114" s="373">
        <v>0</v>
      </c>
      <c r="AF114" s="382">
        <v>0.34930555555555598</v>
      </c>
      <c r="AG114" s="382">
        <v>0.34930555555555598</v>
      </c>
      <c r="AH114" s="371" t="s">
        <v>2271</v>
      </c>
      <c r="AI114" s="382">
        <v>0.40972222222222199</v>
      </c>
      <c r="AJ114" s="382">
        <v>0.40972222222222199</v>
      </c>
      <c r="AK114" s="371" t="s">
        <v>2271</v>
      </c>
      <c r="AL114" s="206" t="s">
        <v>42</v>
      </c>
      <c r="AM114" s="206" t="s">
        <v>42</v>
      </c>
      <c r="AN114" s="371" t="s">
        <v>2271</v>
      </c>
      <c r="AO114" s="206" t="s">
        <v>2355</v>
      </c>
      <c r="AP114" s="206"/>
      <c r="AQ114" s="206" t="s">
        <v>1131</v>
      </c>
      <c r="AR114" s="207" t="s">
        <v>82</v>
      </c>
    </row>
    <row r="115" spans="1:44" x14ac:dyDescent="0.2">
      <c r="A115" s="370">
        <v>96</v>
      </c>
      <c r="B115" s="380">
        <v>58</v>
      </c>
      <c r="C115" s="371" t="s">
        <v>2337</v>
      </c>
      <c r="D115" s="371" t="s">
        <v>2235</v>
      </c>
      <c r="E115" s="206"/>
      <c r="F115" s="206" t="s">
        <v>56</v>
      </c>
      <c r="G115" s="206" t="s">
        <v>56</v>
      </c>
      <c r="H115" s="371" t="s">
        <v>2271</v>
      </c>
      <c r="I115" s="206"/>
      <c r="J115" s="206" t="s">
        <v>1358</v>
      </c>
      <c r="K115" s="371" t="s">
        <v>2276</v>
      </c>
      <c r="L115" s="206" t="s">
        <v>2198</v>
      </c>
      <c r="M115" s="206" t="s">
        <v>1357</v>
      </c>
      <c r="N115" s="206" t="s">
        <v>78</v>
      </c>
      <c r="O115" s="372">
        <v>46297</v>
      </c>
      <c r="P115" s="372">
        <v>46063</v>
      </c>
      <c r="Q115" s="371" t="s">
        <v>2276</v>
      </c>
      <c r="R115" s="373">
        <v>24960</v>
      </c>
      <c r="S115" s="373">
        <v>24960</v>
      </c>
      <c r="T115" s="371" t="s">
        <v>2271</v>
      </c>
      <c r="U115" s="373">
        <v>10730</v>
      </c>
      <c r="V115" s="373">
        <v>10730</v>
      </c>
      <c r="W115" s="371" t="s">
        <v>2271</v>
      </c>
      <c r="X115" s="373">
        <v>14230</v>
      </c>
      <c r="Y115" s="373">
        <v>14230</v>
      </c>
      <c r="Z115" s="371" t="s">
        <v>2271</v>
      </c>
      <c r="AA115" s="373">
        <v>0</v>
      </c>
      <c r="AB115" s="373">
        <v>14190</v>
      </c>
      <c r="AC115" s="373">
        <v>14190</v>
      </c>
      <c r="AD115" s="371" t="s">
        <v>2271</v>
      </c>
      <c r="AE115" s="373">
        <v>0</v>
      </c>
      <c r="AF115" s="382">
        <v>0.90208333333333302</v>
      </c>
      <c r="AG115" s="382">
        <v>0.90208333333333302</v>
      </c>
      <c r="AH115" s="371" t="s">
        <v>2271</v>
      </c>
      <c r="AI115" s="382">
        <v>0.98472222222222205</v>
      </c>
      <c r="AJ115" s="382">
        <v>0.98472222222222205</v>
      </c>
      <c r="AK115" s="371" t="s">
        <v>2271</v>
      </c>
      <c r="AL115" s="206" t="s">
        <v>137</v>
      </c>
      <c r="AM115" s="206" t="s">
        <v>137</v>
      </c>
      <c r="AN115" s="371" t="s">
        <v>2271</v>
      </c>
      <c r="AO115" s="206" t="s">
        <v>2356</v>
      </c>
      <c r="AP115" s="206" t="s">
        <v>1781</v>
      </c>
      <c r="AQ115" s="206" t="s">
        <v>1132</v>
      </c>
      <c r="AR115" s="207" t="s">
        <v>88</v>
      </c>
    </row>
    <row r="116" spans="1:44" x14ac:dyDescent="0.2">
      <c r="A116" s="370">
        <v>97</v>
      </c>
      <c r="B116" s="380">
        <v>59</v>
      </c>
      <c r="C116" s="371" t="s">
        <v>2269</v>
      </c>
      <c r="D116" s="371" t="s">
        <v>2270</v>
      </c>
      <c r="E116" s="206"/>
      <c r="F116" s="206" t="s">
        <v>188</v>
      </c>
      <c r="G116" s="206" t="s">
        <v>188</v>
      </c>
      <c r="H116" s="371" t="s">
        <v>2271</v>
      </c>
      <c r="I116" s="206" t="s">
        <v>1330</v>
      </c>
      <c r="J116" s="206" t="s">
        <v>1330</v>
      </c>
      <c r="K116" s="371" t="s">
        <v>2271</v>
      </c>
      <c r="L116" s="206" t="s">
        <v>2137</v>
      </c>
      <c r="M116" s="206" t="s">
        <v>1329</v>
      </c>
      <c r="N116" s="206" t="s">
        <v>40</v>
      </c>
      <c r="O116" s="372">
        <v>45963</v>
      </c>
      <c r="P116" s="372">
        <v>45963</v>
      </c>
      <c r="Q116" s="371" t="s">
        <v>2271</v>
      </c>
      <c r="R116" s="373">
        <v>13120</v>
      </c>
      <c r="S116" s="373">
        <v>13120</v>
      </c>
      <c r="T116" s="371" t="s">
        <v>2271</v>
      </c>
      <c r="U116" s="373">
        <v>3700</v>
      </c>
      <c r="V116" s="373">
        <v>3700</v>
      </c>
      <c r="W116" s="371" t="s">
        <v>2271</v>
      </c>
      <c r="X116" s="373">
        <v>9420</v>
      </c>
      <c r="Y116" s="373">
        <v>9420</v>
      </c>
      <c r="Z116" s="371" t="s">
        <v>2271</v>
      </c>
      <c r="AA116" s="373">
        <v>0</v>
      </c>
      <c r="AB116" s="373">
        <v>9400</v>
      </c>
      <c r="AC116" s="373">
        <v>9400</v>
      </c>
      <c r="AD116" s="371" t="s">
        <v>2271</v>
      </c>
      <c r="AE116" s="373">
        <v>0</v>
      </c>
      <c r="AF116" s="382">
        <v>0.35069444444444398</v>
      </c>
      <c r="AG116" s="382">
        <v>0.35069444444444398</v>
      </c>
      <c r="AH116" s="371" t="s">
        <v>2271</v>
      </c>
      <c r="AI116" s="382">
        <v>0.438194444444444</v>
      </c>
      <c r="AJ116" s="382">
        <v>0.438194444444444</v>
      </c>
      <c r="AK116" s="371" t="s">
        <v>2271</v>
      </c>
      <c r="AL116" s="206" t="s">
        <v>42</v>
      </c>
      <c r="AM116" s="206" t="s">
        <v>42</v>
      </c>
      <c r="AN116" s="371" t="s">
        <v>2271</v>
      </c>
      <c r="AO116" s="206" t="s">
        <v>2357</v>
      </c>
      <c r="AP116" s="206"/>
      <c r="AQ116" s="206" t="s">
        <v>1131</v>
      </c>
      <c r="AR116" s="207" t="s">
        <v>82</v>
      </c>
    </row>
    <row r="117" spans="1:44" x14ac:dyDescent="0.2">
      <c r="A117" s="370">
        <v>98</v>
      </c>
      <c r="B117" s="380">
        <v>59</v>
      </c>
      <c r="C117" s="371" t="s">
        <v>2337</v>
      </c>
      <c r="D117" s="371" t="s">
        <v>2235</v>
      </c>
      <c r="E117" s="206"/>
      <c r="F117" s="206" t="s">
        <v>70</v>
      </c>
      <c r="G117" s="206" t="s">
        <v>70</v>
      </c>
      <c r="H117" s="371" t="s">
        <v>2271</v>
      </c>
      <c r="I117" s="206"/>
      <c r="J117" s="206" t="s">
        <v>1358</v>
      </c>
      <c r="K117" s="371" t="s">
        <v>2276</v>
      </c>
      <c r="L117" s="206" t="s">
        <v>2198</v>
      </c>
      <c r="M117" s="206" t="s">
        <v>1357</v>
      </c>
      <c r="N117" s="206" t="s">
        <v>78</v>
      </c>
      <c r="O117" s="372">
        <v>46297</v>
      </c>
      <c r="P117" s="372">
        <v>46063</v>
      </c>
      <c r="Q117" s="371" t="s">
        <v>2276</v>
      </c>
      <c r="R117" s="373">
        <v>45590</v>
      </c>
      <c r="S117" s="373">
        <v>45590</v>
      </c>
      <c r="T117" s="371" t="s">
        <v>2271</v>
      </c>
      <c r="U117" s="373">
        <v>17380</v>
      </c>
      <c r="V117" s="373">
        <v>17380</v>
      </c>
      <c r="W117" s="371" t="s">
        <v>2271</v>
      </c>
      <c r="X117" s="373">
        <v>28210</v>
      </c>
      <c r="Y117" s="373">
        <v>28210</v>
      </c>
      <c r="Z117" s="371" t="s">
        <v>2271</v>
      </c>
      <c r="AA117" s="373">
        <v>0</v>
      </c>
      <c r="AB117" s="373">
        <v>28090</v>
      </c>
      <c r="AC117" s="373">
        <v>28090</v>
      </c>
      <c r="AD117" s="371" t="s">
        <v>2271</v>
      </c>
      <c r="AE117" s="373">
        <v>0</v>
      </c>
      <c r="AF117" s="382">
        <v>0.90416666666666701</v>
      </c>
      <c r="AG117" s="382">
        <v>0.90416666666666701</v>
      </c>
      <c r="AH117" s="371" t="s">
        <v>2271</v>
      </c>
      <c r="AI117" s="382">
        <v>0.99861111111111101</v>
      </c>
      <c r="AJ117" s="382">
        <v>0.99861111111111101</v>
      </c>
      <c r="AK117" s="371" t="s">
        <v>2271</v>
      </c>
      <c r="AL117" s="206" t="s">
        <v>137</v>
      </c>
      <c r="AM117" s="206" t="s">
        <v>137</v>
      </c>
      <c r="AN117" s="371" t="s">
        <v>2271</v>
      </c>
      <c r="AO117" s="206" t="s">
        <v>2358</v>
      </c>
      <c r="AP117" s="206" t="s">
        <v>1499</v>
      </c>
      <c r="AQ117" s="206" t="s">
        <v>1133</v>
      </c>
      <c r="AR117" s="207" t="s">
        <v>88</v>
      </c>
    </row>
    <row r="118" spans="1:44" x14ac:dyDescent="0.2">
      <c r="A118" s="370">
        <v>99</v>
      </c>
      <c r="B118" s="380">
        <v>60</v>
      </c>
      <c r="C118" s="371" t="s">
        <v>2269</v>
      </c>
      <c r="D118" s="371" t="s">
        <v>2270</v>
      </c>
      <c r="E118" s="206"/>
      <c r="F118" s="206" t="s">
        <v>160</v>
      </c>
      <c r="G118" s="206" t="s">
        <v>160</v>
      </c>
      <c r="H118" s="371" t="s">
        <v>2271</v>
      </c>
      <c r="I118" s="206" t="s">
        <v>1330</v>
      </c>
      <c r="J118" s="206" t="s">
        <v>1330</v>
      </c>
      <c r="K118" s="371" t="s">
        <v>2271</v>
      </c>
      <c r="L118" s="206" t="s">
        <v>2137</v>
      </c>
      <c r="M118" s="206" t="s">
        <v>1329</v>
      </c>
      <c r="N118" s="206" t="s">
        <v>40</v>
      </c>
      <c r="O118" s="372">
        <v>45963</v>
      </c>
      <c r="P118" s="372">
        <v>45963</v>
      </c>
      <c r="Q118" s="371" t="s">
        <v>2271</v>
      </c>
      <c r="R118" s="373">
        <v>13450</v>
      </c>
      <c r="S118" s="373">
        <v>13450</v>
      </c>
      <c r="T118" s="371" t="s">
        <v>2271</v>
      </c>
      <c r="U118" s="373">
        <v>3620</v>
      </c>
      <c r="V118" s="373">
        <v>3620</v>
      </c>
      <c r="W118" s="371" t="s">
        <v>2271</v>
      </c>
      <c r="X118" s="373">
        <v>9830</v>
      </c>
      <c r="Y118" s="373">
        <v>9830</v>
      </c>
      <c r="Z118" s="371" t="s">
        <v>2271</v>
      </c>
      <c r="AA118" s="373">
        <v>0</v>
      </c>
      <c r="AB118" s="373">
        <v>9790</v>
      </c>
      <c r="AC118" s="373">
        <v>9790</v>
      </c>
      <c r="AD118" s="371" t="s">
        <v>2271</v>
      </c>
      <c r="AE118" s="373">
        <v>0</v>
      </c>
      <c r="AF118" s="382">
        <v>0.35138888888888897</v>
      </c>
      <c r="AG118" s="382">
        <v>0.35138888888888897</v>
      </c>
      <c r="AH118" s="371" t="s">
        <v>2271</v>
      </c>
      <c r="AI118" s="382">
        <v>0.43125000000000002</v>
      </c>
      <c r="AJ118" s="382">
        <v>0.43125000000000002</v>
      </c>
      <c r="AK118" s="371" t="s">
        <v>2271</v>
      </c>
      <c r="AL118" s="206" t="s">
        <v>42</v>
      </c>
      <c r="AM118" s="206" t="s">
        <v>42</v>
      </c>
      <c r="AN118" s="371" t="s">
        <v>2271</v>
      </c>
      <c r="AO118" s="206" t="s">
        <v>2359</v>
      </c>
      <c r="AP118" s="206"/>
      <c r="AQ118" s="206" t="s">
        <v>1131</v>
      </c>
      <c r="AR118" s="207" t="s">
        <v>82</v>
      </c>
    </row>
    <row r="119" spans="1:44" x14ac:dyDescent="0.2">
      <c r="A119" s="370">
        <v>100</v>
      </c>
      <c r="B119" s="380">
        <v>60</v>
      </c>
      <c r="C119" s="371" t="s">
        <v>2337</v>
      </c>
      <c r="D119" s="371" t="s">
        <v>2235</v>
      </c>
      <c r="E119" s="206"/>
      <c r="F119" s="206" t="s">
        <v>166</v>
      </c>
      <c r="G119" s="206" t="s">
        <v>166</v>
      </c>
      <c r="H119" s="371" t="s">
        <v>2271</v>
      </c>
      <c r="I119" s="206"/>
      <c r="J119" s="206" t="s">
        <v>1361</v>
      </c>
      <c r="K119" s="371" t="s">
        <v>2276</v>
      </c>
      <c r="L119" s="206" t="s">
        <v>2196</v>
      </c>
      <c r="M119" s="206" t="s">
        <v>1360</v>
      </c>
      <c r="N119" s="206" t="s">
        <v>40</v>
      </c>
      <c r="O119" s="372">
        <v>46328</v>
      </c>
      <c r="P119" s="372">
        <v>46064</v>
      </c>
      <c r="Q119" s="371" t="s">
        <v>2276</v>
      </c>
      <c r="R119" s="373">
        <v>13040</v>
      </c>
      <c r="S119" s="373">
        <v>13040</v>
      </c>
      <c r="T119" s="371" t="s">
        <v>2271</v>
      </c>
      <c r="U119" s="373">
        <v>3850</v>
      </c>
      <c r="V119" s="373">
        <v>3850</v>
      </c>
      <c r="W119" s="371" t="s">
        <v>2271</v>
      </c>
      <c r="X119" s="373">
        <v>9190</v>
      </c>
      <c r="Y119" s="373">
        <v>9190</v>
      </c>
      <c r="Z119" s="371" t="s">
        <v>2271</v>
      </c>
      <c r="AA119" s="373">
        <v>0</v>
      </c>
      <c r="AB119" s="373">
        <v>9230</v>
      </c>
      <c r="AC119" s="373">
        <v>9230</v>
      </c>
      <c r="AD119" s="371" t="s">
        <v>2271</v>
      </c>
      <c r="AE119" s="373">
        <v>0</v>
      </c>
      <c r="AF119" s="382">
        <v>0.36180555555555599</v>
      </c>
      <c r="AG119" s="382">
        <v>0.36180555555555599</v>
      </c>
      <c r="AH119" s="371" t="s">
        <v>2271</v>
      </c>
      <c r="AI119" s="382">
        <v>0.46736111111111101</v>
      </c>
      <c r="AJ119" s="382">
        <v>0.46736111111111101</v>
      </c>
      <c r="AK119" s="371" t="s">
        <v>2271</v>
      </c>
      <c r="AL119" s="206" t="s">
        <v>1221</v>
      </c>
      <c r="AM119" s="206" t="s">
        <v>42</v>
      </c>
      <c r="AN119" s="371" t="s">
        <v>2271</v>
      </c>
      <c r="AO119" s="206" t="s">
        <v>2359</v>
      </c>
      <c r="AP119" s="206"/>
      <c r="AQ119" s="206" t="s">
        <v>1131</v>
      </c>
      <c r="AR119" s="207" t="s">
        <v>82</v>
      </c>
    </row>
    <row r="120" spans="1:44" x14ac:dyDescent="0.2">
      <c r="A120" s="370">
        <v>101</v>
      </c>
      <c r="B120" s="380">
        <v>61</v>
      </c>
      <c r="C120" s="371" t="s">
        <v>2269</v>
      </c>
      <c r="D120" s="371" t="s">
        <v>2270</v>
      </c>
      <c r="E120" s="206"/>
      <c r="F120" s="206" t="s">
        <v>166</v>
      </c>
      <c r="G120" s="206" t="s">
        <v>166</v>
      </c>
      <c r="H120" s="371" t="s">
        <v>2271</v>
      </c>
      <c r="I120" s="206" t="s">
        <v>1330</v>
      </c>
      <c r="J120" s="206" t="s">
        <v>1330</v>
      </c>
      <c r="K120" s="371" t="s">
        <v>2271</v>
      </c>
      <c r="L120" s="206" t="s">
        <v>2137</v>
      </c>
      <c r="M120" s="206" t="s">
        <v>1329</v>
      </c>
      <c r="N120" s="206" t="s">
        <v>40</v>
      </c>
      <c r="O120" s="372">
        <v>45964</v>
      </c>
      <c r="P120" s="372">
        <v>45964</v>
      </c>
      <c r="Q120" s="371" t="s">
        <v>2271</v>
      </c>
      <c r="R120" s="373">
        <v>13160</v>
      </c>
      <c r="S120" s="373">
        <v>13160</v>
      </c>
      <c r="T120" s="371" t="s">
        <v>2271</v>
      </c>
      <c r="U120" s="373">
        <v>3840</v>
      </c>
      <c r="V120" s="373">
        <v>3840</v>
      </c>
      <c r="W120" s="371" t="s">
        <v>2271</v>
      </c>
      <c r="X120" s="373">
        <v>9320</v>
      </c>
      <c r="Y120" s="373">
        <v>9320</v>
      </c>
      <c r="Z120" s="371" t="s">
        <v>2271</v>
      </c>
      <c r="AA120" s="373">
        <v>0</v>
      </c>
      <c r="AB120" s="373">
        <v>9280</v>
      </c>
      <c r="AC120" s="373">
        <v>9280</v>
      </c>
      <c r="AD120" s="371" t="s">
        <v>2271</v>
      </c>
      <c r="AE120" s="373">
        <v>0</v>
      </c>
      <c r="AF120" s="382">
        <v>0.87222222222222201</v>
      </c>
      <c r="AG120" s="382">
        <v>0.87222222222222201</v>
      </c>
      <c r="AH120" s="371" t="s">
        <v>2271</v>
      </c>
      <c r="AI120" s="382">
        <v>0.91527777777777797</v>
      </c>
      <c r="AJ120" s="382">
        <v>0.91527777777777797</v>
      </c>
      <c r="AK120" s="371" t="s">
        <v>2271</v>
      </c>
      <c r="AL120" s="206" t="s">
        <v>42</v>
      </c>
      <c r="AM120" s="206" t="s">
        <v>42</v>
      </c>
      <c r="AN120" s="371" t="s">
        <v>2271</v>
      </c>
      <c r="AO120" s="206" t="s">
        <v>2360</v>
      </c>
      <c r="AP120" s="206"/>
      <c r="AQ120" s="206" t="s">
        <v>1131</v>
      </c>
      <c r="AR120" s="207" t="s">
        <v>82</v>
      </c>
    </row>
    <row r="121" spans="1:44" x14ac:dyDescent="0.2">
      <c r="A121" s="370">
        <v>102</v>
      </c>
      <c r="B121" s="380">
        <v>61</v>
      </c>
      <c r="C121" s="371" t="s">
        <v>2337</v>
      </c>
      <c r="D121" s="371" t="s">
        <v>2235</v>
      </c>
      <c r="E121" s="206"/>
      <c r="F121" s="206" t="s">
        <v>191</v>
      </c>
      <c r="G121" s="206" t="s">
        <v>191</v>
      </c>
      <c r="H121" s="371" t="s">
        <v>2271</v>
      </c>
      <c r="I121" s="206"/>
      <c r="J121" s="206" t="s">
        <v>1361</v>
      </c>
      <c r="K121" s="371" t="s">
        <v>2276</v>
      </c>
      <c r="L121" s="206" t="s">
        <v>2196</v>
      </c>
      <c r="M121" s="206" t="s">
        <v>1360</v>
      </c>
      <c r="N121" s="206" t="s">
        <v>40</v>
      </c>
      <c r="O121" s="372">
        <v>46328</v>
      </c>
      <c r="P121" s="372">
        <v>46064</v>
      </c>
      <c r="Q121" s="371" t="s">
        <v>2276</v>
      </c>
      <c r="R121" s="373">
        <v>13830</v>
      </c>
      <c r="S121" s="373">
        <v>13830</v>
      </c>
      <c r="T121" s="371" t="s">
        <v>2271</v>
      </c>
      <c r="U121" s="373">
        <v>4180</v>
      </c>
      <c r="V121" s="373">
        <v>4180</v>
      </c>
      <c r="W121" s="371" t="s">
        <v>2271</v>
      </c>
      <c r="X121" s="373">
        <v>9650</v>
      </c>
      <c r="Y121" s="373">
        <v>9650</v>
      </c>
      <c r="Z121" s="371" t="s">
        <v>2271</v>
      </c>
      <c r="AA121" s="373">
        <v>0</v>
      </c>
      <c r="AB121" s="373">
        <v>9750</v>
      </c>
      <c r="AC121" s="373">
        <v>9750</v>
      </c>
      <c r="AD121" s="371" t="s">
        <v>2271</v>
      </c>
      <c r="AE121" s="373">
        <v>0</v>
      </c>
      <c r="AF121" s="382">
        <v>0.36319444444444399</v>
      </c>
      <c r="AG121" s="382">
        <v>0.36319444444444399</v>
      </c>
      <c r="AH121" s="371" t="s">
        <v>2271</v>
      </c>
      <c r="AI121" s="382">
        <v>0.47847222222222202</v>
      </c>
      <c r="AJ121" s="382">
        <v>0.47847222222222202</v>
      </c>
      <c r="AK121" s="371" t="s">
        <v>2271</v>
      </c>
      <c r="AL121" s="206" t="s">
        <v>1221</v>
      </c>
      <c r="AM121" s="206" t="s">
        <v>42</v>
      </c>
      <c r="AN121" s="371" t="s">
        <v>2271</v>
      </c>
      <c r="AO121" s="206" t="s">
        <v>2360</v>
      </c>
      <c r="AP121" s="206"/>
      <c r="AQ121" s="206" t="s">
        <v>1131</v>
      </c>
      <c r="AR121" s="207" t="s">
        <v>82</v>
      </c>
    </row>
    <row r="122" spans="1:44" x14ac:dyDescent="0.2">
      <c r="A122" s="370">
        <v>103</v>
      </c>
      <c r="B122" s="380">
        <v>62</v>
      </c>
      <c r="C122" s="371" t="s">
        <v>2269</v>
      </c>
      <c r="D122" s="371" t="s">
        <v>2270</v>
      </c>
      <c r="E122" s="206"/>
      <c r="F122" s="206" t="s">
        <v>151</v>
      </c>
      <c r="G122" s="206" t="s">
        <v>151</v>
      </c>
      <c r="H122" s="371" t="s">
        <v>2271</v>
      </c>
      <c r="I122" s="206" t="s">
        <v>1330</v>
      </c>
      <c r="J122" s="206" t="s">
        <v>1330</v>
      </c>
      <c r="K122" s="371" t="s">
        <v>2271</v>
      </c>
      <c r="L122" s="206" t="s">
        <v>2137</v>
      </c>
      <c r="M122" s="206" t="s">
        <v>1329</v>
      </c>
      <c r="N122" s="206" t="s">
        <v>40</v>
      </c>
      <c r="O122" s="372">
        <v>45964</v>
      </c>
      <c r="P122" s="372">
        <v>45964</v>
      </c>
      <c r="Q122" s="371" t="s">
        <v>2271</v>
      </c>
      <c r="R122" s="373">
        <v>13470</v>
      </c>
      <c r="S122" s="373">
        <v>13470</v>
      </c>
      <c r="T122" s="371" t="s">
        <v>2271</v>
      </c>
      <c r="U122" s="373">
        <v>4080</v>
      </c>
      <c r="V122" s="373">
        <v>4080</v>
      </c>
      <c r="W122" s="371" t="s">
        <v>2271</v>
      </c>
      <c r="X122" s="373">
        <v>9390</v>
      </c>
      <c r="Y122" s="373">
        <v>9390</v>
      </c>
      <c r="Z122" s="371" t="s">
        <v>2271</v>
      </c>
      <c r="AA122" s="373">
        <v>0</v>
      </c>
      <c r="AB122" s="373">
        <v>9350</v>
      </c>
      <c r="AC122" s="373">
        <v>9350</v>
      </c>
      <c r="AD122" s="371" t="s">
        <v>2271</v>
      </c>
      <c r="AE122" s="373">
        <v>0</v>
      </c>
      <c r="AF122" s="382">
        <v>0.87291666666666701</v>
      </c>
      <c r="AG122" s="382">
        <v>0.87291666666666701</v>
      </c>
      <c r="AH122" s="371" t="s">
        <v>2271</v>
      </c>
      <c r="AI122" s="382">
        <v>0.91388888888888897</v>
      </c>
      <c r="AJ122" s="382">
        <v>0.91388888888888897</v>
      </c>
      <c r="AK122" s="371" t="s">
        <v>2271</v>
      </c>
      <c r="AL122" s="206" t="s">
        <v>42</v>
      </c>
      <c r="AM122" s="206" t="s">
        <v>42</v>
      </c>
      <c r="AN122" s="371" t="s">
        <v>2271</v>
      </c>
      <c r="AO122" s="206" t="s">
        <v>2361</v>
      </c>
      <c r="AP122" s="206"/>
      <c r="AQ122" s="206" t="s">
        <v>1131</v>
      </c>
      <c r="AR122" s="207" t="s">
        <v>82</v>
      </c>
    </row>
    <row r="123" spans="1:44" x14ac:dyDescent="0.2">
      <c r="A123" s="370">
        <v>104</v>
      </c>
      <c r="B123" s="380">
        <v>62</v>
      </c>
      <c r="C123" s="371" t="s">
        <v>2337</v>
      </c>
      <c r="D123" s="371" t="s">
        <v>2235</v>
      </c>
      <c r="E123" s="206"/>
      <c r="F123" s="206" t="s">
        <v>169</v>
      </c>
      <c r="G123" s="206" t="s">
        <v>169</v>
      </c>
      <c r="H123" s="371" t="s">
        <v>2271</v>
      </c>
      <c r="I123" s="206"/>
      <c r="J123" s="206" t="s">
        <v>1361</v>
      </c>
      <c r="K123" s="371" t="s">
        <v>2276</v>
      </c>
      <c r="L123" s="206" t="s">
        <v>2196</v>
      </c>
      <c r="M123" s="206" t="s">
        <v>1360</v>
      </c>
      <c r="N123" s="206" t="s">
        <v>40</v>
      </c>
      <c r="O123" s="372">
        <v>46328</v>
      </c>
      <c r="P123" s="372">
        <v>46064</v>
      </c>
      <c r="Q123" s="371" t="s">
        <v>2276</v>
      </c>
      <c r="R123" s="373">
        <v>13410</v>
      </c>
      <c r="S123" s="373">
        <v>13410</v>
      </c>
      <c r="T123" s="371" t="s">
        <v>2271</v>
      </c>
      <c r="U123" s="373">
        <v>4120</v>
      </c>
      <c r="V123" s="373">
        <v>4120</v>
      </c>
      <c r="W123" s="371" t="s">
        <v>2271</v>
      </c>
      <c r="X123" s="373">
        <v>9290</v>
      </c>
      <c r="Y123" s="373">
        <v>9290</v>
      </c>
      <c r="Z123" s="371" t="s">
        <v>2271</v>
      </c>
      <c r="AA123" s="373">
        <v>0</v>
      </c>
      <c r="AB123" s="373">
        <v>9360</v>
      </c>
      <c r="AC123" s="373">
        <v>9360</v>
      </c>
      <c r="AD123" s="371" t="s">
        <v>2271</v>
      </c>
      <c r="AE123" s="373">
        <v>0</v>
      </c>
      <c r="AF123" s="382">
        <v>0.36458333333333298</v>
      </c>
      <c r="AG123" s="382">
        <v>0.36458333333333298</v>
      </c>
      <c r="AH123" s="371" t="s">
        <v>2271</v>
      </c>
      <c r="AI123" s="382">
        <v>0.452777777777778</v>
      </c>
      <c r="AJ123" s="382">
        <v>0.452777777777778</v>
      </c>
      <c r="AK123" s="371" t="s">
        <v>2271</v>
      </c>
      <c r="AL123" s="206" t="s">
        <v>1221</v>
      </c>
      <c r="AM123" s="206" t="s">
        <v>42</v>
      </c>
      <c r="AN123" s="371" t="s">
        <v>2271</v>
      </c>
      <c r="AO123" s="206" t="s">
        <v>2361</v>
      </c>
      <c r="AP123" s="206"/>
      <c r="AQ123" s="206" t="s">
        <v>1131</v>
      </c>
      <c r="AR123" s="207" t="s">
        <v>82</v>
      </c>
    </row>
    <row r="124" spans="1:44" x14ac:dyDescent="0.2">
      <c r="A124" s="370">
        <v>105</v>
      </c>
      <c r="B124" s="380">
        <v>63</v>
      </c>
      <c r="C124" s="371" t="s">
        <v>2269</v>
      </c>
      <c r="D124" s="371" t="s">
        <v>2270</v>
      </c>
      <c r="E124" s="206"/>
      <c r="F124" s="206" t="s">
        <v>169</v>
      </c>
      <c r="G124" s="206" t="s">
        <v>169</v>
      </c>
      <c r="H124" s="371" t="s">
        <v>2271</v>
      </c>
      <c r="I124" s="206" t="s">
        <v>1330</v>
      </c>
      <c r="J124" s="206" t="s">
        <v>1330</v>
      </c>
      <c r="K124" s="371" t="s">
        <v>2271</v>
      </c>
      <c r="L124" s="206" t="s">
        <v>2137</v>
      </c>
      <c r="M124" s="206" t="s">
        <v>1329</v>
      </c>
      <c r="N124" s="206" t="s">
        <v>40</v>
      </c>
      <c r="O124" s="372">
        <v>45964</v>
      </c>
      <c r="P124" s="372">
        <v>45964</v>
      </c>
      <c r="Q124" s="371" t="s">
        <v>2271</v>
      </c>
      <c r="R124" s="373">
        <v>13420</v>
      </c>
      <c r="S124" s="373">
        <v>13420</v>
      </c>
      <c r="T124" s="371" t="s">
        <v>2271</v>
      </c>
      <c r="U124" s="373">
        <v>4000</v>
      </c>
      <c r="V124" s="373">
        <v>4000</v>
      </c>
      <c r="W124" s="371" t="s">
        <v>2271</v>
      </c>
      <c r="X124" s="373">
        <v>9420</v>
      </c>
      <c r="Y124" s="373">
        <v>9420</v>
      </c>
      <c r="Z124" s="371" t="s">
        <v>2271</v>
      </c>
      <c r="AA124" s="373">
        <v>0</v>
      </c>
      <c r="AB124" s="373">
        <v>9370</v>
      </c>
      <c r="AC124" s="373">
        <v>9370</v>
      </c>
      <c r="AD124" s="371" t="s">
        <v>2271</v>
      </c>
      <c r="AE124" s="373">
        <v>0</v>
      </c>
      <c r="AF124" s="382">
        <v>0.874305555555556</v>
      </c>
      <c r="AG124" s="382">
        <v>0.874305555555556</v>
      </c>
      <c r="AH124" s="371" t="s">
        <v>2271</v>
      </c>
      <c r="AI124" s="382">
        <v>0.94027777777777799</v>
      </c>
      <c r="AJ124" s="382">
        <v>0.94027777777777799</v>
      </c>
      <c r="AK124" s="371" t="s">
        <v>2271</v>
      </c>
      <c r="AL124" s="206" t="s">
        <v>42</v>
      </c>
      <c r="AM124" s="206" t="s">
        <v>42</v>
      </c>
      <c r="AN124" s="371" t="s">
        <v>2271</v>
      </c>
      <c r="AO124" s="206" t="s">
        <v>2362</v>
      </c>
      <c r="AP124" s="206"/>
      <c r="AQ124" s="206" t="s">
        <v>1131</v>
      </c>
      <c r="AR124" s="207" t="s">
        <v>82</v>
      </c>
    </row>
    <row r="125" spans="1:44" x14ac:dyDescent="0.2">
      <c r="A125" s="370">
        <v>106</v>
      </c>
      <c r="B125" s="380">
        <v>63</v>
      </c>
      <c r="C125" s="371" t="s">
        <v>2337</v>
      </c>
      <c r="D125" s="371" t="s">
        <v>2235</v>
      </c>
      <c r="E125" s="206"/>
      <c r="F125" s="206" t="s">
        <v>194</v>
      </c>
      <c r="G125" s="206" t="s">
        <v>194</v>
      </c>
      <c r="H125" s="371" t="s">
        <v>2271</v>
      </c>
      <c r="I125" s="206"/>
      <c r="J125" s="206" t="s">
        <v>1361</v>
      </c>
      <c r="K125" s="371" t="s">
        <v>2276</v>
      </c>
      <c r="L125" s="206" t="s">
        <v>2196</v>
      </c>
      <c r="M125" s="206" t="s">
        <v>1360</v>
      </c>
      <c r="N125" s="206" t="s">
        <v>40</v>
      </c>
      <c r="O125" s="372">
        <v>46328</v>
      </c>
      <c r="P125" s="372">
        <v>46064</v>
      </c>
      <c r="Q125" s="371" t="s">
        <v>2276</v>
      </c>
      <c r="R125" s="373">
        <v>13080</v>
      </c>
      <c r="S125" s="373">
        <v>13080</v>
      </c>
      <c r="T125" s="371" t="s">
        <v>2271</v>
      </c>
      <c r="U125" s="373">
        <v>4090</v>
      </c>
      <c r="V125" s="373">
        <v>4090</v>
      </c>
      <c r="W125" s="371" t="s">
        <v>2271</v>
      </c>
      <c r="X125" s="373">
        <v>8990</v>
      </c>
      <c r="Y125" s="373">
        <v>8990</v>
      </c>
      <c r="Z125" s="371" t="s">
        <v>2271</v>
      </c>
      <c r="AA125" s="373">
        <v>0</v>
      </c>
      <c r="AB125" s="373">
        <v>9240</v>
      </c>
      <c r="AC125" s="373">
        <v>9240</v>
      </c>
      <c r="AD125" s="371" t="s">
        <v>2271</v>
      </c>
      <c r="AE125" s="373">
        <v>0</v>
      </c>
      <c r="AF125" s="382">
        <v>0.72291666666666698</v>
      </c>
      <c r="AG125" s="382">
        <v>0.72291666666666698</v>
      </c>
      <c r="AH125" s="371" t="s">
        <v>2271</v>
      </c>
      <c r="AI125" s="382">
        <v>0.76944444444444404</v>
      </c>
      <c r="AJ125" s="382">
        <v>0.76944444444444504</v>
      </c>
      <c r="AK125" s="371" t="s">
        <v>2276</v>
      </c>
      <c r="AL125" s="206" t="s">
        <v>1221</v>
      </c>
      <c r="AM125" s="206" t="s">
        <v>42</v>
      </c>
      <c r="AN125" s="371" t="s">
        <v>2271</v>
      </c>
      <c r="AO125" s="206" t="s">
        <v>2362</v>
      </c>
      <c r="AP125" s="206"/>
      <c r="AQ125" s="206" t="s">
        <v>1131</v>
      </c>
      <c r="AR125" s="207" t="s">
        <v>82</v>
      </c>
    </row>
    <row r="126" spans="1:44" x14ac:dyDescent="0.2">
      <c r="A126" s="370">
        <v>107</v>
      </c>
      <c r="B126" s="380">
        <v>64</v>
      </c>
      <c r="C126" s="371" t="s">
        <v>2269</v>
      </c>
      <c r="D126" s="371" t="s">
        <v>2270</v>
      </c>
      <c r="E126" s="206"/>
      <c r="F126" s="206" t="s">
        <v>163</v>
      </c>
      <c r="G126" s="206" t="s">
        <v>163</v>
      </c>
      <c r="H126" s="371" t="s">
        <v>2271</v>
      </c>
      <c r="I126" s="206" t="s">
        <v>1330</v>
      </c>
      <c r="J126" s="206" t="s">
        <v>1330</v>
      </c>
      <c r="K126" s="371" t="s">
        <v>2271</v>
      </c>
      <c r="L126" s="206" t="s">
        <v>2137</v>
      </c>
      <c r="M126" s="206" t="s">
        <v>1329</v>
      </c>
      <c r="N126" s="206" t="s">
        <v>40</v>
      </c>
      <c r="O126" s="372">
        <v>45964</v>
      </c>
      <c r="P126" s="372">
        <v>45964</v>
      </c>
      <c r="Q126" s="371" t="s">
        <v>2271</v>
      </c>
      <c r="R126" s="373">
        <v>13920</v>
      </c>
      <c r="S126" s="373">
        <v>13920</v>
      </c>
      <c r="T126" s="371" t="s">
        <v>2271</v>
      </c>
      <c r="U126" s="373">
        <v>3860</v>
      </c>
      <c r="V126" s="373">
        <v>3860</v>
      </c>
      <c r="W126" s="371" t="s">
        <v>2271</v>
      </c>
      <c r="X126" s="373">
        <v>10060</v>
      </c>
      <c r="Y126" s="373">
        <v>10060</v>
      </c>
      <c r="Z126" s="371" t="s">
        <v>2271</v>
      </c>
      <c r="AA126" s="373">
        <v>0</v>
      </c>
      <c r="AB126" s="373">
        <v>10040</v>
      </c>
      <c r="AC126" s="373">
        <v>10040</v>
      </c>
      <c r="AD126" s="371" t="s">
        <v>2271</v>
      </c>
      <c r="AE126" s="373">
        <v>0</v>
      </c>
      <c r="AF126" s="382">
        <v>0.91041666666666698</v>
      </c>
      <c r="AG126" s="382">
        <v>0.91041666666666698</v>
      </c>
      <c r="AH126" s="371" t="s">
        <v>2271</v>
      </c>
      <c r="AI126" s="382">
        <v>0.94722222222222197</v>
      </c>
      <c r="AJ126" s="382">
        <v>0.94722222222222197</v>
      </c>
      <c r="AK126" s="371" t="s">
        <v>2271</v>
      </c>
      <c r="AL126" s="206" t="s">
        <v>42</v>
      </c>
      <c r="AM126" s="206" t="s">
        <v>42</v>
      </c>
      <c r="AN126" s="371" t="s">
        <v>2271</v>
      </c>
      <c r="AO126" s="206" t="s">
        <v>2363</v>
      </c>
      <c r="AP126" s="206"/>
      <c r="AQ126" s="206" t="s">
        <v>1131</v>
      </c>
      <c r="AR126" s="207" t="s">
        <v>82</v>
      </c>
    </row>
    <row r="127" spans="1:44" x14ac:dyDescent="0.2">
      <c r="A127" s="370">
        <v>108</v>
      </c>
      <c r="B127" s="380">
        <v>64</v>
      </c>
      <c r="C127" s="371" t="s">
        <v>2337</v>
      </c>
      <c r="D127" s="371" t="s">
        <v>2235</v>
      </c>
      <c r="E127" s="206"/>
      <c r="F127" s="206" t="s">
        <v>171</v>
      </c>
      <c r="G127" s="206" t="s">
        <v>171</v>
      </c>
      <c r="H127" s="371" t="s">
        <v>2271</v>
      </c>
      <c r="I127" s="206"/>
      <c r="J127" s="206" t="s">
        <v>1361</v>
      </c>
      <c r="K127" s="371" t="s">
        <v>2276</v>
      </c>
      <c r="L127" s="206" t="s">
        <v>2196</v>
      </c>
      <c r="M127" s="206" t="s">
        <v>1360</v>
      </c>
      <c r="N127" s="206" t="s">
        <v>40</v>
      </c>
      <c r="O127" s="372">
        <v>46328</v>
      </c>
      <c r="P127" s="372">
        <v>46064</v>
      </c>
      <c r="Q127" s="371" t="s">
        <v>2276</v>
      </c>
      <c r="R127" s="373">
        <v>13170</v>
      </c>
      <c r="S127" s="373">
        <v>13170</v>
      </c>
      <c r="T127" s="371" t="s">
        <v>2271</v>
      </c>
      <c r="U127" s="373">
        <v>3690</v>
      </c>
      <c r="V127" s="373">
        <v>3690</v>
      </c>
      <c r="W127" s="371" t="s">
        <v>2271</v>
      </c>
      <c r="X127" s="373">
        <v>9480</v>
      </c>
      <c r="Y127" s="373">
        <v>9480</v>
      </c>
      <c r="Z127" s="371" t="s">
        <v>2271</v>
      </c>
      <c r="AA127" s="373">
        <v>0</v>
      </c>
      <c r="AB127" s="373">
        <v>9510</v>
      </c>
      <c r="AC127" s="373">
        <v>9510</v>
      </c>
      <c r="AD127" s="371" t="s">
        <v>2271</v>
      </c>
      <c r="AE127" s="373">
        <v>0</v>
      </c>
      <c r="AF127" s="382">
        <v>0.73055555555555596</v>
      </c>
      <c r="AG127" s="382">
        <v>0.73055555555555596</v>
      </c>
      <c r="AH127" s="371" t="s">
        <v>2271</v>
      </c>
      <c r="AI127" s="382">
        <v>0.76805555555555605</v>
      </c>
      <c r="AJ127" s="382">
        <v>0.76805555555555605</v>
      </c>
      <c r="AK127" s="371" t="s">
        <v>2271</v>
      </c>
      <c r="AL127" s="206" t="s">
        <v>137</v>
      </c>
      <c r="AM127" s="206" t="s">
        <v>137</v>
      </c>
      <c r="AN127" s="371" t="s">
        <v>2271</v>
      </c>
      <c r="AO127" s="206" t="s">
        <v>2363</v>
      </c>
      <c r="AP127" s="206"/>
      <c r="AQ127" s="206" t="s">
        <v>1131</v>
      </c>
      <c r="AR127" s="207" t="s">
        <v>82</v>
      </c>
    </row>
    <row r="128" spans="1:44" x14ac:dyDescent="0.2">
      <c r="A128" s="370">
        <v>109</v>
      </c>
      <c r="B128" s="380">
        <v>65</v>
      </c>
      <c r="C128" s="371" t="s">
        <v>2269</v>
      </c>
      <c r="D128" s="371" t="s">
        <v>2270</v>
      </c>
      <c r="E128" s="206"/>
      <c r="F128" s="206" t="s">
        <v>153</v>
      </c>
      <c r="G128" s="206" t="s">
        <v>153</v>
      </c>
      <c r="H128" s="371" t="s">
        <v>2271</v>
      </c>
      <c r="I128" s="206" t="s">
        <v>1330</v>
      </c>
      <c r="J128" s="206" t="s">
        <v>1330</v>
      </c>
      <c r="K128" s="371" t="s">
        <v>2271</v>
      </c>
      <c r="L128" s="206" t="s">
        <v>2137</v>
      </c>
      <c r="M128" s="206" t="s">
        <v>1329</v>
      </c>
      <c r="N128" s="206" t="s">
        <v>40</v>
      </c>
      <c r="O128" s="372">
        <v>45964</v>
      </c>
      <c r="P128" s="372">
        <v>45964</v>
      </c>
      <c r="Q128" s="371" t="s">
        <v>2271</v>
      </c>
      <c r="R128" s="373">
        <v>13600</v>
      </c>
      <c r="S128" s="373">
        <v>13600</v>
      </c>
      <c r="T128" s="371" t="s">
        <v>2271</v>
      </c>
      <c r="U128" s="373">
        <v>4020</v>
      </c>
      <c r="V128" s="373">
        <v>4020</v>
      </c>
      <c r="W128" s="371" t="s">
        <v>2271</v>
      </c>
      <c r="X128" s="373">
        <v>9580</v>
      </c>
      <c r="Y128" s="373">
        <v>9580</v>
      </c>
      <c r="Z128" s="371" t="s">
        <v>2271</v>
      </c>
      <c r="AA128" s="373">
        <v>0</v>
      </c>
      <c r="AB128" s="373">
        <v>9550</v>
      </c>
      <c r="AC128" s="373">
        <v>9550</v>
      </c>
      <c r="AD128" s="371" t="s">
        <v>2271</v>
      </c>
      <c r="AE128" s="373">
        <v>0</v>
      </c>
      <c r="AF128" s="382">
        <v>0.91805555555555596</v>
      </c>
      <c r="AG128" s="382">
        <v>0.91805555555555596</v>
      </c>
      <c r="AH128" s="371" t="s">
        <v>2271</v>
      </c>
      <c r="AI128" s="382">
        <v>0.969444444444444</v>
      </c>
      <c r="AJ128" s="382">
        <v>0.969444444444444</v>
      </c>
      <c r="AK128" s="371" t="s">
        <v>2271</v>
      </c>
      <c r="AL128" s="206" t="s">
        <v>42</v>
      </c>
      <c r="AM128" s="206" t="s">
        <v>42</v>
      </c>
      <c r="AN128" s="371" t="s">
        <v>2271</v>
      </c>
      <c r="AO128" s="206" t="s">
        <v>2364</v>
      </c>
      <c r="AP128" s="206"/>
      <c r="AQ128" s="206" t="s">
        <v>1131</v>
      </c>
      <c r="AR128" s="207" t="s">
        <v>82</v>
      </c>
    </row>
    <row r="129" spans="1:44" x14ac:dyDescent="0.2">
      <c r="A129" s="370">
        <v>110</v>
      </c>
      <c r="B129" s="380">
        <v>65</v>
      </c>
      <c r="C129" s="371" t="s">
        <v>2337</v>
      </c>
      <c r="D129" s="371" t="s">
        <v>2235</v>
      </c>
      <c r="E129" s="206"/>
      <c r="F129" s="206" t="s">
        <v>53</v>
      </c>
      <c r="G129" s="206" t="s">
        <v>53</v>
      </c>
      <c r="H129" s="371" t="s">
        <v>2271</v>
      </c>
      <c r="I129" s="206"/>
      <c r="J129" s="206" t="s">
        <v>1361</v>
      </c>
      <c r="K129" s="371" t="s">
        <v>2276</v>
      </c>
      <c r="L129" s="206" t="s">
        <v>2196</v>
      </c>
      <c r="M129" s="206" t="s">
        <v>1360</v>
      </c>
      <c r="N129" s="206" t="s">
        <v>40</v>
      </c>
      <c r="O129" s="372">
        <v>46328</v>
      </c>
      <c r="P129" s="372">
        <v>46064</v>
      </c>
      <c r="Q129" s="371" t="s">
        <v>2276</v>
      </c>
      <c r="R129" s="373">
        <v>13270</v>
      </c>
      <c r="S129" s="373">
        <v>13270</v>
      </c>
      <c r="T129" s="371" t="s">
        <v>2271</v>
      </c>
      <c r="U129" s="373">
        <v>3800</v>
      </c>
      <c r="V129" s="373">
        <v>3800</v>
      </c>
      <c r="W129" s="371" t="s">
        <v>2271</v>
      </c>
      <c r="X129" s="373">
        <v>9470</v>
      </c>
      <c r="Y129" s="373">
        <v>9470</v>
      </c>
      <c r="Z129" s="371" t="s">
        <v>2271</v>
      </c>
      <c r="AA129" s="373">
        <v>0</v>
      </c>
      <c r="AB129" s="373">
        <v>9490</v>
      </c>
      <c r="AC129" s="373">
        <v>9490</v>
      </c>
      <c r="AD129" s="371" t="s">
        <v>2271</v>
      </c>
      <c r="AE129" s="373">
        <v>0</v>
      </c>
      <c r="AF129" s="382">
        <v>0.73263888888888895</v>
      </c>
      <c r="AG129" s="382">
        <v>0.73263888888888895</v>
      </c>
      <c r="AH129" s="371" t="s">
        <v>2271</v>
      </c>
      <c r="AI129" s="382">
        <v>0.76666666666666705</v>
      </c>
      <c r="AJ129" s="382">
        <v>0.76666666666666705</v>
      </c>
      <c r="AK129" s="371" t="s">
        <v>2271</v>
      </c>
      <c r="AL129" s="206" t="s">
        <v>137</v>
      </c>
      <c r="AM129" s="206" t="s">
        <v>137</v>
      </c>
      <c r="AN129" s="371" t="s">
        <v>2271</v>
      </c>
      <c r="AO129" s="206" t="s">
        <v>2364</v>
      </c>
      <c r="AP129" s="206"/>
      <c r="AQ129" s="206" t="s">
        <v>1131</v>
      </c>
      <c r="AR129" s="207" t="s">
        <v>82</v>
      </c>
    </row>
    <row r="130" spans="1:44" x14ac:dyDescent="0.2">
      <c r="A130" s="370">
        <v>111</v>
      </c>
      <c r="B130" s="380">
        <v>66</v>
      </c>
      <c r="C130" s="371" t="s">
        <v>2269</v>
      </c>
      <c r="D130" s="371" t="s">
        <v>2270</v>
      </c>
      <c r="E130" s="206"/>
      <c r="F130" s="206" t="s">
        <v>149</v>
      </c>
      <c r="G130" s="206" t="s">
        <v>149</v>
      </c>
      <c r="H130" s="371" t="s">
        <v>2271</v>
      </c>
      <c r="I130" s="206" t="s">
        <v>1330</v>
      </c>
      <c r="J130" s="206" t="s">
        <v>1330</v>
      </c>
      <c r="K130" s="371" t="s">
        <v>2271</v>
      </c>
      <c r="L130" s="206" t="s">
        <v>2137</v>
      </c>
      <c r="M130" s="206" t="s">
        <v>1329</v>
      </c>
      <c r="N130" s="206" t="s">
        <v>40</v>
      </c>
      <c r="O130" s="372">
        <v>45964</v>
      </c>
      <c r="P130" s="372">
        <v>45964</v>
      </c>
      <c r="Q130" s="371" t="s">
        <v>2271</v>
      </c>
      <c r="R130" s="373">
        <v>13910</v>
      </c>
      <c r="S130" s="373">
        <v>13910</v>
      </c>
      <c r="T130" s="371" t="s">
        <v>2271</v>
      </c>
      <c r="U130" s="373">
        <v>4060</v>
      </c>
      <c r="V130" s="373">
        <v>4060</v>
      </c>
      <c r="W130" s="371" t="s">
        <v>2271</v>
      </c>
      <c r="X130" s="373">
        <v>9850</v>
      </c>
      <c r="Y130" s="373">
        <v>9850</v>
      </c>
      <c r="Z130" s="371" t="s">
        <v>2271</v>
      </c>
      <c r="AA130" s="373">
        <v>0</v>
      </c>
      <c r="AB130" s="373">
        <v>9840</v>
      </c>
      <c r="AC130" s="373">
        <v>9840</v>
      </c>
      <c r="AD130" s="371" t="s">
        <v>2271</v>
      </c>
      <c r="AE130" s="373">
        <v>0</v>
      </c>
      <c r="AF130" s="382">
        <v>0.91944444444444395</v>
      </c>
      <c r="AG130" s="382">
        <v>0.91944444444444395</v>
      </c>
      <c r="AH130" s="371" t="s">
        <v>2271</v>
      </c>
      <c r="AI130" s="382">
        <v>0.98263888888888895</v>
      </c>
      <c r="AJ130" s="382">
        <v>0.98263888888888895</v>
      </c>
      <c r="AK130" s="371" t="s">
        <v>2271</v>
      </c>
      <c r="AL130" s="206" t="s">
        <v>42</v>
      </c>
      <c r="AM130" s="206" t="s">
        <v>42</v>
      </c>
      <c r="AN130" s="371" t="s">
        <v>2271</v>
      </c>
      <c r="AO130" s="206" t="s">
        <v>2365</v>
      </c>
      <c r="AP130" s="206"/>
      <c r="AQ130" s="206" t="s">
        <v>1131</v>
      </c>
      <c r="AR130" s="207" t="s">
        <v>82</v>
      </c>
    </row>
    <row r="131" spans="1:44" x14ac:dyDescent="0.2">
      <c r="A131" s="370">
        <v>112</v>
      </c>
      <c r="B131" s="380">
        <v>66</v>
      </c>
      <c r="C131" s="371" t="s">
        <v>2337</v>
      </c>
      <c r="D131" s="371" t="s">
        <v>2235</v>
      </c>
      <c r="E131" s="206"/>
      <c r="F131" s="206" t="s">
        <v>56</v>
      </c>
      <c r="G131" s="206" t="s">
        <v>56</v>
      </c>
      <c r="H131" s="371" t="s">
        <v>2271</v>
      </c>
      <c r="I131" s="206"/>
      <c r="J131" s="206" t="s">
        <v>1358</v>
      </c>
      <c r="K131" s="371" t="s">
        <v>2276</v>
      </c>
      <c r="L131" s="206" t="s">
        <v>2198</v>
      </c>
      <c r="M131" s="206" t="s">
        <v>1357</v>
      </c>
      <c r="N131" s="206" t="s">
        <v>78</v>
      </c>
      <c r="O131" s="372">
        <v>46328</v>
      </c>
      <c r="P131" s="372">
        <v>46064</v>
      </c>
      <c r="Q131" s="371" t="s">
        <v>2276</v>
      </c>
      <c r="R131" s="373">
        <v>24940</v>
      </c>
      <c r="S131" s="373">
        <v>24940</v>
      </c>
      <c r="T131" s="371" t="s">
        <v>2271</v>
      </c>
      <c r="U131" s="373">
        <v>10670</v>
      </c>
      <c r="V131" s="373">
        <v>10670</v>
      </c>
      <c r="W131" s="371" t="s">
        <v>2271</v>
      </c>
      <c r="X131" s="373">
        <v>14270</v>
      </c>
      <c r="Y131" s="373">
        <v>14270</v>
      </c>
      <c r="Z131" s="371" t="s">
        <v>2271</v>
      </c>
      <c r="AA131" s="373">
        <v>0</v>
      </c>
      <c r="AB131" s="373">
        <v>14280</v>
      </c>
      <c r="AC131" s="373">
        <v>14280</v>
      </c>
      <c r="AD131" s="371" t="s">
        <v>2271</v>
      </c>
      <c r="AE131" s="373">
        <v>0</v>
      </c>
      <c r="AF131" s="382">
        <v>0.77291666666666703</v>
      </c>
      <c r="AG131" s="382">
        <v>0.77291666666666703</v>
      </c>
      <c r="AH131" s="371" t="s">
        <v>2271</v>
      </c>
      <c r="AI131" s="382">
        <v>0.80763888888888902</v>
      </c>
      <c r="AJ131" s="382">
        <v>0.80763888888888902</v>
      </c>
      <c r="AK131" s="371" t="s">
        <v>2271</v>
      </c>
      <c r="AL131" s="206" t="s">
        <v>137</v>
      </c>
      <c r="AM131" s="206" t="s">
        <v>137</v>
      </c>
      <c r="AN131" s="371" t="s">
        <v>2271</v>
      </c>
      <c r="AO131" s="206" t="s">
        <v>2366</v>
      </c>
      <c r="AP131" s="206" t="s">
        <v>1781</v>
      </c>
      <c r="AQ131" s="206" t="s">
        <v>1132</v>
      </c>
      <c r="AR131" s="207" t="s">
        <v>88</v>
      </c>
    </row>
    <row r="132" spans="1:44" x14ac:dyDescent="0.2">
      <c r="A132" s="370">
        <v>113</v>
      </c>
      <c r="B132" s="380">
        <v>67</v>
      </c>
      <c r="C132" s="371" t="s">
        <v>2269</v>
      </c>
      <c r="D132" s="371" t="s">
        <v>2270</v>
      </c>
      <c r="E132" s="206"/>
      <c r="F132" s="206" t="s">
        <v>158</v>
      </c>
      <c r="G132" s="206" t="s">
        <v>158</v>
      </c>
      <c r="H132" s="371" t="s">
        <v>2271</v>
      </c>
      <c r="I132" s="206" t="s">
        <v>1330</v>
      </c>
      <c r="J132" s="206" t="s">
        <v>1330</v>
      </c>
      <c r="K132" s="371" t="s">
        <v>2271</v>
      </c>
      <c r="L132" s="206" t="s">
        <v>2137</v>
      </c>
      <c r="M132" s="206" t="s">
        <v>1329</v>
      </c>
      <c r="N132" s="206" t="s">
        <v>40</v>
      </c>
      <c r="O132" s="372">
        <v>45964</v>
      </c>
      <c r="P132" s="372">
        <v>45964</v>
      </c>
      <c r="Q132" s="371" t="s">
        <v>2271</v>
      </c>
      <c r="R132" s="373">
        <v>13850</v>
      </c>
      <c r="S132" s="373">
        <v>13850</v>
      </c>
      <c r="T132" s="371" t="s">
        <v>2271</v>
      </c>
      <c r="U132" s="373">
        <v>3790</v>
      </c>
      <c r="V132" s="373">
        <v>3790</v>
      </c>
      <c r="W132" s="371" t="s">
        <v>2271</v>
      </c>
      <c r="X132" s="373">
        <v>10060</v>
      </c>
      <c r="Y132" s="373">
        <v>10060</v>
      </c>
      <c r="Z132" s="371" t="s">
        <v>2271</v>
      </c>
      <c r="AA132" s="373">
        <v>0</v>
      </c>
      <c r="AB132" s="373">
        <v>10010</v>
      </c>
      <c r="AC132" s="373">
        <v>10010</v>
      </c>
      <c r="AD132" s="371" t="s">
        <v>2271</v>
      </c>
      <c r="AE132" s="373">
        <v>0</v>
      </c>
      <c r="AF132" s="382">
        <v>0.92013888888888895</v>
      </c>
      <c r="AG132" s="382">
        <v>0.92013888888888895</v>
      </c>
      <c r="AH132" s="371" t="s">
        <v>2271</v>
      </c>
      <c r="AI132" s="382">
        <v>0.99375000000000002</v>
      </c>
      <c r="AJ132" s="382">
        <v>0.99375000000000002</v>
      </c>
      <c r="AK132" s="371" t="s">
        <v>2271</v>
      </c>
      <c r="AL132" s="206" t="s">
        <v>42</v>
      </c>
      <c r="AM132" s="206" t="s">
        <v>42</v>
      </c>
      <c r="AN132" s="371" t="s">
        <v>2271</v>
      </c>
      <c r="AO132" s="206" t="s">
        <v>2367</v>
      </c>
      <c r="AP132" s="206"/>
      <c r="AQ132" s="206" t="s">
        <v>1131</v>
      </c>
      <c r="AR132" s="207" t="s">
        <v>82</v>
      </c>
    </row>
    <row r="133" spans="1:44" x14ac:dyDescent="0.2">
      <c r="A133" s="370">
        <v>114</v>
      </c>
      <c r="B133" s="380">
        <v>67</v>
      </c>
      <c r="C133" s="371" t="s">
        <v>2337</v>
      </c>
      <c r="D133" s="371" t="s">
        <v>2235</v>
      </c>
      <c r="E133" s="206"/>
      <c r="F133" s="206" t="s">
        <v>76</v>
      </c>
      <c r="G133" s="206" t="s">
        <v>76</v>
      </c>
      <c r="H133" s="371" t="s">
        <v>2271</v>
      </c>
      <c r="I133" s="206"/>
      <c r="J133" s="206" t="s">
        <v>1358</v>
      </c>
      <c r="K133" s="371" t="s">
        <v>2276</v>
      </c>
      <c r="L133" s="206" t="s">
        <v>2198</v>
      </c>
      <c r="M133" s="206" t="s">
        <v>1357</v>
      </c>
      <c r="N133" s="206" t="s">
        <v>78</v>
      </c>
      <c r="O133" s="372">
        <v>46328</v>
      </c>
      <c r="P133" s="372">
        <v>46064</v>
      </c>
      <c r="Q133" s="371" t="s">
        <v>2276</v>
      </c>
      <c r="R133" s="373">
        <v>45760</v>
      </c>
      <c r="S133" s="373">
        <v>45760</v>
      </c>
      <c r="T133" s="371" t="s">
        <v>2271</v>
      </c>
      <c r="U133" s="373">
        <v>17470</v>
      </c>
      <c r="V133" s="373">
        <v>17470</v>
      </c>
      <c r="W133" s="371" t="s">
        <v>2271</v>
      </c>
      <c r="X133" s="373">
        <v>28290</v>
      </c>
      <c r="Y133" s="373">
        <v>28290</v>
      </c>
      <c r="Z133" s="371" t="s">
        <v>2271</v>
      </c>
      <c r="AA133" s="373">
        <v>0</v>
      </c>
      <c r="AB133" s="373">
        <v>28300</v>
      </c>
      <c r="AC133" s="373">
        <v>28300</v>
      </c>
      <c r="AD133" s="371" t="s">
        <v>2271</v>
      </c>
      <c r="AE133" s="373">
        <v>0</v>
      </c>
      <c r="AF133" s="382">
        <v>0.813194444444444</v>
      </c>
      <c r="AG133" s="382">
        <v>0.813194444444444</v>
      </c>
      <c r="AH133" s="371" t="s">
        <v>2271</v>
      </c>
      <c r="AI133" s="382">
        <v>0.85624999999999996</v>
      </c>
      <c r="AJ133" s="382">
        <v>0.85624999999999996</v>
      </c>
      <c r="AK133" s="371" t="s">
        <v>2271</v>
      </c>
      <c r="AL133" s="206" t="s">
        <v>137</v>
      </c>
      <c r="AM133" s="206" t="s">
        <v>137</v>
      </c>
      <c r="AN133" s="371" t="s">
        <v>2271</v>
      </c>
      <c r="AO133" s="206" t="s">
        <v>2368</v>
      </c>
      <c r="AP133" s="206" t="s">
        <v>1372</v>
      </c>
      <c r="AQ133" s="206" t="s">
        <v>1133</v>
      </c>
      <c r="AR133" s="207" t="s">
        <v>88</v>
      </c>
    </row>
    <row r="134" spans="1:44" x14ac:dyDescent="0.2">
      <c r="A134" s="370">
        <v>115</v>
      </c>
      <c r="B134" s="380">
        <v>68</v>
      </c>
      <c r="C134" s="371" t="s">
        <v>2269</v>
      </c>
      <c r="D134" s="371" t="s">
        <v>2270</v>
      </c>
      <c r="E134" s="206"/>
      <c r="F134" s="206" t="s">
        <v>171</v>
      </c>
      <c r="G134" s="206" t="s">
        <v>171</v>
      </c>
      <c r="H134" s="371" t="s">
        <v>2271</v>
      </c>
      <c r="I134" s="206" t="s">
        <v>1330</v>
      </c>
      <c r="J134" s="206" t="s">
        <v>1330</v>
      </c>
      <c r="K134" s="371" t="s">
        <v>2271</v>
      </c>
      <c r="L134" s="206" t="s">
        <v>2137</v>
      </c>
      <c r="M134" s="206" t="s">
        <v>1329</v>
      </c>
      <c r="N134" s="206" t="s">
        <v>40</v>
      </c>
      <c r="O134" s="372">
        <v>45965</v>
      </c>
      <c r="P134" s="372">
        <v>45965</v>
      </c>
      <c r="Q134" s="371" t="s">
        <v>2271</v>
      </c>
      <c r="R134" s="373">
        <v>13260</v>
      </c>
      <c r="S134" s="373">
        <v>13260</v>
      </c>
      <c r="T134" s="371" t="s">
        <v>2271</v>
      </c>
      <c r="U134" s="373">
        <v>3670</v>
      </c>
      <c r="V134" s="373">
        <v>3670</v>
      </c>
      <c r="W134" s="371" t="s">
        <v>2271</v>
      </c>
      <c r="X134" s="373">
        <v>9590</v>
      </c>
      <c r="Y134" s="373">
        <v>9590</v>
      </c>
      <c r="Z134" s="371" t="s">
        <v>2271</v>
      </c>
      <c r="AA134" s="373">
        <v>0</v>
      </c>
      <c r="AB134" s="373">
        <v>9540</v>
      </c>
      <c r="AC134" s="373">
        <v>9540</v>
      </c>
      <c r="AD134" s="371" t="s">
        <v>2271</v>
      </c>
      <c r="AE134" s="373">
        <v>0</v>
      </c>
      <c r="AF134" s="382">
        <v>0.38472222222222202</v>
      </c>
      <c r="AG134" s="382">
        <v>0.38472222222222202</v>
      </c>
      <c r="AH134" s="371" t="s">
        <v>2271</v>
      </c>
      <c r="AI134" s="382">
        <v>0.41527777777777802</v>
      </c>
      <c r="AJ134" s="382">
        <v>0.41527777777777802</v>
      </c>
      <c r="AK134" s="371" t="s">
        <v>2271</v>
      </c>
      <c r="AL134" s="206" t="s">
        <v>42</v>
      </c>
      <c r="AM134" s="206" t="s">
        <v>42</v>
      </c>
      <c r="AN134" s="371" t="s">
        <v>2271</v>
      </c>
      <c r="AO134" s="206" t="s">
        <v>2369</v>
      </c>
      <c r="AP134" s="206"/>
      <c r="AQ134" s="206" t="s">
        <v>1131</v>
      </c>
      <c r="AR134" s="207" t="s">
        <v>82</v>
      </c>
    </row>
    <row r="135" spans="1:44" x14ac:dyDescent="0.2">
      <c r="A135" s="370">
        <v>116</v>
      </c>
      <c r="B135" s="380">
        <v>68</v>
      </c>
      <c r="C135" s="371" t="s">
        <v>2337</v>
      </c>
      <c r="D135" s="371" t="s">
        <v>2235</v>
      </c>
      <c r="E135" s="206"/>
      <c r="F135" s="206" t="s">
        <v>70</v>
      </c>
      <c r="G135" s="206" t="s">
        <v>70</v>
      </c>
      <c r="H135" s="371" t="s">
        <v>2271</v>
      </c>
      <c r="I135" s="206"/>
      <c r="J135" s="206" t="s">
        <v>1358</v>
      </c>
      <c r="K135" s="371" t="s">
        <v>2276</v>
      </c>
      <c r="L135" s="206" t="s">
        <v>2198</v>
      </c>
      <c r="M135" s="206" t="s">
        <v>1357</v>
      </c>
      <c r="N135" s="206" t="s">
        <v>78</v>
      </c>
      <c r="O135" s="372">
        <v>46328</v>
      </c>
      <c r="P135" s="372">
        <v>46064</v>
      </c>
      <c r="Q135" s="371" t="s">
        <v>2276</v>
      </c>
      <c r="R135" s="373">
        <v>45640</v>
      </c>
      <c r="S135" s="373">
        <v>45640</v>
      </c>
      <c r="T135" s="371" t="s">
        <v>2271</v>
      </c>
      <c r="U135" s="373">
        <v>17320</v>
      </c>
      <c r="V135" s="373">
        <v>17320</v>
      </c>
      <c r="W135" s="371" t="s">
        <v>2271</v>
      </c>
      <c r="X135" s="373">
        <v>28320</v>
      </c>
      <c r="Y135" s="373">
        <v>28320</v>
      </c>
      <c r="Z135" s="371" t="s">
        <v>2271</v>
      </c>
      <c r="AA135" s="373">
        <v>0</v>
      </c>
      <c r="AB135" s="373">
        <v>28380</v>
      </c>
      <c r="AC135" s="373">
        <v>28380</v>
      </c>
      <c r="AD135" s="371" t="s">
        <v>2271</v>
      </c>
      <c r="AE135" s="373">
        <v>0</v>
      </c>
      <c r="AF135" s="382">
        <v>0.82083333333333297</v>
      </c>
      <c r="AG135" s="382">
        <v>0.82083333333333297</v>
      </c>
      <c r="AH135" s="371" t="s">
        <v>2271</v>
      </c>
      <c r="AI135" s="382">
        <v>0.86458333333333304</v>
      </c>
      <c r="AJ135" s="382">
        <v>0.86458333333333304</v>
      </c>
      <c r="AK135" s="371" t="s">
        <v>2271</v>
      </c>
      <c r="AL135" s="206" t="s">
        <v>137</v>
      </c>
      <c r="AM135" s="206" t="s">
        <v>137</v>
      </c>
      <c r="AN135" s="371" t="s">
        <v>2271</v>
      </c>
      <c r="AO135" s="206" t="s">
        <v>2370</v>
      </c>
      <c r="AP135" s="206" t="s">
        <v>1499</v>
      </c>
      <c r="AQ135" s="206" t="s">
        <v>1133</v>
      </c>
      <c r="AR135" s="207" t="s">
        <v>88</v>
      </c>
    </row>
    <row r="136" spans="1:44" x14ac:dyDescent="0.2">
      <c r="A136" s="370">
        <v>117</v>
      </c>
      <c r="B136" s="380">
        <v>69</v>
      </c>
      <c r="C136" s="371" t="s">
        <v>2269</v>
      </c>
      <c r="D136" s="371" t="s">
        <v>2270</v>
      </c>
      <c r="E136" s="206"/>
      <c r="F136" s="206" t="s">
        <v>173</v>
      </c>
      <c r="G136" s="206" t="s">
        <v>173</v>
      </c>
      <c r="H136" s="371" t="s">
        <v>2271</v>
      </c>
      <c r="I136" s="206" t="s">
        <v>1330</v>
      </c>
      <c r="J136" s="206" t="s">
        <v>1330</v>
      </c>
      <c r="K136" s="371" t="s">
        <v>2271</v>
      </c>
      <c r="L136" s="206" t="s">
        <v>2137</v>
      </c>
      <c r="M136" s="206" t="s">
        <v>1329</v>
      </c>
      <c r="N136" s="206" t="s">
        <v>40</v>
      </c>
      <c r="O136" s="372">
        <v>45965</v>
      </c>
      <c r="P136" s="372">
        <v>45965</v>
      </c>
      <c r="Q136" s="371" t="s">
        <v>2271</v>
      </c>
      <c r="R136" s="373">
        <v>14340</v>
      </c>
      <c r="S136" s="373">
        <v>14340</v>
      </c>
      <c r="T136" s="371" t="s">
        <v>2271</v>
      </c>
      <c r="U136" s="373">
        <v>4660</v>
      </c>
      <c r="V136" s="373">
        <v>4660</v>
      </c>
      <c r="W136" s="371" t="s">
        <v>2271</v>
      </c>
      <c r="X136" s="373">
        <v>9680</v>
      </c>
      <c r="Y136" s="373">
        <v>9680</v>
      </c>
      <c r="Z136" s="371" t="s">
        <v>2271</v>
      </c>
      <c r="AA136" s="373">
        <v>0</v>
      </c>
      <c r="AB136" s="373">
        <v>9640</v>
      </c>
      <c r="AC136" s="373">
        <v>9640</v>
      </c>
      <c r="AD136" s="371" t="s">
        <v>2271</v>
      </c>
      <c r="AE136" s="373">
        <v>0</v>
      </c>
      <c r="AF136" s="382">
        <v>0.40416666666666701</v>
      </c>
      <c r="AG136" s="382">
        <v>0.40416666666666701</v>
      </c>
      <c r="AH136" s="371" t="s">
        <v>2271</v>
      </c>
      <c r="AI136" s="382">
        <v>0.44374999999999998</v>
      </c>
      <c r="AJ136" s="382">
        <v>0.44374999999999998</v>
      </c>
      <c r="AK136" s="371" t="s">
        <v>2271</v>
      </c>
      <c r="AL136" s="206" t="s">
        <v>42</v>
      </c>
      <c r="AM136" s="206" t="s">
        <v>42</v>
      </c>
      <c r="AN136" s="371" t="s">
        <v>2271</v>
      </c>
      <c r="AO136" s="206" t="s">
        <v>2371</v>
      </c>
      <c r="AP136" s="206"/>
      <c r="AQ136" s="206" t="s">
        <v>1131</v>
      </c>
      <c r="AR136" s="207" t="s">
        <v>82</v>
      </c>
    </row>
    <row r="137" spans="1:44" x14ac:dyDescent="0.2">
      <c r="A137" s="370">
        <v>118</v>
      </c>
      <c r="B137" s="380">
        <v>69</v>
      </c>
      <c r="C137" s="371" t="s">
        <v>2337</v>
      </c>
      <c r="D137" s="371" t="s">
        <v>2235</v>
      </c>
      <c r="E137" s="206"/>
      <c r="F137" s="206" t="s">
        <v>181</v>
      </c>
      <c r="G137" s="206" t="s">
        <v>181</v>
      </c>
      <c r="H137" s="371" t="s">
        <v>2271</v>
      </c>
      <c r="I137" s="206"/>
      <c r="J137" s="206" t="s">
        <v>1361</v>
      </c>
      <c r="K137" s="371" t="s">
        <v>2276</v>
      </c>
      <c r="L137" s="206" t="s">
        <v>2196</v>
      </c>
      <c r="M137" s="206" t="s">
        <v>1360</v>
      </c>
      <c r="N137" s="206" t="s">
        <v>40</v>
      </c>
      <c r="O137" s="372">
        <v>46328</v>
      </c>
      <c r="P137" s="372">
        <v>46064</v>
      </c>
      <c r="Q137" s="371" t="s">
        <v>2276</v>
      </c>
      <c r="R137" s="373">
        <v>13500</v>
      </c>
      <c r="S137" s="373">
        <v>13500</v>
      </c>
      <c r="T137" s="371" t="s">
        <v>2271</v>
      </c>
      <c r="U137" s="373">
        <v>3970</v>
      </c>
      <c r="V137" s="373">
        <v>3970</v>
      </c>
      <c r="W137" s="371" t="s">
        <v>2271</v>
      </c>
      <c r="X137" s="373">
        <v>9530</v>
      </c>
      <c r="Y137" s="373">
        <v>9530</v>
      </c>
      <c r="Z137" s="371" t="s">
        <v>2271</v>
      </c>
      <c r="AA137" s="373">
        <v>0</v>
      </c>
      <c r="AB137" s="373">
        <v>9530</v>
      </c>
      <c r="AC137" s="373">
        <v>9530</v>
      </c>
      <c r="AD137" s="371" t="s">
        <v>2271</v>
      </c>
      <c r="AE137" s="373">
        <v>0</v>
      </c>
      <c r="AF137" s="382">
        <v>0.91944444444444395</v>
      </c>
      <c r="AG137" s="382">
        <v>0.91944444444444395</v>
      </c>
      <c r="AH137" s="371" t="s">
        <v>2271</v>
      </c>
      <c r="AI137" s="382">
        <v>0.96597222222222201</v>
      </c>
      <c r="AJ137" s="382">
        <v>0.96597222222222201</v>
      </c>
      <c r="AK137" s="371" t="s">
        <v>2271</v>
      </c>
      <c r="AL137" s="206" t="s">
        <v>137</v>
      </c>
      <c r="AM137" s="206" t="s">
        <v>137</v>
      </c>
      <c r="AN137" s="371" t="s">
        <v>2271</v>
      </c>
      <c r="AO137" s="206" t="s">
        <v>2371</v>
      </c>
      <c r="AP137" s="206"/>
      <c r="AQ137" s="206" t="s">
        <v>1131</v>
      </c>
      <c r="AR137" s="207" t="s">
        <v>82</v>
      </c>
    </row>
    <row r="138" spans="1:44" x14ac:dyDescent="0.2">
      <c r="A138" s="370">
        <v>119</v>
      </c>
      <c r="B138" s="380">
        <v>70</v>
      </c>
      <c r="C138" s="371" t="s">
        <v>2269</v>
      </c>
      <c r="D138" s="371" t="s">
        <v>2270</v>
      </c>
      <c r="E138" s="206"/>
      <c r="F138" s="206" t="s">
        <v>177</v>
      </c>
      <c r="G138" s="206" t="s">
        <v>177</v>
      </c>
      <c r="H138" s="371" t="s">
        <v>2271</v>
      </c>
      <c r="I138" s="206" t="s">
        <v>1330</v>
      </c>
      <c r="J138" s="206" t="s">
        <v>1330</v>
      </c>
      <c r="K138" s="371" t="s">
        <v>2271</v>
      </c>
      <c r="L138" s="206" t="s">
        <v>2137</v>
      </c>
      <c r="M138" s="206" t="s">
        <v>1329</v>
      </c>
      <c r="N138" s="206" t="s">
        <v>40</v>
      </c>
      <c r="O138" s="372">
        <v>45965</v>
      </c>
      <c r="P138" s="372">
        <v>45965</v>
      </c>
      <c r="Q138" s="371" t="s">
        <v>2271</v>
      </c>
      <c r="R138" s="373">
        <v>13760</v>
      </c>
      <c r="S138" s="373">
        <v>13760</v>
      </c>
      <c r="T138" s="371" t="s">
        <v>2271</v>
      </c>
      <c r="U138" s="373">
        <v>4050</v>
      </c>
      <c r="V138" s="373">
        <v>4050</v>
      </c>
      <c r="W138" s="371" t="s">
        <v>2271</v>
      </c>
      <c r="X138" s="373">
        <v>9710</v>
      </c>
      <c r="Y138" s="373">
        <v>9710</v>
      </c>
      <c r="Z138" s="371" t="s">
        <v>2271</v>
      </c>
      <c r="AA138" s="373">
        <v>0</v>
      </c>
      <c r="AB138" s="373">
        <v>9650</v>
      </c>
      <c r="AC138" s="373">
        <v>9650</v>
      </c>
      <c r="AD138" s="371" t="s">
        <v>2271</v>
      </c>
      <c r="AE138" s="373">
        <v>0</v>
      </c>
      <c r="AF138" s="382">
        <v>0.40486111111111101</v>
      </c>
      <c r="AG138" s="382">
        <v>0.40486111111111101</v>
      </c>
      <c r="AH138" s="371" t="s">
        <v>2271</v>
      </c>
      <c r="AI138" s="382">
        <v>0.44444444444444398</v>
      </c>
      <c r="AJ138" s="382">
        <v>0.44444444444444398</v>
      </c>
      <c r="AK138" s="371" t="s">
        <v>2271</v>
      </c>
      <c r="AL138" s="206" t="s">
        <v>42</v>
      </c>
      <c r="AM138" s="206" t="s">
        <v>42</v>
      </c>
      <c r="AN138" s="371" t="s">
        <v>2271</v>
      </c>
      <c r="AO138" s="206" t="s">
        <v>2372</v>
      </c>
      <c r="AP138" s="206"/>
      <c r="AQ138" s="206" t="s">
        <v>1131</v>
      </c>
      <c r="AR138" s="207" t="s">
        <v>82</v>
      </c>
    </row>
    <row r="139" spans="1:44" x14ac:dyDescent="0.2">
      <c r="A139" s="370">
        <v>120</v>
      </c>
      <c r="B139" s="380">
        <v>70</v>
      </c>
      <c r="C139" s="371" t="s">
        <v>2337</v>
      </c>
      <c r="D139" s="371" t="s">
        <v>2235</v>
      </c>
      <c r="E139" s="206"/>
      <c r="F139" s="206" t="s">
        <v>158</v>
      </c>
      <c r="G139" s="206" t="s">
        <v>158</v>
      </c>
      <c r="H139" s="371" t="s">
        <v>2271</v>
      </c>
      <c r="I139" s="206"/>
      <c r="J139" s="206" t="s">
        <v>1361</v>
      </c>
      <c r="K139" s="371" t="s">
        <v>2276</v>
      </c>
      <c r="L139" s="206" t="s">
        <v>2196</v>
      </c>
      <c r="M139" s="206" t="s">
        <v>1360</v>
      </c>
      <c r="N139" s="206" t="s">
        <v>40</v>
      </c>
      <c r="O139" s="372">
        <v>46328</v>
      </c>
      <c r="P139" s="372">
        <v>46064</v>
      </c>
      <c r="Q139" s="371" t="s">
        <v>2276</v>
      </c>
      <c r="R139" s="373">
        <v>13900</v>
      </c>
      <c r="S139" s="373">
        <v>13900</v>
      </c>
      <c r="T139" s="371" t="s">
        <v>2271</v>
      </c>
      <c r="U139" s="373">
        <v>3920</v>
      </c>
      <c r="V139" s="373">
        <v>3920</v>
      </c>
      <c r="W139" s="371" t="s">
        <v>2271</v>
      </c>
      <c r="X139" s="373">
        <v>9980</v>
      </c>
      <c r="Y139" s="373">
        <v>9980</v>
      </c>
      <c r="Z139" s="371" t="s">
        <v>2271</v>
      </c>
      <c r="AA139" s="373">
        <v>0</v>
      </c>
      <c r="AB139" s="373">
        <v>9970</v>
      </c>
      <c r="AC139" s="373">
        <v>9970</v>
      </c>
      <c r="AD139" s="371" t="s">
        <v>2271</v>
      </c>
      <c r="AE139" s="373">
        <v>0</v>
      </c>
      <c r="AF139" s="382">
        <v>0.92013888888888895</v>
      </c>
      <c r="AG139" s="382">
        <v>0.92013888888888895</v>
      </c>
      <c r="AH139" s="371" t="s">
        <v>2271</v>
      </c>
      <c r="AI139" s="382">
        <v>0.95625000000000004</v>
      </c>
      <c r="AJ139" s="382">
        <v>0.95625000000000004</v>
      </c>
      <c r="AK139" s="371" t="s">
        <v>2271</v>
      </c>
      <c r="AL139" s="206" t="s">
        <v>137</v>
      </c>
      <c r="AM139" s="206" t="s">
        <v>137</v>
      </c>
      <c r="AN139" s="371" t="s">
        <v>2271</v>
      </c>
      <c r="AO139" s="206" t="s">
        <v>2372</v>
      </c>
      <c r="AP139" s="206"/>
      <c r="AQ139" s="206" t="s">
        <v>1131</v>
      </c>
      <c r="AR139" s="207" t="s">
        <v>82</v>
      </c>
    </row>
    <row r="140" spans="1:44" x14ac:dyDescent="0.2">
      <c r="A140" s="370">
        <v>121</v>
      </c>
      <c r="B140" s="380">
        <v>71</v>
      </c>
      <c r="C140" s="371" t="s">
        <v>2269</v>
      </c>
      <c r="D140" s="371" t="s">
        <v>2270</v>
      </c>
      <c r="E140" s="206"/>
      <c r="F140" s="206" t="s">
        <v>155</v>
      </c>
      <c r="G140" s="206" t="s">
        <v>155</v>
      </c>
      <c r="H140" s="371" t="s">
        <v>2271</v>
      </c>
      <c r="I140" s="206" t="s">
        <v>1330</v>
      </c>
      <c r="J140" s="206" t="s">
        <v>1330</v>
      </c>
      <c r="K140" s="371" t="s">
        <v>2271</v>
      </c>
      <c r="L140" s="206" t="s">
        <v>2137</v>
      </c>
      <c r="M140" s="206" t="s">
        <v>1329</v>
      </c>
      <c r="N140" s="206" t="s">
        <v>40</v>
      </c>
      <c r="O140" s="372">
        <v>45965</v>
      </c>
      <c r="P140" s="372">
        <v>45965</v>
      </c>
      <c r="Q140" s="371" t="s">
        <v>2271</v>
      </c>
      <c r="R140" s="373">
        <v>13570</v>
      </c>
      <c r="S140" s="373">
        <v>13570</v>
      </c>
      <c r="T140" s="371" t="s">
        <v>2271</v>
      </c>
      <c r="U140" s="373">
        <v>3910</v>
      </c>
      <c r="V140" s="373">
        <v>3910</v>
      </c>
      <c r="W140" s="371" t="s">
        <v>2271</v>
      </c>
      <c r="X140" s="373">
        <v>9660</v>
      </c>
      <c r="Y140" s="373">
        <v>9660</v>
      </c>
      <c r="Z140" s="371" t="s">
        <v>2271</v>
      </c>
      <c r="AA140" s="373">
        <v>0</v>
      </c>
      <c r="AB140" s="373">
        <v>9640</v>
      </c>
      <c r="AC140" s="373">
        <v>9640</v>
      </c>
      <c r="AD140" s="371" t="s">
        <v>2271</v>
      </c>
      <c r="AE140" s="373">
        <v>0</v>
      </c>
      <c r="AF140" s="382">
        <v>0.72916666666666696</v>
      </c>
      <c r="AG140" s="382">
        <v>0.72916666666666696</v>
      </c>
      <c r="AH140" s="371" t="s">
        <v>2271</v>
      </c>
      <c r="AI140" s="382">
        <v>0.76041666666666696</v>
      </c>
      <c r="AJ140" s="382">
        <v>0.76041666666666696</v>
      </c>
      <c r="AK140" s="371" t="s">
        <v>2271</v>
      </c>
      <c r="AL140" s="206" t="s">
        <v>42</v>
      </c>
      <c r="AM140" s="206" t="s">
        <v>42</v>
      </c>
      <c r="AN140" s="371" t="s">
        <v>2271</v>
      </c>
      <c r="AO140" s="206" t="s">
        <v>2373</v>
      </c>
      <c r="AP140" s="206"/>
      <c r="AQ140" s="206" t="s">
        <v>1131</v>
      </c>
      <c r="AR140" s="207" t="s">
        <v>82</v>
      </c>
    </row>
    <row r="141" spans="1:44" x14ac:dyDescent="0.2">
      <c r="A141" s="370">
        <v>122</v>
      </c>
      <c r="B141" s="380">
        <v>71</v>
      </c>
      <c r="C141" s="371" t="s">
        <v>2337</v>
      </c>
      <c r="D141" s="371" t="s">
        <v>2235</v>
      </c>
      <c r="E141" s="206"/>
      <c r="F141" s="206" t="s">
        <v>186</v>
      </c>
      <c r="G141" s="206" t="s">
        <v>186</v>
      </c>
      <c r="H141" s="371" t="s">
        <v>2271</v>
      </c>
      <c r="I141" s="206"/>
      <c r="J141" s="206" t="s">
        <v>1361</v>
      </c>
      <c r="K141" s="371" t="s">
        <v>2276</v>
      </c>
      <c r="L141" s="206" t="s">
        <v>2196</v>
      </c>
      <c r="M141" s="206" t="s">
        <v>1360</v>
      </c>
      <c r="N141" s="206" t="s">
        <v>40</v>
      </c>
      <c r="O141" s="372">
        <v>46328</v>
      </c>
      <c r="P141" s="372">
        <v>46064</v>
      </c>
      <c r="Q141" s="371" t="s">
        <v>2276</v>
      </c>
      <c r="R141" s="373">
        <v>13390</v>
      </c>
      <c r="S141" s="373">
        <v>13390</v>
      </c>
      <c r="T141" s="371" t="s">
        <v>2271</v>
      </c>
      <c r="U141" s="373">
        <v>3950</v>
      </c>
      <c r="V141" s="373">
        <v>3950</v>
      </c>
      <c r="W141" s="371" t="s">
        <v>2271</v>
      </c>
      <c r="X141" s="373">
        <v>9440</v>
      </c>
      <c r="Y141" s="373">
        <v>9440</v>
      </c>
      <c r="Z141" s="371" t="s">
        <v>2271</v>
      </c>
      <c r="AA141" s="373">
        <v>0</v>
      </c>
      <c r="AB141" s="373">
        <v>9450</v>
      </c>
      <c r="AC141" s="373">
        <v>9450</v>
      </c>
      <c r="AD141" s="371" t="s">
        <v>2271</v>
      </c>
      <c r="AE141" s="373">
        <v>0</v>
      </c>
      <c r="AF141" s="382">
        <v>0.92083333333333295</v>
      </c>
      <c r="AG141" s="382">
        <v>0.92083333333333295</v>
      </c>
      <c r="AH141" s="371" t="s">
        <v>2271</v>
      </c>
      <c r="AI141" s="382">
        <v>0.97222222222222199</v>
      </c>
      <c r="AJ141" s="382">
        <v>0.97222222222222199</v>
      </c>
      <c r="AK141" s="371" t="s">
        <v>2271</v>
      </c>
      <c r="AL141" s="206" t="s">
        <v>137</v>
      </c>
      <c r="AM141" s="206" t="s">
        <v>137</v>
      </c>
      <c r="AN141" s="371" t="s">
        <v>2271</v>
      </c>
      <c r="AO141" s="206" t="s">
        <v>2373</v>
      </c>
      <c r="AP141" s="206"/>
      <c r="AQ141" s="206" t="s">
        <v>1131</v>
      </c>
      <c r="AR141" s="207" t="s">
        <v>82</v>
      </c>
    </row>
    <row r="142" spans="1:44" x14ac:dyDescent="0.2">
      <c r="A142" s="370">
        <v>123</v>
      </c>
      <c r="B142" s="380">
        <v>72</v>
      </c>
      <c r="C142" s="371" t="s">
        <v>2269</v>
      </c>
      <c r="D142" s="371" t="s">
        <v>2270</v>
      </c>
      <c r="E142" s="206"/>
      <c r="F142" s="206" t="s">
        <v>183</v>
      </c>
      <c r="G142" s="206" t="s">
        <v>183</v>
      </c>
      <c r="H142" s="371" t="s">
        <v>2271</v>
      </c>
      <c r="I142" s="206" t="s">
        <v>1330</v>
      </c>
      <c r="J142" s="206" t="s">
        <v>1330</v>
      </c>
      <c r="K142" s="371" t="s">
        <v>2271</v>
      </c>
      <c r="L142" s="206" t="s">
        <v>2137</v>
      </c>
      <c r="M142" s="206" t="s">
        <v>1329</v>
      </c>
      <c r="N142" s="206" t="s">
        <v>40</v>
      </c>
      <c r="O142" s="372">
        <v>45965</v>
      </c>
      <c r="P142" s="372">
        <v>45965</v>
      </c>
      <c r="Q142" s="371" t="s">
        <v>2271</v>
      </c>
      <c r="R142" s="373">
        <v>14230</v>
      </c>
      <c r="S142" s="373">
        <v>14230</v>
      </c>
      <c r="T142" s="371" t="s">
        <v>2271</v>
      </c>
      <c r="U142" s="373">
        <v>4170</v>
      </c>
      <c r="V142" s="373">
        <v>4170</v>
      </c>
      <c r="W142" s="371" t="s">
        <v>2271</v>
      </c>
      <c r="X142" s="373">
        <v>10060</v>
      </c>
      <c r="Y142" s="373">
        <v>10060</v>
      </c>
      <c r="Z142" s="371" t="s">
        <v>2271</v>
      </c>
      <c r="AA142" s="373">
        <v>0</v>
      </c>
      <c r="AB142" s="373">
        <v>10030</v>
      </c>
      <c r="AC142" s="373">
        <v>10030</v>
      </c>
      <c r="AD142" s="371" t="s">
        <v>2271</v>
      </c>
      <c r="AE142" s="373">
        <v>0</v>
      </c>
      <c r="AF142" s="382">
        <v>0.72986111111111096</v>
      </c>
      <c r="AG142" s="382">
        <v>0.72986111111111096</v>
      </c>
      <c r="AH142" s="371" t="s">
        <v>2271</v>
      </c>
      <c r="AI142" s="382">
        <v>0.76180555555555596</v>
      </c>
      <c r="AJ142" s="382">
        <v>0.76180555555555596</v>
      </c>
      <c r="AK142" s="371" t="s">
        <v>2271</v>
      </c>
      <c r="AL142" s="206" t="s">
        <v>42</v>
      </c>
      <c r="AM142" s="206" t="s">
        <v>42</v>
      </c>
      <c r="AN142" s="371" t="s">
        <v>2271</v>
      </c>
      <c r="AO142" s="206" t="s">
        <v>2374</v>
      </c>
      <c r="AP142" s="206"/>
      <c r="AQ142" s="206" t="s">
        <v>1131</v>
      </c>
      <c r="AR142" s="207" t="s">
        <v>82</v>
      </c>
    </row>
    <row r="143" spans="1:44" x14ac:dyDescent="0.2">
      <c r="A143" s="370">
        <v>124</v>
      </c>
      <c r="B143" s="380">
        <v>72</v>
      </c>
      <c r="C143" s="371" t="s">
        <v>2337</v>
      </c>
      <c r="D143" s="371" t="s">
        <v>2235</v>
      </c>
      <c r="E143" s="206"/>
      <c r="F143" s="206" t="s">
        <v>163</v>
      </c>
      <c r="G143" s="206" t="s">
        <v>163</v>
      </c>
      <c r="H143" s="371" t="s">
        <v>2271</v>
      </c>
      <c r="I143" s="206"/>
      <c r="J143" s="206" t="s">
        <v>1361</v>
      </c>
      <c r="K143" s="371" t="s">
        <v>2276</v>
      </c>
      <c r="L143" s="206" t="s">
        <v>2196</v>
      </c>
      <c r="M143" s="206" t="s">
        <v>1360</v>
      </c>
      <c r="N143" s="206" t="s">
        <v>40</v>
      </c>
      <c r="O143" s="372">
        <v>46328</v>
      </c>
      <c r="P143" s="372">
        <v>46064</v>
      </c>
      <c r="Q143" s="371" t="s">
        <v>2276</v>
      </c>
      <c r="R143" s="373">
        <v>13940</v>
      </c>
      <c r="S143" s="373">
        <v>13940</v>
      </c>
      <c r="T143" s="371" t="s">
        <v>2271</v>
      </c>
      <c r="U143" s="373">
        <v>4010</v>
      </c>
      <c r="V143" s="373">
        <v>4010</v>
      </c>
      <c r="W143" s="371" t="s">
        <v>2271</v>
      </c>
      <c r="X143" s="373">
        <v>9930</v>
      </c>
      <c r="Y143" s="373">
        <v>9930</v>
      </c>
      <c r="Z143" s="371" t="s">
        <v>2271</v>
      </c>
      <c r="AA143" s="373">
        <v>0</v>
      </c>
      <c r="AB143" s="373">
        <v>10030</v>
      </c>
      <c r="AC143" s="373">
        <v>10030</v>
      </c>
      <c r="AD143" s="371" t="s">
        <v>2271</v>
      </c>
      <c r="AE143" s="373">
        <v>0</v>
      </c>
      <c r="AF143" s="382">
        <v>0.92847222222222203</v>
      </c>
      <c r="AG143" s="382">
        <v>0.92847222222222203</v>
      </c>
      <c r="AH143" s="371" t="s">
        <v>2271</v>
      </c>
      <c r="AI143" s="382">
        <v>0.97083333333333299</v>
      </c>
      <c r="AJ143" s="382">
        <v>0.97083333333333299</v>
      </c>
      <c r="AK143" s="371" t="s">
        <v>2271</v>
      </c>
      <c r="AL143" s="206" t="s">
        <v>137</v>
      </c>
      <c r="AM143" s="206" t="s">
        <v>137</v>
      </c>
      <c r="AN143" s="371" t="s">
        <v>2271</v>
      </c>
      <c r="AO143" s="206" t="s">
        <v>2374</v>
      </c>
      <c r="AP143" s="206"/>
      <c r="AQ143" s="206" t="s">
        <v>1131</v>
      </c>
      <c r="AR143" s="207" t="s">
        <v>82</v>
      </c>
    </row>
    <row r="144" spans="1:44" x14ac:dyDescent="0.2">
      <c r="A144" s="370">
        <v>125</v>
      </c>
      <c r="B144" s="380">
        <v>73</v>
      </c>
      <c r="C144" s="371" t="s">
        <v>2269</v>
      </c>
      <c r="D144" s="371" t="s">
        <v>2235</v>
      </c>
      <c r="E144" s="206"/>
      <c r="F144" s="206" t="s">
        <v>179</v>
      </c>
      <c r="G144" s="206" t="s">
        <v>179</v>
      </c>
      <c r="H144" s="371" t="s">
        <v>2271</v>
      </c>
      <c r="I144" s="206" t="s">
        <v>1330</v>
      </c>
      <c r="J144" s="206" t="s">
        <v>1330</v>
      </c>
      <c r="K144" s="371" t="s">
        <v>2271</v>
      </c>
      <c r="L144" s="206" t="s">
        <v>2137</v>
      </c>
      <c r="M144" s="206" t="s">
        <v>1329</v>
      </c>
      <c r="N144" s="206" t="s">
        <v>40</v>
      </c>
      <c r="O144" s="372">
        <v>45966</v>
      </c>
      <c r="P144" s="372">
        <v>45966</v>
      </c>
      <c r="Q144" s="371" t="s">
        <v>2271</v>
      </c>
      <c r="R144" s="373">
        <v>13910</v>
      </c>
      <c r="S144" s="373">
        <v>13910</v>
      </c>
      <c r="T144" s="371" t="s">
        <v>2271</v>
      </c>
      <c r="U144" s="373">
        <v>4030</v>
      </c>
      <c r="V144" s="373">
        <v>4030</v>
      </c>
      <c r="W144" s="371" t="s">
        <v>2271</v>
      </c>
      <c r="X144" s="373">
        <v>9880</v>
      </c>
      <c r="Y144" s="373">
        <v>9880</v>
      </c>
      <c r="Z144" s="371" t="s">
        <v>2271</v>
      </c>
      <c r="AA144" s="373">
        <v>0</v>
      </c>
      <c r="AB144" s="373">
        <v>9860</v>
      </c>
      <c r="AC144" s="373">
        <v>9860</v>
      </c>
      <c r="AD144" s="371" t="s">
        <v>2271</v>
      </c>
      <c r="AE144" s="373">
        <v>0</v>
      </c>
      <c r="AF144" s="382">
        <v>0.70625000000000004</v>
      </c>
      <c r="AG144" s="382">
        <v>0.70625000000000004</v>
      </c>
      <c r="AH144" s="371" t="s">
        <v>2271</v>
      </c>
      <c r="AI144" s="382">
        <v>0.73819444444444404</v>
      </c>
      <c r="AJ144" s="382">
        <v>0.73819444444444504</v>
      </c>
      <c r="AK144" s="371" t="s">
        <v>2276</v>
      </c>
      <c r="AL144" s="206" t="s">
        <v>42</v>
      </c>
      <c r="AM144" s="206" t="s">
        <v>42</v>
      </c>
      <c r="AN144" s="371" t="s">
        <v>2271</v>
      </c>
      <c r="AO144" s="206" t="s">
        <v>2375</v>
      </c>
      <c r="AP144" s="206"/>
      <c r="AQ144" s="206" t="s">
        <v>1131</v>
      </c>
      <c r="AR144" s="207" t="s">
        <v>82</v>
      </c>
    </row>
    <row r="145" spans="1:44" x14ac:dyDescent="0.2">
      <c r="A145" s="370">
        <v>126</v>
      </c>
      <c r="B145" s="380">
        <v>73</v>
      </c>
      <c r="C145" s="371" t="s">
        <v>2337</v>
      </c>
      <c r="D145" s="371" t="s">
        <v>2235</v>
      </c>
      <c r="E145" s="206"/>
      <c r="F145" s="206" t="s">
        <v>205</v>
      </c>
      <c r="G145" s="206" t="s">
        <v>205</v>
      </c>
      <c r="H145" s="371" t="s">
        <v>2271</v>
      </c>
      <c r="I145" s="206"/>
      <c r="J145" s="206" t="s">
        <v>1361</v>
      </c>
      <c r="K145" s="371" t="s">
        <v>2276</v>
      </c>
      <c r="L145" s="206" t="s">
        <v>2196</v>
      </c>
      <c r="M145" s="206" t="s">
        <v>1360</v>
      </c>
      <c r="N145" s="206" t="s">
        <v>40</v>
      </c>
      <c r="O145" s="372">
        <v>46328</v>
      </c>
      <c r="P145" s="372">
        <v>46064</v>
      </c>
      <c r="Q145" s="371" t="s">
        <v>2276</v>
      </c>
      <c r="R145" s="373">
        <v>14040</v>
      </c>
      <c r="S145" s="373">
        <v>14040</v>
      </c>
      <c r="T145" s="371" t="s">
        <v>2271</v>
      </c>
      <c r="U145" s="373">
        <v>4200</v>
      </c>
      <c r="V145" s="373">
        <v>4200</v>
      </c>
      <c r="W145" s="371" t="s">
        <v>2271</v>
      </c>
      <c r="X145" s="373">
        <v>9840</v>
      </c>
      <c r="Y145" s="373">
        <v>9840</v>
      </c>
      <c r="Z145" s="371" t="s">
        <v>2271</v>
      </c>
      <c r="AA145" s="373">
        <v>0</v>
      </c>
      <c r="AB145" s="373">
        <v>9920</v>
      </c>
      <c r="AC145" s="373">
        <v>9920</v>
      </c>
      <c r="AD145" s="371" t="s">
        <v>2271</v>
      </c>
      <c r="AE145" s="373">
        <v>0</v>
      </c>
      <c r="AF145" s="382">
        <v>0.95833333333333304</v>
      </c>
      <c r="AG145" s="382">
        <v>0.95833333333333304</v>
      </c>
      <c r="AH145" s="371" t="s">
        <v>2271</v>
      </c>
      <c r="AI145" s="382">
        <v>0.99166666666666703</v>
      </c>
      <c r="AJ145" s="382">
        <v>0.99166666666666703</v>
      </c>
      <c r="AK145" s="371" t="s">
        <v>2271</v>
      </c>
      <c r="AL145" s="206" t="s">
        <v>137</v>
      </c>
      <c r="AM145" s="206" t="s">
        <v>137</v>
      </c>
      <c r="AN145" s="371" t="s">
        <v>2271</v>
      </c>
      <c r="AO145" s="206" t="s">
        <v>2375</v>
      </c>
      <c r="AP145" s="206"/>
      <c r="AQ145" s="206" t="s">
        <v>1131</v>
      </c>
      <c r="AR145" s="207" t="s">
        <v>82</v>
      </c>
    </row>
    <row r="146" spans="1:44" x14ac:dyDescent="0.2">
      <c r="A146" s="370">
        <v>127</v>
      </c>
      <c r="B146" s="380">
        <v>74</v>
      </c>
      <c r="C146" s="371" t="s">
        <v>2269</v>
      </c>
      <c r="D146" s="371" t="s">
        <v>2270</v>
      </c>
      <c r="E146" s="206"/>
      <c r="F146" s="206" t="s">
        <v>181</v>
      </c>
      <c r="G146" s="206" t="s">
        <v>181</v>
      </c>
      <c r="H146" s="371" t="s">
        <v>2271</v>
      </c>
      <c r="I146" s="206" t="s">
        <v>1330</v>
      </c>
      <c r="J146" s="206" t="s">
        <v>1330</v>
      </c>
      <c r="K146" s="371" t="s">
        <v>2271</v>
      </c>
      <c r="L146" s="206" t="s">
        <v>2137</v>
      </c>
      <c r="M146" s="206" t="s">
        <v>1329</v>
      </c>
      <c r="N146" s="206" t="s">
        <v>40</v>
      </c>
      <c r="O146" s="372">
        <v>45966</v>
      </c>
      <c r="P146" s="372">
        <v>45966</v>
      </c>
      <c r="Q146" s="371" t="s">
        <v>2271</v>
      </c>
      <c r="R146" s="373">
        <v>13520</v>
      </c>
      <c r="S146" s="373">
        <v>13520</v>
      </c>
      <c r="T146" s="371" t="s">
        <v>2271</v>
      </c>
      <c r="U146" s="373">
        <v>4030</v>
      </c>
      <c r="V146" s="373">
        <v>4030</v>
      </c>
      <c r="W146" s="371" t="s">
        <v>2271</v>
      </c>
      <c r="X146" s="373">
        <v>9490</v>
      </c>
      <c r="Y146" s="373">
        <v>9490</v>
      </c>
      <c r="Z146" s="371" t="s">
        <v>2271</v>
      </c>
      <c r="AA146" s="373">
        <v>0</v>
      </c>
      <c r="AB146" s="373">
        <v>9510</v>
      </c>
      <c r="AC146" s="373">
        <v>9510</v>
      </c>
      <c r="AD146" s="371" t="s">
        <v>2271</v>
      </c>
      <c r="AE146" s="373">
        <v>0</v>
      </c>
      <c r="AF146" s="382">
        <v>0.72222222222222199</v>
      </c>
      <c r="AG146" s="382">
        <v>0.72222222222222199</v>
      </c>
      <c r="AH146" s="371" t="s">
        <v>2271</v>
      </c>
      <c r="AI146" s="382">
        <v>0.75486111111111098</v>
      </c>
      <c r="AJ146" s="382">
        <v>0.75486111111111098</v>
      </c>
      <c r="AK146" s="371" t="s">
        <v>2271</v>
      </c>
      <c r="AL146" s="206" t="s">
        <v>42</v>
      </c>
      <c r="AM146" s="206" t="s">
        <v>42</v>
      </c>
      <c r="AN146" s="371" t="s">
        <v>2271</v>
      </c>
      <c r="AO146" s="206" t="s">
        <v>2376</v>
      </c>
      <c r="AP146" s="206"/>
      <c r="AQ146" s="206" t="s">
        <v>1131</v>
      </c>
      <c r="AR146" s="207" t="s">
        <v>82</v>
      </c>
    </row>
    <row r="147" spans="1:44" x14ac:dyDescent="0.2">
      <c r="A147" s="370">
        <v>128</v>
      </c>
      <c r="B147" s="380">
        <v>74</v>
      </c>
      <c r="C147" s="371" t="s">
        <v>2337</v>
      </c>
      <c r="D147" s="371" t="s">
        <v>2235</v>
      </c>
      <c r="E147" s="206"/>
      <c r="F147" s="206" t="s">
        <v>188</v>
      </c>
      <c r="G147" s="206" t="s">
        <v>188</v>
      </c>
      <c r="H147" s="371" t="s">
        <v>2271</v>
      </c>
      <c r="I147" s="206"/>
      <c r="J147" s="206" t="s">
        <v>1361</v>
      </c>
      <c r="K147" s="371" t="s">
        <v>2276</v>
      </c>
      <c r="L147" s="206" t="s">
        <v>2196</v>
      </c>
      <c r="M147" s="206" t="s">
        <v>1360</v>
      </c>
      <c r="N147" s="206" t="s">
        <v>40</v>
      </c>
      <c r="O147" s="372">
        <v>46358</v>
      </c>
      <c r="P147" s="372">
        <v>46065</v>
      </c>
      <c r="Q147" s="371" t="s">
        <v>2276</v>
      </c>
      <c r="R147" s="373">
        <v>13090</v>
      </c>
      <c r="S147" s="373">
        <v>13090</v>
      </c>
      <c r="T147" s="371" t="s">
        <v>2271</v>
      </c>
      <c r="U147" s="373">
        <v>3710</v>
      </c>
      <c r="V147" s="373">
        <v>3710</v>
      </c>
      <c r="W147" s="371" t="s">
        <v>2271</v>
      </c>
      <c r="X147" s="373">
        <v>9380</v>
      </c>
      <c r="Y147" s="373">
        <v>9380</v>
      </c>
      <c r="Z147" s="371" t="s">
        <v>2271</v>
      </c>
      <c r="AA147" s="373">
        <v>0</v>
      </c>
      <c r="AB147" s="373">
        <v>9400</v>
      </c>
      <c r="AC147" s="373">
        <v>9400</v>
      </c>
      <c r="AD147" s="371" t="s">
        <v>2271</v>
      </c>
      <c r="AE147" s="373">
        <v>0</v>
      </c>
      <c r="AF147" s="382">
        <v>0.96875</v>
      </c>
      <c r="AG147" s="382">
        <v>0.96875</v>
      </c>
      <c r="AH147" s="371" t="s">
        <v>2271</v>
      </c>
      <c r="AI147" s="382">
        <v>2.0138888888888901E-2</v>
      </c>
      <c r="AJ147" s="382">
        <v>2.0138888888888901E-2</v>
      </c>
      <c r="AK147" s="371" t="s">
        <v>2271</v>
      </c>
      <c r="AL147" s="206" t="s">
        <v>137</v>
      </c>
      <c r="AM147" s="206" t="s">
        <v>137</v>
      </c>
      <c r="AN147" s="371" t="s">
        <v>2271</v>
      </c>
      <c r="AO147" s="206" t="s">
        <v>2376</v>
      </c>
      <c r="AP147" s="206"/>
      <c r="AQ147" s="206" t="s">
        <v>1131</v>
      </c>
      <c r="AR147" s="207" t="s">
        <v>82</v>
      </c>
    </row>
    <row r="148" spans="1:44" x14ac:dyDescent="0.2">
      <c r="A148" s="370">
        <v>129</v>
      </c>
      <c r="B148" s="380">
        <v>75</v>
      </c>
      <c r="C148" s="371" t="s">
        <v>2269</v>
      </c>
      <c r="D148" s="371" t="s">
        <v>2270</v>
      </c>
      <c r="E148" s="206"/>
      <c r="F148" s="206" t="s">
        <v>39</v>
      </c>
      <c r="G148" s="206" t="s">
        <v>39</v>
      </c>
      <c r="H148" s="371" t="s">
        <v>2271</v>
      </c>
      <c r="I148" s="206" t="s">
        <v>1330</v>
      </c>
      <c r="J148" s="206" t="s">
        <v>1330</v>
      </c>
      <c r="K148" s="371" t="s">
        <v>2271</v>
      </c>
      <c r="L148" s="206" t="s">
        <v>2137</v>
      </c>
      <c r="M148" s="206" t="s">
        <v>1329</v>
      </c>
      <c r="N148" s="206" t="s">
        <v>40</v>
      </c>
      <c r="O148" s="372">
        <v>45966</v>
      </c>
      <c r="P148" s="372">
        <v>45966</v>
      </c>
      <c r="Q148" s="371" t="s">
        <v>2271</v>
      </c>
      <c r="R148" s="373">
        <v>13680</v>
      </c>
      <c r="S148" s="373">
        <v>13680</v>
      </c>
      <c r="T148" s="371" t="s">
        <v>2271</v>
      </c>
      <c r="U148" s="373">
        <v>4160</v>
      </c>
      <c r="V148" s="373">
        <v>4160</v>
      </c>
      <c r="W148" s="371" t="s">
        <v>2271</v>
      </c>
      <c r="X148" s="373">
        <v>9520</v>
      </c>
      <c r="Y148" s="373">
        <v>9520</v>
      </c>
      <c r="Z148" s="371" t="s">
        <v>2271</v>
      </c>
      <c r="AA148" s="373">
        <v>0</v>
      </c>
      <c r="AB148" s="373">
        <v>9590</v>
      </c>
      <c r="AC148" s="373">
        <v>9590</v>
      </c>
      <c r="AD148" s="371" t="s">
        <v>2271</v>
      </c>
      <c r="AE148" s="373">
        <v>0</v>
      </c>
      <c r="AF148" s="382">
        <v>0.92152777777777795</v>
      </c>
      <c r="AG148" s="382">
        <v>0.92152777777777795</v>
      </c>
      <c r="AH148" s="371" t="s">
        <v>2271</v>
      </c>
      <c r="AI148" s="382">
        <v>8.3333333333333297E-3</v>
      </c>
      <c r="AJ148" s="382">
        <v>8.3333333333333297E-3</v>
      </c>
      <c r="AK148" s="371" t="s">
        <v>2271</v>
      </c>
      <c r="AL148" s="206" t="s">
        <v>42</v>
      </c>
      <c r="AM148" s="206" t="s">
        <v>42</v>
      </c>
      <c r="AN148" s="371" t="s">
        <v>2271</v>
      </c>
      <c r="AO148" s="206" t="s">
        <v>2377</v>
      </c>
      <c r="AP148" s="206"/>
      <c r="AQ148" s="206" t="s">
        <v>1131</v>
      </c>
      <c r="AR148" s="207" t="s">
        <v>82</v>
      </c>
    </row>
    <row r="149" spans="1:44" x14ac:dyDescent="0.2">
      <c r="A149" s="370">
        <v>130</v>
      </c>
      <c r="B149" s="380">
        <v>75</v>
      </c>
      <c r="C149" s="371" t="s">
        <v>2337</v>
      </c>
      <c r="D149" s="371" t="s">
        <v>2235</v>
      </c>
      <c r="E149" s="206"/>
      <c r="F149" s="206" t="s">
        <v>183</v>
      </c>
      <c r="G149" s="206" t="s">
        <v>183</v>
      </c>
      <c r="H149" s="371" t="s">
        <v>2271</v>
      </c>
      <c r="I149" s="206"/>
      <c r="J149" s="206" t="s">
        <v>1361</v>
      </c>
      <c r="K149" s="371" t="s">
        <v>2276</v>
      </c>
      <c r="L149" s="206" t="s">
        <v>2196</v>
      </c>
      <c r="M149" s="206" t="s">
        <v>1360</v>
      </c>
      <c r="N149" s="206" t="s">
        <v>40</v>
      </c>
      <c r="O149" s="372">
        <v>46358</v>
      </c>
      <c r="P149" s="372">
        <v>46065</v>
      </c>
      <c r="Q149" s="371" t="s">
        <v>2276</v>
      </c>
      <c r="R149" s="373">
        <v>14160</v>
      </c>
      <c r="S149" s="373">
        <v>14160</v>
      </c>
      <c r="T149" s="371" t="s">
        <v>2271</v>
      </c>
      <c r="U149" s="373">
        <v>4310</v>
      </c>
      <c r="V149" s="373">
        <v>4310</v>
      </c>
      <c r="W149" s="371" t="s">
        <v>2271</v>
      </c>
      <c r="X149" s="373">
        <v>9850</v>
      </c>
      <c r="Y149" s="373">
        <v>9850</v>
      </c>
      <c r="Z149" s="371" t="s">
        <v>2271</v>
      </c>
      <c r="AA149" s="373">
        <v>0</v>
      </c>
      <c r="AB149" s="373">
        <v>9910</v>
      </c>
      <c r="AC149" s="373">
        <v>9910</v>
      </c>
      <c r="AD149" s="371" t="s">
        <v>2271</v>
      </c>
      <c r="AE149" s="373">
        <v>0</v>
      </c>
      <c r="AF149" s="382">
        <v>0.97499999999999998</v>
      </c>
      <c r="AG149" s="382">
        <v>0.97499999999999998</v>
      </c>
      <c r="AH149" s="371" t="s">
        <v>2271</v>
      </c>
      <c r="AI149" s="382">
        <v>5.5555555555555601E-3</v>
      </c>
      <c r="AJ149" s="382">
        <v>5.5555555555555601E-3</v>
      </c>
      <c r="AK149" s="371" t="s">
        <v>2271</v>
      </c>
      <c r="AL149" s="206" t="s">
        <v>137</v>
      </c>
      <c r="AM149" s="206" t="s">
        <v>137</v>
      </c>
      <c r="AN149" s="371" t="s">
        <v>2271</v>
      </c>
      <c r="AO149" s="206" t="s">
        <v>2377</v>
      </c>
      <c r="AP149" s="206"/>
      <c r="AQ149" s="206" t="s">
        <v>1131</v>
      </c>
      <c r="AR149" s="207" t="s">
        <v>82</v>
      </c>
    </row>
    <row r="150" spans="1:44" x14ac:dyDescent="0.2">
      <c r="A150" s="370">
        <v>131</v>
      </c>
      <c r="B150" s="380">
        <v>76</v>
      </c>
      <c r="C150" s="371" t="s">
        <v>2269</v>
      </c>
      <c r="D150" s="371" t="s">
        <v>2235</v>
      </c>
      <c r="E150" s="206"/>
      <c r="F150" s="206" t="s">
        <v>73</v>
      </c>
      <c r="G150" s="206" t="s">
        <v>73</v>
      </c>
      <c r="H150" s="371" t="s">
        <v>2271</v>
      </c>
      <c r="I150" s="206" t="s">
        <v>1330</v>
      </c>
      <c r="J150" s="206" t="s">
        <v>1330</v>
      </c>
      <c r="K150" s="371" t="s">
        <v>2271</v>
      </c>
      <c r="L150" s="206" t="s">
        <v>2137</v>
      </c>
      <c r="M150" s="206" t="s">
        <v>1329</v>
      </c>
      <c r="N150" s="206" t="s">
        <v>40</v>
      </c>
      <c r="O150" s="372">
        <v>45966</v>
      </c>
      <c r="P150" s="372">
        <v>45966</v>
      </c>
      <c r="Q150" s="371" t="s">
        <v>2271</v>
      </c>
      <c r="R150" s="373">
        <v>13390</v>
      </c>
      <c r="S150" s="373">
        <v>13390</v>
      </c>
      <c r="T150" s="371" t="s">
        <v>2271</v>
      </c>
      <c r="U150" s="373">
        <v>3990</v>
      </c>
      <c r="V150" s="373">
        <v>3990</v>
      </c>
      <c r="W150" s="371" t="s">
        <v>2271</v>
      </c>
      <c r="X150" s="373">
        <v>9400</v>
      </c>
      <c r="Y150" s="373">
        <v>9400</v>
      </c>
      <c r="Z150" s="371" t="s">
        <v>2271</v>
      </c>
      <c r="AA150" s="373">
        <v>0</v>
      </c>
      <c r="AB150" s="373">
        <v>9340</v>
      </c>
      <c r="AC150" s="373">
        <v>9340</v>
      </c>
      <c r="AD150" s="371" t="s">
        <v>2271</v>
      </c>
      <c r="AE150" s="373">
        <v>0</v>
      </c>
      <c r="AF150" s="382">
        <v>0.92222222222222205</v>
      </c>
      <c r="AG150" s="382">
        <v>0.92222222222222205</v>
      </c>
      <c r="AH150" s="371" t="s">
        <v>2271</v>
      </c>
      <c r="AI150" s="382">
        <v>0.97569444444444497</v>
      </c>
      <c r="AJ150" s="382">
        <v>0.97569444444444398</v>
      </c>
      <c r="AK150" s="371" t="s">
        <v>2276</v>
      </c>
      <c r="AL150" s="206" t="s">
        <v>42</v>
      </c>
      <c r="AM150" s="206" t="s">
        <v>42</v>
      </c>
      <c r="AN150" s="371" t="s">
        <v>2271</v>
      </c>
      <c r="AO150" s="206" t="s">
        <v>2378</v>
      </c>
      <c r="AP150" s="206"/>
      <c r="AQ150" s="206" t="s">
        <v>1131</v>
      </c>
      <c r="AR150" s="207" t="s">
        <v>82</v>
      </c>
    </row>
    <row r="151" spans="1:44" x14ac:dyDescent="0.2">
      <c r="A151" s="370">
        <v>132</v>
      </c>
      <c r="B151" s="380">
        <v>76</v>
      </c>
      <c r="C151" s="371" t="s">
        <v>2337</v>
      </c>
      <c r="D151" s="371" t="s">
        <v>2235</v>
      </c>
      <c r="E151" s="206"/>
      <c r="F151" s="206" t="s">
        <v>155</v>
      </c>
      <c r="G151" s="206" t="s">
        <v>155</v>
      </c>
      <c r="H151" s="371" t="s">
        <v>2271</v>
      </c>
      <c r="I151" s="206"/>
      <c r="J151" s="206" t="s">
        <v>1361</v>
      </c>
      <c r="K151" s="371" t="s">
        <v>2276</v>
      </c>
      <c r="L151" s="206" t="s">
        <v>2196</v>
      </c>
      <c r="M151" s="206" t="s">
        <v>1360</v>
      </c>
      <c r="N151" s="206" t="s">
        <v>40</v>
      </c>
      <c r="O151" s="372">
        <v>46358</v>
      </c>
      <c r="P151" s="372">
        <v>46065</v>
      </c>
      <c r="Q151" s="371" t="s">
        <v>2276</v>
      </c>
      <c r="R151" s="373">
        <v>13490</v>
      </c>
      <c r="S151" s="373">
        <v>13490</v>
      </c>
      <c r="T151" s="371" t="s">
        <v>2271</v>
      </c>
      <c r="U151" s="373">
        <v>4110</v>
      </c>
      <c r="V151" s="373">
        <v>4110</v>
      </c>
      <c r="W151" s="371" t="s">
        <v>2271</v>
      </c>
      <c r="X151" s="373">
        <v>9380</v>
      </c>
      <c r="Y151" s="373">
        <v>9380</v>
      </c>
      <c r="Z151" s="371" t="s">
        <v>2271</v>
      </c>
      <c r="AA151" s="373">
        <v>0</v>
      </c>
      <c r="AB151" s="373">
        <v>9510</v>
      </c>
      <c r="AC151" s="373">
        <v>9510</v>
      </c>
      <c r="AD151" s="371" t="s">
        <v>2271</v>
      </c>
      <c r="AE151" s="373">
        <v>0</v>
      </c>
      <c r="AF151" s="382">
        <v>0.97638888888888897</v>
      </c>
      <c r="AG151" s="382">
        <v>0.97638888888888897</v>
      </c>
      <c r="AH151" s="371" t="s">
        <v>2271</v>
      </c>
      <c r="AI151" s="382">
        <v>1.3194444444444399E-2</v>
      </c>
      <c r="AJ151" s="382">
        <v>1.3194444444444399E-2</v>
      </c>
      <c r="AK151" s="371" t="s">
        <v>2271</v>
      </c>
      <c r="AL151" s="206" t="s">
        <v>137</v>
      </c>
      <c r="AM151" s="206" t="s">
        <v>137</v>
      </c>
      <c r="AN151" s="371" t="s">
        <v>2271</v>
      </c>
      <c r="AO151" s="206" t="s">
        <v>2378</v>
      </c>
      <c r="AP151" s="206"/>
      <c r="AQ151" s="206" t="s">
        <v>1131</v>
      </c>
      <c r="AR151" s="207" t="s">
        <v>82</v>
      </c>
    </row>
    <row r="152" spans="1:44" x14ac:dyDescent="0.2">
      <c r="A152" s="370">
        <v>133</v>
      </c>
      <c r="B152" s="380">
        <v>77</v>
      </c>
      <c r="C152" s="371" t="s">
        <v>2269</v>
      </c>
      <c r="D152" s="371" t="s">
        <v>2270</v>
      </c>
      <c r="E152" s="206"/>
      <c r="F152" s="206" t="s">
        <v>210</v>
      </c>
      <c r="G152" s="206" t="s">
        <v>210</v>
      </c>
      <c r="H152" s="371" t="s">
        <v>2271</v>
      </c>
      <c r="I152" s="206" t="s">
        <v>1330</v>
      </c>
      <c r="J152" s="206" t="s">
        <v>1330</v>
      </c>
      <c r="K152" s="371" t="s">
        <v>2271</v>
      </c>
      <c r="L152" s="206" t="s">
        <v>2137</v>
      </c>
      <c r="M152" s="206" t="s">
        <v>1329</v>
      </c>
      <c r="N152" s="206" t="s">
        <v>40</v>
      </c>
      <c r="O152" s="372">
        <v>45966</v>
      </c>
      <c r="P152" s="372">
        <v>45966</v>
      </c>
      <c r="Q152" s="371" t="s">
        <v>2271</v>
      </c>
      <c r="R152" s="373">
        <v>13280</v>
      </c>
      <c r="S152" s="373">
        <v>13280</v>
      </c>
      <c r="T152" s="371" t="s">
        <v>2271</v>
      </c>
      <c r="U152" s="373">
        <v>3750</v>
      </c>
      <c r="V152" s="373">
        <v>3750</v>
      </c>
      <c r="W152" s="371" t="s">
        <v>2271</v>
      </c>
      <c r="X152" s="373">
        <v>9530</v>
      </c>
      <c r="Y152" s="373">
        <v>9530</v>
      </c>
      <c r="Z152" s="371" t="s">
        <v>2271</v>
      </c>
      <c r="AA152" s="373">
        <v>0</v>
      </c>
      <c r="AB152" s="373">
        <v>9510</v>
      </c>
      <c r="AC152" s="373">
        <v>9510</v>
      </c>
      <c r="AD152" s="371" t="s">
        <v>2271</v>
      </c>
      <c r="AE152" s="373">
        <v>0</v>
      </c>
      <c r="AF152" s="382">
        <v>0.92361111111111105</v>
      </c>
      <c r="AG152" s="382">
        <v>0.92361111111111105</v>
      </c>
      <c r="AH152" s="371" t="s">
        <v>2271</v>
      </c>
      <c r="AI152" s="382">
        <v>0.99375000000000002</v>
      </c>
      <c r="AJ152" s="382">
        <v>0.99375000000000002</v>
      </c>
      <c r="AK152" s="371" t="s">
        <v>2271</v>
      </c>
      <c r="AL152" s="206" t="s">
        <v>42</v>
      </c>
      <c r="AM152" s="206" t="s">
        <v>42</v>
      </c>
      <c r="AN152" s="371" t="s">
        <v>2271</v>
      </c>
      <c r="AO152" s="206" t="s">
        <v>2379</v>
      </c>
      <c r="AP152" s="206"/>
      <c r="AQ152" s="206" t="s">
        <v>1131</v>
      </c>
      <c r="AR152" s="207" t="s">
        <v>82</v>
      </c>
    </row>
    <row r="153" spans="1:44" x14ac:dyDescent="0.2">
      <c r="A153" s="370">
        <v>134</v>
      </c>
      <c r="B153" s="380">
        <v>77</v>
      </c>
      <c r="C153" s="371" t="s">
        <v>2337</v>
      </c>
      <c r="D153" s="371" t="s">
        <v>2235</v>
      </c>
      <c r="E153" s="206"/>
      <c r="F153" s="206" t="s">
        <v>211</v>
      </c>
      <c r="G153" s="206" t="s">
        <v>211</v>
      </c>
      <c r="H153" s="371" t="s">
        <v>2271</v>
      </c>
      <c r="I153" s="206"/>
      <c r="J153" s="206" t="s">
        <v>1361</v>
      </c>
      <c r="K153" s="371" t="s">
        <v>2276</v>
      </c>
      <c r="L153" s="206" t="s">
        <v>2196</v>
      </c>
      <c r="M153" s="206" t="s">
        <v>1360</v>
      </c>
      <c r="N153" s="206" t="s">
        <v>40</v>
      </c>
      <c r="O153" s="372">
        <v>46358</v>
      </c>
      <c r="P153" s="372">
        <v>46065</v>
      </c>
      <c r="Q153" s="371" t="s">
        <v>2276</v>
      </c>
      <c r="R153" s="373">
        <v>13020</v>
      </c>
      <c r="S153" s="373">
        <v>13020</v>
      </c>
      <c r="T153" s="371" t="s">
        <v>2271</v>
      </c>
      <c r="U153" s="373">
        <v>4070</v>
      </c>
      <c r="V153" s="373">
        <v>4070</v>
      </c>
      <c r="W153" s="371" t="s">
        <v>2271</v>
      </c>
      <c r="X153" s="373">
        <v>8950</v>
      </c>
      <c r="Y153" s="373">
        <v>8950</v>
      </c>
      <c r="Z153" s="371" t="s">
        <v>2271</v>
      </c>
      <c r="AA153" s="373">
        <v>0</v>
      </c>
      <c r="AB153" s="373">
        <v>9030</v>
      </c>
      <c r="AC153" s="373">
        <v>9030</v>
      </c>
      <c r="AD153" s="371" t="s">
        <v>2271</v>
      </c>
      <c r="AE153" s="373">
        <v>0</v>
      </c>
      <c r="AF153" s="382">
        <v>0.97847222222222197</v>
      </c>
      <c r="AG153" s="382">
        <v>0.97847222222222197</v>
      </c>
      <c r="AH153" s="371" t="s">
        <v>2271</v>
      </c>
      <c r="AI153" s="382">
        <v>3.05555555555556E-2</v>
      </c>
      <c r="AJ153" s="382">
        <v>3.05555555555556E-2</v>
      </c>
      <c r="AK153" s="371" t="s">
        <v>2271</v>
      </c>
      <c r="AL153" s="206" t="s">
        <v>137</v>
      </c>
      <c r="AM153" s="206" t="s">
        <v>137</v>
      </c>
      <c r="AN153" s="371" t="s">
        <v>2271</v>
      </c>
      <c r="AO153" s="206" t="s">
        <v>2379</v>
      </c>
      <c r="AP153" s="206"/>
      <c r="AQ153" s="206" t="s">
        <v>1131</v>
      </c>
      <c r="AR153" s="207" t="s">
        <v>82</v>
      </c>
    </row>
    <row r="154" spans="1:44" x14ac:dyDescent="0.2">
      <c r="A154" s="370">
        <v>135</v>
      </c>
      <c r="B154" s="380">
        <v>78</v>
      </c>
      <c r="C154" s="371" t="s">
        <v>2269</v>
      </c>
      <c r="D154" s="371" t="s">
        <v>2270</v>
      </c>
      <c r="E154" s="206"/>
      <c r="F154" s="206" t="s">
        <v>171</v>
      </c>
      <c r="G154" s="206" t="s">
        <v>171</v>
      </c>
      <c r="H154" s="371" t="s">
        <v>2271</v>
      </c>
      <c r="I154" s="206" t="s">
        <v>1330</v>
      </c>
      <c r="J154" s="206" t="s">
        <v>1330</v>
      </c>
      <c r="K154" s="371" t="s">
        <v>2271</v>
      </c>
      <c r="L154" s="206" t="s">
        <v>2137</v>
      </c>
      <c r="M154" s="206" t="s">
        <v>1329</v>
      </c>
      <c r="N154" s="206" t="s">
        <v>40</v>
      </c>
      <c r="O154" s="372">
        <v>45966</v>
      </c>
      <c r="P154" s="372">
        <v>45966</v>
      </c>
      <c r="Q154" s="371" t="s">
        <v>2271</v>
      </c>
      <c r="R154" s="373">
        <v>13160</v>
      </c>
      <c r="S154" s="373">
        <v>13160</v>
      </c>
      <c r="T154" s="371" t="s">
        <v>2271</v>
      </c>
      <c r="U154" s="373">
        <v>3670</v>
      </c>
      <c r="V154" s="373">
        <v>3670</v>
      </c>
      <c r="W154" s="371" t="s">
        <v>2271</v>
      </c>
      <c r="X154" s="373">
        <v>9490</v>
      </c>
      <c r="Y154" s="373">
        <v>9490</v>
      </c>
      <c r="Z154" s="371" t="s">
        <v>2271</v>
      </c>
      <c r="AA154" s="373">
        <v>0</v>
      </c>
      <c r="AB154" s="373">
        <v>9530</v>
      </c>
      <c r="AC154" s="373">
        <v>9530</v>
      </c>
      <c r="AD154" s="371" t="s">
        <v>2271</v>
      </c>
      <c r="AE154" s="373">
        <v>0</v>
      </c>
      <c r="AF154" s="382">
        <v>0.35555555555555601</v>
      </c>
      <c r="AG154" s="382">
        <v>0.35555555555555601</v>
      </c>
      <c r="AH154" s="371" t="s">
        <v>2271</v>
      </c>
      <c r="AI154" s="382">
        <v>0.39305555555555599</v>
      </c>
      <c r="AJ154" s="382">
        <v>0.39305555555555599</v>
      </c>
      <c r="AK154" s="371" t="s">
        <v>2271</v>
      </c>
      <c r="AL154" s="206" t="s">
        <v>42</v>
      </c>
      <c r="AM154" s="206" t="s">
        <v>42</v>
      </c>
      <c r="AN154" s="371" t="s">
        <v>2271</v>
      </c>
      <c r="AO154" s="206" t="s">
        <v>2380</v>
      </c>
      <c r="AP154" s="206"/>
      <c r="AQ154" s="206" t="s">
        <v>1131</v>
      </c>
      <c r="AR154" s="207" t="s">
        <v>82</v>
      </c>
    </row>
    <row r="155" spans="1:44" x14ac:dyDescent="0.2">
      <c r="A155" s="370">
        <v>136</v>
      </c>
      <c r="B155" s="380">
        <v>78</v>
      </c>
      <c r="C155" s="371" t="s">
        <v>2337</v>
      </c>
      <c r="D155" s="371" t="s">
        <v>2235</v>
      </c>
      <c r="E155" s="206"/>
      <c r="F155" s="206" t="s">
        <v>156</v>
      </c>
      <c r="G155" s="206" t="s">
        <v>156</v>
      </c>
      <c r="H155" s="371" t="s">
        <v>2271</v>
      </c>
      <c r="I155" s="206"/>
      <c r="J155" s="206" t="s">
        <v>1361</v>
      </c>
      <c r="K155" s="371" t="s">
        <v>2276</v>
      </c>
      <c r="L155" s="206" t="s">
        <v>2196</v>
      </c>
      <c r="M155" s="206" t="s">
        <v>1360</v>
      </c>
      <c r="N155" s="206" t="s">
        <v>40</v>
      </c>
      <c r="O155" s="372">
        <v>46358</v>
      </c>
      <c r="P155" s="372">
        <v>46065</v>
      </c>
      <c r="Q155" s="371" t="s">
        <v>2276</v>
      </c>
      <c r="R155" s="373">
        <v>14030</v>
      </c>
      <c r="S155" s="373">
        <v>14030</v>
      </c>
      <c r="T155" s="371" t="s">
        <v>2271</v>
      </c>
      <c r="U155" s="373">
        <v>4290</v>
      </c>
      <c r="V155" s="373">
        <v>4290</v>
      </c>
      <c r="W155" s="371" t="s">
        <v>2271</v>
      </c>
      <c r="X155" s="373">
        <v>9740</v>
      </c>
      <c r="Y155" s="373">
        <v>9740</v>
      </c>
      <c r="Z155" s="371" t="s">
        <v>2271</v>
      </c>
      <c r="AA155" s="373">
        <v>0</v>
      </c>
      <c r="AB155" s="373">
        <v>9900</v>
      </c>
      <c r="AC155" s="373">
        <v>9900</v>
      </c>
      <c r="AD155" s="371" t="s">
        <v>2271</v>
      </c>
      <c r="AE155" s="373">
        <v>0</v>
      </c>
      <c r="AF155" s="382">
        <v>1.18055555555556E-2</v>
      </c>
      <c r="AG155" s="382">
        <v>1.18055555555556E-2</v>
      </c>
      <c r="AH155" s="371" t="s">
        <v>2271</v>
      </c>
      <c r="AI155" s="382">
        <v>6.0416666666666702E-2</v>
      </c>
      <c r="AJ155" s="382">
        <v>6.0416666666666702E-2</v>
      </c>
      <c r="AK155" s="371" t="s">
        <v>2271</v>
      </c>
      <c r="AL155" s="206" t="s">
        <v>137</v>
      </c>
      <c r="AM155" s="206" t="s">
        <v>137</v>
      </c>
      <c r="AN155" s="371" t="s">
        <v>2271</v>
      </c>
      <c r="AO155" s="206" t="s">
        <v>2380</v>
      </c>
      <c r="AP155" s="206"/>
      <c r="AQ155" s="206" t="s">
        <v>1131</v>
      </c>
      <c r="AR155" s="207" t="s">
        <v>82</v>
      </c>
    </row>
    <row r="156" spans="1:44" x14ac:dyDescent="0.2">
      <c r="A156" s="370">
        <v>137</v>
      </c>
      <c r="B156" s="380">
        <v>79</v>
      </c>
      <c r="C156" s="371" t="s">
        <v>2269</v>
      </c>
      <c r="D156" s="371" t="s">
        <v>2270</v>
      </c>
      <c r="E156" s="206"/>
      <c r="F156" s="206" t="s">
        <v>214</v>
      </c>
      <c r="G156" s="206" t="s">
        <v>214</v>
      </c>
      <c r="H156" s="371" t="s">
        <v>2271</v>
      </c>
      <c r="I156" s="206" t="s">
        <v>1330</v>
      </c>
      <c r="J156" s="206" t="s">
        <v>1330</v>
      </c>
      <c r="K156" s="371" t="s">
        <v>2271</v>
      </c>
      <c r="L156" s="206" t="s">
        <v>2137</v>
      </c>
      <c r="M156" s="206" t="s">
        <v>1329</v>
      </c>
      <c r="N156" s="206" t="s">
        <v>40</v>
      </c>
      <c r="O156" s="372">
        <v>45966</v>
      </c>
      <c r="P156" s="372">
        <v>45966</v>
      </c>
      <c r="Q156" s="371" t="s">
        <v>2271</v>
      </c>
      <c r="R156" s="373">
        <v>13440</v>
      </c>
      <c r="S156" s="373">
        <v>13440</v>
      </c>
      <c r="T156" s="371" t="s">
        <v>2271</v>
      </c>
      <c r="U156" s="373">
        <v>3750</v>
      </c>
      <c r="V156" s="373">
        <v>3750</v>
      </c>
      <c r="W156" s="371" t="s">
        <v>2271</v>
      </c>
      <c r="X156" s="373">
        <v>9690</v>
      </c>
      <c r="Y156" s="373">
        <v>9690</v>
      </c>
      <c r="Z156" s="371" t="s">
        <v>2271</v>
      </c>
      <c r="AA156" s="373">
        <v>0</v>
      </c>
      <c r="AB156" s="373">
        <v>9780</v>
      </c>
      <c r="AC156" s="373">
        <v>9780</v>
      </c>
      <c r="AD156" s="371" t="s">
        <v>2271</v>
      </c>
      <c r="AE156" s="373">
        <v>0</v>
      </c>
      <c r="AF156" s="382">
        <v>0.35625000000000001</v>
      </c>
      <c r="AG156" s="382">
        <v>0.35625000000000001</v>
      </c>
      <c r="AH156" s="371" t="s">
        <v>2271</v>
      </c>
      <c r="AI156" s="382">
        <v>0.39513888888888898</v>
      </c>
      <c r="AJ156" s="382">
        <v>0.39513888888888898</v>
      </c>
      <c r="AK156" s="371" t="s">
        <v>2271</v>
      </c>
      <c r="AL156" s="206" t="s">
        <v>42</v>
      </c>
      <c r="AM156" s="206" t="s">
        <v>42</v>
      </c>
      <c r="AN156" s="371" t="s">
        <v>2271</v>
      </c>
      <c r="AO156" s="206" t="s">
        <v>2381</v>
      </c>
      <c r="AP156" s="206"/>
      <c r="AQ156" s="206" t="s">
        <v>1131</v>
      </c>
      <c r="AR156" s="207" t="s">
        <v>82</v>
      </c>
    </row>
    <row r="157" spans="1:44" x14ac:dyDescent="0.2">
      <c r="A157" s="370">
        <v>138</v>
      </c>
      <c r="B157" s="380">
        <v>79</v>
      </c>
      <c r="C157" s="371" t="s">
        <v>2337</v>
      </c>
      <c r="D157" s="371" t="s">
        <v>2235</v>
      </c>
      <c r="E157" s="206"/>
      <c r="F157" s="206" t="s">
        <v>215</v>
      </c>
      <c r="G157" s="206" t="s">
        <v>215</v>
      </c>
      <c r="H157" s="371" t="s">
        <v>2271</v>
      </c>
      <c r="I157" s="206"/>
      <c r="J157" s="206" t="s">
        <v>1361</v>
      </c>
      <c r="K157" s="371" t="s">
        <v>2276</v>
      </c>
      <c r="L157" s="206" t="s">
        <v>2196</v>
      </c>
      <c r="M157" s="206" t="s">
        <v>1360</v>
      </c>
      <c r="N157" s="206" t="s">
        <v>40</v>
      </c>
      <c r="O157" s="372">
        <v>46358</v>
      </c>
      <c r="P157" s="372">
        <v>46065</v>
      </c>
      <c r="Q157" s="371" t="s">
        <v>2276</v>
      </c>
      <c r="R157" s="373">
        <v>12770</v>
      </c>
      <c r="S157" s="373">
        <v>12770</v>
      </c>
      <c r="T157" s="371" t="s">
        <v>2271</v>
      </c>
      <c r="U157" s="373">
        <v>4040</v>
      </c>
      <c r="V157" s="373">
        <v>4040</v>
      </c>
      <c r="W157" s="371" t="s">
        <v>2271</v>
      </c>
      <c r="X157" s="373">
        <v>8730</v>
      </c>
      <c r="Y157" s="373">
        <v>8730</v>
      </c>
      <c r="Z157" s="371" t="s">
        <v>2271</v>
      </c>
      <c r="AA157" s="373">
        <v>0</v>
      </c>
      <c r="AB157" s="373">
        <v>8760</v>
      </c>
      <c r="AC157" s="373">
        <v>8760</v>
      </c>
      <c r="AD157" s="371" t="s">
        <v>2271</v>
      </c>
      <c r="AE157" s="373">
        <v>0</v>
      </c>
      <c r="AF157" s="382">
        <v>1.4583333333333301E-2</v>
      </c>
      <c r="AG157" s="382">
        <v>1.4583333333333301E-2</v>
      </c>
      <c r="AH157" s="371" t="s">
        <v>2271</v>
      </c>
      <c r="AI157" s="382">
        <v>6.8055555555555494E-2</v>
      </c>
      <c r="AJ157" s="382">
        <v>6.8055555555555605E-2</v>
      </c>
      <c r="AK157" s="371" t="s">
        <v>2276</v>
      </c>
      <c r="AL157" s="206" t="s">
        <v>137</v>
      </c>
      <c r="AM157" s="206" t="s">
        <v>137</v>
      </c>
      <c r="AN157" s="371" t="s">
        <v>2271</v>
      </c>
      <c r="AO157" s="206" t="s">
        <v>2381</v>
      </c>
      <c r="AP157" s="206"/>
      <c r="AQ157" s="206" t="s">
        <v>1131</v>
      </c>
      <c r="AR157" s="207" t="s">
        <v>82</v>
      </c>
    </row>
    <row r="158" spans="1:44" x14ac:dyDescent="0.2">
      <c r="A158" s="370">
        <v>139</v>
      </c>
      <c r="B158" s="380">
        <v>80</v>
      </c>
      <c r="C158" s="371" t="s">
        <v>2269</v>
      </c>
      <c r="D158" s="371" t="s">
        <v>2270</v>
      </c>
      <c r="E158" s="206"/>
      <c r="F158" s="206" t="s">
        <v>151</v>
      </c>
      <c r="G158" s="206" t="s">
        <v>151</v>
      </c>
      <c r="H158" s="371" t="s">
        <v>2271</v>
      </c>
      <c r="I158" s="206" t="s">
        <v>1330</v>
      </c>
      <c r="J158" s="206" t="s">
        <v>1330</v>
      </c>
      <c r="K158" s="371" t="s">
        <v>2271</v>
      </c>
      <c r="L158" s="206" t="s">
        <v>2137</v>
      </c>
      <c r="M158" s="206" t="s">
        <v>1329</v>
      </c>
      <c r="N158" s="206" t="s">
        <v>40</v>
      </c>
      <c r="O158" s="372">
        <v>45968</v>
      </c>
      <c r="P158" s="372">
        <v>45968</v>
      </c>
      <c r="Q158" s="371" t="s">
        <v>2271</v>
      </c>
      <c r="R158" s="373">
        <v>13430</v>
      </c>
      <c r="S158" s="373">
        <v>13430</v>
      </c>
      <c r="T158" s="371" t="s">
        <v>2271</v>
      </c>
      <c r="U158" s="373">
        <v>4130</v>
      </c>
      <c r="V158" s="373">
        <v>4130</v>
      </c>
      <c r="W158" s="371" t="s">
        <v>2271</v>
      </c>
      <c r="X158" s="373">
        <v>9300</v>
      </c>
      <c r="Y158" s="373">
        <v>9300</v>
      </c>
      <c r="Z158" s="371" t="s">
        <v>2271</v>
      </c>
      <c r="AA158" s="373">
        <v>0</v>
      </c>
      <c r="AB158" s="373">
        <v>9320</v>
      </c>
      <c r="AC158" s="373">
        <v>9320</v>
      </c>
      <c r="AD158" s="371" t="s">
        <v>2271</v>
      </c>
      <c r="AE158" s="373">
        <v>0</v>
      </c>
      <c r="AF158" s="382">
        <v>0.344444444444444</v>
      </c>
      <c r="AG158" s="382">
        <v>0.344444444444444</v>
      </c>
      <c r="AH158" s="371" t="s">
        <v>2271</v>
      </c>
      <c r="AI158" s="382">
        <v>0.45</v>
      </c>
      <c r="AJ158" s="382">
        <v>0.45</v>
      </c>
      <c r="AK158" s="371" t="s">
        <v>2271</v>
      </c>
      <c r="AL158" s="206" t="s">
        <v>42</v>
      </c>
      <c r="AM158" s="206" t="s">
        <v>42</v>
      </c>
      <c r="AN158" s="371" t="s">
        <v>2271</v>
      </c>
      <c r="AO158" s="206" t="s">
        <v>2382</v>
      </c>
      <c r="AP158" s="206"/>
      <c r="AQ158" s="206" t="s">
        <v>1131</v>
      </c>
      <c r="AR158" s="207" t="s">
        <v>82</v>
      </c>
    </row>
    <row r="159" spans="1:44" x14ac:dyDescent="0.2">
      <c r="A159" s="370">
        <v>140</v>
      </c>
      <c r="B159" s="380">
        <v>80</v>
      </c>
      <c r="C159" s="371" t="s">
        <v>2337</v>
      </c>
      <c r="D159" s="371" t="s">
        <v>2235</v>
      </c>
      <c r="E159" s="206"/>
      <c r="F159" s="206" t="s">
        <v>151</v>
      </c>
      <c r="G159" s="206" t="s">
        <v>151</v>
      </c>
      <c r="H159" s="371" t="s">
        <v>2271</v>
      </c>
      <c r="I159" s="206"/>
      <c r="J159" s="206" t="s">
        <v>1361</v>
      </c>
      <c r="K159" s="371" t="s">
        <v>2276</v>
      </c>
      <c r="L159" s="206" t="s">
        <v>2196</v>
      </c>
      <c r="M159" s="206" t="s">
        <v>1360</v>
      </c>
      <c r="N159" s="206" t="s">
        <v>40</v>
      </c>
      <c r="O159" s="372">
        <v>46358</v>
      </c>
      <c r="P159" s="372">
        <v>46065</v>
      </c>
      <c r="Q159" s="371" t="s">
        <v>2276</v>
      </c>
      <c r="R159" s="373">
        <v>13460</v>
      </c>
      <c r="S159" s="373">
        <v>13460</v>
      </c>
      <c r="T159" s="371" t="s">
        <v>2271</v>
      </c>
      <c r="U159" s="373">
        <v>4270</v>
      </c>
      <c r="V159" s="373">
        <v>4270</v>
      </c>
      <c r="W159" s="371" t="s">
        <v>2271</v>
      </c>
      <c r="X159" s="373">
        <v>9190</v>
      </c>
      <c r="Y159" s="373">
        <v>9190</v>
      </c>
      <c r="Z159" s="371" t="s">
        <v>2271</v>
      </c>
      <c r="AA159" s="373">
        <v>0</v>
      </c>
      <c r="AB159" s="373">
        <v>9310</v>
      </c>
      <c r="AC159" s="373">
        <v>9310</v>
      </c>
      <c r="AD159" s="371" t="s">
        <v>2271</v>
      </c>
      <c r="AE159" s="373">
        <v>0</v>
      </c>
      <c r="AF159" s="382">
        <v>2.1527777777777798E-2</v>
      </c>
      <c r="AG159" s="382">
        <v>2.1527777777777798E-2</v>
      </c>
      <c r="AH159" s="371" t="s">
        <v>2271</v>
      </c>
      <c r="AI159" s="382">
        <v>7.9861111111111105E-2</v>
      </c>
      <c r="AJ159" s="382">
        <v>7.9861111111111105E-2</v>
      </c>
      <c r="AK159" s="371" t="s">
        <v>2271</v>
      </c>
      <c r="AL159" s="206" t="s">
        <v>137</v>
      </c>
      <c r="AM159" s="206" t="s">
        <v>137</v>
      </c>
      <c r="AN159" s="371" t="s">
        <v>2271</v>
      </c>
      <c r="AO159" s="206" t="s">
        <v>2382</v>
      </c>
      <c r="AP159" s="206"/>
      <c r="AQ159" s="206" t="s">
        <v>1131</v>
      </c>
      <c r="AR159" s="207" t="s">
        <v>82</v>
      </c>
    </row>
    <row r="160" spans="1:44" x14ac:dyDescent="0.2">
      <c r="A160" s="370">
        <v>141</v>
      </c>
      <c r="B160" s="380">
        <v>81</v>
      </c>
      <c r="C160" s="371" t="s">
        <v>2269</v>
      </c>
      <c r="D160" s="371" t="s">
        <v>2270</v>
      </c>
      <c r="E160" s="206"/>
      <c r="F160" s="206" t="s">
        <v>173</v>
      </c>
      <c r="G160" s="206" t="s">
        <v>173</v>
      </c>
      <c r="H160" s="371" t="s">
        <v>2271</v>
      </c>
      <c r="I160" s="206" t="s">
        <v>1330</v>
      </c>
      <c r="J160" s="206" t="s">
        <v>1330</v>
      </c>
      <c r="K160" s="371" t="s">
        <v>2271</v>
      </c>
      <c r="L160" s="206" t="s">
        <v>2137</v>
      </c>
      <c r="M160" s="206" t="s">
        <v>1329</v>
      </c>
      <c r="N160" s="206" t="s">
        <v>40</v>
      </c>
      <c r="O160" s="372">
        <v>45968</v>
      </c>
      <c r="P160" s="372">
        <v>45968</v>
      </c>
      <c r="Q160" s="371" t="s">
        <v>2271</v>
      </c>
      <c r="R160" s="373">
        <v>14290</v>
      </c>
      <c r="S160" s="373">
        <v>14290</v>
      </c>
      <c r="T160" s="371" t="s">
        <v>2271</v>
      </c>
      <c r="U160" s="373">
        <v>4680</v>
      </c>
      <c r="V160" s="373">
        <v>4680</v>
      </c>
      <c r="W160" s="371" t="s">
        <v>2271</v>
      </c>
      <c r="X160" s="373">
        <v>9610</v>
      </c>
      <c r="Y160" s="373">
        <v>9610</v>
      </c>
      <c r="Z160" s="371" t="s">
        <v>2271</v>
      </c>
      <c r="AA160" s="373">
        <v>0</v>
      </c>
      <c r="AB160" s="373">
        <v>9630</v>
      </c>
      <c r="AC160" s="373">
        <v>9630</v>
      </c>
      <c r="AD160" s="371" t="s">
        <v>2271</v>
      </c>
      <c r="AE160" s="373">
        <v>0</v>
      </c>
      <c r="AF160" s="382">
        <v>0.34583333333333299</v>
      </c>
      <c r="AG160" s="382">
        <v>0.34583333333333299</v>
      </c>
      <c r="AH160" s="371" t="s">
        <v>2271</v>
      </c>
      <c r="AI160" s="382">
        <v>0.38541666666666702</v>
      </c>
      <c r="AJ160" s="382">
        <v>0.38541666666666702</v>
      </c>
      <c r="AK160" s="371" t="s">
        <v>2271</v>
      </c>
      <c r="AL160" s="206" t="s">
        <v>42</v>
      </c>
      <c r="AM160" s="206" t="s">
        <v>42</v>
      </c>
      <c r="AN160" s="371" t="s">
        <v>2271</v>
      </c>
      <c r="AO160" s="206" t="s">
        <v>2383</v>
      </c>
      <c r="AP160" s="206"/>
      <c r="AQ160" s="206" t="s">
        <v>1131</v>
      </c>
      <c r="AR160" s="207" t="s">
        <v>82</v>
      </c>
    </row>
    <row r="161" spans="1:44" x14ac:dyDescent="0.2">
      <c r="A161" s="370">
        <v>142</v>
      </c>
      <c r="B161" s="380">
        <v>81</v>
      </c>
      <c r="C161" s="371" t="s">
        <v>2337</v>
      </c>
      <c r="D161" s="371" t="s">
        <v>2235</v>
      </c>
      <c r="E161" s="206"/>
      <c r="F161" s="206" t="s">
        <v>153</v>
      </c>
      <c r="G161" s="206" t="s">
        <v>153</v>
      </c>
      <c r="H161" s="371" t="s">
        <v>2271</v>
      </c>
      <c r="I161" s="206"/>
      <c r="J161" s="206" t="s">
        <v>1361</v>
      </c>
      <c r="K161" s="371" t="s">
        <v>2276</v>
      </c>
      <c r="L161" s="206" t="s">
        <v>2196</v>
      </c>
      <c r="M161" s="206" t="s">
        <v>1360</v>
      </c>
      <c r="N161" s="206" t="s">
        <v>40</v>
      </c>
      <c r="O161" s="372">
        <v>46358</v>
      </c>
      <c r="P161" s="372">
        <v>46065</v>
      </c>
      <c r="Q161" s="371" t="s">
        <v>2276</v>
      </c>
      <c r="R161" s="373">
        <v>13520</v>
      </c>
      <c r="S161" s="373">
        <v>13520</v>
      </c>
      <c r="T161" s="371" t="s">
        <v>2271</v>
      </c>
      <c r="U161" s="373">
        <v>4010</v>
      </c>
      <c r="V161" s="373">
        <v>4010</v>
      </c>
      <c r="W161" s="371" t="s">
        <v>2271</v>
      </c>
      <c r="X161" s="373">
        <v>9510</v>
      </c>
      <c r="Y161" s="373">
        <v>9510</v>
      </c>
      <c r="Z161" s="371" t="s">
        <v>2271</v>
      </c>
      <c r="AA161" s="373">
        <v>0</v>
      </c>
      <c r="AB161" s="373">
        <v>9500</v>
      </c>
      <c r="AC161" s="373">
        <v>9500</v>
      </c>
      <c r="AD161" s="371" t="s">
        <v>2271</v>
      </c>
      <c r="AE161" s="373">
        <v>0</v>
      </c>
      <c r="AF161" s="382">
        <v>3.3333333333333298E-2</v>
      </c>
      <c r="AG161" s="382">
        <v>3.3333333333333298E-2</v>
      </c>
      <c r="AH161" s="371" t="s">
        <v>2271</v>
      </c>
      <c r="AI161" s="382">
        <v>7.5694444444444398E-2</v>
      </c>
      <c r="AJ161" s="382">
        <v>7.5694444444444398E-2</v>
      </c>
      <c r="AK161" s="371" t="s">
        <v>2271</v>
      </c>
      <c r="AL161" s="206" t="s">
        <v>137</v>
      </c>
      <c r="AM161" s="206" t="s">
        <v>137</v>
      </c>
      <c r="AN161" s="371" t="s">
        <v>2271</v>
      </c>
      <c r="AO161" s="206" t="s">
        <v>2383</v>
      </c>
      <c r="AP161" s="206"/>
      <c r="AQ161" s="206" t="s">
        <v>1131</v>
      </c>
      <c r="AR161" s="207" t="s">
        <v>82</v>
      </c>
    </row>
    <row r="162" spans="1:44" x14ac:dyDescent="0.2">
      <c r="A162" s="370">
        <v>143</v>
      </c>
      <c r="B162" s="380">
        <v>82</v>
      </c>
      <c r="C162" s="371" t="s">
        <v>2269</v>
      </c>
      <c r="D162" s="371" t="s">
        <v>2270</v>
      </c>
      <c r="E162" s="206"/>
      <c r="F162" s="206" t="s">
        <v>219</v>
      </c>
      <c r="G162" s="206" t="s">
        <v>219</v>
      </c>
      <c r="H162" s="371" t="s">
        <v>2271</v>
      </c>
      <c r="I162" s="206" t="s">
        <v>1330</v>
      </c>
      <c r="J162" s="206" t="s">
        <v>1330</v>
      </c>
      <c r="K162" s="371" t="s">
        <v>2271</v>
      </c>
      <c r="L162" s="206" t="s">
        <v>2137</v>
      </c>
      <c r="M162" s="206" t="s">
        <v>1329</v>
      </c>
      <c r="N162" s="206" t="s">
        <v>40</v>
      </c>
      <c r="O162" s="372">
        <v>45968</v>
      </c>
      <c r="P162" s="372">
        <v>45968</v>
      </c>
      <c r="Q162" s="371" t="s">
        <v>2271</v>
      </c>
      <c r="R162" s="373">
        <v>13720</v>
      </c>
      <c r="S162" s="373">
        <v>13720</v>
      </c>
      <c r="T162" s="371" t="s">
        <v>2271</v>
      </c>
      <c r="U162" s="373">
        <v>4060</v>
      </c>
      <c r="V162" s="373">
        <v>4060</v>
      </c>
      <c r="W162" s="371" t="s">
        <v>2271</v>
      </c>
      <c r="X162" s="373">
        <v>9660</v>
      </c>
      <c r="Y162" s="373">
        <v>9660</v>
      </c>
      <c r="Z162" s="371" t="s">
        <v>2271</v>
      </c>
      <c r="AA162" s="373">
        <v>0</v>
      </c>
      <c r="AB162" s="373">
        <v>9660</v>
      </c>
      <c r="AC162" s="373">
        <v>9660</v>
      </c>
      <c r="AD162" s="371" t="s">
        <v>2271</v>
      </c>
      <c r="AE162" s="373">
        <v>0</v>
      </c>
      <c r="AF162" s="382">
        <v>0.34652777777777799</v>
      </c>
      <c r="AG162" s="382">
        <v>0.34652777777777799</v>
      </c>
      <c r="AH162" s="371" t="s">
        <v>2271</v>
      </c>
      <c r="AI162" s="382">
        <v>0.37916666666666698</v>
      </c>
      <c r="AJ162" s="382">
        <v>0.37916666666666698</v>
      </c>
      <c r="AK162" s="371" t="s">
        <v>2271</v>
      </c>
      <c r="AL162" s="206" t="s">
        <v>42</v>
      </c>
      <c r="AM162" s="206" t="s">
        <v>42</v>
      </c>
      <c r="AN162" s="371" t="s">
        <v>2271</v>
      </c>
      <c r="AO162" s="206" t="s">
        <v>2384</v>
      </c>
      <c r="AP162" s="206"/>
      <c r="AQ162" s="206" t="s">
        <v>1131</v>
      </c>
      <c r="AR162" s="207" t="s">
        <v>82</v>
      </c>
    </row>
    <row r="163" spans="1:44" x14ac:dyDescent="0.2">
      <c r="A163" s="370">
        <v>144</v>
      </c>
      <c r="B163" s="380">
        <v>82</v>
      </c>
      <c r="C163" s="371" t="s">
        <v>2337</v>
      </c>
      <c r="D163" s="371" t="s">
        <v>2235</v>
      </c>
      <c r="E163" s="206"/>
      <c r="F163" s="206" t="s">
        <v>220</v>
      </c>
      <c r="G163" s="206" t="s">
        <v>220</v>
      </c>
      <c r="H163" s="371" t="s">
        <v>2271</v>
      </c>
      <c r="I163" s="206"/>
      <c r="J163" s="206" t="s">
        <v>1361</v>
      </c>
      <c r="K163" s="371" t="s">
        <v>2276</v>
      </c>
      <c r="L163" s="206" t="s">
        <v>2196</v>
      </c>
      <c r="M163" s="206" t="s">
        <v>1360</v>
      </c>
      <c r="N163" s="206" t="s">
        <v>40</v>
      </c>
      <c r="O163" s="372">
        <v>46358</v>
      </c>
      <c r="P163" s="372">
        <v>46065</v>
      </c>
      <c r="Q163" s="371" t="s">
        <v>2276</v>
      </c>
      <c r="R163" s="373">
        <v>13540</v>
      </c>
      <c r="S163" s="373">
        <v>13540</v>
      </c>
      <c r="T163" s="371" t="s">
        <v>2271</v>
      </c>
      <c r="U163" s="373">
        <v>4060</v>
      </c>
      <c r="V163" s="373">
        <v>4060</v>
      </c>
      <c r="W163" s="371" t="s">
        <v>2271</v>
      </c>
      <c r="X163" s="373">
        <v>9480</v>
      </c>
      <c r="Y163" s="373">
        <v>9480</v>
      </c>
      <c r="Z163" s="371" t="s">
        <v>2271</v>
      </c>
      <c r="AA163" s="373">
        <v>0</v>
      </c>
      <c r="AB163" s="373">
        <v>9480</v>
      </c>
      <c r="AC163" s="373">
        <v>9480</v>
      </c>
      <c r="AD163" s="371" t="s">
        <v>2271</v>
      </c>
      <c r="AE163" s="373">
        <v>0</v>
      </c>
      <c r="AF163" s="382">
        <v>3.4722222222222203E-2</v>
      </c>
      <c r="AG163" s="382">
        <v>3.4722222222222203E-2</v>
      </c>
      <c r="AH163" s="371" t="s">
        <v>2271</v>
      </c>
      <c r="AI163" s="382">
        <v>9.44444444444444E-2</v>
      </c>
      <c r="AJ163" s="382">
        <v>9.44444444444444E-2</v>
      </c>
      <c r="AK163" s="371" t="s">
        <v>2271</v>
      </c>
      <c r="AL163" s="206" t="s">
        <v>137</v>
      </c>
      <c r="AM163" s="206" t="s">
        <v>137</v>
      </c>
      <c r="AN163" s="371" t="s">
        <v>2271</v>
      </c>
      <c r="AO163" s="206" t="s">
        <v>2384</v>
      </c>
      <c r="AP163" s="206"/>
      <c r="AQ163" s="206" t="s">
        <v>1131</v>
      </c>
      <c r="AR163" s="207" t="s">
        <v>82</v>
      </c>
    </row>
    <row r="164" spans="1:44" x14ac:dyDescent="0.2">
      <c r="A164" s="370">
        <v>145</v>
      </c>
      <c r="B164" s="380">
        <v>83</v>
      </c>
      <c r="C164" s="371" t="s">
        <v>2269</v>
      </c>
      <c r="D164" s="371" t="s">
        <v>2270</v>
      </c>
      <c r="E164" s="206"/>
      <c r="F164" s="206" t="s">
        <v>158</v>
      </c>
      <c r="G164" s="206" t="s">
        <v>158</v>
      </c>
      <c r="H164" s="371" t="s">
        <v>2271</v>
      </c>
      <c r="I164" s="206" t="s">
        <v>1330</v>
      </c>
      <c r="J164" s="206" t="s">
        <v>1330</v>
      </c>
      <c r="K164" s="371" t="s">
        <v>2271</v>
      </c>
      <c r="L164" s="206" t="s">
        <v>2137</v>
      </c>
      <c r="M164" s="206" t="s">
        <v>1329</v>
      </c>
      <c r="N164" s="206" t="s">
        <v>40</v>
      </c>
      <c r="O164" s="372">
        <v>45968</v>
      </c>
      <c r="P164" s="372">
        <v>45968</v>
      </c>
      <c r="Q164" s="371" t="s">
        <v>2271</v>
      </c>
      <c r="R164" s="373">
        <v>13830</v>
      </c>
      <c r="S164" s="373">
        <v>13830</v>
      </c>
      <c r="T164" s="371" t="s">
        <v>2271</v>
      </c>
      <c r="U164" s="373">
        <v>3890</v>
      </c>
      <c r="V164" s="373">
        <v>3890</v>
      </c>
      <c r="W164" s="371" t="s">
        <v>2271</v>
      </c>
      <c r="X164" s="373">
        <v>9940</v>
      </c>
      <c r="Y164" s="373">
        <v>9940</v>
      </c>
      <c r="Z164" s="371" t="s">
        <v>2271</v>
      </c>
      <c r="AA164" s="373">
        <v>0</v>
      </c>
      <c r="AB164" s="373">
        <v>9980</v>
      </c>
      <c r="AC164" s="373">
        <v>9980</v>
      </c>
      <c r="AD164" s="371" t="s">
        <v>2271</v>
      </c>
      <c r="AE164" s="373">
        <v>0</v>
      </c>
      <c r="AF164" s="382">
        <v>0.34722222222222199</v>
      </c>
      <c r="AG164" s="382">
        <v>0.34722222222222199</v>
      </c>
      <c r="AH164" s="371" t="s">
        <v>2271</v>
      </c>
      <c r="AI164" s="382">
        <v>0.41111111111111098</v>
      </c>
      <c r="AJ164" s="382">
        <v>0.41111111111111098</v>
      </c>
      <c r="AK164" s="371" t="s">
        <v>2271</v>
      </c>
      <c r="AL164" s="206" t="s">
        <v>42</v>
      </c>
      <c r="AM164" s="206" t="s">
        <v>42</v>
      </c>
      <c r="AN164" s="371" t="s">
        <v>2271</v>
      </c>
      <c r="AO164" s="206" t="s">
        <v>2385</v>
      </c>
      <c r="AP164" s="206"/>
      <c r="AQ164" s="206" t="s">
        <v>1131</v>
      </c>
      <c r="AR164" s="207" t="s">
        <v>82</v>
      </c>
    </row>
    <row r="165" spans="1:44" x14ac:dyDescent="0.2">
      <c r="A165" s="370">
        <v>146</v>
      </c>
      <c r="B165" s="380">
        <v>83</v>
      </c>
      <c r="C165" s="371" t="s">
        <v>2337</v>
      </c>
      <c r="D165" s="371" t="s">
        <v>2235</v>
      </c>
      <c r="E165" s="206"/>
      <c r="F165" s="206" t="s">
        <v>70</v>
      </c>
      <c r="G165" s="206" t="s">
        <v>70</v>
      </c>
      <c r="H165" s="371" t="s">
        <v>2271</v>
      </c>
      <c r="I165" s="206"/>
      <c r="J165" s="206"/>
      <c r="K165" s="371" t="s">
        <v>2271</v>
      </c>
      <c r="L165" s="206" t="s">
        <v>2197</v>
      </c>
      <c r="M165" s="206" t="s">
        <v>1362</v>
      </c>
      <c r="N165" s="206" t="s">
        <v>59</v>
      </c>
      <c r="O165" s="372">
        <v>46358</v>
      </c>
      <c r="P165" s="372">
        <v>46065</v>
      </c>
      <c r="Q165" s="371" t="s">
        <v>2276</v>
      </c>
      <c r="R165" s="373">
        <v>46020</v>
      </c>
      <c r="S165" s="373">
        <v>46020</v>
      </c>
      <c r="T165" s="371" t="s">
        <v>2271</v>
      </c>
      <c r="U165" s="373">
        <v>17600</v>
      </c>
      <c r="V165" s="373">
        <v>17600</v>
      </c>
      <c r="W165" s="371" t="s">
        <v>2271</v>
      </c>
      <c r="X165" s="373">
        <v>28420</v>
      </c>
      <c r="Y165" s="373">
        <v>28420</v>
      </c>
      <c r="Z165" s="371" t="s">
        <v>2271</v>
      </c>
      <c r="AA165" s="373">
        <v>0</v>
      </c>
      <c r="AB165" s="373">
        <v>28540</v>
      </c>
      <c r="AC165" s="373">
        <v>28540</v>
      </c>
      <c r="AD165" s="371" t="s">
        <v>2271</v>
      </c>
      <c r="AE165" s="373">
        <v>0</v>
      </c>
      <c r="AF165" s="382">
        <v>0.78819444444444497</v>
      </c>
      <c r="AG165" s="382">
        <v>0.78819444444444398</v>
      </c>
      <c r="AH165" s="371" t="s">
        <v>2276</v>
      </c>
      <c r="AI165" s="382">
        <v>0.83333333333333304</v>
      </c>
      <c r="AJ165" s="382">
        <v>0.83333333333333304</v>
      </c>
      <c r="AK165" s="371" t="s">
        <v>2271</v>
      </c>
      <c r="AL165" s="206" t="s">
        <v>137</v>
      </c>
      <c r="AM165" s="206" t="s">
        <v>137</v>
      </c>
      <c r="AN165" s="371" t="s">
        <v>2271</v>
      </c>
      <c r="AO165" s="206" t="s">
        <v>2386</v>
      </c>
      <c r="AP165" s="206" t="s">
        <v>1499</v>
      </c>
      <c r="AQ165" s="206" t="s">
        <v>1133</v>
      </c>
      <c r="AR165" s="207" t="s">
        <v>75</v>
      </c>
    </row>
    <row r="166" spans="1:44" x14ac:dyDescent="0.2">
      <c r="A166" s="370">
        <v>147</v>
      </c>
      <c r="B166" s="380">
        <v>84</v>
      </c>
      <c r="C166" s="371" t="s">
        <v>2269</v>
      </c>
      <c r="D166" s="371" t="s">
        <v>2270</v>
      </c>
      <c r="E166" s="206"/>
      <c r="F166" s="206" t="s">
        <v>163</v>
      </c>
      <c r="G166" s="206" t="s">
        <v>163</v>
      </c>
      <c r="H166" s="371" t="s">
        <v>2271</v>
      </c>
      <c r="I166" s="206" t="s">
        <v>1330</v>
      </c>
      <c r="J166" s="206" t="s">
        <v>1330</v>
      </c>
      <c r="K166" s="371" t="s">
        <v>2271</v>
      </c>
      <c r="L166" s="206" t="s">
        <v>2137</v>
      </c>
      <c r="M166" s="206" t="s">
        <v>1329</v>
      </c>
      <c r="N166" s="206" t="s">
        <v>40</v>
      </c>
      <c r="O166" s="372">
        <v>45968</v>
      </c>
      <c r="P166" s="372">
        <v>45968</v>
      </c>
      <c r="Q166" s="371" t="s">
        <v>2271</v>
      </c>
      <c r="R166" s="373">
        <v>13950</v>
      </c>
      <c r="S166" s="373">
        <v>13950</v>
      </c>
      <c r="T166" s="371" t="s">
        <v>2271</v>
      </c>
      <c r="U166" s="373">
        <v>4010</v>
      </c>
      <c r="V166" s="373">
        <v>4010</v>
      </c>
      <c r="W166" s="371" t="s">
        <v>2271</v>
      </c>
      <c r="X166" s="373">
        <v>9940</v>
      </c>
      <c r="Y166" s="373">
        <v>9940</v>
      </c>
      <c r="Z166" s="371" t="s">
        <v>2271</v>
      </c>
      <c r="AA166" s="373">
        <v>0</v>
      </c>
      <c r="AB166" s="373">
        <v>10030</v>
      </c>
      <c r="AC166" s="373">
        <v>10030</v>
      </c>
      <c r="AD166" s="371" t="s">
        <v>2271</v>
      </c>
      <c r="AE166" s="373">
        <v>0</v>
      </c>
      <c r="AF166" s="382">
        <v>0.34791666666666698</v>
      </c>
      <c r="AG166" s="382">
        <v>0.34791666666666698</v>
      </c>
      <c r="AH166" s="371" t="s">
        <v>2271</v>
      </c>
      <c r="AI166" s="382">
        <v>0.41597222222222202</v>
      </c>
      <c r="AJ166" s="382">
        <v>0.41597222222222202</v>
      </c>
      <c r="AK166" s="371" t="s">
        <v>2271</v>
      </c>
      <c r="AL166" s="206" t="s">
        <v>42</v>
      </c>
      <c r="AM166" s="206" t="s">
        <v>42</v>
      </c>
      <c r="AN166" s="371" t="s">
        <v>2271</v>
      </c>
      <c r="AO166" s="206" t="s">
        <v>2387</v>
      </c>
      <c r="AP166" s="206"/>
      <c r="AQ166" s="206" t="s">
        <v>1131</v>
      </c>
      <c r="AR166" s="207" t="s">
        <v>82</v>
      </c>
    </row>
    <row r="167" spans="1:44" x14ac:dyDescent="0.2">
      <c r="A167" s="370">
        <v>148</v>
      </c>
      <c r="B167" s="380">
        <v>84</v>
      </c>
      <c r="C167" s="371" t="s">
        <v>2337</v>
      </c>
      <c r="D167" s="371" t="s">
        <v>2235</v>
      </c>
      <c r="E167" s="206"/>
      <c r="F167" s="206" t="s">
        <v>46</v>
      </c>
      <c r="G167" s="206" t="s">
        <v>46</v>
      </c>
      <c r="H167" s="371" t="s">
        <v>2271</v>
      </c>
      <c r="I167" s="206"/>
      <c r="J167" s="206" t="s">
        <v>1443</v>
      </c>
      <c r="K167" s="371" t="s">
        <v>2276</v>
      </c>
      <c r="L167" s="206" t="s">
        <v>2201</v>
      </c>
      <c r="M167" s="206" t="s">
        <v>1364</v>
      </c>
      <c r="N167" s="206" t="s">
        <v>49</v>
      </c>
      <c r="O167" s="372" t="s">
        <v>2209</v>
      </c>
      <c r="P167" s="372">
        <v>46078</v>
      </c>
      <c r="Q167" s="371" t="s">
        <v>2276</v>
      </c>
      <c r="R167" s="373">
        <v>26800</v>
      </c>
      <c r="S167" s="373">
        <v>26800</v>
      </c>
      <c r="T167" s="371" t="s">
        <v>2271</v>
      </c>
      <c r="U167" s="373">
        <v>11960</v>
      </c>
      <c r="V167" s="373">
        <v>11960</v>
      </c>
      <c r="W167" s="371" t="s">
        <v>2271</v>
      </c>
      <c r="X167" s="373">
        <v>14840</v>
      </c>
      <c r="Y167" s="373">
        <v>14840</v>
      </c>
      <c r="Z167" s="371" t="s">
        <v>2271</v>
      </c>
      <c r="AA167" s="373">
        <v>0</v>
      </c>
      <c r="AB167" s="373">
        <v>14820</v>
      </c>
      <c r="AC167" s="373">
        <v>14820</v>
      </c>
      <c r="AD167" s="371" t="s">
        <v>2271</v>
      </c>
      <c r="AE167" s="373">
        <v>0</v>
      </c>
      <c r="AF167" s="382">
        <v>0.41180555555555598</v>
      </c>
      <c r="AG167" s="382">
        <v>0.41180555555555598</v>
      </c>
      <c r="AH167" s="371" t="s">
        <v>2271</v>
      </c>
      <c r="AI167" s="382">
        <v>0.45763888888888898</v>
      </c>
      <c r="AJ167" s="382">
        <v>0.45763888888888898</v>
      </c>
      <c r="AK167" s="371" t="s">
        <v>2271</v>
      </c>
      <c r="AL167" s="206" t="s">
        <v>1221</v>
      </c>
      <c r="AM167" s="206" t="s">
        <v>42</v>
      </c>
      <c r="AN167" s="371" t="s">
        <v>2271</v>
      </c>
      <c r="AO167" s="206" t="s">
        <v>2388</v>
      </c>
      <c r="AP167" s="206" t="s">
        <v>1393</v>
      </c>
      <c r="AQ167" s="206" t="s">
        <v>1132</v>
      </c>
      <c r="AR167" s="207" t="s">
        <v>68</v>
      </c>
    </row>
    <row r="168" spans="1:44" x14ac:dyDescent="0.2">
      <c r="A168" s="370">
        <v>149</v>
      </c>
      <c r="B168" s="380">
        <v>85</v>
      </c>
      <c r="C168" s="371" t="s">
        <v>2269</v>
      </c>
      <c r="D168" s="371" t="s">
        <v>2270</v>
      </c>
      <c r="E168" s="206"/>
      <c r="F168" s="206" t="s">
        <v>224</v>
      </c>
      <c r="G168" s="206" t="s">
        <v>224</v>
      </c>
      <c r="H168" s="371" t="s">
        <v>2271</v>
      </c>
      <c r="I168" s="206" t="s">
        <v>1330</v>
      </c>
      <c r="J168" s="206" t="s">
        <v>1330</v>
      </c>
      <c r="K168" s="371" t="s">
        <v>2271</v>
      </c>
      <c r="L168" s="206" t="s">
        <v>2137</v>
      </c>
      <c r="M168" s="206" t="s">
        <v>1329</v>
      </c>
      <c r="N168" s="206" t="s">
        <v>40</v>
      </c>
      <c r="O168" s="372">
        <v>45968</v>
      </c>
      <c r="P168" s="372">
        <v>45968</v>
      </c>
      <c r="Q168" s="371" t="s">
        <v>2271</v>
      </c>
      <c r="R168" s="373">
        <v>12210</v>
      </c>
      <c r="S168" s="373">
        <v>12210</v>
      </c>
      <c r="T168" s="371" t="s">
        <v>2271</v>
      </c>
      <c r="U168" s="373">
        <v>3830</v>
      </c>
      <c r="V168" s="373">
        <v>3830</v>
      </c>
      <c r="W168" s="371" t="s">
        <v>2271</v>
      </c>
      <c r="X168" s="373">
        <v>8380</v>
      </c>
      <c r="Y168" s="373">
        <v>8380</v>
      </c>
      <c r="Z168" s="371" t="s">
        <v>2271</v>
      </c>
      <c r="AA168" s="373">
        <v>0</v>
      </c>
      <c r="AB168" s="373">
        <v>8390</v>
      </c>
      <c r="AC168" s="373">
        <v>8390</v>
      </c>
      <c r="AD168" s="371" t="s">
        <v>2271</v>
      </c>
      <c r="AE168" s="373">
        <v>0</v>
      </c>
      <c r="AF168" s="382">
        <v>0.35</v>
      </c>
      <c r="AG168" s="382">
        <v>0.35</v>
      </c>
      <c r="AH168" s="371" t="s">
        <v>2271</v>
      </c>
      <c r="AI168" s="382">
        <v>0.452083333333333</v>
      </c>
      <c r="AJ168" s="382">
        <v>0.452083333333333</v>
      </c>
      <c r="AK168" s="371" t="s">
        <v>2271</v>
      </c>
      <c r="AL168" s="206" t="s">
        <v>42</v>
      </c>
      <c r="AM168" s="206" t="s">
        <v>42</v>
      </c>
      <c r="AN168" s="371" t="s">
        <v>2271</v>
      </c>
      <c r="AO168" s="206" t="s">
        <v>2389</v>
      </c>
      <c r="AP168" s="206"/>
      <c r="AQ168" s="206" t="s">
        <v>1131</v>
      </c>
      <c r="AR168" s="207" t="s">
        <v>82</v>
      </c>
    </row>
    <row r="169" spans="1:44" x14ac:dyDescent="0.2">
      <c r="A169" s="370">
        <v>150</v>
      </c>
      <c r="B169" s="380">
        <v>85</v>
      </c>
      <c r="C169" s="371" t="s">
        <v>2337</v>
      </c>
      <c r="D169" s="371" t="s">
        <v>2235</v>
      </c>
      <c r="E169" s="206"/>
      <c r="F169" s="206" t="s">
        <v>70</v>
      </c>
      <c r="G169" s="206" t="s">
        <v>70</v>
      </c>
      <c r="H169" s="371" t="s">
        <v>2271</v>
      </c>
      <c r="I169" s="206"/>
      <c r="J169" s="206" t="s">
        <v>1443</v>
      </c>
      <c r="K169" s="371" t="s">
        <v>2276</v>
      </c>
      <c r="L169" s="206" t="s">
        <v>2201</v>
      </c>
      <c r="M169" s="206" t="s">
        <v>1364</v>
      </c>
      <c r="N169" s="206" t="s">
        <v>49</v>
      </c>
      <c r="O169" s="372" t="s">
        <v>2209</v>
      </c>
      <c r="P169" s="372">
        <v>46078</v>
      </c>
      <c r="Q169" s="371" t="s">
        <v>2276</v>
      </c>
      <c r="R169" s="373">
        <v>45900</v>
      </c>
      <c r="S169" s="373">
        <v>45900</v>
      </c>
      <c r="T169" s="371" t="s">
        <v>2271</v>
      </c>
      <c r="U169" s="373">
        <v>17570</v>
      </c>
      <c r="V169" s="373">
        <v>17570</v>
      </c>
      <c r="W169" s="371" t="s">
        <v>2271</v>
      </c>
      <c r="X169" s="373">
        <v>28330</v>
      </c>
      <c r="Y169" s="373">
        <v>28330</v>
      </c>
      <c r="Z169" s="371" t="s">
        <v>2271</v>
      </c>
      <c r="AA169" s="373">
        <v>0</v>
      </c>
      <c r="AB169" s="373">
        <v>28260</v>
      </c>
      <c r="AC169" s="373">
        <v>28260</v>
      </c>
      <c r="AD169" s="371" t="s">
        <v>2271</v>
      </c>
      <c r="AE169" s="373">
        <v>0</v>
      </c>
      <c r="AF169" s="382">
        <v>0.43333333333333302</v>
      </c>
      <c r="AG169" s="382">
        <v>0.43333333333333302</v>
      </c>
      <c r="AH169" s="371" t="s">
        <v>2271</v>
      </c>
      <c r="AI169" s="382">
        <v>0.48194444444444401</v>
      </c>
      <c r="AJ169" s="382">
        <v>0.48194444444444501</v>
      </c>
      <c r="AK169" s="371" t="s">
        <v>2276</v>
      </c>
      <c r="AL169" s="206" t="s">
        <v>1221</v>
      </c>
      <c r="AM169" s="206" t="s">
        <v>42</v>
      </c>
      <c r="AN169" s="371" t="s">
        <v>2271</v>
      </c>
      <c r="AO169" s="206" t="s">
        <v>2390</v>
      </c>
      <c r="AP169" s="206" t="s">
        <v>1499</v>
      </c>
      <c r="AQ169" s="206" t="s">
        <v>1133</v>
      </c>
      <c r="AR169" s="207" t="s">
        <v>68</v>
      </c>
    </row>
    <row r="170" spans="1:44" x14ac:dyDescent="0.2">
      <c r="A170" s="370">
        <v>151</v>
      </c>
      <c r="B170" s="380">
        <v>86</v>
      </c>
      <c r="C170" s="371" t="s">
        <v>2269</v>
      </c>
      <c r="D170" s="371" t="s">
        <v>2270</v>
      </c>
      <c r="E170" s="206"/>
      <c r="F170" s="206" t="s">
        <v>169</v>
      </c>
      <c r="G170" s="206" t="s">
        <v>169</v>
      </c>
      <c r="H170" s="371" t="s">
        <v>2271</v>
      </c>
      <c r="I170" s="206" t="s">
        <v>1330</v>
      </c>
      <c r="J170" s="206" t="s">
        <v>1330</v>
      </c>
      <c r="K170" s="371" t="s">
        <v>2271</v>
      </c>
      <c r="L170" s="206" t="s">
        <v>2137</v>
      </c>
      <c r="M170" s="206" t="s">
        <v>1329</v>
      </c>
      <c r="N170" s="206" t="s">
        <v>40</v>
      </c>
      <c r="O170" s="372">
        <v>45968</v>
      </c>
      <c r="P170" s="372">
        <v>45968</v>
      </c>
      <c r="Q170" s="371" t="s">
        <v>2271</v>
      </c>
      <c r="R170" s="373">
        <v>13420</v>
      </c>
      <c r="S170" s="373">
        <v>13420</v>
      </c>
      <c r="T170" s="371" t="s">
        <v>2271</v>
      </c>
      <c r="U170" s="373">
        <v>3980</v>
      </c>
      <c r="V170" s="373">
        <v>3980</v>
      </c>
      <c r="W170" s="371" t="s">
        <v>2271</v>
      </c>
      <c r="X170" s="373">
        <v>9440</v>
      </c>
      <c r="Y170" s="373">
        <v>9440</v>
      </c>
      <c r="Z170" s="371" t="s">
        <v>2271</v>
      </c>
      <c r="AA170" s="373">
        <v>0</v>
      </c>
      <c r="AB170" s="373">
        <v>9400</v>
      </c>
      <c r="AC170" s="373">
        <v>9400</v>
      </c>
      <c r="AD170" s="371" t="s">
        <v>2271</v>
      </c>
      <c r="AE170" s="373">
        <v>0</v>
      </c>
      <c r="AF170" s="382">
        <v>0.79861111111111105</v>
      </c>
      <c r="AG170" s="382">
        <v>0.79861111111111105</v>
      </c>
      <c r="AH170" s="371" t="s">
        <v>2271</v>
      </c>
      <c r="AI170" s="382">
        <v>0.84861111111111098</v>
      </c>
      <c r="AJ170" s="382">
        <v>0.84861111111111098</v>
      </c>
      <c r="AK170" s="371" t="s">
        <v>2271</v>
      </c>
      <c r="AL170" s="206" t="s">
        <v>42</v>
      </c>
      <c r="AM170" s="206" t="s">
        <v>42</v>
      </c>
      <c r="AN170" s="371" t="s">
        <v>2271</v>
      </c>
      <c r="AO170" s="206" t="s">
        <v>2391</v>
      </c>
      <c r="AP170" s="206"/>
      <c r="AQ170" s="206" t="s">
        <v>1131</v>
      </c>
      <c r="AR170" s="207" t="s">
        <v>82</v>
      </c>
    </row>
    <row r="171" spans="1:44" x14ac:dyDescent="0.2">
      <c r="A171" s="370">
        <v>152</v>
      </c>
      <c r="B171" s="380">
        <v>86</v>
      </c>
      <c r="C171" s="371" t="s">
        <v>2337</v>
      </c>
      <c r="D171" s="371" t="s">
        <v>2235</v>
      </c>
      <c r="E171" s="206"/>
      <c r="F171" s="206" t="s">
        <v>56</v>
      </c>
      <c r="G171" s="206" t="s">
        <v>56</v>
      </c>
      <c r="H171" s="371" t="s">
        <v>2271</v>
      </c>
      <c r="I171" s="206"/>
      <c r="J171" s="206" t="s">
        <v>1443</v>
      </c>
      <c r="K171" s="371" t="s">
        <v>2276</v>
      </c>
      <c r="L171" s="206" t="s">
        <v>2201</v>
      </c>
      <c r="M171" s="206" t="s">
        <v>1364</v>
      </c>
      <c r="N171" s="206" t="s">
        <v>49</v>
      </c>
      <c r="O171" s="372" t="s">
        <v>2209</v>
      </c>
      <c r="P171" s="372">
        <v>46078</v>
      </c>
      <c r="Q171" s="371" t="s">
        <v>2276</v>
      </c>
      <c r="R171" s="373">
        <v>25090</v>
      </c>
      <c r="S171" s="373">
        <v>25090</v>
      </c>
      <c r="T171" s="371" t="s">
        <v>2271</v>
      </c>
      <c r="U171" s="373">
        <v>10780</v>
      </c>
      <c r="V171" s="373">
        <v>10780</v>
      </c>
      <c r="W171" s="371" t="s">
        <v>2271</v>
      </c>
      <c r="X171" s="373">
        <v>14310</v>
      </c>
      <c r="Y171" s="373">
        <v>14310</v>
      </c>
      <c r="Z171" s="371" t="s">
        <v>2271</v>
      </c>
      <c r="AA171" s="373">
        <v>0</v>
      </c>
      <c r="AB171" s="373">
        <v>14250</v>
      </c>
      <c r="AC171" s="373">
        <v>14250</v>
      </c>
      <c r="AD171" s="371" t="s">
        <v>2271</v>
      </c>
      <c r="AE171" s="373">
        <v>0</v>
      </c>
      <c r="AF171" s="382">
        <v>0.44236111111111098</v>
      </c>
      <c r="AG171" s="382">
        <v>0.44236111111111098</v>
      </c>
      <c r="AH171" s="371" t="s">
        <v>2271</v>
      </c>
      <c r="AI171" s="382">
        <v>0.48055555555555601</v>
      </c>
      <c r="AJ171" s="382">
        <v>0.48055555555555601</v>
      </c>
      <c r="AK171" s="371" t="s">
        <v>2271</v>
      </c>
      <c r="AL171" s="206" t="s">
        <v>1221</v>
      </c>
      <c r="AM171" s="206" t="s">
        <v>42</v>
      </c>
      <c r="AN171" s="371" t="s">
        <v>2271</v>
      </c>
      <c r="AO171" s="206" t="s">
        <v>2392</v>
      </c>
      <c r="AP171" s="206" t="s">
        <v>1781</v>
      </c>
      <c r="AQ171" s="206" t="s">
        <v>1132</v>
      </c>
      <c r="AR171" s="207" t="s">
        <v>68</v>
      </c>
    </row>
    <row r="172" spans="1:44" x14ac:dyDescent="0.2">
      <c r="A172" s="370">
        <v>153</v>
      </c>
      <c r="B172" s="380">
        <v>87</v>
      </c>
      <c r="C172" s="371" t="s">
        <v>2269</v>
      </c>
      <c r="D172" s="371" t="s">
        <v>2270</v>
      </c>
      <c r="E172" s="206"/>
      <c r="F172" s="206" t="s">
        <v>166</v>
      </c>
      <c r="G172" s="206" t="s">
        <v>166</v>
      </c>
      <c r="H172" s="371" t="s">
        <v>2271</v>
      </c>
      <c r="I172" s="206" t="s">
        <v>1330</v>
      </c>
      <c r="J172" s="206" t="s">
        <v>1330</v>
      </c>
      <c r="K172" s="371" t="s">
        <v>2271</v>
      </c>
      <c r="L172" s="206" t="s">
        <v>2137</v>
      </c>
      <c r="M172" s="206" t="s">
        <v>1329</v>
      </c>
      <c r="N172" s="206" t="s">
        <v>40</v>
      </c>
      <c r="O172" s="372">
        <v>45968</v>
      </c>
      <c r="P172" s="372">
        <v>45968</v>
      </c>
      <c r="Q172" s="371" t="s">
        <v>2271</v>
      </c>
      <c r="R172" s="373">
        <v>13100</v>
      </c>
      <c r="S172" s="373">
        <v>13100</v>
      </c>
      <c r="T172" s="371" t="s">
        <v>2271</v>
      </c>
      <c r="U172" s="373">
        <v>3840</v>
      </c>
      <c r="V172" s="373">
        <v>3840</v>
      </c>
      <c r="W172" s="371" t="s">
        <v>2271</v>
      </c>
      <c r="X172" s="373">
        <v>9260</v>
      </c>
      <c r="Y172" s="373">
        <v>9260</v>
      </c>
      <c r="Z172" s="371" t="s">
        <v>2271</v>
      </c>
      <c r="AA172" s="373">
        <v>0</v>
      </c>
      <c r="AB172" s="373">
        <v>9280</v>
      </c>
      <c r="AC172" s="373">
        <v>9280</v>
      </c>
      <c r="AD172" s="371" t="s">
        <v>2271</v>
      </c>
      <c r="AE172" s="373">
        <v>0</v>
      </c>
      <c r="AF172" s="382">
        <v>0.79930555555555605</v>
      </c>
      <c r="AG172" s="382">
        <v>0.79930555555555605</v>
      </c>
      <c r="AH172" s="371" t="s">
        <v>2271</v>
      </c>
      <c r="AI172" s="382">
        <v>0.843055555555556</v>
      </c>
      <c r="AJ172" s="382">
        <v>0.843055555555556</v>
      </c>
      <c r="AK172" s="371" t="s">
        <v>2271</v>
      </c>
      <c r="AL172" s="206" t="s">
        <v>42</v>
      </c>
      <c r="AM172" s="206" t="s">
        <v>42</v>
      </c>
      <c r="AN172" s="371" t="s">
        <v>2271</v>
      </c>
      <c r="AO172" s="206" t="s">
        <v>2393</v>
      </c>
      <c r="AP172" s="206"/>
      <c r="AQ172" s="206" t="s">
        <v>1131</v>
      </c>
      <c r="AR172" s="207" t="s">
        <v>82</v>
      </c>
    </row>
    <row r="173" spans="1:44" x14ac:dyDescent="0.2">
      <c r="A173" s="370">
        <v>154</v>
      </c>
      <c r="B173" s="380">
        <v>87</v>
      </c>
      <c r="C173" s="371" t="s">
        <v>2337</v>
      </c>
      <c r="D173" s="371" t="s">
        <v>2235</v>
      </c>
      <c r="E173" s="206"/>
      <c r="F173" s="206" t="s">
        <v>46</v>
      </c>
      <c r="G173" s="206" t="s">
        <v>46</v>
      </c>
      <c r="H173" s="371" t="s">
        <v>2271</v>
      </c>
      <c r="I173" s="206"/>
      <c r="J173" s="206" t="s">
        <v>1358</v>
      </c>
      <c r="K173" s="371" t="s">
        <v>2276</v>
      </c>
      <c r="L173" s="206" t="s">
        <v>2198</v>
      </c>
      <c r="M173" s="206" t="s">
        <v>1357</v>
      </c>
      <c r="N173" s="206" t="s">
        <v>78</v>
      </c>
      <c r="O173" s="372" t="s">
        <v>2212</v>
      </c>
      <c r="P173" s="372">
        <v>46081</v>
      </c>
      <c r="Q173" s="371" t="s">
        <v>2276</v>
      </c>
      <c r="R173" s="373">
        <v>26540</v>
      </c>
      <c r="S173" s="373">
        <v>26540</v>
      </c>
      <c r="T173" s="371" t="s">
        <v>2271</v>
      </c>
      <c r="U173" s="373">
        <v>11780</v>
      </c>
      <c r="V173" s="373">
        <v>11780</v>
      </c>
      <c r="W173" s="371" t="s">
        <v>2271</v>
      </c>
      <c r="X173" s="373">
        <v>14760</v>
      </c>
      <c r="Y173" s="373">
        <v>14760</v>
      </c>
      <c r="Z173" s="371" t="s">
        <v>2271</v>
      </c>
      <c r="AA173" s="373">
        <v>0</v>
      </c>
      <c r="AB173" s="373">
        <v>14710</v>
      </c>
      <c r="AC173" s="373">
        <v>14710</v>
      </c>
      <c r="AD173" s="371" t="s">
        <v>2271</v>
      </c>
      <c r="AE173" s="373">
        <v>0</v>
      </c>
      <c r="AF173" s="382">
        <v>0.54652777777777795</v>
      </c>
      <c r="AG173" s="382">
        <v>0.54652777777777795</v>
      </c>
      <c r="AH173" s="371" t="s">
        <v>2271</v>
      </c>
      <c r="AI173" s="382">
        <v>0.61388888888888904</v>
      </c>
      <c r="AJ173" s="382">
        <v>0.61388888888888904</v>
      </c>
      <c r="AK173" s="371" t="s">
        <v>2271</v>
      </c>
      <c r="AL173" s="206" t="s">
        <v>1221</v>
      </c>
      <c r="AM173" s="206" t="s">
        <v>42</v>
      </c>
      <c r="AN173" s="371" t="s">
        <v>2271</v>
      </c>
      <c r="AO173" s="206" t="s">
        <v>2394</v>
      </c>
      <c r="AP173" s="206" t="s">
        <v>1393</v>
      </c>
      <c r="AQ173" s="206" t="s">
        <v>1132</v>
      </c>
      <c r="AR173" s="207" t="s">
        <v>88</v>
      </c>
    </row>
    <row r="174" spans="1:44" x14ac:dyDescent="0.2">
      <c r="A174" s="370">
        <v>155</v>
      </c>
      <c r="B174" s="380">
        <v>88</v>
      </c>
      <c r="C174" s="371" t="s">
        <v>2269</v>
      </c>
      <c r="D174" s="371" t="s">
        <v>2270</v>
      </c>
      <c r="E174" s="206"/>
      <c r="F174" s="206" t="s">
        <v>149</v>
      </c>
      <c r="G174" s="206" t="s">
        <v>149</v>
      </c>
      <c r="H174" s="371" t="s">
        <v>2271</v>
      </c>
      <c r="I174" s="206" t="s">
        <v>1330</v>
      </c>
      <c r="J174" s="206" t="s">
        <v>1330</v>
      </c>
      <c r="K174" s="371" t="s">
        <v>2271</v>
      </c>
      <c r="L174" s="206" t="s">
        <v>2137</v>
      </c>
      <c r="M174" s="206" t="s">
        <v>1329</v>
      </c>
      <c r="N174" s="206" t="s">
        <v>40</v>
      </c>
      <c r="O174" s="372">
        <v>45968</v>
      </c>
      <c r="P174" s="372">
        <v>45968</v>
      </c>
      <c r="Q174" s="371" t="s">
        <v>2271</v>
      </c>
      <c r="R174" s="373">
        <v>13850</v>
      </c>
      <c r="S174" s="373">
        <v>13850</v>
      </c>
      <c r="T174" s="371" t="s">
        <v>2271</v>
      </c>
      <c r="U174" s="373">
        <v>4080</v>
      </c>
      <c r="V174" s="373">
        <v>4080</v>
      </c>
      <c r="W174" s="371" t="s">
        <v>2271</v>
      </c>
      <c r="X174" s="373">
        <v>9770</v>
      </c>
      <c r="Y174" s="373">
        <v>9770</v>
      </c>
      <c r="Z174" s="371" t="s">
        <v>2271</v>
      </c>
      <c r="AA174" s="373">
        <v>0</v>
      </c>
      <c r="AB174" s="373">
        <v>9800</v>
      </c>
      <c r="AC174" s="373">
        <v>9800</v>
      </c>
      <c r="AD174" s="371" t="s">
        <v>2271</v>
      </c>
      <c r="AE174" s="373">
        <v>0</v>
      </c>
      <c r="AF174" s="382">
        <v>0.8</v>
      </c>
      <c r="AG174" s="382">
        <v>0.8</v>
      </c>
      <c r="AH174" s="371" t="s">
        <v>2271</v>
      </c>
      <c r="AI174" s="382">
        <v>0.87013888888888902</v>
      </c>
      <c r="AJ174" s="382">
        <v>0.87013888888888902</v>
      </c>
      <c r="AK174" s="371" t="s">
        <v>2271</v>
      </c>
      <c r="AL174" s="206" t="s">
        <v>42</v>
      </c>
      <c r="AM174" s="206" t="s">
        <v>42</v>
      </c>
      <c r="AN174" s="371" t="s">
        <v>2271</v>
      </c>
      <c r="AO174" s="206" t="s">
        <v>2395</v>
      </c>
      <c r="AP174" s="206"/>
      <c r="AQ174" s="206" t="s">
        <v>1131</v>
      </c>
      <c r="AR174" s="207" t="s">
        <v>82</v>
      </c>
    </row>
    <row r="175" spans="1:44" x14ac:dyDescent="0.2">
      <c r="A175" s="370">
        <v>156</v>
      </c>
      <c r="B175" s="380">
        <v>88</v>
      </c>
      <c r="C175" s="371" t="s">
        <v>2337</v>
      </c>
      <c r="D175" s="371" t="s">
        <v>2235</v>
      </c>
      <c r="E175" s="206"/>
      <c r="F175" s="206" t="s">
        <v>56</v>
      </c>
      <c r="G175" s="206" t="s">
        <v>56</v>
      </c>
      <c r="H175" s="371" t="s">
        <v>2271</v>
      </c>
      <c r="I175" s="206"/>
      <c r="J175" s="206" t="s">
        <v>1358</v>
      </c>
      <c r="K175" s="371" t="s">
        <v>2276</v>
      </c>
      <c r="L175" s="206" t="s">
        <v>2198</v>
      </c>
      <c r="M175" s="206" t="s">
        <v>1357</v>
      </c>
      <c r="N175" s="206" t="s">
        <v>78</v>
      </c>
      <c r="O175" s="372" t="s">
        <v>2212</v>
      </c>
      <c r="P175" s="372">
        <v>46081</v>
      </c>
      <c r="Q175" s="371" t="s">
        <v>2276</v>
      </c>
      <c r="R175" s="373">
        <v>25000</v>
      </c>
      <c r="S175" s="373">
        <v>25000</v>
      </c>
      <c r="T175" s="371" t="s">
        <v>2271</v>
      </c>
      <c r="U175" s="373">
        <v>10740</v>
      </c>
      <c r="V175" s="373">
        <v>10740</v>
      </c>
      <c r="W175" s="371" t="s">
        <v>2271</v>
      </c>
      <c r="X175" s="373">
        <v>14260</v>
      </c>
      <c r="Y175" s="373">
        <v>14260</v>
      </c>
      <c r="Z175" s="371" t="s">
        <v>2271</v>
      </c>
      <c r="AA175" s="373">
        <v>0</v>
      </c>
      <c r="AB175" s="373">
        <v>14260</v>
      </c>
      <c r="AC175" s="373">
        <v>14260</v>
      </c>
      <c r="AD175" s="371" t="s">
        <v>2271</v>
      </c>
      <c r="AE175" s="373">
        <v>0</v>
      </c>
      <c r="AF175" s="382">
        <v>0.55069444444444404</v>
      </c>
      <c r="AG175" s="382">
        <v>0.55069444444444504</v>
      </c>
      <c r="AH175" s="371" t="s">
        <v>2276</v>
      </c>
      <c r="AI175" s="382">
        <v>0.69374999999999998</v>
      </c>
      <c r="AJ175" s="382">
        <v>0.69374999999999998</v>
      </c>
      <c r="AK175" s="371" t="s">
        <v>2271</v>
      </c>
      <c r="AL175" s="206" t="s">
        <v>1221</v>
      </c>
      <c r="AM175" s="206" t="s">
        <v>42</v>
      </c>
      <c r="AN175" s="371" t="s">
        <v>2271</v>
      </c>
      <c r="AO175" s="206" t="s">
        <v>2396</v>
      </c>
      <c r="AP175" s="206" t="s">
        <v>1781</v>
      </c>
      <c r="AQ175" s="206" t="s">
        <v>1132</v>
      </c>
      <c r="AR175" s="207" t="s">
        <v>88</v>
      </c>
    </row>
    <row r="176" spans="1:44" x14ac:dyDescent="0.2">
      <c r="A176" s="370">
        <v>157</v>
      </c>
      <c r="B176" s="380">
        <v>89</v>
      </c>
      <c r="C176" s="371" t="s">
        <v>2269</v>
      </c>
      <c r="D176" s="371" t="s">
        <v>2270</v>
      </c>
      <c r="E176" s="206"/>
      <c r="F176" s="206" t="s">
        <v>188</v>
      </c>
      <c r="G176" s="206" t="s">
        <v>188</v>
      </c>
      <c r="H176" s="371" t="s">
        <v>2271</v>
      </c>
      <c r="I176" s="206" t="s">
        <v>1330</v>
      </c>
      <c r="J176" s="206" t="s">
        <v>1330</v>
      </c>
      <c r="K176" s="371" t="s">
        <v>2271</v>
      </c>
      <c r="L176" s="206" t="s">
        <v>2137</v>
      </c>
      <c r="M176" s="206" t="s">
        <v>1329</v>
      </c>
      <c r="N176" s="206" t="s">
        <v>40</v>
      </c>
      <c r="O176" s="372">
        <v>45969</v>
      </c>
      <c r="P176" s="372">
        <v>45969</v>
      </c>
      <c r="Q176" s="371" t="s">
        <v>2271</v>
      </c>
      <c r="R176" s="373">
        <v>13130</v>
      </c>
      <c r="S176" s="373">
        <v>13130</v>
      </c>
      <c r="T176" s="371" t="s">
        <v>2271</v>
      </c>
      <c r="U176" s="373">
        <v>3670</v>
      </c>
      <c r="V176" s="373">
        <v>3670</v>
      </c>
      <c r="W176" s="371" t="s">
        <v>2271</v>
      </c>
      <c r="X176" s="373">
        <v>9460</v>
      </c>
      <c r="Y176" s="373">
        <v>9460</v>
      </c>
      <c r="Z176" s="371" t="s">
        <v>2271</v>
      </c>
      <c r="AA176" s="373">
        <v>0</v>
      </c>
      <c r="AB176" s="373">
        <v>9500</v>
      </c>
      <c r="AC176" s="373">
        <v>9500</v>
      </c>
      <c r="AD176" s="371" t="s">
        <v>2271</v>
      </c>
      <c r="AE176" s="373">
        <v>0</v>
      </c>
      <c r="AF176" s="382">
        <v>0.36805555555555602</v>
      </c>
      <c r="AG176" s="382">
        <v>0.36805555555555602</v>
      </c>
      <c r="AH176" s="371" t="s">
        <v>2271</v>
      </c>
      <c r="AI176" s="382">
        <v>0.42013888888888901</v>
      </c>
      <c r="AJ176" s="382">
        <v>0.42013888888888901</v>
      </c>
      <c r="AK176" s="371" t="s">
        <v>2271</v>
      </c>
      <c r="AL176" s="206" t="s">
        <v>42</v>
      </c>
      <c r="AM176" s="206" t="s">
        <v>42</v>
      </c>
      <c r="AN176" s="371" t="s">
        <v>2271</v>
      </c>
      <c r="AO176" s="206" t="s">
        <v>2397</v>
      </c>
      <c r="AP176" s="206"/>
      <c r="AQ176" s="206" t="s">
        <v>1131</v>
      </c>
      <c r="AR176" s="207" t="s">
        <v>82</v>
      </c>
    </row>
    <row r="177" spans="1:44" x14ac:dyDescent="0.2">
      <c r="A177" s="370">
        <v>158</v>
      </c>
      <c r="B177" s="380">
        <v>89</v>
      </c>
      <c r="C177" s="371" t="s">
        <v>2337</v>
      </c>
      <c r="D177" s="371" t="s">
        <v>2235</v>
      </c>
      <c r="E177" s="206"/>
      <c r="F177" s="206" t="s">
        <v>76</v>
      </c>
      <c r="G177" s="206" t="s">
        <v>76</v>
      </c>
      <c r="H177" s="371" t="s">
        <v>2271</v>
      </c>
      <c r="I177" s="206"/>
      <c r="J177" s="206" t="s">
        <v>1358</v>
      </c>
      <c r="K177" s="371" t="s">
        <v>2276</v>
      </c>
      <c r="L177" s="206" t="s">
        <v>2198</v>
      </c>
      <c r="M177" s="206" t="s">
        <v>1357</v>
      </c>
      <c r="N177" s="206" t="s">
        <v>78</v>
      </c>
      <c r="O177" s="372" t="s">
        <v>2212</v>
      </c>
      <c r="P177" s="372">
        <v>46081</v>
      </c>
      <c r="Q177" s="371" t="s">
        <v>2276</v>
      </c>
      <c r="R177" s="373">
        <v>45810</v>
      </c>
      <c r="S177" s="373">
        <v>45810</v>
      </c>
      <c r="T177" s="371" t="s">
        <v>2271</v>
      </c>
      <c r="U177" s="373">
        <v>17570</v>
      </c>
      <c r="V177" s="373">
        <v>17570</v>
      </c>
      <c r="W177" s="371" t="s">
        <v>2271</v>
      </c>
      <c r="X177" s="373">
        <v>28240</v>
      </c>
      <c r="Y177" s="373">
        <v>28240</v>
      </c>
      <c r="Z177" s="371" t="s">
        <v>2271</v>
      </c>
      <c r="AA177" s="373">
        <v>0</v>
      </c>
      <c r="AB177" s="373">
        <v>28230</v>
      </c>
      <c r="AC177" s="373">
        <v>28230</v>
      </c>
      <c r="AD177" s="371" t="s">
        <v>2271</v>
      </c>
      <c r="AE177" s="373">
        <v>0</v>
      </c>
      <c r="AF177" s="382">
        <v>0.59861111111111098</v>
      </c>
      <c r="AG177" s="382">
        <v>0.59861111111111098</v>
      </c>
      <c r="AH177" s="371" t="s">
        <v>2271</v>
      </c>
      <c r="AI177" s="382">
        <v>0.843055555555556</v>
      </c>
      <c r="AJ177" s="382">
        <v>0.843055555555556</v>
      </c>
      <c r="AK177" s="371" t="s">
        <v>2271</v>
      </c>
      <c r="AL177" s="206" t="s">
        <v>1221</v>
      </c>
      <c r="AM177" s="206" t="s">
        <v>42</v>
      </c>
      <c r="AN177" s="371" t="s">
        <v>2271</v>
      </c>
      <c r="AO177" s="206" t="s">
        <v>2398</v>
      </c>
      <c r="AP177" s="206" t="s">
        <v>1372</v>
      </c>
      <c r="AQ177" s="206" t="s">
        <v>1133</v>
      </c>
      <c r="AR177" s="207" t="s">
        <v>88</v>
      </c>
    </row>
    <row r="178" spans="1:44" x14ac:dyDescent="0.2">
      <c r="A178" s="370">
        <v>159</v>
      </c>
      <c r="B178" s="380">
        <v>90</v>
      </c>
      <c r="C178" s="371" t="s">
        <v>2275</v>
      </c>
      <c r="D178" s="371" t="s">
        <v>2235</v>
      </c>
      <c r="E178" s="206"/>
      <c r="F178" s="206" t="s">
        <v>46</v>
      </c>
      <c r="G178" s="206" t="s">
        <v>46</v>
      </c>
      <c r="H178" s="371" t="s">
        <v>2271</v>
      </c>
      <c r="I178" s="206" t="s">
        <v>2141</v>
      </c>
      <c r="J178" s="206" t="s">
        <v>1333</v>
      </c>
      <c r="K178" s="371" t="s">
        <v>2276</v>
      </c>
      <c r="L178" s="206" t="s">
        <v>2142</v>
      </c>
      <c r="M178" s="206" t="s">
        <v>1332</v>
      </c>
      <c r="N178" s="206" t="s">
        <v>78</v>
      </c>
      <c r="O178" s="372">
        <v>45973</v>
      </c>
      <c r="P178" s="372">
        <v>45973</v>
      </c>
      <c r="Q178" s="371" t="s">
        <v>2271</v>
      </c>
      <c r="R178" s="373">
        <v>25820</v>
      </c>
      <c r="S178" s="373">
        <v>25820</v>
      </c>
      <c r="T178" s="371" t="s">
        <v>2271</v>
      </c>
      <c r="U178" s="373">
        <v>11690</v>
      </c>
      <c r="V178" s="373">
        <v>11690</v>
      </c>
      <c r="W178" s="371" t="s">
        <v>2271</v>
      </c>
      <c r="X178" s="373">
        <v>14130</v>
      </c>
      <c r="Y178" s="373">
        <v>14130</v>
      </c>
      <c r="Z178" s="371" t="s">
        <v>2271</v>
      </c>
      <c r="AA178" s="373">
        <v>0</v>
      </c>
      <c r="AB178" s="373">
        <v>14190</v>
      </c>
      <c r="AC178" s="373">
        <v>14190</v>
      </c>
      <c r="AD178" s="371" t="s">
        <v>2271</v>
      </c>
      <c r="AE178" s="373">
        <v>0</v>
      </c>
      <c r="AF178" s="382">
        <v>0.56805555555555598</v>
      </c>
      <c r="AG178" s="382">
        <v>0.56805555555555598</v>
      </c>
      <c r="AH178" s="371" t="s">
        <v>2271</v>
      </c>
      <c r="AI178" s="382">
        <v>0.70555555555555605</v>
      </c>
      <c r="AJ178" s="382">
        <v>0.70555555555555605</v>
      </c>
      <c r="AK178" s="371" t="s">
        <v>2271</v>
      </c>
      <c r="AL178" s="206" t="s">
        <v>42</v>
      </c>
      <c r="AM178" s="206" t="s">
        <v>42</v>
      </c>
      <c r="AN178" s="371" t="s">
        <v>2271</v>
      </c>
      <c r="AO178" s="206" t="s">
        <v>2399</v>
      </c>
      <c r="AP178" s="206" t="s">
        <v>1393</v>
      </c>
      <c r="AQ178" s="206" t="s">
        <v>1132</v>
      </c>
      <c r="AR178" s="207" t="s">
        <v>88</v>
      </c>
    </row>
    <row r="179" spans="1:44" x14ac:dyDescent="0.2">
      <c r="A179" s="370">
        <v>160</v>
      </c>
      <c r="B179" s="380">
        <v>90</v>
      </c>
      <c r="C179" s="371" t="s">
        <v>2337</v>
      </c>
      <c r="D179" s="371" t="s">
        <v>2235</v>
      </c>
      <c r="E179" s="206"/>
      <c r="F179" s="206" t="s">
        <v>84</v>
      </c>
      <c r="G179" s="206" t="s">
        <v>84</v>
      </c>
      <c r="H179" s="371" t="s">
        <v>2271</v>
      </c>
      <c r="I179" s="206"/>
      <c r="J179" s="206" t="s">
        <v>1358</v>
      </c>
      <c r="K179" s="371" t="s">
        <v>2276</v>
      </c>
      <c r="L179" s="206" t="s">
        <v>2198</v>
      </c>
      <c r="M179" s="206" t="s">
        <v>1357</v>
      </c>
      <c r="N179" s="206" t="s">
        <v>78</v>
      </c>
      <c r="O179" s="372" t="s">
        <v>2212</v>
      </c>
      <c r="P179" s="372">
        <v>46081</v>
      </c>
      <c r="Q179" s="371" t="s">
        <v>2276</v>
      </c>
      <c r="R179" s="373">
        <v>26570</v>
      </c>
      <c r="S179" s="373">
        <v>26570</v>
      </c>
      <c r="T179" s="371" t="s">
        <v>2271</v>
      </c>
      <c r="U179" s="373">
        <v>12140</v>
      </c>
      <c r="V179" s="373">
        <v>12140</v>
      </c>
      <c r="W179" s="371" t="s">
        <v>2271</v>
      </c>
      <c r="X179" s="373">
        <v>14430</v>
      </c>
      <c r="Y179" s="373">
        <v>14430</v>
      </c>
      <c r="Z179" s="371" t="s">
        <v>2271</v>
      </c>
      <c r="AA179" s="373">
        <v>0</v>
      </c>
      <c r="AB179" s="373">
        <v>14360</v>
      </c>
      <c r="AC179" s="373">
        <v>14360</v>
      </c>
      <c r="AD179" s="371" t="s">
        <v>2271</v>
      </c>
      <c r="AE179" s="373">
        <v>0</v>
      </c>
      <c r="AF179" s="382">
        <v>0.60069444444444398</v>
      </c>
      <c r="AG179" s="382">
        <v>0.60069444444444398</v>
      </c>
      <c r="AH179" s="371" t="s">
        <v>2271</v>
      </c>
      <c r="AI179" s="382">
        <v>0.69166666666666698</v>
      </c>
      <c r="AJ179" s="382">
        <v>0.69166666666666698</v>
      </c>
      <c r="AK179" s="371" t="s">
        <v>2271</v>
      </c>
      <c r="AL179" s="206" t="s">
        <v>1221</v>
      </c>
      <c r="AM179" s="206" t="s">
        <v>42</v>
      </c>
      <c r="AN179" s="371" t="s">
        <v>2271</v>
      </c>
      <c r="AO179" s="206" t="s">
        <v>2399</v>
      </c>
      <c r="AP179" s="206" t="s">
        <v>1397</v>
      </c>
      <c r="AQ179" s="206" t="s">
        <v>1132</v>
      </c>
      <c r="AR179" s="207" t="s">
        <v>88</v>
      </c>
    </row>
    <row r="180" spans="1:44" x14ac:dyDescent="0.2">
      <c r="A180" s="370">
        <v>161</v>
      </c>
      <c r="B180" s="380">
        <v>91</v>
      </c>
      <c r="C180" s="371" t="s">
        <v>2275</v>
      </c>
      <c r="D180" s="371" t="s">
        <v>2235</v>
      </c>
      <c r="E180" s="206"/>
      <c r="F180" s="206" t="s">
        <v>84</v>
      </c>
      <c r="G180" s="206" t="s">
        <v>84</v>
      </c>
      <c r="H180" s="371" t="s">
        <v>2271</v>
      </c>
      <c r="I180" s="206" t="s">
        <v>2141</v>
      </c>
      <c r="J180" s="206" t="s">
        <v>1333</v>
      </c>
      <c r="K180" s="371" t="s">
        <v>2276</v>
      </c>
      <c r="L180" s="206" t="s">
        <v>2142</v>
      </c>
      <c r="M180" s="206" t="s">
        <v>1332</v>
      </c>
      <c r="N180" s="206" t="s">
        <v>78</v>
      </c>
      <c r="O180" s="372">
        <v>45973</v>
      </c>
      <c r="P180" s="372">
        <v>45973</v>
      </c>
      <c r="Q180" s="371" t="s">
        <v>2271</v>
      </c>
      <c r="R180" s="373">
        <v>26320</v>
      </c>
      <c r="S180" s="373">
        <v>26320</v>
      </c>
      <c r="T180" s="371" t="s">
        <v>2271</v>
      </c>
      <c r="U180" s="373">
        <v>12090</v>
      </c>
      <c r="V180" s="373">
        <v>12090</v>
      </c>
      <c r="W180" s="371" t="s">
        <v>2271</v>
      </c>
      <c r="X180" s="373">
        <v>14230</v>
      </c>
      <c r="Y180" s="373">
        <v>14230</v>
      </c>
      <c r="Z180" s="371" t="s">
        <v>2271</v>
      </c>
      <c r="AA180" s="373">
        <v>0</v>
      </c>
      <c r="AB180" s="373">
        <v>14270</v>
      </c>
      <c r="AC180" s="373">
        <v>14270</v>
      </c>
      <c r="AD180" s="371" t="s">
        <v>2271</v>
      </c>
      <c r="AE180" s="373">
        <v>0</v>
      </c>
      <c r="AF180" s="382">
        <v>0.56944444444444398</v>
      </c>
      <c r="AG180" s="382">
        <v>0.56944444444444398</v>
      </c>
      <c r="AH180" s="371" t="s">
        <v>2271</v>
      </c>
      <c r="AI180" s="382">
        <v>0.64652777777777803</v>
      </c>
      <c r="AJ180" s="382">
        <v>0.64652777777777803</v>
      </c>
      <c r="AK180" s="371" t="s">
        <v>2271</v>
      </c>
      <c r="AL180" s="206" t="s">
        <v>42</v>
      </c>
      <c r="AM180" s="206" t="s">
        <v>42</v>
      </c>
      <c r="AN180" s="371" t="s">
        <v>2271</v>
      </c>
      <c r="AO180" s="206" t="s">
        <v>2400</v>
      </c>
      <c r="AP180" s="206" t="s">
        <v>1782</v>
      </c>
      <c r="AQ180" s="206" t="s">
        <v>1132</v>
      </c>
      <c r="AR180" s="207" t="s">
        <v>88</v>
      </c>
    </row>
    <row r="181" spans="1:44" x14ac:dyDescent="0.2">
      <c r="A181" s="370">
        <v>162</v>
      </c>
      <c r="B181" s="380">
        <v>91</v>
      </c>
      <c r="C181" s="371" t="s">
        <v>2337</v>
      </c>
      <c r="D181" s="371" t="s">
        <v>2235</v>
      </c>
      <c r="E181" s="206"/>
      <c r="F181" s="206" t="s">
        <v>70</v>
      </c>
      <c r="G181" s="206" t="s">
        <v>70</v>
      </c>
      <c r="H181" s="371" t="s">
        <v>2271</v>
      </c>
      <c r="I181" s="206"/>
      <c r="J181" s="206" t="s">
        <v>1358</v>
      </c>
      <c r="K181" s="371" t="s">
        <v>2276</v>
      </c>
      <c r="L181" s="206" t="s">
        <v>2198</v>
      </c>
      <c r="M181" s="206" t="s">
        <v>1357</v>
      </c>
      <c r="N181" s="206" t="s">
        <v>78</v>
      </c>
      <c r="O181" s="372" t="s">
        <v>2212</v>
      </c>
      <c r="P181" s="372">
        <v>46081</v>
      </c>
      <c r="Q181" s="371" t="s">
        <v>2276</v>
      </c>
      <c r="R181" s="373">
        <v>45620</v>
      </c>
      <c r="S181" s="373">
        <v>45620</v>
      </c>
      <c r="T181" s="371" t="s">
        <v>2271</v>
      </c>
      <c r="U181" s="373">
        <v>17410</v>
      </c>
      <c r="V181" s="373">
        <v>17410</v>
      </c>
      <c r="W181" s="371" t="s">
        <v>2271</v>
      </c>
      <c r="X181" s="373">
        <v>28210</v>
      </c>
      <c r="Y181" s="373">
        <v>28210</v>
      </c>
      <c r="Z181" s="371" t="s">
        <v>2271</v>
      </c>
      <c r="AA181" s="373">
        <v>0</v>
      </c>
      <c r="AB181" s="373">
        <v>28210</v>
      </c>
      <c r="AC181" s="373">
        <v>28210</v>
      </c>
      <c r="AD181" s="371" t="s">
        <v>2271</v>
      </c>
      <c r="AE181" s="373">
        <v>0</v>
      </c>
      <c r="AF181" s="382">
        <v>0.60208333333333297</v>
      </c>
      <c r="AG181" s="382">
        <v>0.60208333333333297</v>
      </c>
      <c r="AH181" s="371" t="s">
        <v>2271</v>
      </c>
      <c r="AI181" s="382">
        <v>0.87291666666666701</v>
      </c>
      <c r="AJ181" s="382">
        <v>0.87291666666666701</v>
      </c>
      <c r="AK181" s="371" t="s">
        <v>2271</v>
      </c>
      <c r="AL181" s="206" t="s">
        <v>1221</v>
      </c>
      <c r="AM181" s="206" t="s">
        <v>42</v>
      </c>
      <c r="AN181" s="371" t="s">
        <v>2271</v>
      </c>
      <c r="AO181" s="206" t="s">
        <v>2400</v>
      </c>
      <c r="AP181" s="206" t="s">
        <v>1499</v>
      </c>
      <c r="AQ181" s="206" t="s">
        <v>1133</v>
      </c>
      <c r="AR181" s="207" t="s">
        <v>88</v>
      </c>
    </row>
    <row r="182" spans="1:44" x14ac:dyDescent="0.2">
      <c r="A182" s="370">
        <v>163</v>
      </c>
      <c r="B182" s="380">
        <v>92</v>
      </c>
      <c r="C182" s="371" t="s">
        <v>2275</v>
      </c>
      <c r="D182" s="371" t="s">
        <v>2235</v>
      </c>
      <c r="E182" s="206"/>
      <c r="F182" s="206" t="s">
        <v>56</v>
      </c>
      <c r="G182" s="206" t="s">
        <v>56</v>
      </c>
      <c r="H182" s="371" t="s">
        <v>2271</v>
      </c>
      <c r="I182" s="206" t="s">
        <v>2141</v>
      </c>
      <c r="J182" s="206" t="s">
        <v>1333</v>
      </c>
      <c r="K182" s="371" t="s">
        <v>2276</v>
      </c>
      <c r="L182" s="206" t="s">
        <v>2142</v>
      </c>
      <c r="M182" s="206" t="s">
        <v>1332</v>
      </c>
      <c r="N182" s="206" t="s">
        <v>78</v>
      </c>
      <c r="O182" s="372">
        <v>45973</v>
      </c>
      <c r="P182" s="372">
        <v>45973</v>
      </c>
      <c r="Q182" s="371" t="s">
        <v>2271</v>
      </c>
      <c r="R182" s="373">
        <v>24910</v>
      </c>
      <c r="S182" s="373">
        <v>24910</v>
      </c>
      <c r="T182" s="371" t="s">
        <v>2271</v>
      </c>
      <c r="U182" s="373">
        <v>10780</v>
      </c>
      <c r="V182" s="373">
        <v>10780</v>
      </c>
      <c r="W182" s="371" t="s">
        <v>2271</v>
      </c>
      <c r="X182" s="373">
        <v>14130</v>
      </c>
      <c r="Y182" s="373">
        <v>14130</v>
      </c>
      <c r="Z182" s="371" t="s">
        <v>2271</v>
      </c>
      <c r="AA182" s="373">
        <v>0</v>
      </c>
      <c r="AB182" s="373">
        <v>14150</v>
      </c>
      <c r="AC182" s="373">
        <v>14150</v>
      </c>
      <c r="AD182" s="371" t="s">
        <v>2271</v>
      </c>
      <c r="AE182" s="373">
        <v>0</v>
      </c>
      <c r="AF182" s="382">
        <v>0.593055555555556</v>
      </c>
      <c r="AG182" s="382">
        <v>0.593055555555556</v>
      </c>
      <c r="AH182" s="371" t="s">
        <v>2271</v>
      </c>
      <c r="AI182" s="382">
        <v>0.69305555555555598</v>
      </c>
      <c r="AJ182" s="382">
        <v>0.69305555555555598</v>
      </c>
      <c r="AK182" s="371" t="s">
        <v>2271</v>
      </c>
      <c r="AL182" s="206" t="s">
        <v>42</v>
      </c>
      <c r="AM182" s="206" t="s">
        <v>42</v>
      </c>
      <c r="AN182" s="371" t="s">
        <v>2271</v>
      </c>
      <c r="AO182" s="206" t="s">
        <v>2401</v>
      </c>
      <c r="AP182" s="206" t="s">
        <v>1781</v>
      </c>
      <c r="AQ182" s="206" t="s">
        <v>1132</v>
      </c>
      <c r="AR182" s="207" t="s">
        <v>88</v>
      </c>
    </row>
    <row r="183" spans="1:44" x14ac:dyDescent="0.2">
      <c r="A183" s="370">
        <v>164</v>
      </c>
      <c r="B183" s="380">
        <v>94</v>
      </c>
      <c r="C183" s="371" t="s">
        <v>2275</v>
      </c>
      <c r="D183" s="371" t="s">
        <v>2235</v>
      </c>
      <c r="E183" s="206"/>
      <c r="F183" s="206" t="s">
        <v>84</v>
      </c>
      <c r="G183" s="206" t="s">
        <v>84</v>
      </c>
      <c r="H183" s="371" t="s">
        <v>2271</v>
      </c>
      <c r="I183" s="206" t="s">
        <v>2141</v>
      </c>
      <c r="J183" s="206" t="s">
        <v>1333</v>
      </c>
      <c r="K183" s="371" t="s">
        <v>2276</v>
      </c>
      <c r="L183" s="206" t="s">
        <v>2142</v>
      </c>
      <c r="M183" s="206" t="s">
        <v>1332</v>
      </c>
      <c r="N183" s="206" t="s">
        <v>78</v>
      </c>
      <c r="O183" s="372">
        <v>45973</v>
      </c>
      <c r="P183" s="372">
        <v>45973</v>
      </c>
      <c r="Q183" s="371" t="s">
        <v>2271</v>
      </c>
      <c r="R183" s="373">
        <v>26310</v>
      </c>
      <c r="S183" s="373">
        <v>26310</v>
      </c>
      <c r="T183" s="371" t="s">
        <v>2271</v>
      </c>
      <c r="U183" s="373">
        <v>12090</v>
      </c>
      <c r="V183" s="373">
        <v>12090</v>
      </c>
      <c r="W183" s="371" t="s">
        <v>2271</v>
      </c>
      <c r="X183" s="373">
        <v>14220</v>
      </c>
      <c r="Y183" s="373">
        <v>14220</v>
      </c>
      <c r="Z183" s="371" t="s">
        <v>2271</v>
      </c>
      <c r="AA183" s="373">
        <v>0</v>
      </c>
      <c r="AB183" s="373">
        <v>14230</v>
      </c>
      <c r="AC183" s="373">
        <v>14230</v>
      </c>
      <c r="AD183" s="371" t="s">
        <v>2271</v>
      </c>
      <c r="AE183" s="373">
        <v>0</v>
      </c>
      <c r="AF183" s="382">
        <v>0.718055555555556</v>
      </c>
      <c r="AG183" s="382">
        <v>0.718055555555556</v>
      </c>
      <c r="AH183" s="371" t="s">
        <v>2271</v>
      </c>
      <c r="AI183" s="382">
        <v>0.77847222222222201</v>
      </c>
      <c r="AJ183" s="382">
        <v>0.77847222222222201</v>
      </c>
      <c r="AK183" s="371" t="s">
        <v>2271</v>
      </c>
      <c r="AL183" s="206" t="s">
        <v>42</v>
      </c>
      <c r="AM183" s="206" t="s">
        <v>42</v>
      </c>
      <c r="AN183" s="371" t="s">
        <v>2271</v>
      </c>
      <c r="AO183" s="206" t="s">
        <v>2402</v>
      </c>
      <c r="AP183" s="206" t="s">
        <v>1782</v>
      </c>
      <c r="AQ183" s="206" t="s">
        <v>1132</v>
      </c>
      <c r="AR183" s="207" t="s">
        <v>88</v>
      </c>
    </row>
    <row r="184" spans="1:44" x14ac:dyDescent="0.2">
      <c r="A184" s="370">
        <v>165</v>
      </c>
      <c r="B184" s="380">
        <v>95</v>
      </c>
      <c r="C184" s="371" t="s">
        <v>2275</v>
      </c>
      <c r="D184" s="371" t="s">
        <v>2235</v>
      </c>
      <c r="E184" s="206"/>
      <c r="F184" s="206" t="s">
        <v>56</v>
      </c>
      <c r="G184" s="206" t="s">
        <v>56</v>
      </c>
      <c r="H184" s="371" t="s">
        <v>2271</v>
      </c>
      <c r="I184" s="206" t="s">
        <v>2141</v>
      </c>
      <c r="J184" s="206" t="s">
        <v>1333</v>
      </c>
      <c r="K184" s="371" t="s">
        <v>2276</v>
      </c>
      <c r="L184" s="206" t="s">
        <v>2142</v>
      </c>
      <c r="M184" s="206" t="s">
        <v>1332</v>
      </c>
      <c r="N184" s="206" t="s">
        <v>78</v>
      </c>
      <c r="O184" s="372">
        <v>45973</v>
      </c>
      <c r="P184" s="372">
        <v>45973</v>
      </c>
      <c r="Q184" s="371" t="s">
        <v>2271</v>
      </c>
      <c r="R184" s="373">
        <v>24830</v>
      </c>
      <c r="S184" s="373">
        <v>24830</v>
      </c>
      <c r="T184" s="371" t="s">
        <v>2271</v>
      </c>
      <c r="U184" s="373">
        <v>10870</v>
      </c>
      <c r="V184" s="373">
        <v>10870</v>
      </c>
      <c r="W184" s="371" t="s">
        <v>2271</v>
      </c>
      <c r="X184" s="373">
        <v>13960</v>
      </c>
      <c r="Y184" s="373">
        <v>13960</v>
      </c>
      <c r="Z184" s="371" t="s">
        <v>2271</v>
      </c>
      <c r="AA184" s="373">
        <v>0</v>
      </c>
      <c r="AB184" s="373">
        <v>14080</v>
      </c>
      <c r="AC184" s="373">
        <v>14080</v>
      </c>
      <c r="AD184" s="371" t="s">
        <v>2271</v>
      </c>
      <c r="AE184" s="373">
        <v>0</v>
      </c>
      <c r="AF184" s="382">
        <v>0.77500000000000002</v>
      </c>
      <c r="AG184" s="382">
        <v>0.77500000000000002</v>
      </c>
      <c r="AH184" s="371" t="s">
        <v>2271</v>
      </c>
      <c r="AI184" s="382">
        <v>0.90347222222222201</v>
      </c>
      <c r="AJ184" s="382">
        <v>0.90347222222222201</v>
      </c>
      <c r="AK184" s="371" t="s">
        <v>2271</v>
      </c>
      <c r="AL184" s="206" t="s">
        <v>42</v>
      </c>
      <c r="AM184" s="206" t="s">
        <v>42</v>
      </c>
      <c r="AN184" s="371" t="s">
        <v>2271</v>
      </c>
      <c r="AO184" s="206" t="s">
        <v>2403</v>
      </c>
      <c r="AP184" s="206" t="s">
        <v>1781</v>
      </c>
      <c r="AQ184" s="206" t="s">
        <v>1132</v>
      </c>
      <c r="AR184" s="207" t="s">
        <v>88</v>
      </c>
    </row>
    <row r="185" spans="1:44" x14ac:dyDescent="0.2">
      <c r="A185" s="370">
        <v>166</v>
      </c>
      <c r="B185" s="380">
        <v>96</v>
      </c>
      <c r="C185" s="371" t="s">
        <v>2275</v>
      </c>
      <c r="D185" s="371" t="s">
        <v>2235</v>
      </c>
      <c r="E185" s="206"/>
      <c r="F185" s="206" t="s">
        <v>46</v>
      </c>
      <c r="G185" s="206" t="s">
        <v>46</v>
      </c>
      <c r="H185" s="371" t="s">
        <v>2271</v>
      </c>
      <c r="I185" s="206" t="s">
        <v>2141</v>
      </c>
      <c r="J185" s="206" t="s">
        <v>1333</v>
      </c>
      <c r="K185" s="371" t="s">
        <v>2276</v>
      </c>
      <c r="L185" s="206" t="s">
        <v>2142</v>
      </c>
      <c r="M185" s="206" t="s">
        <v>1332</v>
      </c>
      <c r="N185" s="206" t="s">
        <v>78</v>
      </c>
      <c r="O185" s="372">
        <v>45973</v>
      </c>
      <c r="P185" s="372">
        <v>45973</v>
      </c>
      <c r="Q185" s="371" t="s">
        <v>2271</v>
      </c>
      <c r="R185" s="373">
        <v>25680</v>
      </c>
      <c r="S185" s="373">
        <v>25680</v>
      </c>
      <c r="T185" s="371" t="s">
        <v>2271</v>
      </c>
      <c r="U185" s="373">
        <v>11690</v>
      </c>
      <c r="V185" s="373">
        <v>11690</v>
      </c>
      <c r="W185" s="371" t="s">
        <v>2271</v>
      </c>
      <c r="X185" s="373">
        <v>13990</v>
      </c>
      <c r="Y185" s="373">
        <v>13990</v>
      </c>
      <c r="Z185" s="371" t="s">
        <v>2271</v>
      </c>
      <c r="AA185" s="373">
        <v>0</v>
      </c>
      <c r="AB185" s="373">
        <v>14020</v>
      </c>
      <c r="AC185" s="373">
        <v>14020</v>
      </c>
      <c r="AD185" s="371" t="s">
        <v>2271</v>
      </c>
      <c r="AE185" s="373">
        <v>0</v>
      </c>
      <c r="AF185" s="382">
        <v>0.83055555555555605</v>
      </c>
      <c r="AG185" s="382">
        <v>0.83055555555555605</v>
      </c>
      <c r="AH185" s="371" t="s">
        <v>2271</v>
      </c>
      <c r="AI185" s="382">
        <v>0.91736111111111096</v>
      </c>
      <c r="AJ185" s="382">
        <v>0.91736111111111096</v>
      </c>
      <c r="AK185" s="371" t="s">
        <v>2271</v>
      </c>
      <c r="AL185" s="206" t="s">
        <v>42</v>
      </c>
      <c r="AM185" s="206" t="s">
        <v>42</v>
      </c>
      <c r="AN185" s="371" t="s">
        <v>2271</v>
      </c>
      <c r="AO185" s="206" t="s">
        <v>2404</v>
      </c>
      <c r="AP185" s="206" t="s">
        <v>1393</v>
      </c>
      <c r="AQ185" s="206" t="s">
        <v>1132</v>
      </c>
      <c r="AR185" s="207" t="s">
        <v>88</v>
      </c>
    </row>
    <row r="186" spans="1:44" x14ac:dyDescent="0.2">
      <c r="A186" s="370">
        <v>167</v>
      </c>
      <c r="B186" s="380">
        <v>96</v>
      </c>
      <c r="C186" s="371" t="s">
        <v>2337</v>
      </c>
      <c r="D186" s="371" t="s">
        <v>2235</v>
      </c>
      <c r="E186" s="206"/>
      <c r="F186" s="206" t="s">
        <v>84</v>
      </c>
      <c r="G186" s="206" t="s">
        <v>84</v>
      </c>
      <c r="H186" s="371" t="s">
        <v>2271</v>
      </c>
      <c r="I186" s="206"/>
      <c r="J186" s="206" t="s">
        <v>1445</v>
      </c>
      <c r="K186" s="371" t="s">
        <v>2276</v>
      </c>
      <c r="L186" s="206" t="s">
        <v>2213</v>
      </c>
      <c r="M186" s="206" t="s">
        <v>1727</v>
      </c>
      <c r="N186" s="206" t="s">
        <v>49</v>
      </c>
      <c r="O186" s="372">
        <v>46057</v>
      </c>
      <c r="P186" s="372">
        <v>46114</v>
      </c>
      <c r="Q186" s="371" t="s">
        <v>2276</v>
      </c>
      <c r="R186" s="373">
        <v>26830</v>
      </c>
      <c r="S186" s="373">
        <v>26830</v>
      </c>
      <c r="T186" s="371" t="s">
        <v>2271</v>
      </c>
      <c r="U186" s="373">
        <v>12210</v>
      </c>
      <c r="V186" s="373">
        <v>12210</v>
      </c>
      <c r="W186" s="371" t="s">
        <v>2271</v>
      </c>
      <c r="X186" s="373">
        <v>14620</v>
      </c>
      <c r="Y186" s="373">
        <v>14620</v>
      </c>
      <c r="Z186" s="371" t="s">
        <v>2271</v>
      </c>
      <c r="AA186" s="373">
        <v>0</v>
      </c>
      <c r="AB186" s="373">
        <v>14540</v>
      </c>
      <c r="AC186" s="373">
        <v>14540</v>
      </c>
      <c r="AD186" s="371" t="s">
        <v>2271</v>
      </c>
      <c r="AE186" s="373">
        <v>0</v>
      </c>
      <c r="AF186" s="382">
        <v>0.61250000000000004</v>
      </c>
      <c r="AG186" s="382">
        <v>0.61250000000000004</v>
      </c>
      <c r="AH186" s="371" t="s">
        <v>2271</v>
      </c>
      <c r="AI186" s="382">
        <v>0.74444444444444402</v>
      </c>
      <c r="AJ186" s="382">
        <v>0.74444444444444402</v>
      </c>
      <c r="AK186" s="371" t="s">
        <v>2271</v>
      </c>
      <c r="AL186" s="206" t="s">
        <v>137</v>
      </c>
      <c r="AM186" s="206" t="s">
        <v>137</v>
      </c>
      <c r="AN186" s="371" t="s">
        <v>2271</v>
      </c>
      <c r="AO186" s="206" t="s">
        <v>2405</v>
      </c>
      <c r="AP186" s="206" t="s">
        <v>1397</v>
      </c>
      <c r="AQ186" s="206" t="s">
        <v>1132</v>
      </c>
      <c r="AR186" s="207" t="s">
        <v>68</v>
      </c>
    </row>
    <row r="187" spans="1:44" x14ac:dyDescent="0.2">
      <c r="A187" s="370">
        <v>168</v>
      </c>
      <c r="B187" s="380">
        <v>97</v>
      </c>
      <c r="C187" s="371" t="s">
        <v>2275</v>
      </c>
      <c r="D187" s="371" t="s">
        <v>2235</v>
      </c>
      <c r="E187" s="206"/>
      <c r="F187" s="206" t="s">
        <v>84</v>
      </c>
      <c r="G187" s="206" t="s">
        <v>84</v>
      </c>
      <c r="H187" s="371" t="s">
        <v>2271</v>
      </c>
      <c r="I187" s="206" t="s">
        <v>2141</v>
      </c>
      <c r="J187" s="206" t="s">
        <v>1333</v>
      </c>
      <c r="K187" s="371" t="s">
        <v>2276</v>
      </c>
      <c r="L187" s="206" t="s">
        <v>2142</v>
      </c>
      <c r="M187" s="206" t="s">
        <v>1332</v>
      </c>
      <c r="N187" s="206" t="s">
        <v>78</v>
      </c>
      <c r="O187" s="372">
        <v>45973</v>
      </c>
      <c r="P187" s="372">
        <v>45973</v>
      </c>
      <c r="Q187" s="371" t="s">
        <v>2271</v>
      </c>
      <c r="R187" s="373">
        <v>26320</v>
      </c>
      <c r="S187" s="373">
        <v>26320</v>
      </c>
      <c r="T187" s="371" t="s">
        <v>2271</v>
      </c>
      <c r="U187" s="373">
        <v>12210</v>
      </c>
      <c r="V187" s="373">
        <v>12210</v>
      </c>
      <c r="W187" s="371" t="s">
        <v>2271</v>
      </c>
      <c r="X187" s="373">
        <v>14110</v>
      </c>
      <c r="Y187" s="373">
        <v>14110</v>
      </c>
      <c r="Z187" s="371" t="s">
        <v>2271</v>
      </c>
      <c r="AA187" s="373">
        <v>0</v>
      </c>
      <c r="AB187" s="373">
        <v>14270</v>
      </c>
      <c r="AC187" s="373">
        <v>14270</v>
      </c>
      <c r="AD187" s="371" t="s">
        <v>2271</v>
      </c>
      <c r="AE187" s="373">
        <v>0</v>
      </c>
      <c r="AF187" s="382">
        <v>0.86388888888888904</v>
      </c>
      <c r="AG187" s="382">
        <v>0.86388888888888904</v>
      </c>
      <c r="AH187" s="371" t="s">
        <v>2271</v>
      </c>
      <c r="AI187" s="382">
        <v>0.92222222222222205</v>
      </c>
      <c r="AJ187" s="382">
        <v>0.92222222222222205</v>
      </c>
      <c r="AK187" s="371" t="s">
        <v>2271</v>
      </c>
      <c r="AL187" s="206" t="s">
        <v>42</v>
      </c>
      <c r="AM187" s="206" t="s">
        <v>42</v>
      </c>
      <c r="AN187" s="371" t="s">
        <v>2271</v>
      </c>
      <c r="AO187" s="206" t="s">
        <v>2406</v>
      </c>
      <c r="AP187" s="206" t="s">
        <v>1782</v>
      </c>
      <c r="AQ187" s="206" t="s">
        <v>1132</v>
      </c>
      <c r="AR187" s="207" t="s">
        <v>88</v>
      </c>
    </row>
    <row r="188" spans="1:44" x14ac:dyDescent="0.2">
      <c r="A188" s="370">
        <v>169</v>
      </c>
      <c r="B188" s="380">
        <v>98</v>
      </c>
      <c r="C188" s="371" t="s">
        <v>2269</v>
      </c>
      <c r="D188" s="371" t="s">
        <v>2270</v>
      </c>
      <c r="E188" s="206"/>
      <c r="F188" s="206" t="s">
        <v>46</v>
      </c>
      <c r="G188" s="206" t="s">
        <v>46</v>
      </c>
      <c r="H188" s="371" t="s">
        <v>2271</v>
      </c>
      <c r="I188" s="206" t="s">
        <v>1449</v>
      </c>
      <c r="J188" s="206" t="s">
        <v>1449</v>
      </c>
      <c r="K188" s="371" t="s">
        <v>2271</v>
      </c>
      <c r="L188" s="206" t="s">
        <v>2143</v>
      </c>
      <c r="M188" s="206" t="s">
        <v>1338</v>
      </c>
      <c r="N188" s="206" t="s">
        <v>59</v>
      </c>
      <c r="O188" s="372">
        <v>45975</v>
      </c>
      <c r="P188" s="372">
        <v>45975</v>
      </c>
      <c r="Q188" s="371" t="s">
        <v>2271</v>
      </c>
      <c r="R188" s="373">
        <v>26490</v>
      </c>
      <c r="S188" s="373">
        <v>26490</v>
      </c>
      <c r="T188" s="371" t="s">
        <v>2271</v>
      </c>
      <c r="U188" s="373">
        <v>11710</v>
      </c>
      <c r="V188" s="373">
        <v>11710</v>
      </c>
      <c r="W188" s="371" t="s">
        <v>2271</v>
      </c>
      <c r="X188" s="373">
        <v>14780</v>
      </c>
      <c r="Y188" s="373">
        <v>14780</v>
      </c>
      <c r="Z188" s="371" t="s">
        <v>2271</v>
      </c>
      <c r="AA188" s="373">
        <v>0</v>
      </c>
      <c r="AB188" s="373">
        <v>14730</v>
      </c>
      <c r="AC188" s="373">
        <v>14730</v>
      </c>
      <c r="AD188" s="371" t="s">
        <v>2271</v>
      </c>
      <c r="AE188" s="373">
        <v>0</v>
      </c>
      <c r="AF188" s="382">
        <v>0.55208333333333304</v>
      </c>
      <c r="AG188" s="382">
        <v>0.55208333333333304</v>
      </c>
      <c r="AH188" s="371" t="s">
        <v>2271</v>
      </c>
      <c r="AI188" s="382">
        <v>0.63194444444444398</v>
      </c>
      <c r="AJ188" s="382">
        <v>0.63194444444444398</v>
      </c>
      <c r="AK188" s="371" t="s">
        <v>2271</v>
      </c>
      <c r="AL188" s="206" t="s">
        <v>42</v>
      </c>
      <c r="AM188" s="206" t="s">
        <v>42</v>
      </c>
      <c r="AN188" s="371" t="s">
        <v>2271</v>
      </c>
      <c r="AO188" s="206" t="s">
        <v>2407</v>
      </c>
      <c r="AP188" s="206" t="s">
        <v>1393</v>
      </c>
      <c r="AQ188" s="206" t="s">
        <v>1132</v>
      </c>
      <c r="AR188" s="207" t="s">
        <v>75</v>
      </c>
    </row>
    <row r="189" spans="1:44" x14ac:dyDescent="0.2">
      <c r="A189" s="370">
        <v>170</v>
      </c>
      <c r="B189" s="380">
        <v>98</v>
      </c>
      <c r="C189" s="371" t="s">
        <v>2275</v>
      </c>
      <c r="D189" s="371" t="s">
        <v>2235</v>
      </c>
      <c r="E189" s="206"/>
      <c r="F189" s="206" t="s">
        <v>84</v>
      </c>
      <c r="G189" s="206" t="s">
        <v>84</v>
      </c>
      <c r="H189" s="371" t="s">
        <v>2271</v>
      </c>
      <c r="I189" s="206"/>
      <c r="J189" s="206" t="s">
        <v>1445</v>
      </c>
      <c r="K189" s="371" t="s">
        <v>2276</v>
      </c>
      <c r="L189" s="206" t="s">
        <v>2213</v>
      </c>
      <c r="M189" s="206" t="s">
        <v>1727</v>
      </c>
      <c r="N189" s="206" t="s">
        <v>49</v>
      </c>
      <c r="O189" s="372">
        <v>46116</v>
      </c>
      <c r="P189" s="372">
        <v>46116</v>
      </c>
      <c r="Q189" s="371" t="s">
        <v>2271</v>
      </c>
      <c r="R189" s="373">
        <v>26760</v>
      </c>
      <c r="S189" s="373">
        <v>26760</v>
      </c>
      <c r="T189" s="371" t="s">
        <v>2271</v>
      </c>
      <c r="U189" s="373">
        <v>12400</v>
      </c>
      <c r="V189" s="373">
        <v>12400</v>
      </c>
      <c r="W189" s="371" t="s">
        <v>2271</v>
      </c>
      <c r="X189" s="373">
        <v>14360</v>
      </c>
      <c r="Y189" s="373">
        <v>14360</v>
      </c>
      <c r="Z189" s="371" t="s">
        <v>2271</v>
      </c>
      <c r="AA189" s="373">
        <v>0</v>
      </c>
      <c r="AB189" s="373">
        <v>14530</v>
      </c>
      <c r="AC189" s="373">
        <v>14530</v>
      </c>
      <c r="AD189" s="371" t="s">
        <v>2271</v>
      </c>
      <c r="AE189" s="373">
        <v>0</v>
      </c>
      <c r="AF189" s="382">
        <v>0.36736111111111103</v>
      </c>
      <c r="AG189" s="382">
        <v>0.36736111111111103</v>
      </c>
      <c r="AH189" s="371" t="s">
        <v>2271</v>
      </c>
      <c r="AI189" s="382">
        <v>0.47916666666666702</v>
      </c>
      <c r="AJ189" s="382">
        <v>0.47916666666666702</v>
      </c>
      <c r="AK189" s="371" t="s">
        <v>2271</v>
      </c>
      <c r="AL189" s="206" t="s">
        <v>137</v>
      </c>
      <c r="AM189" s="206" t="s">
        <v>137</v>
      </c>
      <c r="AN189" s="371" t="s">
        <v>2271</v>
      </c>
      <c r="AO189" s="206" t="s">
        <v>2408</v>
      </c>
      <c r="AP189" s="206" t="s">
        <v>1397</v>
      </c>
      <c r="AQ189" s="206" t="s">
        <v>1132</v>
      </c>
      <c r="AR189" s="207" t="s">
        <v>68</v>
      </c>
    </row>
    <row r="190" spans="1:44" x14ac:dyDescent="0.2">
      <c r="A190" s="370">
        <v>171</v>
      </c>
      <c r="B190" s="380">
        <v>99</v>
      </c>
      <c r="C190" s="371" t="s">
        <v>2269</v>
      </c>
      <c r="D190" s="371" t="s">
        <v>2270</v>
      </c>
      <c r="E190" s="206"/>
      <c r="F190" s="206" t="s">
        <v>56</v>
      </c>
      <c r="G190" s="206" t="s">
        <v>56</v>
      </c>
      <c r="H190" s="371" t="s">
        <v>2271</v>
      </c>
      <c r="I190" s="206" t="s">
        <v>1449</v>
      </c>
      <c r="J190" s="206" t="s">
        <v>1449</v>
      </c>
      <c r="K190" s="371" t="s">
        <v>2271</v>
      </c>
      <c r="L190" s="206" t="s">
        <v>2143</v>
      </c>
      <c r="M190" s="206" t="s">
        <v>1338</v>
      </c>
      <c r="N190" s="206" t="s">
        <v>59</v>
      </c>
      <c r="O190" s="372">
        <v>45975</v>
      </c>
      <c r="P190" s="372">
        <v>45975</v>
      </c>
      <c r="Q190" s="371" t="s">
        <v>2271</v>
      </c>
      <c r="R190" s="373">
        <v>25060</v>
      </c>
      <c r="S190" s="373">
        <v>25060</v>
      </c>
      <c r="T190" s="371" t="s">
        <v>2271</v>
      </c>
      <c r="U190" s="373">
        <v>10810</v>
      </c>
      <c r="V190" s="373">
        <v>10810</v>
      </c>
      <c r="W190" s="371" t="s">
        <v>2271</v>
      </c>
      <c r="X190" s="373">
        <v>14250</v>
      </c>
      <c r="Y190" s="373">
        <v>14250</v>
      </c>
      <c r="Z190" s="371" t="s">
        <v>2271</v>
      </c>
      <c r="AA190" s="373">
        <v>0</v>
      </c>
      <c r="AB190" s="373">
        <v>14120</v>
      </c>
      <c r="AC190" s="373">
        <v>14120</v>
      </c>
      <c r="AD190" s="371" t="s">
        <v>2271</v>
      </c>
      <c r="AE190" s="373">
        <v>0</v>
      </c>
      <c r="AF190" s="382">
        <v>0.55347222222222203</v>
      </c>
      <c r="AG190" s="382">
        <v>0.55347222222222203</v>
      </c>
      <c r="AH190" s="371" t="s">
        <v>2271</v>
      </c>
      <c r="AI190" s="382">
        <v>0.66041666666666698</v>
      </c>
      <c r="AJ190" s="382">
        <v>0.66041666666666698</v>
      </c>
      <c r="AK190" s="371" t="s">
        <v>2271</v>
      </c>
      <c r="AL190" s="206" t="s">
        <v>42</v>
      </c>
      <c r="AM190" s="206" t="s">
        <v>42</v>
      </c>
      <c r="AN190" s="371" t="s">
        <v>2271</v>
      </c>
      <c r="AO190" s="206" t="s">
        <v>2409</v>
      </c>
      <c r="AP190" s="206" t="s">
        <v>1781</v>
      </c>
      <c r="AQ190" s="206" t="s">
        <v>1132</v>
      </c>
      <c r="AR190" s="207" t="s">
        <v>75</v>
      </c>
    </row>
    <row r="191" spans="1:44" x14ac:dyDescent="0.2">
      <c r="A191" s="370">
        <v>172</v>
      </c>
      <c r="B191" s="380">
        <v>99</v>
      </c>
      <c r="C191" s="371" t="s">
        <v>2275</v>
      </c>
      <c r="D191" s="371" t="s">
        <v>2235</v>
      </c>
      <c r="E191" s="206"/>
      <c r="F191" s="206" t="s">
        <v>46</v>
      </c>
      <c r="G191" s="206" t="s">
        <v>46</v>
      </c>
      <c r="H191" s="371" t="s">
        <v>2271</v>
      </c>
      <c r="I191" s="206"/>
      <c r="J191" s="206" t="s">
        <v>1445</v>
      </c>
      <c r="K191" s="371" t="s">
        <v>2276</v>
      </c>
      <c r="L191" s="206" t="s">
        <v>2213</v>
      </c>
      <c r="M191" s="206" t="s">
        <v>1727</v>
      </c>
      <c r="N191" s="206" t="s">
        <v>49</v>
      </c>
      <c r="O191" s="372">
        <v>46116</v>
      </c>
      <c r="P191" s="372">
        <v>46116</v>
      </c>
      <c r="Q191" s="371" t="s">
        <v>2271</v>
      </c>
      <c r="R191" s="373">
        <v>26660</v>
      </c>
      <c r="S191" s="373">
        <v>26660</v>
      </c>
      <c r="T191" s="371" t="s">
        <v>2271</v>
      </c>
      <c r="U191" s="373">
        <v>11790</v>
      </c>
      <c r="V191" s="373">
        <v>11790</v>
      </c>
      <c r="W191" s="371" t="s">
        <v>2271</v>
      </c>
      <c r="X191" s="373">
        <v>14870</v>
      </c>
      <c r="Y191" s="373">
        <v>14870</v>
      </c>
      <c r="Z191" s="371" t="s">
        <v>2271</v>
      </c>
      <c r="AA191" s="373">
        <v>0</v>
      </c>
      <c r="AB191" s="373">
        <v>14830</v>
      </c>
      <c r="AC191" s="373">
        <v>14830</v>
      </c>
      <c r="AD191" s="371" t="s">
        <v>2271</v>
      </c>
      <c r="AE191" s="373">
        <v>0</v>
      </c>
      <c r="AF191" s="382">
        <v>0.61250000000000004</v>
      </c>
      <c r="AG191" s="382">
        <v>0.61250000000000004</v>
      </c>
      <c r="AH191" s="371" t="s">
        <v>2271</v>
      </c>
      <c r="AI191" s="382">
        <v>0.66388888888888897</v>
      </c>
      <c r="AJ191" s="382">
        <v>0.66388888888888897</v>
      </c>
      <c r="AK191" s="371" t="s">
        <v>2271</v>
      </c>
      <c r="AL191" s="206" t="s">
        <v>1221</v>
      </c>
      <c r="AM191" s="206" t="s">
        <v>1221</v>
      </c>
      <c r="AN191" s="371" t="s">
        <v>2271</v>
      </c>
      <c r="AO191" s="206" t="s">
        <v>2410</v>
      </c>
      <c r="AP191" s="206" t="s">
        <v>1393</v>
      </c>
      <c r="AQ191" s="206" t="s">
        <v>1132</v>
      </c>
      <c r="AR191" s="207" t="s">
        <v>68</v>
      </c>
    </row>
    <row r="192" spans="1:44" x14ac:dyDescent="0.2">
      <c r="A192" s="370">
        <v>173</v>
      </c>
      <c r="B192" s="380">
        <v>100</v>
      </c>
      <c r="C192" s="371" t="s">
        <v>2269</v>
      </c>
      <c r="D192" s="371" t="s">
        <v>2270</v>
      </c>
      <c r="E192" s="206"/>
      <c r="F192" s="206" t="s">
        <v>76</v>
      </c>
      <c r="G192" s="206" t="s">
        <v>76</v>
      </c>
      <c r="H192" s="371" t="s">
        <v>2271</v>
      </c>
      <c r="I192" s="206" t="s">
        <v>1449</v>
      </c>
      <c r="J192" s="206" t="s">
        <v>1449</v>
      </c>
      <c r="K192" s="371" t="s">
        <v>2271</v>
      </c>
      <c r="L192" s="206" t="s">
        <v>2143</v>
      </c>
      <c r="M192" s="206" t="s">
        <v>1338</v>
      </c>
      <c r="N192" s="206" t="s">
        <v>59</v>
      </c>
      <c r="O192" s="372">
        <v>45975</v>
      </c>
      <c r="P192" s="372">
        <v>45975</v>
      </c>
      <c r="Q192" s="371" t="s">
        <v>2271</v>
      </c>
      <c r="R192" s="373">
        <v>45820</v>
      </c>
      <c r="S192" s="373">
        <v>45820</v>
      </c>
      <c r="T192" s="371" t="s">
        <v>2271</v>
      </c>
      <c r="U192" s="373">
        <v>17540</v>
      </c>
      <c r="V192" s="373">
        <v>17540</v>
      </c>
      <c r="W192" s="371" t="s">
        <v>2271</v>
      </c>
      <c r="X192" s="373">
        <v>28280</v>
      </c>
      <c r="Y192" s="373">
        <v>28280</v>
      </c>
      <c r="Z192" s="371" t="s">
        <v>2271</v>
      </c>
      <c r="AA192" s="373">
        <v>0</v>
      </c>
      <c r="AB192" s="373">
        <v>28180</v>
      </c>
      <c r="AC192" s="373">
        <v>28180</v>
      </c>
      <c r="AD192" s="371" t="s">
        <v>2271</v>
      </c>
      <c r="AE192" s="373">
        <v>0</v>
      </c>
      <c r="AF192" s="382">
        <v>0.57361111111111096</v>
      </c>
      <c r="AG192" s="382">
        <v>0.57361111111111096</v>
      </c>
      <c r="AH192" s="371" t="s">
        <v>2271</v>
      </c>
      <c r="AI192" s="382">
        <v>0.63611111111111096</v>
      </c>
      <c r="AJ192" s="382">
        <v>0.63611111111111096</v>
      </c>
      <c r="AK192" s="371" t="s">
        <v>2271</v>
      </c>
      <c r="AL192" s="206" t="s">
        <v>42</v>
      </c>
      <c r="AM192" s="206" t="s">
        <v>42</v>
      </c>
      <c r="AN192" s="371" t="s">
        <v>2271</v>
      </c>
      <c r="AO192" s="206" t="s">
        <v>2411</v>
      </c>
      <c r="AP192" s="206" t="s">
        <v>1372</v>
      </c>
      <c r="AQ192" s="206" t="s">
        <v>1133</v>
      </c>
      <c r="AR192" s="207" t="s">
        <v>75</v>
      </c>
    </row>
    <row r="193" spans="1:44" x14ac:dyDescent="0.2">
      <c r="A193" s="370">
        <v>174</v>
      </c>
      <c r="B193" s="380">
        <v>100</v>
      </c>
      <c r="C193" s="371" t="s">
        <v>2275</v>
      </c>
      <c r="D193" s="371" t="s">
        <v>2235</v>
      </c>
      <c r="E193" s="206"/>
      <c r="F193" s="206" t="s">
        <v>56</v>
      </c>
      <c r="G193" s="206" t="s">
        <v>56</v>
      </c>
      <c r="H193" s="371" t="s">
        <v>2271</v>
      </c>
      <c r="I193" s="206"/>
      <c r="J193" s="206" t="s">
        <v>1445</v>
      </c>
      <c r="K193" s="371" t="s">
        <v>2276</v>
      </c>
      <c r="L193" s="206" t="s">
        <v>2213</v>
      </c>
      <c r="M193" s="206" t="s">
        <v>1727</v>
      </c>
      <c r="N193" s="206" t="s">
        <v>49</v>
      </c>
      <c r="O193" s="372">
        <v>46116</v>
      </c>
      <c r="P193" s="372">
        <v>46116</v>
      </c>
      <c r="Q193" s="371" t="s">
        <v>2271</v>
      </c>
      <c r="R193" s="373">
        <v>24980</v>
      </c>
      <c r="S193" s="373">
        <v>24980</v>
      </c>
      <c r="T193" s="371" t="s">
        <v>2271</v>
      </c>
      <c r="U193" s="373">
        <v>10710</v>
      </c>
      <c r="V193" s="373">
        <v>10710</v>
      </c>
      <c r="W193" s="371" t="s">
        <v>2271</v>
      </c>
      <c r="X193" s="373">
        <v>14270</v>
      </c>
      <c r="Y193" s="373">
        <v>14270</v>
      </c>
      <c r="Z193" s="371" t="s">
        <v>2271</v>
      </c>
      <c r="AA193" s="373">
        <v>0</v>
      </c>
      <c r="AB193" s="373">
        <v>14230</v>
      </c>
      <c r="AC193" s="373">
        <v>14230</v>
      </c>
      <c r="AD193" s="371" t="s">
        <v>2271</v>
      </c>
      <c r="AE193" s="373">
        <v>0</v>
      </c>
      <c r="AF193" s="382">
        <v>0.66319444444444398</v>
      </c>
      <c r="AG193" s="382">
        <v>0.66319444444444398</v>
      </c>
      <c r="AH193" s="371" t="s">
        <v>2271</v>
      </c>
      <c r="AI193" s="382">
        <v>0.70138888888888895</v>
      </c>
      <c r="AJ193" s="382">
        <v>0.70138888888888895</v>
      </c>
      <c r="AK193" s="371" t="s">
        <v>2271</v>
      </c>
      <c r="AL193" s="206" t="s">
        <v>1221</v>
      </c>
      <c r="AM193" s="206" t="s">
        <v>1221</v>
      </c>
      <c r="AN193" s="371" t="s">
        <v>2271</v>
      </c>
      <c r="AO193" s="206" t="s">
        <v>2412</v>
      </c>
      <c r="AP193" s="206" t="s">
        <v>1781</v>
      </c>
      <c r="AQ193" s="206" t="s">
        <v>1132</v>
      </c>
      <c r="AR193" s="207" t="s">
        <v>68</v>
      </c>
    </row>
    <row r="194" spans="1:44" x14ac:dyDescent="0.2">
      <c r="A194" s="370">
        <v>175</v>
      </c>
      <c r="B194" s="380">
        <v>101</v>
      </c>
      <c r="C194" s="371" t="s">
        <v>2269</v>
      </c>
      <c r="D194" s="371" t="s">
        <v>2270</v>
      </c>
      <c r="E194" s="206"/>
      <c r="F194" s="206" t="s">
        <v>84</v>
      </c>
      <c r="G194" s="206" t="s">
        <v>84</v>
      </c>
      <c r="H194" s="371" t="s">
        <v>2271</v>
      </c>
      <c r="I194" s="206" t="s">
        <v>1449</v>
      </c>
      <c r="J194" s="206" t="s">
        <v>1449</v>
      </c>
      <c r="K194" s="371" t="s">
        <v>2271</v>
      </c>
      <c r="L194" s="206" t="s">
        <v>2143</v>
      </c>
      <c r="M194" s="206" t="s">
        <v>1338</v>
      </c>
      <c r="N194" s="206" t="s">
        <v>59</v>
      </c>
      <c r="O194" s="372">
        <v>45975</v>
      </c>
      <c r="P194" s="372">
        <v>45975</v>
      </c>
      <c r="Q194" s="371" t="s">
        <v>2271</v>
      </c>
      <c r="R194" s="373">
        <v>26630</v>
      </c>
      <c r="S194" s="373">
        <v>26630</v>
      </c>
      <c r="T194" s="371" t="s">
        <v>2271</v>
      </c>
      <c r="U194" s="373">
        <v>12130</v>
      </c>
      <c r="V194" s="373">
        <v>12130</v>
      </c>
      <c r="W194" s="371" t="s">
        <v>2271</v>
      </c>
      <c r="X194" s="373">
        <v>14500</v>
      </c>
      <c r="Y194" s="373">
        <v>14500</v>
      </c>
      <c r="Z194" s="371" t="s">
        <v>2271</v>
      </c>
      <c r="AA194" s="373">
        <v>0</v>
      </c>
      <c r="AB194" s="373">
        <v>14430</v>
      </c>
      <c r="AC194" s="373">
        <v>14430</v>
      </c>
      <c r="AD194" s="371" t="s">
        <v>2271</v>
      </c>
      <c r="AE194" s="373">
        <v>0</v>
      </c>
      <c r="AF194" s="382">
        <v>0.58680555555555602</v>
      </c>
      <c r="AG194" s="382">
        <v>0.58680555555555602</v>
      </c>
      <c r="AH194" s="371" t="s">
        <v>2271</v>
      </c>
      <c r="AI194" s="382">
        <v>0.67291666666666705</v>
      </c>
      <c r="AJ194" s="382">
        <v>0.67291666666666705</v>
      </c>
      <c r="AK194" s="371" t="s">
        <v>2271</v>
      </c>
      <c r="AL194" s="206" t="s">
        <v>42</v>
      </c>
      <c r="AM194" s="206" t="s">
        <v>42</v>
      </c>
      <c r="AN194" s="371" t="s">
        <v>2271</v>
      </c>
      <c r="AO194" s="206" t="s">
        <v>2413</v>
      </c>
      <c r="AP194" s="206" t="s">
        <v>1782</v>
      </c>
      <c r="AQ194" s="206" t="s">
        <v>1132</v>
      </c>
      <c r="AR194" s="207" t="s">
        <v>75</v>
      </c>
    </row>
    <row r="195" spans="1:44" x14ac:dyDescent="0.2">
      <c r="A195" s="370">
        <v>176</v>
      </c>
      <c r="B195" s="380">
        <v>101</v>
      </c>
      <c r="C195" s="371" t="s">
        <v>2275</v>
      </c>
      <c r="D195" s="371" t="s">
        <v>2235</v>
      </c>
      <c r="E195" s="206"/>
      <c r="F195" s="206" t="s">
        <v>84</v>
      </c>
      <c r="G195" s="206" t="s">
        <v>84</v>
      </c>
      <c r="H195" s="371" t="s">
        <v>2271</v>
      </c>
      <c r="I195" s="206"/>
      <c r="J195" s="206" t="s">
        <v>1445</v>
      </c>
      <c r="K195" s="371" t="s">
        <v>2276</v>
      </c>
      <c r="L195" s="206" t="s">
        <v>2213</v>
      </c>
      <c r="M195" s="206" t="s">
        <v>1727</v>
      </c>
      <c r="N195" s="206" t="s">
        <v>49</v>
      </c>
      <c r="O195" s="372">
        <v>46116</v>
      </c>
      <c r="P195" s="372">
        <v>46116</v>
      </c>
      <c r="Q195" s="371" t="s">
        <v>2271</v>
      </c>
      <c r="R195" s="373">
        <v>26670</v>
      </c>
      <c r="S195" s="373">
        <v>26670</v>
      </c>
      <c r="T195" s="371" t="s">
        <v>2271</v>
      </c>
      <c r="U195" s="373">
        <v>12090</v>
      </c>
      <c r="V195" s="373">
        <v>12090</v>
      </c>
      <c r="W195" s="371" t="s">
        <v>2271</v>
      </c>
      <c r="X195" s="373">
        <v>14580</v>
      </c>
      <c r="Y195" s="373">
        <v>14580</v>
      </c>
      <c r="Z195" s="371" t="s">
        <v>2271</v>
      </c>
      <c r="AA195" s="373">
        <v>0</v>
      </c>
      <c r="AB195" s="373">
        <v>14280</v>
      </c>
      <c r="AC195" s="373">
        <v>14280</v>
      </c>
      <c r="AD195" s="371" t="s">
        <v>2271</v>
      </c>
      <c r="AE195" s="373">
        <v>0</v>
      </c>
      <c r="AF195" s="382">
        <v>0.688194444444444</v>
      </c>
      <c r="AG195" s="382">
        <v>0.688194444444444</v>
      </c>
      <c r="AH195" s="371" t="s">
        <v>2271</v>
      </c>
      <c r="AI195" s="382">
        <v>0.71527777777777801</v>
      </c>
      <c r="AJ195" s="382">
        <v>0.71527777777777801</v>
      </c>
      <c r="AK195" s="371" t="s">
        <v>2271</v>
      </c>
      <c r="AL195" s="206" t="s">
        <v>1221</v>
      </c>
      <c r="AM195" s="206" t="s">
        <v>1221</v>
      </c>
      <c r="AN195" s="371" t="s">
        <v>2271</v>
      </c>
      <c r="AO195" s="206" t="s">
        <v>2414</v>
      </c>
      <c r="AP195" s="206" t="s">
        <v>1397</v>
      </c>
      <c r="AQ195" s="206" t="s">
        <v>1132</v>
      </c>
      <c r="AR195" s="207" t="s">
        <v>68</v>
      </c>
    </row>
    <row r="196" spans="1:44" x14ac:dyDescent="0.2">
      <c r="A196" s="370">
        <v>177</v>
      </c>
      <c r="B196" s="380">
        <v>102</v>
      </c>
      <c r="C196" s="371" t="s">
        <v>2269</v>
      </c>
      <c r="D196" s="371" t="s">
        <v>2235</v>
      </c>
      <c r="E196" s="206"/>
      <c r="F196" s="206" t="s">
        <v>2140</v>
      </c>
      <c r="G196" s="206" t="s">
        <v>70</v>
      </c>
      <c r="H196" s="371" t="s">
        <v>2276</v>
      </c>
      <c r="I196" s="206" t="s">
        <v>1449</v>
      </c>
      <c r="J196" s="206" t="s">
        <v>1449</v>
      </c>
      <c r="K196" s="371" t="s">
        <v>2271</v>
      </c>
      <c r="L196" s="206" t="s">
        <v>2143</v>
      </c>
      <c r="M196" s="206" t="s">
        <v>1338</v>
      </c>
      <c r="N196" s="206" t="s">
        <v>59</v>
      </c>
      <c r="O196" s="372">
        <v>45975</v>
      </c>
      <c r="P196" s="372">
        <v>45975</v>
      </c>
      <c r="Q196" s="371" t="s">
        <v>2271</v>
      </c>
      <c r="R196" s="373">
        <v>45660</v>
      </c>
      <c r="S196" s="373">
        <v>45660</v>
      </c>
      <c r="T196" s="371" t="s">
        <v>2271</v>
      </c>
      <c r="U196" s="373">
        <v>17410</v>
      </c>
      <c r="V196" s="373">
        <v>17410</v>
      </c>
      <c r="W196" s="371" t="s">
        <v>2271</v>
      </c>
      <c r="X196" s="373">
        <v>28250</v>
      </c>
      <c r="Y196" s="373">
        <v>28250</v>
      </c>
      <c r="Z196" s="371" t="s">
        <v>2271</v>
      </c>
      <c r="AA196" s="373">
        <v>0</v>
      </c>
      <c r="AB196" s="373">
        <v>28140</v>
      </c>
      <c r="AC196" s="373">
        <v>28140</v>
      </c>
      <c r="AD196" s="371" t="s">
        <v>2271</v>
      </c>
      <c r="AE196" s="373">
        <v>0</v>
      </c>
      <c r="AF196" s="382">
        <v>0.59722222222222199</v>
      </c>
      <c r="AG196" s="382">
        <v>0.59722222222222199</v>
      </c>
      <c r="AH196" s="371" t="s">
        <v>2271</v>
      </c>
      <c r="AI196" s="382">
        <v>0.65208333333333302</v>
      </c>
      <c r="AJ196" s="382">
        <v>0.65208333333333302</v>
      </c>
      <c r="AK196" s="371" t="s">
        <v>2271</v>
      </c>
      <c r="AL196" s="206" t="s">
        <v>42</v>
      </c>
      <c r="AM196" s="206" t="s">
        <v>42</v>
      </c>
      <c r="AN196" s="371" t="s">
        <v>2271</v>
      </c>
      <c r="AO196" s="206" t="s">
        <v>2415</v>
      </c>
      <c r="AP196" s="206" t="s">
        <v>1499</v>
      </c>
      <c r="AQ196" s="206" t="s">
        <v>1133</v>
      </c>
      <c r="AR196" s="207" t="s">
        <v>75</v>
      </c>
    </row>
    <row r="197" spans="1:44" x14ac:dyDescent="0.2">
      <c r="A197" s="370">
        <v>178</v>
      </c>
      <c r="B197" s="380">
        <v>102</v>
      </c>
      <c r="C197" s="371" t="s">
        <v>2337</v>
      </c>
      <c r="D197" s="371" t="s">
        <v>2235</v>
      </c>
      <c r="E197" s="206"/>
      <c r="F197" s="206" t="s">
        <v>56</v>
      </c>
      <c r="G197" s="206" t="s">
        <v>56</v>
      </c>
      <c r="H197" s="371" t="s">
        <v>2271</v>
      </c>
      <c r="I197" s="206"/>
      <c r="J197" s="206" t="s">
        <v>1445</v>
      </c>
      <c r="K197" s="371" t="s">
        <v>2276</v>
      </c>
      <c r="L197" s="206" t="s">
        <v>2213</v>
      </c>
      <c r="M197" s="206" t="s">
        <v>1727</v>
      </c>
      <c r="N197" s="206" t="s">
        <v>49</v>
      </c>
      <c r="O197" s="372">
        <v>46177</v>
      </c>
      <c r="P197" s="372">
        <v>46118</v>
      </c>
      <c r="Q197" s="371" t="s">
        <v>2276</v>
      </c>
      <c r="R197" s="373">
        <v>24950</v>
      </c>
      <c r="S197" s="373">
        <v>24950</v>
      </c>
      <c r="T197" s="371" t="s">
        <v>2271</v>
      </c>
      <c r="U197" s="373">
        <v>10680</v>
      </c>
      <c r="V197" s="373">
        <v>10680</v>
      </c>
      <c r="W197" s="371" t="s">
        <v>2271</v>
      </c>
      <c r="X197" s="373">
        <v>14270</v>
      </c>
      <c r="Y197" s="373">
        <v>14270</v>
      </c>
      <c r="Z197" s="371" t="s">
        <v>2271</v>
      </c>
      <c r="AA197" s="373">
        <v>0</v>
      </c>
      <c r="AB197" s="373">
        <v>14240</v>
      </c>
      <c r="AC197" s="373">
        <v>14240</v>
      </c>
      <c r="AD197" s="371" t="s">
        <v>2271</v>
      </c>
      <c r="AE197" s="373">
        <v>0</v>
      </c>
      <c r="AF197" s="382">
        <v>0.59375</v>
      </c>
      <c r="AG197" s="382">
        <v>0.59375</v>
      </c>
      <c r="AH197" s="371" t="s">
        <v>2271</v>
      </c>
      <c r="AI197" s="382">
        <v>0.65208333333333302</v>
      </c>
      <c r="AJ197" s="382">
        <v>0.65208333333333302</v>
      </c>
      <c r="AK197" s="371" t="s">
        <v>2271</v>
      </c>
      <c r="AL197" s="206" t="s">
        <v>1221</v>
      </c>
      <c r="AM197" s="206" t="s">
        <v>1221</v>
      </c>
      <c r="AN197" s="371" t="s">
        <v>2271</v>
      </c>
      <c r="AO197" s="206" t="s">
        <v>2416</v>
      </c>
      <c r="AP197" s="206" t="s">
        <v>1781</v>
      </c>
      <c r="AQ197" s="206" t="s">
        <v>1132</v>
      </c>
      <c r="AR197" s="207" t="s">
        <v>68</v>
      </c>
    </row>
    <row r="198" spans="1:44" x14ac:dyDescent="0.2">
      <c r="A198" s="370">
        <v>179</v>
      </c>
      <c r="B198" s="380">
        <v>103</v>
      </c>
      <c r="C198" s="371" t="s">
        <v>2269</v>
      </c>
      <c r="D198" s="371" t="s">
        <v>2270</v>
      </c>
      <c r="E198" s="206"/>
      <c r="F198" s="206" t="s">
        <v>76</v>
      </c>
      <c r="G198" s="206" t="s">
        <v>76</v>
      </c>
      <c r="H198" s="371" t="s">
        <v>2271</v>
      </c>
      <c r="I198" s="206" t="s">
        <v>1449</v>
      </c>
      <c r="J198" s="206" t="s">
        <v>1449</v>
      </c>
      <c r="K198" s="371" t="s">
        <v>2271</v>
      </c>
      <c r="L198" s="206" t="s">
        <v>2143</v>
      </c>
      <c r="M198" s="206" t="s">
        <v>1338</v>
      </c>
      <c r="N198" s="206" t="s">
        <v>59</v>
      </c>
      <c r="O198" s="372">
        <v>45975</v>
      </c>
      <c r="P198" s="372">
        <v>45975</v>
      </c>
      <c r="Q198" s="371" t="s">
        <v>2271</v>
      </c>
      <c r="R198" s="373">
        <v>45800</v>
      </c>
      <c r="S198" s="373">
        <v>45800</v>
      </c>
      <c r="T198" s="371" t="s">
        <v>2271</v>
      </c>
      <c r="U198" s="373">
        <v>17520</v>
      </c>
      <c r="V198" s="373">
        <v>17520</v>
      </c>
      <c r="W198" s="371" t="s">
        <v>2271</v>
      </c>
      <c r="X198" s="373">
        <v>28280</v>
      </c>
      <c r="Y198" s="373">
        <v>28280</v>
      </c>
      <c r="Z198" s="371" t="s">
        <v>2271</v>
      </c>
      <c r="AA198" s="373">
        <v>0</v>
      </c>
      <c r="AB198" s="373">
        <v>28230</v>
      </c>
      <c r="AC198" s="373">
        <v>28230</v>
      </c>
      <c r="AD198" s="371" t="s">
        <v>2271</v>
      </c>
      <c r="AE198" s="373">
        <v>0</v>
      </c>
      <c r="AF198" s="382">
        <v>0.86111111111111105</v>
      </c>
      <c r="AG198" s="382">
        <v>0.86111111111111105</v>
      </c>
      <c r="AH198" s="371" t="s">
        <v>2271</v>
      </c>
      <c r="AI198" s="382">
        <v>0.91805555555555596</v>
      </c>
      <c r="AJ198" s="382">
        <v>0.91805555555555596</v>
      </c>
      <c r="AK198" s="371" t="s">
        <v>2271</v>
      </c>
      <c r="AL198" s="206" t="s">
        <v>42</v>
      </c>
      <c r="AM198" s="206" t="s">
        <v>42</v>
      </c>
      <c r="AN198" s="371" t="s">
        <v>2271</v>
      </c>
      <c r="AO198" s="206" t="s">
        <v>2417</v>
      </c>
      <c r="AP198" s="206" t="s">
        <v>1372</v>
      </c>
      <c r="AQ198" s="206" t="s">
        <v>1133</v>
      </c>
      <c r="AR198" s="207" t="s">
        <v>75</v>
      </c>
    </row>
    <row r="199" spans="1:44" x14ac:dyDescent="0.2">
      <c r="A199" s="370">
        <v>180</v>
      </c>
      <c r="B199" s="380">
        <v>103</v>
      </c>
      <c r="C199" s="371" t="s">
        <v>2337</v>
      </c>
      <c r="D199" s="371" t="s">
        <v>2235</v>
      </c>
      <c r="E199" s="206"/>
      <c r="F199" s="206" t="s">
        <v>84</v>
      </c>
      <c r="G199" s="206" t="s">
        <v>84</v>
      </c>
      <c r="H199" s="371" t="s">
        <v>2271</v>
      </c>
      <c r="I199" s="206"/>
      <c r="J199" s="206" t="s">
        <v>1445</v>
      </c>
      <c r="K199" s="371" t="s">
        <v>2276</v>
      </c>
      <c r="L199" s="206" t="s">
        <v>2213</v>
      </c>
      <c r="M199" s="206" t="s">
        <v>1727</v>
      </c>
      <c r="N199" s="206" t="s">
        <v>49</v>
      </c>
      <c r="O199" s="372">
        <v>46177</v>
      </c>
      <c r="P199" s="372">
        <v>46118</v>
      </c>
      <c r="Q199" s="371" t="s">
        <v>2276</v>
      </c>
      <c r="R199" s="373">
        <v>26760</v>
      </c>
      <c r="S199" s="373">
        <v>26760</v>
      </c>
      <c r="T199" s="371" t="s">
        <v>2271</v>
      </c>
      <c r="U199" s="373">
        <v>12160</v>
      </c>
      <c r="V199" s="373">
        <v>12160</v>
      </c>
      <c r="W199" s="371" t="s">
        <v>2271</v>
      </c>
      <c r="X199" s="373">
        <v>14600</v>
      </c>
      <c r="Y199" s="373">
        <v>14600</v>
      </c>
      <c r="Z199" s="371" t="s">
        <v>2271</v>
      </c>
      <c r="AA199" s="373">
        <v>0</v>
      </c>
      <c r="AB199" s="373">
        <v>14560</v>
      </c>
      <c r="AC199" s="373">
        <v>14560</v>
      </c>
      <c r="AD199" s="371" t="s">
        <v>2271</v>
      </c>
      <c r="AE199" s="373">
        <v>0</v>
      </c>
      <c r="AF199" s="382">
        <v>0.624305555555556</v>
      </c>
      <c r="AG199" s="382">
        <v>0.624305555555556</v>
      </c>
      <c r="AH199" s="371" t="s">
        <v>2271</v>
      </c>
      <c r="AI199" s="382">
        <v>0.68194444444444402</v>
      </c>
      <c r="AJ199" s="382">
        <v>0.68194444444444402</v>
      </c>
      <c r="AK199" s="371" t="s">
        <v>2271</v>
      </c>
      <c r="AL199" s="206" t="s">
        <v>1221</v>
      </c>
      <c r="AM199" s="206" t="s">
        <v>1221</v>
      </c>
      <c r="AN199" s="371" t="s">
        <v>2271</v>
      </c>
      <c r="AO199" s="206" t="s">
        <v>2418</v>
      </c>
      <c r="AP199" s="206" t="s">
        <v>1397</v>
      </c>
      <c r="AQ199" s="206" t="s">
        <v>1132</v>
      </c>
      <c r="AR199" s="207" t="s">
        <v>68</v>
      </c>
    </row>
    <row r="200" spans="1:44" x14ac:dyDescent="0.2">
      <c r="A200" s="370">
        <v>181</v>
      </c>
      <c r="B200" s="380">
        <v>104</v>
      </c>
      <c r="C200" s="371" t="s">
        <v>2269</v>
      </c>
      <c r="D200" s="371" t="s">
        <v>2235</v>
      </c>
      <c r="E200" s="206"/>
      <c r="F200" s="206" t="s">
        <v>2144</v>
      </c>
      <c r="G200" s="206" t="s">
        <v>46</v>
      </c>
      <c r="H200" s="371" t="s">
        <v>2276</v>
      </c>
      <c r="I200" s="206" t="s">
        <v>1449</v>
      </c>
      <c r="J200" s="206" t="s">
        <v>1449</v>
      </c>
      <c r="K200" s="371" t="s">
        <v>2271</v>
      </c>
      <c r="L200" s="206" t="s">
        <v>2143</v>
      </c>
      <c r="M200" s="206" t="s">
        <v>1338</v>
      </c>
      <c r="N200" s="206" t="s">
        <v>59</v>
      </c>
      <c r="O200" s="372">
        <v>45977</v>
      </c>
      <c r="P200" s="372">
        <v>45977</v>
      </c>
      <c r="Q200" s="371" t="s">
        <v>2271</v>
      </c>
      <c r="R200" s="373">
        <v>26510</v>
      </c>
      <c r="S200" s="373">
        <v>26510</v>
      </c>
      <c r="T200" s="371" t="s">
        <v>2271</v>
      </c>
      <c r="U200" s="373">
        <v>11720</v>
      </c>
      <c r="V200" s="373">
        <v>11720</v>
      </c>
      <c r="W200" s="371" t="s">
        <v>2271</v>
      </c>
      <c r="X200" s="373">
        <v>14790</v>
      </c>
      <c r="Y200" s="373">
        <v>14790</v>
      </c>
      <c r="Z200" s="371" t="s">
        <v>2271</v>
      </c>
      <c r="AA200" s="373">
        <v>0</v>
      </c>
      <c r="AB200" s="373">
        <v>14860</v>
      </c>
      <c r="AC200" s="373">
        <v>14860</v>
      </c>
      <c r="AD200" s="371" t="s">
        <v>2271</v>
      </c>
      <c r="AE200" s="373">
        <v>0</v>
      </c>
      <c r="AF200" s="382">
        <v>0.97291666666666698</v>
      </c>
      <c r="AG200" s="382">
        <v>0.97291666666666698</v>
      </c>
      <c r="AH200" s="371" t="s">
        <v>2271</v>
      </c>
      <c r="AI200" s="382">
        <v>2.36111111111111E-2</v>
      </c>
      <c r="AJ200" s="382">
        <v>2.36111111111111E-2</v>
      </c>
      <c r="AK200" s="371" t="s">
        <v>2271</v>
      </c>
      <c r="AL200" s="206" t="s">
        <v>42</v>
      </c>
      <c r="AM200" s="206" t="s">
        <v>42</v>
      </c>
      <c r="AN200" s="371" t="s">
        <v>2271</v>
      </c>
      <c r="AO200" s="206" t="s">
        <v>2419</v>
      </c>
      <c r="AP200" s="206" t="s">
        <v>1393</v>
      </c>
      <c r="AQ200" s="206" t="s">
        <v>1132</v>
      </c>
      <c r="AR200" s="207" t="s">
        <v>75</v>
      </c>
    </row>
    <row r="201" spans="1:44" x14ac:dyDescent="0.2">
      <c r="A201" s="370">
        <v>182</v>
      </c>
      <c r="B201" s="380">
        <v>104</v>
      </c>
      <c r="C201" s="371" t="s">
        <v>2337</v>
      </c>
      <c r="D201" s="371" t="s">
        <v>2235</v>
      </c>
      <c r="E201" s="206"/>
      <c r="F201" s="206" t="s">
        <v>70</v>
      </c>
      <c r="G201" s="206" t="s">
        <v>70</v>
      </c>
      <c r="H201" s="371" t="s">
        <v>2271</v>
      </c>
      <c r="I201" s="206"/>
      <c r="J201" s="206" t="s">
        <v>1445</v>
      </c>
      <c r="K201" s="371" t="s">
        <v>2276</v>
      </c>
      <c r="L201" s="206" t="s">
        <v>2213</v>
      </c>
      <c r="M201" s="206" t="s">
        <v>1727</v>
      </c>
      <c r="N201" s="206" t="s">
        <v>49</v>
      </c>
      <c r="O201" s="372">
        <v>46177</v>
      </c>
      <c r="P201" s="372">
        <v>46118</v>
      </c>
      <c r="Q201" s="371" t="s">
        <v>2276</v>
      </c>
      <c r="R201" s="373">
        <v>45800</v>
      </c>
      <c r="S201" s="373">
        <v>45800</v>
      </c>
      <c r="T201" s="371" t="s">
        <v>2271</v>
      </c>
      <c r="U201" s="373">
        <v>17350</v>
      </c>
      <c r="V201" s="373">
        <v>17350</v>
      </c>
      <c r="W201" s="371" t="s">
        <v>2271</v>
      </c>
      <c r="X201" s="373">
        <v>28450</v>
      </c>
      <c r="Y201" s="373">
        <v>28450</v>
      </c>
      <c r="Z201" s="371" t="s">
        <v>2271</v>
      </c>
      <c r="AA201" s="373">
        <v>0</v>
      </c>
      <c r="AB201" s="373">
        <v>28400</v>
      </c>
      <c r="AC201" s="373">
        <v>28400</v>
      </c>
      <c r="AD201" s="371" t="s">
        <v>2271</v>
      </c>
      <c r="AE201" s="373">
        <v>0</v>
      </c>
      <c r="AF201" s="382">
        <v>0.79583333333333295</v>
      </c>
      <c r="AG201" s="382">
        <v>0.79583333333333295</v>
      </c>
      <c r="AH201" s="371" t="s">
        <v>2271</v>
      </c>
      <c r="AI201" s="382">
        <v>0.83194444444444404</v>
      </c>
      <c r="AJ201" s="382">
        <v>0.83194444444444404</v>
      </c>
      <c r="AK201" s="371" t="s">
        <v>2271</v>
      </c>
      <c r="AL201" s="206" t="s">
        <v>137</v>
      </c>
      <c r="AM201" s="206" t="s">
        <v>137</v>
      </c>
      <c r="AN201" s="371" t="s">
        <v>2271</v>
      </c>
      <c r="AO201" s="206" t="s">
        <v>2420</v>
      </c>
      <c r="AP201" s="206" t="s">
        <v>1499</v>
      </c>
      <c r="AQ201" s="206" t="s">
        <v>1133</v>
      </c>
      <c r="AR201" s="207" t="s">
        <v>68</v>
      </c>
    </row>
    <row r="202" spans="1:44" x14ac:dyDescent="0.2">
      <c r="A202" s="370">
        <v>183</v>
      </c>
      <c r="B202" s="380">
        <v>105</v>
      </c>
      <c r="C202" s="371" t="s">
        <v>2269</v>
      </c>
      <c r="D202" s="371" t="s">
        <v>2270</v>
      </c>
      <c r="E202" s="206"/>
      <c r="F202" s="206" t="s">
        <v>76</v>
      </c>
      <c r="G202" s="206" t="s">
        <v>76</v>
      </c>
      <c r="H202" s="371" t="s">
        <v>2271</v>
      </c>
      <c r="I202" s="206" t="s">
        <v>1449</v>
      </c>
      <c r="J202" s="206" t="s">
        <v>1449</v>
      </c>
      <c r="K202" s="371" t="s">
        <v>2271</v>
      </c>
      <c r="L202" s="206" t="s">
        <v>2143</v>
      </c>
      <c r="M202" s="206" t="s">
        <v>1338</v>
      </c>
      <c r="N202" s="206" t="s">
        <v>59</v>
      </c>
      <c r="O202" s="372">
        <v>45977</v>
      </c>
      <c r="P202" s="372">
        <v>45977</v>
      </c>
      <c r="Q202" s="371" t="s">
        <v>2271</v>
      </c>
      <c r="R202" s="373">
        <v>45690</v>
      </c>
      <c r="S202" s="373">
        <v>45690</v>
      </c>
      <c r="T202" s="371" t="s">
        <v>2271</v>
      </c>
      <c r="U202" s="373">
        <v>17510</v>
      </c>
      <c r="V202" s="373">
        <v>17510</v>
      </c>
      <c r="W202" s="371" t="s">
        <v>2271</v>
      </c>
      <c r="X202" s="373">
        <v>28180</v>
      </c>
      <c r="Y202" s="373">
        <v>28180</v>
      </c>
      <c r="Z202" s="371" t="s">
        <v>2271</v>
      </c>
      <c r="AA202" s="373">
        <v>0</v>
      </c>
      <c r="AB202" s="373">
        <v>28280</v>
      </c>
      <c r="AC202" s="373">
        <v>28280</v>
      </c>
      <c r="AD202" s="371" t="s">
        <v>2271</v>
      </c>
      <c r="AE202" s="373">
        <v>0</v>
      </c>
      <c r="AF202" s="382">
        <v>0.98750000000000004</v>
      </c>
      <c r="AG202" s="382">
        <v>0.98750000000000004</v>
      </c>
      <c r="AH202" s="371" t="s">
        <v>2271</v>
      </c>
      <c r="AI202" s="382">
        <v>3.3333333333333298E-2</v>
      </c>
      <c r="AJ202" s="382">
        <v>3.3333333333333298E-2</v>
      </c>
      <c r="AK202" s="371" t="s">
        <v>2271</v>
      </c>
      <c r="AL202" s="206" t="s">
        <v>42</v>
      </c>
      <c r="AM202" s="206" t="s">
        <v>42</v>
      </c>
      <c r="AN202" s="371" t="s">
        <v>2271</v>
      </c>
      <c r="AO202" s="206" t="s">
        <v>2421</v>
      </c>
      <c r="AP202" s="206" t="s">
        <v>1372</v>
      </c>
      <c r="AQ202" s="206" t="s">
        <v>1133</v>
      </c>
      <c r="AR202" s="207" t="s">
        <v>75</v>
      </c>
    </row>
    <row r="203" spans="1:44" x14ac:dyDescent="0.2">
      <c r="A203" s="370">
        <v>184</v>
      </c>
      <c r="B203" s="380">
        <v>105</v>
      </c>
      <c r="C203" s="371" t="s">
        <v>2337</v>
      </c>
      <c r="D203" s="371" t="s">
        <v>2235</v>
      </c>
      <c r="E203" s="206"/>
      <c r="F203" s="206" t="s">
        <v>70</v>
      </c>
      <c r="G203" s="206" t="s">
        <v>70</v>
      </c>
      <c r="H203" s="371" t="s">
        <v>2271</v>
      </c>
      <c r="I203" s="206"/>
      <c r="J203" s="206" t="s">
        <v>1445</v>
      </c>
      <c r="K203" s="371" t="s">
        <v>2276</v>
      </c>
      <c r="L203" s="206" t="s">
        <v>2213</v>
      </c>
      <c r="M203" s="206" t="s">
        <v>1727</v>
      </c>
      <c r="N203" s="206" t="s">
        <v>49</v>
      </c>
      <c r="O203" s="372">
        <v>46207</v>
      </c>
      <c r="P203" s="372">
        <v>46119</v>
      </c>
      <c r="Q203" s="371" t="s">
        <v>2276</v>
      </c>
      <c r="R203" s="373">
        <v>45850</v>
      </c>
      <c r="S203" s="373">
        <v>45850</v>
      </c>
      <c r="T203" s="371" t="s">
        <v>2271</v>
      </c>
      <c r="U203" s="373">
        <v>17360</v>
      </c>
      <c r="V203" s="373">
        <v>17360</v>
      </c>
      <c r="W203" s="371" t="s">
        <v>2271</v>
      </c>
      <c r="X203" s="373">
        <v>28490</v>
      </c>
      <c r="Y203" s="373">
        <v>28490</v>
      </c>
      <c r="Z203" s="371" t="s">
        <v>2271</v>
      </c>
      <c r="AA203" s="373">
        <v>0</v>
      </c>
      <c r="AB203" s="373">
        <v>28530</v>
      </c>
      <c r="AC203" s="373">
        <v>28530</v>
      </c>
      <c r="AD203" s="371" t="s">
        <v>2271</v>
      </c>
      <c r="AE203" s="373">
        <v>0</v>
      </c>
      <c r="AF203" s="382">
        <v>0.454166666666667</v>
      </c>
      <c r="AG203" s="382">
        <v>0.454166666666667</v>
      </c>
      <c r="AH203" s="371" t="s">
        <v>2271</v>
      </c>
      <c r="AI203" s="382">
        <v>0.59513888888888899</v>
      </c>
      <c r="AJ203" s="382">
        <v>0.59513888888888899</v>
      </c>
      <c r="AK203" s="371" t="s">
        <v>2271</v>
      </c>
      <c r="AL203" s="206" t="s">
        <v>137</v>
      </c>
      <c r="AM203" s="206" t="s">
        <v>137</v>
      </c>
      <c r="AN203" s="371" t="s">
        <v>2271</v>
      </c>
      <c r="AO203" s="206" t="s">
        <v>2422</v>
      </c>
      <c r="AP203" s="206" t="s">
        <v>1499</v>
      </c>
      <c r="AQ203" s="206" t="s">
        <v>1133</v>
      </c>
      <c r="AR203" s="207" t="s">
        <v>68</v>
      </c>
    </row>
    <row r="204" spans="1:44" x14ac:dyDescent="0.2">
      <c r="A204" s="370">
        <v>185</v>
      </c>
      <c r="B204" s="380">
        <v>106</v>
      </c>
      <c r="C204" s="371" t="s">
        <v>2269</v>
      </c>
      <c r="D204" s="371" t="s">
        <v>2270</v>
      </c>
      <c r="E204" s="206"/>
      <c r="F204" s="206" t="s">
        <v>56</v>
      </c>
      <c r="G204" s="206" t="s">
        <v>56</v>
      </c>
      <c r="H204" s="371" t="s">
        <v>2271</v>
      </c>
      <c r="I204" s="206" t="s">
        <v>1449</v>
      </c>
      <c r="J204" s="206" t="s">
        <v>1449</v>
      </c>
      <c r="K204" s="371" t="s">
        <v>2271</v>
      </c>
      <c r="L204" s="206" t="s">
        <v>2143</v>
      </c>
      <c r="M204" s="206" t="s">
        <v>1338</v>
      </c>
      <c r="N204" s="206" t="s">
        <v>59</v>
      </c>
      <c r="O204" s="372">
        <v>45977</v>
      </c>
      <c r="P204" s="372">
        <v>45977</v>
      </c>
      <c r="Q204" s="371" t="s">
        <v>2271</v>
      </c>
      <c r="R204" s="373">
        <v>24990</v>
      </c>
      <c r="S204" s="373">
        <v>24990</v>
      </c>
      <c r="T204" s="371" t="s">
        <v>2271</v>
      </c>
      <c r="U204" s="373">
        <v>10900</v>
      </c>
      <c r="V204" s="373">
        <v>10900</v>
      </c>
      <c r="W204" s="371" t="s">
        <v>2271</v>
      </c>
      <c r="X204" s="373">
        <v>14090</v>
      </c>
      <c r="Y204" s="373">
        <v>14090</v>
      </c>
      <c r="Z204" s="371" t="s">
        <v>2271</v>
      </c>
      <c r="AA204" s="373">
        <v>0</v>
      </c>
      <c r="AB204" s="373">
        <v>14240</v>
      </c>
      <c r="AC204" s="373">
        <v>14240</v>
      </c>
      <c r="AD204" s="371" t="s">
        <v>2271</v>
      </c>
      <c r="AE204" s="373">
        <v>0</v>
      </c>
      <c r="AF204" s="382">
        <v>1.1111111111111099E-2</v>
      </c>
      <c r="AG204" s="382">
        <v>1.1111111111111099E-2</v>
      </c>
      <c r="AH204" s="371" t="s">
        <v>2271</v>
      </c>
      <c r="AI204" s="382">
        <v>7.7777777777777807E-2</v>
      </c>
      <c r="AJ204" s="382">
        <v>7.7777777777777807E-2</v>
      </c>
      <c r="AK204" s="371" t="s">
        <v>2271</v>
      </c>
      <c r="AL204" s="206" t="s">
        <v>42</v>
      </c>
      <c r="AM204" s="206" t="s">
        <v>42</v>
      </c>
      <c r="AN204" s="371" t="s">
        <v>2271</v>
      </c>
      <c r="AO204" s="206" t="s">
        <v>2423</v>
      </c>
      <c r="AP204" s="206" t="s">
        <v>1781</v>
      </c>
      <c r="AQ204" s="206" t="s">
        <v>1132</v>
      </c>
      <c r="AR204" s="207" t="s">
        <v>75</v>
      </c>
    </row>
    <row r="205" spans="1:44" x14ac:dyDescent="0.2">
      <c r="A205" s="370">
        <v>186</v>
      </c>
      <c r="B205" s="380">
        <v>106</v>
      </c>
      <c r="C205" s="371" t="s">
        <v>2337</v>
      </c>
      <c r="D205" s="371" t="s">
        <v>2235</v>
      </c>
      <c r="E205" s="206"/>
      <c r="F205" s="206" t="s">
        <v>56</v>
      </c>
      <c r="G205" s="206" t="s">
        <v>56</v>
      </c>
      <c r="H205" s="371" t="s">
        <v>2271</v>
      </c>
      <c r="I205" s="206"/>
      <c r="J205" s="206" t="s">
        <v>1445</v>
      </c>
      <c r="K205" s="371" t="s">
        <v>2276</v>
      </c>
      <c r="L205" s="206" t="s">
        <v>2213</v>
      </c>
      <c r="M205" s="206" t="s">
        <v>1727</v>
      </c>
      <c r="N205" s="206" t="s">
        <v>49</v>
      </c>
      <c r="O205" s="372">
        <v>46207</v>
      </c>
      <c r="P205" s="372">
        <v>46119</v>
      </c>
      <c r="Q205" s="371" t="s">
        <v>2276</v>
      </c>
      <c r="R205" s="373">
        <v>24910</v>
      </c>
      <c r="S205" s="373">
        <v>24910</v>
      </c>
      <c r="T205" s="371" t="s">
        <v>2271</v>
      </c>
      <c r="U205" s="373">
        <v>10610</v>
      </c>
      <c r="V205" s="373">
        <v>10610</v>
      </c>
      <c r="W205" s="371" t="s">
        <v>2271</v>
      </c>
      <c r="X205" s="373">
        <v>14300</v>
      </c>
      <c r="Y205" s="373">
        <v>14300</v>
      </c>
      <c r="Z205" s="371" t="s">
        <v>2271</v>
      </c>
      <c r="AA205" s="373">
        <v>0</v>
      </c>
      <c r="AB205" s="373">
        <v>14260</v>
      </c>
      <c r="AC205" s="373">
        <v>14260</v>
      </c>
      <c r="AD205" s="371" t="s">
        <v>2271</v>
      </c>
      <c r="AE205" s="373">
        <v>0</v>
      </c>
      <c r="AF205" s="382">
        <v>0.53749999999999998</v>
      </c>
      <c r="AG205" s="382">
        <v>0.53749999999999998</v>
      </c>
      <c r="AH205" s="371" t="s">
        <v>2271</v>
      </c>
      <c r="AI205" s="382">
        <v>0.60555555555555596</v>
      </c>
      <c r="AJ205" s="382">
        <v>0.60555555555555596</v>
      </c>
      <c r="AK205" s="371" t="s">
        <v>2271</v>
      </c>
      <c r="AL205" s="206" t="s">
        <v>137</v>
      </c>
      <c r="AM205" s="206" t="s">
        <v>137</v>
      </c>
      <c r="AN205" s="371" t="s">
        <v>2271</v>
      </c>
      <c r="AO205" s="206" t="s">
        <v>2424</v>
      </c>
      <c r="AP205" s="206" t="s">
        <v>1781</v>
      </c>
      <c r="AQ205" s="206" t="s">
        <v>1132</v>
      </c>
      <c r="AR205" s="207" t="s">
        <v>68</v>
      </c>
    </row>
    <row r="206" spans="1:44" x14ac:dyDescent="0.2">
      <c r="A206" s="370">
        <v>187</v>
      </c>
      <c r="B206" s="380">
        <v>107</v>
      </c>
      <c r="C206" s="371" t="s">
        <v>2269</v>
      </c>
      <c r="D206" s="371" t="s">
        <v>2270</v>
      </c>
      <c r="E206" s="206"/>
      <c r="F206" s="206" t="s">
        <v>84</v>
      </c>
      <c r="G206" s="206" t="s">
        <v>84</v>
      </c>
      <c r="H206" s="371" t="s">
        <v>2271</v>
      </c>
      <c r="I206" s="206" t="s">
        <v>1449</v>
      </c>
      <c r="J206" s="206" t="s">
        <v>1449</v>
      </c>
      <c r="K206" s="371" t="s">
        <v>2271</v>
      </c>
      <c r="L206" s="206" t="s">
        <v>2143</v>
      </c>
      <c r="M206" s="206" t="s">
        <v>1338</v>
      </c>
      <c r="N206" s="206" t="s">
        <v>59</v>
      </c>
      <c r="O206" s="372">
        <v>45977</v>
      </c>
      <c r="P206" s="372">
        <v>45977</v>
      </c>
      <c r="Q206" s="371" t="s">
        <v>2271</v>
      </c>
      <c r="R206" s="373">
        <v>26590</v>
      </c>
      <c r="S206" s="373">
        <v>26590</v>
      </c>
      <c r="T206" s="371" t="s">
        <v>2271</v>
      </c>
      <c r="U206" s="373">
        <v>12130</v>
      </c>
      <c r="V206" s="373">
        <v>12130</v>
      </c>
      <c r="W206" s="371" t="s">
        <v>2271</v>
      </c>
      <c r="X206" s="373">
        <v>14460</v>
      </c>
      <c r="Y206" s="373">
        <v>14460</v>
      </c>
      <c r="Z206" s="371" t="s">
        <v>2271</v>
      </c>
      <c r="AA206" s="373">
        <v>0</v>
      </c>
      <c r="AB206" s="373">
        <v>14520</v>
      </c>
      <c r="AC206" s="373">
        <v>14520</v>
      </c>
      <c r="AD206" s="371" t="s">
        <v>2271</v>
      </c>
      <c r="AE206" s="373">
        <v>0</v>
      </c>
      <c r="AF206" s="382">
        <v>2.0833333333333301E-2</v>
      </c>
      <c r="AG206" s="382">
        <v>2.0833333333333301E-2</v>
      </c>
      <c r="AH206" s="371" t="s">
        <v>2271</v>
      </c>
      <c r="AI206" s="382">
        <v>6.5972222222222196E-2</v>
      </c>
      <c r="AJ206" s="382">
        <v>6.5972222222222196E-2</v>
      </c>
      <c r="AK206" s="371" t="s">
        <v>2271</v>
      </c>
      <c r="AL206" s="206" t="s">
        <v>42</v>
      </c>
      <c r="AM206" s="206" t="s">
        <v>42</v>
      </c>
      <c r="AN206" s="371" t="s">
        <v>2271</v>
      </c>
      <c r="AO206" s="206" t="s">
        <v>2425</v>
      </c>
      <c r="AP206" s="206" t="s">
        <v>1782</v>
      </c>
      <c r="AQ206" s="206" t="s">
        <v>1132</v>
      </c>
      <c r="AR206" s="207" t="s">
        <v>75</v>
      </c>
    </row>
    <row r="207" spans="1:44" x14ac:dyDescent="0.2">
      <c r="A207" s="370">
        <v>188</v>
      </c>
      <c r="B207" s="380">
        <v>107</v>
      </c>
      <c r="C207" s="371" t="s">
        <v>2337</v>
      </c>
      <c r="D207" s="371" t="s">
        <v>2235</v>
      </c>
      <c r="E207" s="206"/>
      <c r="F207" s="206" t="s">
        <v>84</v>
      </c>
      <c r="G207" s="206" t="s">
        <v>84</v>
      </c>
      <c r="H207" s="371" t="s">
        <v>2271</v>
      </c>
      <c r="I207" s="206"/>
      <c r="J207" s="206" t="s">
        <v>1445</v>
      </c>
      <c r="K207" s="371" t="s">
        <v>2276</v>
      </c>
      <c r="L207" s="206" t="s">
        <v>2213</v>
      </c>
      <c r="M207" s="206" t="s">
        <v>1727</v>
      </c>
      <c r="N207" s="206" t="s">
        <v>49</v>
      </c>
      <c r="O207" s="372">
        <v>46207</v>
      </c>
      <c r="P207" s="372">
        <v>46119</v>
      </c>
      <c r="Q207" s="371" t="s">
        <v>2276</v>
      </c>
      <c r="R207" s="373">
        <v>26730</v>
      </c>
      <c r="S207" s="373">
        <v>26730</v>
      </c>
      <c r="T207" s="371" t="s">
        <v>2271</v>
      </c>
      <c r="U207" s="373">
        <v>12140</v>
      </c>
      <c r="V207" s="373">
        <v>12140</v>
      </c>
      <c r="W207" s="371" t="s">
        <v>2271</v>
      </c>
      <c r="X207" s="373">
        <v>14590</v>
      </c>
      <c r="Y207" s="373">
        <v>14590</v>
      </c>
      <c r="Z207" s="371" t="s">
        <v>2271</v>
      </c>
      <c r="AA207" s="373">
        <v>0</v>
      </c>
      <c r="AB207" s="373">
        <v>14560</v>
      </c>
      <c r="AC207" s="373">
        <v>14560</v>
      </c>
      <c r="AD207" s="371" t="s">
        <v>2271</v>
      </c>
      <c r="AE207" s="373">
        <v>0</v>
      </c>
      <c r="AF207" s="382">
        <v>0.55347222222222203</v>
      </c>
      <c r="AG207" s="382">
        <v>0.55347222222222203</v>
      </c>
      <c r="AH207" s="371" t="s">
        <v>2271</v>
      </c>
      <c r="AI207" s="382">
        <v>0.60763888888888895</v>
      </c>
      <c r="AJ207" s="382">
        <v>0.60763888888888895</v>
      </c>
      <c r="AK207" s="371" t="s">
        <v>2271</v>
      </c>
      <c r="AL207" s="206" t="s">
        <v>137</v>
      </c>
      <c r="AM207" s="206" t="s">
        <v>137</v>
      </c>
      <c r="AN207" s="371" t="s">
        <v>2271</v>
      </c>
      <c r="AO207" s="206" t="s">
        <v>2426</v>
      </c>
      <c r="AP207" s="206" t="s">
        <v>1397</v>
      </c>
      <c r="AQ207" s="206" t="s">
        <v>1132</v>
      </c>
      <c r="AR207" s="207" t="s">
        <v>68</v>
      </c>
    </row>
    <row r="208" spans="1:44" x14ac:dyDescent="0.2">
      <c r="A208" s="370">
        <v>189</v>
      </c>
      <c r="B208" s="380">
        <v>108</v>
      </c>
      <c r="C208" s="371" t="s">
        <v>2269</v>
      </c>
      <c r="D208" s="371" t="s">
        <v>2235</v>
      </c>
      <c r="E208" s="206"/>
      <c r="F208" s="206" t="s">
        <v>70</v>
      </c>
      <c r="G208" s="206" t="s">
        <v>70</v>
      </c>
      <c r="H208" s="371" t="s">
        <v>2271</v>
      </c>
      <c r="I208" s="206" t="s">
        <v>1449</v>
      </c>
      <c r="J208" s="206" t="s">
        <v>1449</v>
      </c>
      <c r="K208" s="371" t="s">
        <v>2271</v>
      </c>
      <c r="L208" s="206" t="s">
        <v>2143</v>
      </c>
      <c r="M208" s="206" t="s">
        <v>1338</v>
      </c>
      <c r="N208" s="206" t="s">
        <v>59</v>
      </c>
      <c r="O208" s="372">
        <v>45977</v>
      </c>
      <c r="P208" s="372">
        <v>45977</v>
      </c>
      <c r="Q208" s="371" t="s">
        <v>2271</v>
      </c>
      <c r="R208" s="373">
        <v>45420</v>
      </c>
      <c r="S208" s="373">
        <v>45420</v>
      </c>
      <c r="T208" s="371" t="s">
        <v>2271</v>
      </c>
      <c r="U208" s="373">
        <v>17410</v>
      </c>
      <c r="V208" s="373">
        <v>17410</v>
      </c>
      <c r="W208" s="371" t="s">
        <v>2271</v>
      </c>
      <c r="X208" s="373">
        <v>28010</v>
      </c>
      <c r="Y208" s="373">
        <v>28010</v>
      </c>
      <c r="Z208" s="371" t="s">
        <v>2271</v>
      </c>
      <c r="AA208" s="373">
        <v>0</v>
      </c>
      <c r="AB208" s="373">
        <v>28120</v>
      </c>
      <c r="AC208" s="373">
        <v>28120</v>
      </c>
      <c r="AD208" s="371" t="s">
        <v>2271</v>
      </c>
      <c r="AE208" s="373">
        <v>0</v>
      </c>
      <c r="AF208" s="382">
        <v>2.5694444444444402E-2</v>
      </c>
      <c r="AG208" s="382">
        <v>2.5694444444444402E-2</v>
      </c>
      <c r="AH208" s="371" t="s">
        <v>2271</v>
      </c>
      <c r="AI208" s="382">
        <v>6.8055555555555494E-2</v>
      </c>
      <c r="AJ208" s="382">
        <v>6.8055555555555605E-2</v>
      </c>
      <c r="AK208" s="371" t="s">
        <v>2276</v>
      </c>
      <c r="AL208" s="206" t="s">
        <v>42</v>
      </c>
      <c r="AM208" s="206" t="s">
        <v>42</v>
      </c>
      <c r="AN208" s="371" t="s">
        <v>2271</v>
      </c>
      <c r="AO208" s="206" t="s">
        <v>2427</v>
      </c>
      <c r="AP208" s="206" t="s">
        <v>1499</v>
      </c>
      <c r="AQ208" s="206" t="s">
        <v>1133</v>
      </c>
      <c r="AR208" s="207" t="s">
        <v>75</v>
      </c>
    </row>
    <row r="209" spans="1:44" x14ac:dyDescent="0.2">
      <c r="A209" s="370">
        <v>190</v>
      </c>
      <c r="B209" s="380">
        <v>108</v>
      </c>
      <c r="C209" s="371" t="s">
        <v>2337</v>
      </c>
      <c r="D209" s="371" t="s">
        <v>2235</v>
      </c>
      <c r="E209" s="206"/>
      <c r="F209" s="206" t="s">
        <v>70</v>
      </c>
      <c r="G209" s="206" t="s">
        <v>70</v>
      </c>
      <c r="H209" s="371" t="s">
        <v>2271</v>
      </c>
      <c r="I209" s="206"/>
      <c r="J209" s="206" t="s">
        <v>1445</v>
      </c>
      <c r="K209" s="371" t="s">
        <v>2276</v>
      </c>
      <c r="L209" s="206" t="s">
        <v>2213</v>
      </c>
      <c r="M209" s="206" t="s">
        <v>1727</v>
      </c>
      <c r="N209" s="206" t="s">
        <v>49</v>
      </c>
      <c r="O209" s="372">
        <v>46207</v>
      </c>
      <c r="P209" s="372">
        <v>46119</v>
      </c>
      <c r="Q209" s="371" t="s">
        <v>2276</v>
      </c>
      <c r="R209" s="373">
        <v>45760</v>
      </c>
      <c r="S209" s="373">
        <v>45760</v>
      </c>
      <c r="T209" s="371" t="s">
        <v>2271</v>
      </c>
      <c r="U209" s="373">
        <v>17290</v>
      </c>
      <c r="V209" s="373">
        <v>17290</v>
      </c>
      <c r="W209" s="371" t="s">
        <v>2271</v>
      </c>
      <c r="X209" s="373">
        <v>28470</v>
      </c>
      <c r="Y209" s="373">
        <v>28470</v>
      </c>
      <c r="Z209" s="371" t="s">
        <v>2271</v>
      </c>
      <c r="AA209" s="373">
        <v>0</v>
      </c>
      <c r="AB209" s="373">
        <v>28410</v>
      </c>
      <c r="AC209" s="373">
        <v>28410</v>
      </c>
      <c r="AD209" s="371" t="s">
        <v>2271</v>
      </c>
      <c r="AE209" s="373">
        <v>0</v>
      </c>
      <c r="AF209" s="382">
        <v>0.84027777777777801</v>
      </c>
      <c r="AG209" s="382">
        <v>0.84027777777777801</v>
      </c>
      <c r="AH209" s="371" t="s">
        <v>2271</v>
      </c>
      <c r="AI209" s="382">
        <v>0.87638888888888899</v>
      </c>
      <c r="AJ209" s="382">
        <v>0.87638888888888899</v>
      </c>
      <c r="AK209" s="371" t="s">
        <v>2271</v>
      </c>
      <c r="AL209" s="206" t="s">
        <v>1221</v>
      </c>
      <c r="AM209" s="206" t="s">
        <v>1221</v>
      </c>
      <c r="AN209" s="371" t="s">
        <v>2271</v>
      </c>
      <c r="AO209" s="206" t="s">
        <v>2428</v>
      </c>
      <c r="AP209" s="206" t="s">
        <v>1499</v>
      </c>
      <c r="AQ209" s="206" t="s">
        <v>1133</v>
      </c>
      <c r="AR209" s="207" t="s">
        <v>68</v>
      </c>
    </row>
    <row r="210" spans="1:44" x14ac:dyDescent="0.2">
      <c r="A210" s="370">
        <v>191</v>
      </c>
      <c r="B210" s="380">
        <v>109</v>
      </c>
      <c r="C210" s="371" t="s">
        <v>2269</v>
      </c>
      <c r="D210" s="371" t="s">
        <v>2270</v>
      </c>
      <c r="E210" s="206"/>
      <c r="F210" s="206" t="s">
        <v>56</v>
      </c>
      <c r="G210" s="206" t="s">
        <v>56</v>
      </c>
      <c r="H210" s="371" t="s">
        <v>2271</v>
      </c>
      <c r="I210" s="206" t="s">
        <v>1449</v>
      </c>
      <c r="J210" s="206" t="s">
        <v>1449</v>
      </c>
      <c r="K210" s="371" t="s">
        <v>2271</v>
      </c>
      <c r="L210" s="206" t="s">
        <v>2143</v>
      </c>
      <c r="M210" s="206" t="s">
        <v>1338</v>
      </c>
      <c r="N210" s="206" t="s">
        <v>59</v>
      </c>
      <c r="O210" s="372">
        <v>45977</v>
      </c>
      <c r="P210" s="372">
        <v>45977</v>
      </c>
      <c r="Q210" s="371" t="s">
        <v>2271</v>
      </c>
      <c r="R210" s="373">
        <v>24980</v>
      </c>
      <c r="S210" s="373">
        <v>24980</v>
      </c>
      <c r="T210" s="371" t="s">
        <v>2271</v>
      </c>
      <c r="U210" s="373">
        <v>10820</v>
      </c>
      <c r="V210" s="373">
        <v>10820</v>
      </c>
      <c r="W210" s="371" t="s">
        <v>2271</v>
      </c>
      <c r="X210" s="373">
        <v>14160</v>
      </c>
      <c r="Y210" s="373">
        <v>14160</v>
      </c>
      <c r="Z210" s="371" t="s">
        <v>2271</v>
      </c>
      <c r="AA210" s="373">
        <v>0</v>
      </c>
      <c r="AB210" s="373">
        <v>14140</v>
      </c>
      <c r="AC210" s="373">
        <v>14140</v>
      </c>
      <c r="AD210" s="371" t="s">
        <v>2271</v>
      </c>
      <c r="AE210" s="373">
        <v>0</v>
      </c>
      <c r="AF210" s="382">
        <v>0.56944444444444398</v>
      </c>
      <c r="AG210" s="382">
        <v>0.56944444444444398</v>
      </c>
      <c r="AH210" s="371" t="s">
        <v>2271</v>
      </c>
      <c r="AI210" s="382">
        <v>0.62777777777777799</v>
      </c>
      <c r="AJ210" s="382">
        <v>0.62777777777777799</v>
      </c>
      <c r="AK210" s="371" t="s">
        <v>2271</v>
      </c>
      <c r="AL210" s="206" t="s">
        <v>42</v>
      </c>
      <c r="AM210" s="206" t="s">
        <v>42</v>
      </c>
      <c r="AN210" s="371" t="s">
        <v>2271</v>
      </c>
      <c r="AO210" s="206" t="s">
        <v>2429</v>
      </c>
      <c r="AP210" s="206" t="s">
        <v>1781</v>
      </c>
      <c r="AQ210" s="206" t="s">
        <v>1132</v>
      </c>
      <c r="AR210" s="207" t="s">
        <v>75</v>
      </c>
    </row>
    <row r="211" spans="1:44" x14ac:dyDescent="0.2">
      <c r="A211" s="370">
        <v>192</v>
      </c>
      <c r="B211" s="380">
        <v>109</v>
      </c>
      <c r="C211" s="371" t="s">
        <v>2337</v>
      </c>
      <c r="D211" s="371" t="s">
        <v>2235</v>
      </c>
      <c r="E211" s="206"/>
      <c r="F211" s="206" t="s">
        <v>84</v>
      </c>
      <c r="G211" s="206" t="s">
        <v>84</v>
      </c>
      <c r="H211" s="371" t="s">
        <v>2271</v>
      </c>
      <c r="I211" s="206"/>
      <c r="J211" s="206" t="s">
        <v>1445</v>
      </c>
      <c r="K211" s="371" t="s">
        <v>2276</v>
      </c>
      <c r="L211" s="206" t="s">
        <v>2213</v>
      </c>
      <c r="M211" s="206" t="s">
        <v>1727</v>
      </c>
      <c r="N211" s="206" t="s">
        <v>49</v>
      </c>
      <c r="O211" s="372">
        <v>46207</v>
      </c>
      <c r="P211" s="372">
        <v>46119</v>
      </c>
      <c r="Q211" s="371" t="s">
        <v>2276</v>
      </c>
      <c r="R211" s="373">
        <v>26700</v>
      </c>
      <c r="S211" s="373">
        <v>26700</v>
      </c>
      <c r="T211" s="371" t="s">
        <v>2271</v>
      </c>
      <c r="U211" s="373">
        <v>12120</v>
      </c>
      <c r="V211" s="373">
        <v>12120</v>
      </c>
      <c r="W211" s="371" t="s">
        <v>2271</v>
      </c>
      <c r="X211" s="373">
        <v>14580</v>
      </c>
      <c r="Y211" s="373">
        <v>14580</v>
      </c>
      <c r="Z211" s="371" t="s">
        <v>2271</v>
      </c>
      <c r="AA211" s="373">
        <v>0</v>
      </c>
      <c r="AB211" s="373">
        <v>14550</v>
      </c>
      <c r="AC211" s="373">
        <v>14550</v>
      </c>
      <c r="AD211" s="371" t="s">
        <v>2271</v>
      </c>
      <c r="AE211" s="373">
        <v>0</v>
      </c>
      <c r="AF211" s="382">
        <v>0.84166666666666701</v>
      </c>
      <c r="AG211" s="382">
        <v>0.84166666666666701</v>
      </c>
      <c r="AH211" s="371" t="s">
        <v>2271</v>
      </c>
      <c r="AI211" s="382">
        <v>0.87777777777777799</v>
      </c>
      <c r="AJ211" s="382">
        <v>0.87777777777777799</v>
      </c>
      <c r="AK211" s="371" t="s">
        <v>2271</v>
      </c>
      <c r="AL211" s="206" t="s">
        <v>1221</v>
      </c>
      <c r="AM211" s="206" t="s">
        <v>1221</v>
      </c>
      <c r="AN211" s="371" t="s">
        <v>2271</v>
      </c>
      <c r="AO211" s="206" t="s">
        <v>2430</v>
      </c>
      <c r="AP211" s="206" t="s">
        <v>1397</v>
      </c>
      <c r="AQ211" s="206" t="s">
        <v>1132</v>
      </c>
      <c r="AR211" s="207" t="s">
        <v>68</v>
      </c>
    </row>
    <row r="212" spans="1:44" x14ac:dyDescent="0.2">
      <c r="A212" s="370">
        <v>193</v>
      </c>
      <c r="B212" s="380">
        <v>110</v>
      </c>
      <c r="C212" s="371" t="s">
        <v>2269</v>
      </c>
      <c r="D212" s="371" t="s">
        <v>2270</v>
      </c>
      <c r="E212" s="206"/>
      <c r="F212" s="206" t="s">
        <v>84</v>
      </c>
      <c r="G212" s="206" t="s">
        <v>84</v>
      </c>
      <c r="H212" s="371" t="s">
        <v>2271</v>
      </c>
      <c r="I212" s="206" t="s">
        <v>1449</v>
      </c>
      <c r="J212" s="206" t="s">
        <v>1449</v>
      </c>
      <c r="K212" s="371" t="s">
        <v>2271</v>
      </c>
      <c r="L212" s="206" t="s">
        <v>2143</v>
      </c>
      <c r="M212" s="206" t="s">
        <v>1338</v>
      </c>
      <c r="N212" s="206" t="s">
        <v>59</v>
      </c>
      <c r="O212" s="372">
        <v>45977</v>
      </c>
      <c r="P212" s="372">
        <v>45977</v>
      </c>
      <c r="Q212" s="371" t="s">
        <v>2271</v>
      </c>
      <c r="R212" s="373">
        <v>26550</v>
      </c>
      <c r="S212" s="373">
        <v>26550</v>
      </c>
      <c r="T212" s="371" t="s">
        <v>2271</v>
      </c>
      <c r="U212" s="373">
        <v>12060</v>
      </c>
      <c r="V212" s="373">
        <v>12060</v>
      </c>
      <c r="W212" s="371" t="s">
        <v>2271</v>
      </c>
      <c r="X212" s="373">
        <v>14490</v>
      </c>
      <c r="Y212" s="373">
        <v>14490</v>
      </c>
      <c r="Z212" s="371" t="s">
        <v>2271</v>
      </c>
      <c r="AA212" s="373">
        <v>0</v>
      </c>
      <c r="AB212" s="373">
        <v>14480</v>
      </c>
      <c r="AC212" s="373">
        <v>14480</v>
      </c>
      <c r="AD212" s="371" t="s">
        <v>2271</v>
      </c>
      <c r="AE212" s="373">
        <v>0</v>
      </c>
      <c r="AF212" s="382">
        <v>0.57083333333333297</v>
      </c>
      <c r="AG212" s="382">
        <v>0.57083333333333297</v>
      </c>
      <c r="AH212" s="371" t="s">
        <v>2271</v>
      </c>
      <c r="AI212" s="382">
        <v>0.63749999999999996</v>
      </c>
      <c r="AJ212" s="382">
        <v>0.63749999999999996</v>
      </c>
      <c r="AK212" s="371" t="s">
        <v>2271</v>
      </c>
      <c r="AL212" s="206" t="s">
        <v>42</v>
      </c>
      <c r="AM212" s="206" t="s">
        <v>42</v>
      </c>
      <c r="AN212" s="371" t="s">
        <v>2271</v>
      </c>
      <c r="AO212" s="206" t="s">
        <v>2431</v>
      </c>
      <c r="AP212" s="206" t="s">
        <v>1782</v>
      </c>
      <c r="AQ212" s="206" t="s">
        <v>1132</v>
      </c>
      <c r="AR212" s="207" t="s">
        <v>75</v>
      </c>
    </row>
    <row r="213" spans="1:44" x14ac:dyDescent="0.2">
      <c r="A213" s="370">
        <v>194</v>
      </c>
      <c r="B213" s="380">
        <v>110</v>
      </c>
      <c r="C213" s="371" t="s">
        <v>2337</v>
      </c>
      <c r="D213" s="371" t="s">
        <v>2235</v>
      </c>
      <c r="E213" s="206"/>
      <c r="F213" s="206" t="s">
        <v>215</v>
      </c>
      <c r="G213" s="206" t="s">
        <v>215</v>
      </c>
      <c r="H213" s="371" t="s">
        <v>2271</v>
      </c>
      <c r="I213" s="206"/>
      <c r="J213" s="206" t="s">
        <v>1447</v>
      </c>
      <c r="K213" s="371" t="s">
        <v>2276</v>
      </c>
      <c r="L213" s="206" t="s">
        <v>2216</v>
      </c>
      <c r="M213" s="206" t="s">
        <v>1728</v>
      </c>
      <c r="N213" s="206" t="s">
        <v>49</v>
      </c>
      <c r="O213" s="372">
        <v>46238</v>
      </c>
      <c r="P213" s="372">
        <v>46120</v>
      </c>
      <c r="Q213" s="371" t="s">
        <v>2276</v>
      </c>
      <c r="R213" s="373">
        <v>12840</v>
      </c>
      <c r="S213" s="373">
        <v>12840</v>
      </c>
      <c r="T213" s="371" t="s">
        <v>2271</v>
      </c>
      <c r="U213" s="373">
        <v>3980</v>
      </c>
      <c r="V213" s="373">
        <v>3980</v>
      </c>
      <c r="W213" s="371" t="s">
        <v>2271</v>
      </c>
      <c r="X213" s="373">
        <v>8860</v>
      </c>
      <c r="Y213" s="373">
        <v>8860</v>
      </c>
      <c r="Z213" s="371" t="s">
        <v>2271</v>
      </c>
      <c r="AA213" s="373">
        <v>0</v>
      </c>
      <c r="AB213" s="373">
        <v>8820</v>
      </c>
      <c r="AC213" s="373">
        <v>8820</v>
      </c>
      <c r="AD213" s="371" t="s">
        <v>2271</v>
      </c>
      <c r="AE213" s="373">
        <v>0</v>
      </c>
      <c r="AF213" s="382">
        <v>0.47916666666666702</v>
      </c>
      <c r="AG213" s="382"/>
      <c r="AH213" s="371" t="s">
        <v>2276</v>
      </c>
      <c r="AI213" s="382">
        <v>0.54513888888888895</v>
      </c>
      <c r="AJ213" s="382"/>
      <c r="AK213" s="371" t="s">
        <v>2276</v>
      </c>
      <c r="AL213" s="206" t="s">
        <v>1221</v>
      </c>
      <c r="AM213" s="206"/>
      <c r="AN213" s="371" t="s">
        <v>2276</v>
      </c>
      <c r="AO213" s="206" t="s">
        <v>2432</v>
      </c>
      <c r="AP213" s="206"/>
      <c r="AQ213" s="206" t="s">
        <v>1131</v>
      </c>
      <c r="AR213" s="207" t="s">
        <v>68</v>
      </c>
    </row>
    <row r="214" spans="1:44" x14ac:dyDescent="0.2">
      <c r="A214" s="370">
        <v>195</v>
      </c>
      <c r="B214" s="380">
        <v>111</v>
      </c>
      <c r="C214" s="371" t="s">
        <v>2269</v>
      </c>
      <c r="D214" s="371" t="s">
        <v>2270</v>
      </c>
      <c r="E214" s="206"/>
      <c r="F214" s="206" t="s">
        <v>46</v>
      </c>
      <c r="G214" s="206" t="s">
        <v>46</v>
      </c>
      <c r="H214" s="371" t="s">
        <v>2271</v>
      </c>
      <c r="I214" s="206" t="s">
        <v>1449</v>
      </c>
      <c r="J214" s="206" t="s">
        <v>1449</v>
      </c>
      <c r="K214" s="371" t="s">
        <v>2271</v>
      </c>
      <c r="L214" s="206" t="s">
        <v>2143</v>
      </c>
      <c r="M214" s="206" t="s">
        <v>1338</v>
      </c>
      <c r="N214" s="206" t="s">
        <v>59</v>
      </c>
      <c r="O214" s="372">
        <v>45977</v>
      </c>
      <c r="P214" s="372">
        <v>45977</v>
      </c>
      <c r="Q214" s="371" t="s">
        <v>2271</v>
      </c>
      <c r="R214" s="373">
        <v>26440</v>
      </c>
      <c r="S214" s="373">
        <v>26440</v>
      </c>
      <c r="T214" s="371" t="s">
        <v>2271</v>
      </c>
      <c r="U214" s="373">
        <v>11660</v>
      </c>
      <c r="V214" s="373">
        <v>11660</v>
      </c>
      <c r="W214" s="371" t="s">
        <v>2271</v>
      </c>
      <c r="X214" s="373">
        <v>14780</v>
      </c>
      <c r="Y214" s="373">
        <v>14780</v>
      </c>
      <c r="Z214" s="371" t="s">
        <v>2271</v>
      </c>
      <c r="AA214" s="373">
        <v>0</v>
      </c>
      <c r="AB214" s="373">
        <v>14800</v>
      </c>
      <c r="AC214" s="373">
        <v>14800</v>
      </c>
      <c r="AD214" s="371" t="s">
        <v>2271</v>
      </c>
      <c r="AE214" s="373">
        <v>0</v>
      </c>
      <c r="AF214" s="382">
        <v>0.57152777777777797</v>
      </c>
      <c r="AG214" s="382">
        <v>0.57152777777777797</v>
      </c>
      <c r="AH214" s="371" t="s">
        <v>2271</v>
      </c>
      <c r="AI214" s="382">
        <v>0.66666666666666696</v>
      </c>
      <c r="AJ214" s="382">
        <v>0.66666666666666696</v>
      </c>
      <c r="AK214" s="371" t="s">
        <v>2271</v>
      </c>
      <c r="AL214" s="206" t="s">
        <v>42</v>
      </c>
      <c r="AM214" s="206" t="s">
        <v>42</v>
      </c>
      <c r="AN214" s="371" t="s">
        <v>2271</v>
      </c>
      <c r="AO214" s="206" t="s">
        <v>2433</v>
      </c>
      <c r="AP214" s="206" t="s">
        <v>1393</v>
      </c>
      <c r="AQ214" s="206" t="s">
        <v>1132</v>
      </c>
      <c r="AR214" s="207" t="s">
        <v>75</v>
      </c>
    </row>
    <row r="215" spans="1:44" x14ac:dyDescent="0.2">
      <c r="A215" s="370">
        <v>196</v>
      </c>
      <c r="B215" s="380">
        <v>111</v>
      </c>
      <c r="C215" s="371" t="s">
        <v>2337</v>
      </c>
      <c r="D215" s="371" t="s">
        <v>2235</v>
      </c>
      <c r="E215" s="206"/>
      <c r="F215" s="206" t="s">
        <v>1265</v>
      </c>
      <c r="G215" s="206" t="s">
        <v>1265</v>
      </c>
      <c r="H215" s="371" t="s">
        <v>2271</v>
      </c>
      <c r="I215" s="206"/>
      <c r="J215" s="206" t="s">
        <v>1447</v>
      </c>
      <c r="K215" s="371" t="s">
        <v>2276</v>
      </c>
      <c r="L215" s="206" t="s">
        <v>2216</v>
      </c>
      <c r="M215" s="206" t="s">
        <v>1728</v>
      </c>
      <c r="N215" s="206" t="s">
        <v>49</v>
      </c>
      <c r="O215" s="372">
        <v>46238</v>
      </c>
      <c r="P215" s="372">
        <v>46120</v>
      </c>
      <c r="Q215" s="371" t="s">
        <v>2276</v>
      </c>
      <c r="R215" s="373">
        <v>26830</v>
      </c>
      <c r="S215" s="373">
        <v>26830</v>
      </c>
      <c r="T215" s="371" t="s">
        <v>2271</v>
      </c>
      <c r="U215" s="373">
        <v>8270</v>
      </c>
      <c r="V215" s="373">
        <v>8270</v>
      </c>
      <c r="W215" s="371" t="s">
        <v>2271</v>
      </c>
      <c r="X215" s="373">
        <v>18560</v>
      </c>
      <c r="Y215" s="373">
        <v>18560</v>
      </c>
      <c r="Z215" s="371" t="s">
        <v>2271</v>
      </c>
      <c r="AA215" s="373">
        <v>0</v>
      </c>
      <c r="AB215" s="373">
        <v>18500</v>
      </c>
      <c r="AC215" s="373">
        <v>18500</v>
      </c>
      <c r="AD215" s="371" t="s">
        <v>2271</v>
      </c>
      <c r="AE215" s="373">
        <v>0</v>
      </c>
      <c r="AF215" s="382">
        <v>0.49652777777777801</v>
      </c>
      <c r="AG215" s="382"/>
      <c r="AH215" s="371" t="s">
        <v>2276</v>
      </c>
      <c r="AI215" s="382">
        <v>0.55000000000000004</v>
      </c>
      <c r="AJ215" s="382"/>
      <c r="AK215" s="371" t="s">
        <v>2276</v>
      </c>
      <c r="AL215" s="206" t="s">
        <v>1221</v>
      </c>
      <c r="AM215" s="206"/>
      <c r="AN215" s="371" t="s">
        <v>2276</v>
      </c>
      <c r="AO215" s="206" t="s">
        <v>2434</v>
      </c>
      <c r="AP215" s="206"/>
      <c r="AQ215" s="206" t="s">
        <v>1133</v>
      </c>
      <c r="AR215" s="207" t="s">
        <v>68</v>
      </c>
    </row>
    <row r="216" spans="1:44" x14ac:dyDescent="0.2">
      <c r="A216" s="370">
        <v>197</v>
      </c>
      <c r="B216" s="380">
        <v>112</v>
      </c>
      <c r="C216" s="371" t="s">
        <v>2269</v>
      </c>
      <c r="D216" s="371" t="s">
        <v>2270</v>
      </c>
      <c r="E216" s="206"/>
      <c r="F216" s="206" t="s">
        <v>76</v>
      </c>
      <c r="G216" s="206" t="s">
        <v>76</v>
      </c>
      <c r="H216" s="371" t="s">
        <v>2271</v>
      </c>
      <c r="I216" s="206" t="s">
        <v>1449</v>
      </c>
      <c r="J216" s="206" t="s">
        <v>1449</v>
      </c>
      <c r="K216" s="371" t="s">
        <v>2271</v>
      </c>
      <c r="L216" s="206" t="s">
        <v>2143</v>
      </c>
      <c r="M216" s="206" t="s">
        <v>1338</v>
      </c>
      <c r="N216" s="206" t="s">
        <v>59</v>
      </c>
      <c r="O216" s="372">
        <v>45977</v>
      </c>
      <c r="P216" s="372">
        <v>45977</v>
      </c>
      <c r="Q216" s="371" t="s">
        <v>2271</v>
      </c>
      <c r="R216" s="373">
        <v>45520</v>
      </c>
      <c r="S216" s="373">
        <v>45520</v>
      </c>
      <c r="T216" s="371" t="s">
        <v>2271</v>
      </c>
      <c r="U216" s="373">
        <v>17430</v>
      </c>
      <c r="V216" s="373">
        <v>17430</v>
      </c>
      <c r="W216" s="371" t="s">
        <v>2271</v>
      </c>
      <c r="X216" s="373">
        <v>28090</v>
      </c>
      <c r="Y216" s="373">
        <v>28090</v>
      </c>
      <c r="Z216" s="371" t="s">
        <v>2271</v>
      </c>
      <c r="AA216" s="373">
        <v>0</v>
      </c>
      <c r="AB216" s="373">
        <v>28140</v>
      </c>
      <c r="AC216" s="373">
        <v>28140</v>
      </c>
      <c r="AD216" s="371" t="s">
        <v>2271</v>
      </c>
      <c r="AE216" s="373">
        <v>0</v>
      </c>
      <c r="AF216" s="382">
        <v>0.58263888888888904</v>
      </c>
      <c r="AG216" s="382">
        <v>0.58263888888888904</v>
      </c>
      <c r="AH216" s="371" t="s">
        <v>2271</v>
      </c>
      <c r="AI216" s="382">
        <v>0.62361111111111101</v>
      </c>
      <c r="AJ216" s="382">
        <v>0.62361111111111101</v>
      </c>
      <c r="AK216" s="371" t="s">
        <v>2271</v>
      </c>
      <c r="AL216" s="206" t="s">
        <v>42</v>
      </c>
      <c r="AM216" s="206" t="s">
        <v>42</v>
      </c>
      <c r="AN216" s="371" t="s">
        <v>2271</v>
      </c>
      <c r="AO216" s="206" t="s">
        <v>2435</v>
      </c>
      <c r="AP216" s="206" t="s">
        <v>1372</v>
      </c>
      <c r="AQ216" s="206" t="s">
        <v>1133</v>
      </c>
      <c r="AR216" s="207" t="s">
        <v>75</v>
      </c>
    </row>
    <row r="217" spans="1:44" x14ac:dyDescent="0.2">
      <c r="A217" s="370">
        <v>198</v>
      </c>
      <c r="B217" s="380">
        <v>112</v>
      </c>
      <c r="C217" s="371" t="s">
        <v>2337</v>
      </c>
      <c r="D217" s="371" t="s">
        <v>2235</v>
      </c>
      <c r="E217" s="206"/>
      <c r="F217" s="206" t="s">
        <v>211</v>
      </c>
      <c r="G217" s="206" t="s">
        <v>211</v>
      </c>
      <c r="H217" s="371" t="s">
        <v>2271</v>
      </c>
      <c r="I217" s="206"/>
      <c r="J217" s="206" t="s">
        <v>1447</v>
      </c>
      <c r="K217" s="371" t="s">
        <v>2276</v>
      </c>
      <c r="L217" s="206" t="s">
        <v>2216</v>
      </c>
      <c r="M217" s="206" t="s">
        <v>1728</v>
      </c>
      <c r="N217" s="206" t="s">
        <v>49</v>
      </c>
      <c r="O217" s="372">
        <v>46238</v>
      </c>
      <c r="P217" s="372">
        <v>46120</v>
      </c>
      <c r="Q217" s="371" t="s">
        <v>2276</v>
      </c>
      <c r="R217" s="373">
        <v>12980</v>
      </c>
      <c r="S217" s="373">
        <v>12980</v>
      </c>
      <c r="T217" s="371" t="s">
        <v>2271</v>
      </c>
      <c r="U217" s="373">
        <v>3950</v>
      </c>
      <c r="V217" s="373">
        <v>3950</v>
      </c>
      <c r="W217" s="371" t="s">
        <v>2271</v>
      </c>
      <c r="X217" s="373">
        <v>9030</v>
      </c>
      <c r="Y217" s="373">
        <v>9030</v>
      </c>
      <c r="Z217" s="371" t="s">
        <v>2271</v>
      </c>
      <c r="AA217" s="373">
        <v>0</v>
      </c>
      <c r="AB217" s="373">
        <v>8990</v>
      </c>
      <c r="AC217" s="373">
        <v>8990</v>
      </c>
      <c r="AD217" s="371" t="s">
        <v>2271</v>
      </c>
      <c r="AE217" s="373">
        <v>0</v>
      </c>
      <c r="AF217" s="382">
        <v>0.49722222222222201</v>
      </c>
      <c r="AG217" s="382"/>
      <c r="AH217" s="371" t="s">
        <v>2276</v>
      </c>
      <c r="AI217" s="382">
        <v>0.54791666666666705</v>
      </c>
      <c r="AJ217" s="382"/>
      <c r="AK217" s="371" t="s">
        <v>2276</v>
      </c>
      <c r="AL217" s="206" t="s">
        <v>1221</v>
      </c>
      <c r="AM217" s="206"/>
      <c r="AN217" s="371" t="s">
        <v>2276</v>
      </c>
      <c r="AO217" s="206" t="s">
        <v>2436</v>
      </c>
      <c r="AP217" s="206"/>
      <c r="AQ217" s="206" t="s">
        <v>1131</v>
      </c>
      <c r="AR217" s="207" t="s">
        <v>68</v>
      </c>
    </row>
    <row r="218" spans="1:44" x14ac:dyDescent="0.2">
      <c r="A218" s="370">
        <v>199</v>
      </c>
      <c r="B218" s="380">
        <v>113</v>
      </c>
      <c r="C218" s="371" t="s">
        <v>2269</v>
      </c>
      <c r="D218" s="371" t="s">
        <v>2270</v>
      </c>
      <c r="E218" s="206"/>
      <c r="F218" s="206" t="s">
        <v>70</v>
      </c>
      <c r="G218" s="206" t="s">
        <v>70</v>
      </c>
      <c r="H218" s="371" t="s">
        <v>2271</v>
      </c>
      <c r="I218" s="206" t="s">
        <v>1449</v>
      </c>
      <c r="J218" s="206" t="s">
        <v>1449</v>
      </c>
      <c r="K218" s="371" t="s">
        <v>2271</v>
      </c>
      <c r="L218" s="206" t="s">
        <v>2143</v>
      </c>
      <c r="M218" s="206" t="s">
        <v>1338</v>
      </c>
      <c r="N218" s="206" t="s">
        <v>59</v>
      </c>
      <c r="O218" s="372">
        <v>45977</v>
      </c>
      <c r="P218" s="372">
        <v>45977</v>
      </c>
      <c r="Q218" s="371" t="s">
        <v>2271</v>
      </c>
      <c r="R218" s="373">
        <v>45680</v>
      </c>
      <c r="S218" s="373">
        <v>45680</v>
      </c>
      <c r="T218" s="371" t="s">
        <v>2271</v>
      </c>
      <c r="U218" s="373">
        <v>17600</v>
      </c>
      <c r="V218" s="373">
        <v>17600</v>
      </c>
      <c r="W218" s="371" t="s">
        <v>2271</v>
      </c>
      <c r="X218" s="373">
        <v>28080</v>
      </c>
      <c r="Y218" s="373">
        <v>28080</v>
      </c>
      <c r="Z218" s="371" t="s">
        <v>2271</v>
      </c>
      <c r="AA218" s="373">
        <v>0</v>
      </c>
      <c r="AB218" s="373">
        <v>28100</v>
      </c>
      <c r="AC218" s="373">
        <v>28100</v>
      </c>
      <c r="AD218" s="371" t="s">
        <v>2271</v>
      </c>
      <c r="AE218" s="373">
        <v>0</v>
      </c>
      <c r="AF218" s="382">
        <v>0.62013888888888902</v>
      </c>
      <c r="AG218" s="382">
        <v>0.62013888888888902</v>
      </c>
      <c r="AH218" s="371" t="s">
        <v>2271</v>
      </c>
      <c r="AI218" s="382">
        <v>0.66249999999999998</v>
      </c>
      <c r="AJ218" s="382">
        <v>0.66249999999999998</v>
      </c>
      <c r="AK218" s="371" t="s">
        <v>2271</v>
      </c>
      <c r="AL218" s="206" t="s">
        <v>42</v>
      </c>
      <c r="AM218" s="206" t="s">
        <v>42</v>
      </c>
      <c r="AN218" s="371" t="s">
        <v>2271</v>
      </c>
      <c r="AO218" s="206" t="s">
        <v>2437</v>
      </c>
      <c r="AP218" s="206" t="s">
        <v>1499</v>
      </c>
      <c r="AQ218" s="206" t="s">
        <v>1133</v>
      </c>
      <c r="AR218" s="207" t="s">
        <v>75</v>
      </c>
    </row>
    <row r="219" spans="1:44" x14ac:dyDescent="0.2">
      <c r="A219" s="370">
        <v>200</v>
      </c>
      <c r="B219" s="380">
        <v>113</v>
      </c>
      <c r="C219" s="371" t="s">
        <v>2337</v>
      </c>
      <c r="D219" s="371" t="s">
        <v>2235</v>
      </c>
      <c r="E219" s="206"/>
      <c r="F219" s="206" t="s">
        <v>156</v>
      </c>
      <c r="G219" s="206" t="s">
        <v>156</v>
      </c>
      <c r="H219" s="371" t="s">
        <v>2271</v>
      </c>
      <c r="I219" s="206"/>
      <c r="J219" s="206" t="s">
        <v>1447</v>
      </c>
      <c r="K219" s="371" t="s">
        <v>2276</v>
      </c>
      <c r="L219" s="206" t="s">
        <v>2216</v>
      </c>
      <c r="M219" s="206" t="s">
        <v>1728</v>
      </c>
      <c r="N219" s="206" t="s">
        <v>49</v>
      </c>
      <c r="O219" s="372">
        <v>46238</v>
      </c>
      <c r="P219" s="372">
        <v>46120</v>
      </c>
      <c r="Q219" s="371" t="s">
        <v>2276</v>
      </c>
      <c r="R219" s="373">
        <v>14040</v>
      </c>
      <c r="S219" s="373">
        <v>14040</v>
      </c>
      <c r="T219" s="371" t="s">
        <v>2271</v>
      </c>
      <c r="U219" s="373">
        <v>4110</v>
      </c>
      <c r="V219" s="373">
        <v>4110</v>
      </c>
      <c r="W219" s="371" t="s">
        <v>2271</v>
      </c>
      <c r="X219" s="373">
        <v>9930</v>
      </c>
      <c r="Y219" s="373">
        <v>9930</v>
      </c>
      <c r="Z219" s="371" t="s">
        <v>2271</v>
      </c>
      <c r="AA219" s="373">
        <v>0</v>
      </c>
      <c r="AB219" s="373">
        <v>9880</v>
      </c>
      <c r="AC219" s="373">
        <v>9880</v>
      </c>
      <c r="AD219" s="371" t="s">
        <v>2271</v>
      </c>
      <c r="AE219" s="373">
        <v>0</v>
      </c>
      <c r="AF219" s="382">
        <v>0.55277777777777803</v>
      </c>
      <c r="AG219" s="382"/>
      <c r="AH219" s="371" t="s">
        <v>2276</v>
      </c>
      <c r="AI219" s="382">
        <v>0.58055555555555605</v>
      </c>
      <c r="AJ219" s="382"/>
      <c r="AK219" s="371" t="s">
        <v>2276</v>
      </c>
      <c r="AL219" s="206" t="s">
        <v>1221</v>
      </c>
      <c r="AM219" s="206"/>
      <c r="AN219" s="371" t="s">
        <v>2276</v>
      </c>
      <c r="AO219" s="206" t="s">
        <v>2438</v>
      </c>
      <c r="AP219" s="206"/>
      <c r="AQ219" s="206" t="s">
        <v>1131</v>
      </c>
      <c r="AR219" s="207" t="s">
        <v>68</v>
      </c>
    </row>
    <row r="220" spans="1:44" x14ac:dyDescent="0.2">
      <c r="A220" s="370">
        <v>201</v>
      </c>
      <c r="B220" s="380">
        <v>114</v>
      </c>
      <c r="C220" s="371" t="s">
        <v>2269</v>
      </c>
      <c r="D220" s="371" t="s">
        <v>2270</v>
      </c>
      <c r="E220" s="206"/>
      <c r="F220" s="206" t="s">
        <v>56</v>
      </c>
      <c r="G220" s="206" t="s">
        <v>56</v>
      </c>
      <c r="H220" s="371" t="s">
        <v>2271</v>
      </c>
      <c r="I220" s="206" t="s">
        <v>1449</v>
      </c>
      <c r="J220" s="206" t="s">
        <v>1449</v>
      </c>
      <c r="K220" s="371" t="s">
        <v>2271</v>
      </c>
      <c r="L220" s="206" t="s">
        <v>2143</v>
      </c>
      <c r="M220" s="206" t="s">
        <v>1338</v>
      </c>
      <c r="N220" s="206" t="s">
        <v>59</v>
      </c>
      <c r="O220" s="372">
        <v>45978</v>
      </c>
      <c r="P220" s="372">
        <v>45978</v>
      </c>
      <c r="Q220" s="371" t="s">
        <v>2271</v>
      </c>
      <c r="R220" s="373">
        <v>24990</v>
      </c>
      <c r="S220" s="373">
        <v>24990</v>
      </c>
      <c r="T220" s="371" t="s">
        <v>2271</v>
      </c>
      <c r="U220" s="373">
        <v>10900</v>
      </c>
      <c r="V220" s="373">
        <v>10900</v>
      </c>
      <c r="W220" s="371" t="s">
        <v>2271</v>
      </c>
      <c r="X220" s="373">
        <v>14090</v>
      </c>
      <c r="Y220" s="373">
        <v>14090</v>
      </c>
      <c r="Z220" s="371" t="s">
        <v>2271</v>
      </c>
      <c r="AA220" s="373">
        <v>0</v>
      </c>
      <c r="AB220" s="373">
        <v>14220</v>
      </c>
      <c r="AC220" s="373">
        <v>14220</v>
      </c>
      <c r="AD220" s="371" t="s">
        <v>2271</v>
      </c>
      <c r="AE220" s="373">
        <v>0</v>
      </c>
      <c r="AF220" s="382">
        <v>0.55486111111111103</v>
      </c>
      <c r="AG220" s="382">
        <v>0.55486111111111103</v>
      </c>
      <c r="AH220" s="371" t="s">
        <v>2271</v>
      </c>
      <c r="AI220" s="382">
        <v>0.62222222222222201</v>
      </c>
      <c r="AJ220" s="382">
        <v>0.62222222222222201</v>
      </c>
      <c r="AK220" s="371" t="s">
        <v>2271</v>
      </c>
      <c r="AL220" s="206" t="s">
        <v>42</v>
      </c>
      <c r="AM220" s="206" t="s">
        <v>42</v>
      </c>
      <c r="AN220" s="371" t="s">
        <v>2271</v>
      </c>
      <c r="AO220" s="206" t="s">
        <v>2439</v>
      </c>
      <c r="AP220" s="206" t="s">
        <v>1781</v>
      </c>
      <c r="AQ220" s="206" t="s">
        <v>1132</v>
      </c>
      <c r="AR220" s="207" t="s">
        <v>75</v>
      </c>
    </row>
    <row r="221" spans="1:44" x14ac:dyDescent="0.2">
      <c r="A221" s="370">
        <v>202</v>
      </c>
      <c r="B221" s="380">
        <v>114</v>
      </c>
      <c r="C221" s="371" t="s">
        <v>2337</v>
      </c>
      <c r="D221" s="371" t="s">
        <v>2235</v>
      </c>
      <c r="E221" s="206"/>
      <c r="F221" s="206" t="s">
        <v>1266</v>
      </c>
      <c r="G221" s="206" t="s">
        <v>1266</v>
      </c>
      <c r="H221" s="371" t="s">
        <v>2271</v>
      </c>
      <c r="I221" s="206"/>
      <c r="J221" s="206" t="s">
        <v>1447</v>
      </c>
      <c r="K221" s="371" t="s">
        <v>2276</v>
      </c>
      <c r="L221" s="206" t="s">
        <v>2216</v>
      </c>
      <c r="M221" s="206" t="s">
        <v>1728</v>
      </c>
      <c r="N221" s="206" t="s">
        <v>49</v>
      </c>
      <c r="O221" s="372">
        <v>46238</v>
      </c>
      <c r="P221" s="372">
        <v>46120</v>
      </c>
      <c r="Q221" s="371" t="s">
        <v>2276</v>
      </c>
      <c r="R221" s="373">
        <v>28550</v>
      </c>
      <c r="S221" s="373">
        <v>28550</v>
      </c>
      <c r="T221" s="371" t="s">
        <v>2271</v>
      </c>
      <c r="U221" s="373">
        <v>8030</v>
      </c>
      <c r="V221" s="373">
        <v>8030</v>
      </c>
      <c r="W221" s="371" t="s">
        <v>2271</v>
      </c>
      <c r="X221" s="373">
        <v>20520</v>
      </c>
      <c r="Y221" s="373">
        <v>20520</v>
      </c>
      <c r="Z221" s="371" t="s">
        <v>2271</v>
      </c>
      <c r="AA221" s="373">
        <v>0</v>
      </c>
      <c r="AB221" s="373">
        <v>20470</v>
      </c>
      <c r="AC221" s="373">
        <v>20470</v>
      </c>
      <c r="AD221" s="371" t="s">
        <v>2271</v>
      </c>
      <c r="AE221" s="373">
        <v>0</v>
      </c>
      <c r="AF221" s="382">
        <v>0.55347222222222203</v>
      </c>
      <c r="AG221" s="382"/>
      <c r="AH221" s="371" t="s">
        <v>2276</v>
      </c>
      <c r="AI221" s="382">
        <v>0.59027777777777801</v>
      </c>
      <c r="AJ221" s="382"/>
      <c r="AK221" s="371" t="s">
        <v>2276</v>
      </c>
      <c r="AL221" s="206" t="s">
        <v>1221</v>
      </c>
      <c r="AM221" s="206"/>
      <c r="AN221" s="371" t="s">
        <v>2276</v>
      </c>
      <c r="AO221" s="206" t="s">
        <v>2440</v>
      </c>
      <c r="AP221" s="206"/>
      <c r="AQ221" s="206" t="s">
        <v>1133</v>
      </c>
      <c r="AR221" s="207" t="s">
        <v>68</v>
      </c>
    </row>
    <row r="222" spans="1:44" x14ac:dyDescent="0.2">
      <c r="A222" s="370">
        <v>203</v>
      </c>
      <c r="B222" s="380">
        <v>115</v>
      </c>
      <c r="C222" s="371" t="s">
        <v>2269</v>
      </c>
      <c r="D222" s="371" t="s">
        <v>2270</v>
      </c>
      <c r="E222" s="206"/>
      <c r="F222" s="206" t="s">
        <v>76</v>
      </c>
      <c r="G222" s="206" t="s">
        <v>76</v>
      </c>
      <c r="H222" s="371" t="s">
        <v>2271</v>
      </c>
      <c r="I222" s="206" t="s">
        <v>1449</v>
      </c>
      <c r="J222" s="206" t="s">
        <v>1449</v>
      </c>
      <c r="K222" s="371" t="s">
        <v>2271</v>
      </c>
      <c r="L222" s="206" t="s">
        <v>2143</v>
      </c>
      <c r="M222" s="206" t="s">
        <v>1338</v>
      </c>
      <c r="N222" s="206" t="s">
        <v>59</v>
      </c>
      <c r="O222" s="372">
        <v>45978</v>
      </c>
      <c r="P222" s="372">
        <v>45978</v>
      </c>
      <c r="Q222" s="371" t="s">
        <v>2271</v>
      </c>
      <c r="R222" s="373">
        <v>45680</v>
      </c>
      <c r="S222" s="373">
        <v>45680</v>
      </c>
      <c r="T222" s="371" t="s">
        <v>2271</v>
      </c>
      <c r="U222" s="373">
        <v>17430</v>
      </c>
      <c r="V222" s="373">
        <v>17430</v>
      </c>
      <c r="W222" s="371" t="s">
        <v>2271</v>
      </c>
      <c r="X222" s="373">
        <v>28250</v>
      </c>
      <c r="Y222" s="373">
        <v>28250</v>
      </c>
      <c r="Z222" s="371" t="s">
        <v>2271</v>
      </c>
      <c r="AA222" s="373">
        <v>0</v>
      </c>
      <c r="AB222" s="373">
        <v>28360</v>
      </c>
      <c r="AC222" s="373">
        <v>28360</v>
      </c>
      <c r="AD222" s="371" t="s">
        <v>2271</v>
      </c>
      <c r="AE222" s="373">
        <v>0</v>
      </c>
      <c r="AF222" s="382">
        <v>0.55902777777777801</v>
      </c>
      <c r="AG222" s="382">
        <v>0.55902777777777801</v>
      </c>
      <c r="AH222" s="371" t="s">
        <v>2271</v>
      </c>
      <c r="AI222" s="382">
        <v>0.62013888888888902</v>
      </c>
      <c r="AJ222" s="382">
        <v>0.62013888888888902</v>
      </c>
      <c r="AK222" s="371" t="s">
        <v>2271</v>
      </c>
      <c r="AL222" s="206" t="s">
        <v>42</v>
      </c>
      <c r="AM222" s="206" t="s">
        <v>42</v>
      </c>
      <c r="AN222" s="371" t="s">
        <v>2271</v>
      </c>
      <c r="AO222" s="206" t="s">
        <v>2441</v>
      </c>
      <c r="AP222" s="206" t="s">
        <v>1372</v>
      </c>
      <c r="AQ222" s="206" t="s">
        <v>1133</v>
      </c>
      <c r="AR222" s="207" t="s">
        <v>75</v>
      </c>
    </row>
    <row r="223" spans="1:44" x14ac:dyDescent="0.2">
      <c r="A223" s="370">
        <v>204</v>
      </c>
      <c r="B223" s="380">
        <v>115</v>
      </c>
      <c r="C223" s="371" t="s">
        <v>2337</v>
      </c>
      <c r="D223" s="371" t="s">
        <v>2235</v>
      </c>
      <c r="E223" s="206"/>
      <c r="F223" s="206" t="s">
        <v>1267</v>
      </c>
      <c r="G223" s="206" t="s">
        <v>1267</v>
      </c>
      <c r="H223" s="371" t="s">
        <v>2271</v>
      </c>
      <c r="I223" s="206"/>
      <c r="J223" s="206" t="s">
        <v>1447</v>
      </c>
      <c r="K223" s="371" t="s">
        <v>2276</v>
      </c>
      <c r="L223" s="206" t="s">
        <v>2216</v>
      </c>
      <c r="M223" s="206" t="s">
        <v>1728</v>
      </c>
      <c r="N223" s="206" t="s">
        <v>49</v>
      </c>
      <c r="O223" s="372">
        <v>46238</v>
      </c>
      <c r="P223" s="372">
        <v>46120</v>
      </c>
      <c r="Q223" s="371" t="s">
        <v>2276</v>
      </c>
      <c r="R223" s="373">
        <v>12720</v>
      </c>
      <c r="S223" s="373">
        <v>12720</v>
      </c>
      <c r="T223" s="371" t="s">
        <v>2271</v>
      </c>
      <c r="U223" s="373">
        <v>3800</v>
      </c>
      <c r="V223" s="373">
        <v>3800</v>
      </c>
      <c r="W223" s="371" t="s">
        <v>2271</v>
      </c>
      <c r="X223" s="373">
        <v>8920</v>
      </c>
      <c r="Y223" s="373">
        <v>8920</v>
      </c>
      <c r="Z223" s="371" t="s">
        <v>2271</v>
      </c>
      <c r="AA223" s="373">
        <v>0</v>
      </c>
      <c r="AB223" s="373">
        <v>8880</v>
      </c>
      <c r="AC223" s="373">
        <v>8880</v>
      </c>
      <c r="AD223" s="371" t="s">
        <v>2271</v>
      </c>
      <c r="AE223" s="373">
        <v>0</v>
      </c>
      <c r="AF223" s="382">
        <v>0.55486111111111103</v>
      </c>
      <c r="AG223" s="382"/>
      <c r="AH223" s="371" t="s">
        <v>2276</v>
      </c>
      <c r="AI223" s="382">
        <v>0.59791666666666698</v>
      </c>
      <c r="AJ223" s="382"/>
      <c r="AK223" s="371" t="s">
        <v>2276</v>
      </c>
      <c r="AL223" s="206" t="s">
        <v>1221</v>
      </c>
      <c r="AM223" s="206"/>
      <c r="AN223" s="371" t="s">
        <v>2276</v>
      </c>
      <c r="AO223" s="206" t="s">
        <v>2442</v>
      </c>
      <c r="AP223" s="206"/>
      <c r="AQ223" s="206" t="s">
        <v>1131</v>
      </c>
      <c r="AR223" s="207" t="s">
        <v>68</v>
      </c>
    </row>
    <row r="224" spans="1:44" x14ac:dyDescent="0.2">
      <c r="A224" s="370">
        <v>205</v>
      </c>
      <c r="B224" s="380">
        <v>116</v>
      </c>
      <c r="C224" s="371" t="s">
        <v>2269</v>
      </c>
      <c r="D224" s="371" t="s">
        <v>2270</v>
      </c>
      <c r="E224" s="206"/>
      <c r="F224" s="206" t="s">
        <v>70</v>
      </c>
      <c r="G224" s="206" t="s">
        <v>70</v>
      </c>
      <c r="H224" s="371" t="s">
        <v>2271</v>
      </c>
      <c r="I224" s="206" t="s">
        <v>1449</v>
      </c>
      <c r="J224" s="206" t="s">
        <v>1449</v>
      </c>
      <c r="K224" s="371" t="s">
        <v>2271</v>
      </c>
      <c r="L224" s="206" t="s">
        <v>2143</v>
      </c>
      <c r="M224" s="206" t="s">
        <v>1338</v>
      </c>
      <c r="N224" s="206" t="s">
        <v>59</v>
      </c>
      <c r="O224" s="372">
        <v>45978</v>
      </c>
      <c r="P224" s="372">
        <v>45978</v>
      </c>
      <c r="Q224" s="371" t="s">
        <v>2271</v>
      </c>
      <c r="R224" s="373">
        <v>45770</v>
      </c>
      <c r="S224" s="373">
        <v>45770</v>
      </c>
      <c r="T224" s="371" t="s">
        <v>2271</v>
      </c>
      <c r="U224" s="373">
        <v>17560</v>
      </c>
      <c r="V224" s="373">
        <v>17560</v>
      </c>
      <c r="W224" s="371" t="s">
        <v>2271</v>
      </c>
      <c r="X224" s="373">
        <v>28210</v>
      </c>
      <c r="Y224" s="373">
        <v>28210</v>
      </c>
      <c r="Z224" s="371" t="s">
        <v>2271</v>
      </c>
      <c r="AA224" s="373">
        <v>0</v>
      </c>
      <c r="AB224" s="373">
        <v>28280</v>
      </c>
      <c r="AC224" s="373">
        <v>28280</v>
      </c>
      <c r="AD224" s="371" t="s">
        <v>2271</v>
      </c>
      <c r="AE224" s="373">
        <v>0</v>
      </c>
      <c r="AF224" s="382">
        <v>0.57361111111111096</v>
      </c>
      <c r="AG224" s="382">
        <v>0.57361111111111096</v>
      </c>
      <c r="AH224" s="371" t="s">
        <v>2271</v>
      </c>
      <c r="AI224" s="382">
        <v>0.61805555555555602</v>
      </c>
      <c r="AJ224" s="382">
        <v>0.61805555555555602</v>
      </c>
      <c r="AK224" s="371" t="s">
        <v>2271</v>
      </c>
      <c r="AL224" s="206" t="s">
        <v>42</v>
      </c>
      <c r="AM224" s="206" t="s">
        <v>42</v>
      </c>
      <c r="AN224" s="371" t="s">
        <v>2271</v>
      </c>
      <c r="AO224" s="206" t="s">
        <v>2443</v>
      </c>
      <c r="AP224" s="206" t="s">
        <v>1499</v>
      </c>
      <c r="AQ224" s="206" t="s">
        <v>1133</v>
      </c>
      <c r="AR224" s="207" t="s">
        <v>75</v>
      </c>
    </row>
    <row r="225" spans="1:44" x14ac:dyDescent="0.2">
      <c r="A225" s="370">
        <v>206</v>
      </c>
      <c r="B225" s="380">
        <v>116</v>
      </c>
      <c r="C225" s="371" t="s">
        <v>2337</v>
      </c>
      <c r="D225" s="371" t="s">
        <v>2235</v>
      </c>
      <c r="E225" s="206"/>
      <c r="F225" s="206" t="s">
        <v>56</v>
      </c>
      <c r="G225" s="206" t="s">
        <v>56</v>
      </c>
      <c r="H225" s="371" t="s">
        <v>2271</v>
      </c>
      <c r="I225" s="206"/>
      <c r="J225" s="206" t="s">
        <v>1445</v>
      </c>
      <c r="K225" s="371" t="s">
        <v>2276</v>
      </c>
      <c r="L225" s="206" t="s">
        <v>2213</v>
      </c>
      <c r="M225" s="206" t="s">
        <v>1727</v>
      </c>
      <c r="N225" s="206" t="s">
        <v>49</v>
      </c>
      <c r="O225" s="372">
        <v>46238</v>
      </c>
      <c r="P225" s="372">
        <v>46120</v>
      </c>
      <c r="Q225" s="371" t="s">
        <v>2276</v>
      </c>
      <c r="R225" s="373">
        <v>24960</v>
      </c>
      <c r="S225" s="373">
        <v>24960</v>
      </c>
      <c r="T225" s="371" t="s">
        <v>2271</v>
      </c>
      <c r="U225" s="373">
        <v>10720</v>
      </c>
      <c r="V225" s="373">
        <v>10720</v>
      </c>
      <c r="W225" s="371" t="s">
        <v>2271</v>
      </c>
      <c r="X225" s="373">
        <v>14240</v>
      </c>
      <c r="Y225" s="373">
        <v>14240</v>
      </c>
      <c r="Z225" s="371" t="s">
        <v>2271</v>
      </c>
      <c r="AA225" s="373">
        <v>0</v>
      </c>
      <c r="AB225" s="373">
        <v>14190</v>
      </c>
      <c r="AC225" s="373">
        <v>14190</v>
      </c>
      <c r="AD225" s="371" t="s">
        <v>2271</v>
      </c>
      <c r="AE225" s="373">
        <v>0</v>
      </c>
      <c r="AF225" s="382">
        <v>0.58541666666666703</v>
      </c>
      <c r="AG225" s="382">
        <v>0.58541666666666703</v>
      </c>
      <c r="AH225" s="371" t="s">
        <v>2271</v>
      </c>
      <c r="AI225" s="382">
        <v>0.61180555555555605</v>
      </c>
      <c r="AJ225" s="382">
        <v>0.61180555555555605</v>
      </c>
      <c r="AK225" s="371" t="s">
        <v>2271</v>
      </c>
      <c r="AL225" s="206" t="s">
        <v>1221</v>
      </c>
      <c r="AM225" s="206" t="s">
        <v>42</v>
      </c>
      <c r="AN225" s="371" t="s">
        <v>2271</v>
      </c>
      <c r="AO225" s="206" t="s">
        <v>2444</v>
      </c>
      <c r="AP225" s="206"/>
      <c r="AQ225" s="206" t="s">
        <v>1131</v>
      </c>
      <c r="AR225" s="207" t="s">
        <v>68</v>
      </c>
    </row>
    <row r="226" spans="1:44" x14ac:dyDescent="0.2">
      <c r="A226" s="370">
        <v>207</v>
      </c>
      <c r="B226" s="380">
        <v>117</v>
      </c>
      <c r="C226" s="371" t="s">
        <v>2269</v>
      </c>
      <c r="D226" s="371" t="s">
        <v>2270</v>
      </c>
      <c r="E226" s="206"/>
      <c r="F226" s="206" t="s">
        <v>46</v>
      </c>
      <c r="G226" s="206" t="s">
        <v>46</v>
      </c>
      <c r="H226" s="371" t="s">
        <v>2271</v>
      </c>
      <c r="I226" s="206" t="s">
        <v>1449</v>
      </c>
      <c r="J226" s="206" t="s">
        <v>1449</v>
      </c>
      <c r="K226" s="371" t="s">
        <v>2271</v>
      </c>
      <c r="L226" s="206" t="s">
        <v>2143</v>
      </c>
      <c r="M226" s="206" t="s">
        <v>1338</v>
      </c>
      <c r="N226" s="206" t="s">
        <v>59</v>
      </c>
      <c r="O226" s="372">
        <v>45978</v>
      </c>
      <c r="P226" s="372">
        <v>45978</v>
      </c>
      <c r="Q226" s="371" t="s">
        <v>2271</v>
      </c>
      <c r="R226" s="373">
        <v>26460</v>
      </c>
      <c r="S226" s="373">
        <v>26460</v>
      </c>
      <c r="T226" s="371" t="s">
        <v>2271</v>
      </c>
      <c r="U226" s="373">
        <v>11740</v>
      </c>
      <c r="V226" s="373">
        <v>11740</v>
      </c>
      <c r="W226" s="371" t="s">
        <v>2271</v>
      </c>
      <c r="X226" s="373">
        <v>14720</v>
      </c>
      <c r="Y226" s="373">
        <v>14720</v>
      </c>
      <c r="Z226" s="371" t="s">
        <v>2271</v>
      </c>
      <c r="AA226" s="373">
        <v>0</v>
      </c>
      <c r="AB226" s="373">
        <v>14840</v>
      </c>
      <c r="AC226" s="373">
        <v>14840</v>
      </c>
      <c r="AD226" s="371" t="s">
        <v>2271</v>
      </c>
      <c r="AE226" s="373">
        <v>0</v>
      </c>
      <c r="AF226" s="382">
        <v>0.57499999999999996</v>
      </c>
      <c r="AG226" s="382">
        <v>0.57499999999999996</v>
      </c>
      <c r="AH226" s="371" t="s">
        <v>2271</v>
      </c>
      <c r="AI226" s="382">
        <v>0.67083333333333295</v>
      </c>
      <c r="AJ226" s="382">
        <v>0.67083333333333295</v>
      </c>
      <c r="AK226" s="371" t="s">
        <v>2271</v>
      </c>
      <c r="AL226" s="206" t="s">
        <v>42</v>
      </c>
      <c r="AM226" s="206" t="s">
        <v>42</v>
      </c>
      <c r="AN226" s="371" t="s">
        <v>2271</v>
      </c>
      <c r="AO226" s="206" t="s">
        <v>2445</v>
      </c>
      <c r="AP226" s="206" t="s">
        <v>1393</v>
      </c>
      <c r="AQ226" s="206" t="s">
        <v>1132</v>
      </c>
      <c r="AR226" s="207" t="s">
        <v>75</v>
      </c>
    </row>
    <row r="227" spans="1:44" x14ac:dyDescent="0.2">
      <c r="A227" s="370">
        <v>208</v>
      </c>
      <c r="B227" s="380">
        <v>117</v>
      </c>
      <c r="C227" s="371" t="s">
        <v>2337</v>
      </c>
      <c r="D227" s="371" t="s">
        <v>2235</v>
      </c>
      <c r="E227" s="206"/>
      <c r="F227" s="206" t="s">
        <v>738</v>
      </c>
      <c r="G227" s="206" t="s">
        <v>738</v>
      </c>
      <c r="H227" s="371" t="s">
        <v>2271</v>
      </c>
      <c r="I227" s="206"/>
      <c r="J227" s="206" t="s">
        <v>1447</v>
      </c>
      <c r="K227" s="371" t="s">
        <v>2276</v>
      </c>
      <c r="L227" s="206" t="s">
        <v>2216</v>
      </c>
      <c r="M227" s="206" t="s">
        <v>1728</v>
      </c>
      <c r="N227" s="206" t="s">
        <v>49</v>
      </c>
      <c r="O227" s="372">
        <v>46238</v>
      </c>
      <c r="P227" s="372">
        <v>46120</v>
      </c>
      <c r="Q227" s="371" t="s">
        <v>2276</v>
      </c>
      <c r="R227" s="373">
        <v>12300</v>
      </c>
      <c r="S227" s="373">
        <v>12300</v>
      </c>
      <c r="T227" s="371" t="s">
        <v>2271</v>
      </c>
      <c r="U227" s="373">
        <v>3720</v>
      </c>
      <c r="V227" s="373">
        <v>3720</v>
      </c>
      <c r="W227" s="371" t="s">
        <v>2271</v>
      </c>
      <c r="X227" s="373">
        <v>8580</v>
      </c>
      <c r="Y227" s="373">
        <v>8580</v>
      </c>
      <c r="Z227" s="371" t="s">
        <v>2271</v>
      </c>
      <c r="AA227" s="373">
        <v>0</v>
      </c>
      <c r="AB227" s="373">
        <v>8550</v>
      </c>
      <c r="AC227" s="373">
        <v>8550</v>
      </c>
      <c r="AD227" s="371" t="s">
        <v>2271</v>
      </c>
      <c r="AE227" s="373">
        <v>0</v>
      </c>
      <c r="AF227" s="382">
        <v>0.58541666666666703</v>
      </c>
      <c r="AG227" s="382"/>
      <c r="AH227" s="371" t="s">
        <v>2276</v>
      </c>
      <c r="AI227" s="382">
        <v>0.61180555555555605</v>
      </c>
      <c r="AJ227" s="382"/>
      <c r="AK227" s="371" t="s">
        <v>2276</v>
      </c>
      <c r="AL227" s="206" t="s">
        <v>1221</v>
      </c>
      <c r="AM227" s="206"/>
      <c r="AN227" s="371" t="s">
        <v>2276</v>
      </c>
      <c r="AO227" s="206" t="s">
        <v>2446</v>
      </c>
      <c r="AP227" s="206"/>
      <c r="AQ227" s="206" t="s">
        <v>1131</v>
      </c>
      <c r="AR227" s="207" t="s">
        <v>68</v>
      </c>
    </row>
    <row r="228" spans="1:44" x14ac:dyDescent="0.2">
      <c r="A228" s="370">
        <v>209</v>
      </c>
      <c r="B228" s="380">
        <v>118</v>
      </c>
      <c r="C228" s="371" t="s">
        <v>2269</v>
      </c>
      <c r="D228" s="371" t="s">
        <v>2270</v>
      </c>
      <c r="E228" s="206"/>
      <c r="F228" s="206" t="s">
        <v>84</v>
      </c>
      <c r="G228" s="206" t="s">
        <v>84</v>
      </c>
      <c r="H228" s="371" t="s">
        <v>2271</v>
      </c>
      <c r="I228" s="206" t="s">
        <v>1449</v>
      </c>
      <c r="J228" s="206" t="s">
        <v>1449</v>
      </c>
      <c r="K228" s="371" t="s">
        <v>2271</v>
      </c>
      <c r="L228" s="206" t="s">
        <v>2143</v>
      </c>
      <c r="M228" s="206" t="s">
        <v>1338</v>
      </c>
      <c r="N228" s="206" t="s">
        <v>59</v>
      </c>
      <c r="O228" s="372">
        <v>45978</v>
      </c>
      <c r="P228" s="372">
        <v>45978</v>
      </c>
      <c r="Q228" s="371" t="s">
        <v>2271</v>
      </c>
      <c r="R228" s="373">
        <v>26570</v>
      </c>
      <c r="S228" s="373">
        <v>26570</v>
      </c>
      <c r="T228" s="371" t="s">
        <v>2271</v>
      </c>
      <c r="U228" s="373">
        <v>12070</v>
      </c>
      <c r="V228" s="373">
        <v>12070</v>
      </c>
      <c r="W228" s="371" t="s">
        <v>2271</v>
      </c>
      <c r="X228" s="373">
        <v>14500</v>
      </c>
      <c r="Y228" s="373">
        <v>14500</v>
      </c>
      <c r="Z228" s="371" t="s">
        <v>2271</v>
      </c>
      <c r="AA228" s="373">
        <v>0</v>
      </c>
      <c r="AB228" s="373">
        <v>14540</v>
      </c>
      <c r="AC228" s="373">
        <v>14540</v>
      </c>
      <c r="AD228" s="371" t="s">
        <v>2271</v>
      </c>
      <c r="AE228" s="373">
        <v>0</v>
      </c>
      <c r="AF228" s="382">
        <v>0.68333333333333302</v>
      </c>
      <c r="AG228" s="382">
        <v>0.68333333333333302</v>
      </c>
      <c r="AH228" s="371" t="s">
        <v>2271</v>
      </c>
      <c r="AI228" s="382">
        <v>0.72986111111111096</v>
      </c>
      <c r="AJ228" s="382">
        <v>0.72986111111111096</v>
      </c>
      <c r="AK228" s="371" t="s">
        <v>2271</v>
      </c>
      <c r="AL228" s="206" t="s">
        <v>42</v>
      </c>
      <c r="AM228" s="206" t="s">
        <v>42</v>
      </c>
      <c r="AN228" s="371" t="s">
        <v>2271</v>
      </c>
      <c r="AO228" s="206" t="s">
        <v>2447</v>
      </c>
      <c r="AP228" s="206" t="s">
        <v>1782</v>
      </c>
      <c r="AQ228" s="206" t="s">
        <v>1132</v>
      </c>
      <c r="AR228" s="207" t="s">
        <v>75</v>
      </c>
    </row>
    <row r="229" spans="1:44" x14ac:dyDescent="0.2">
      <c r="A229" s="370">
        <v>210</v>
      </c>
      <c r="B229" s="380">
        <v>118</v>
      </c>
      <c r="C229" s="371" t="s">
        <v>2337</v>
      </c>
      <c r="D229" s="371" t="s">
        <v>2235</v>
      </c>
      <c r="E229" s="206"/>
      <c r="F229" s="206" t="s">
        <v>70</v>
      </c>
      <c r="G229" s="206" t="s">
        <v>70</v>
      </c>
      <c r="H229" s="371" t="s">
        <v>2271</v>
      </c>
      <c r="I229" s="206"/>
      <c r="J229" s="206" t="s">
        <v>1445</v>
      </c>
      <c r="K229" s="371" t="s">
        <v>2276</v>
      </c>
      <c r="L229" s="206" t="s">
        <v>2213</v>
      </c>
      <c r="M229" s="206" t="s">
        <v>1727</v>
      </c>
      <c r="N229" s="206" t="s">
        <v>49</v>
      </c>
      <c r="O229" s="372">
        <v>46238</v>
      </c>
      <c r="P229" s="372">
        <v>46120</v>
      </c>
      <c r="Q229" s="371" t="s">
        <v>2276</v>
      </c>
      <c r="R229" s="373">
        <v>45850</v>
      </c>
      <c r="S229" s="373">
        <v>45850</v>
      </c>
      <c r="T229" s="371" t="s">
        <v>2271</v>
      </c>
      <c r="U229" s="373">
        <v>17410</v>
      </c>
      <c r="V229" s="373">
        <v>17410</v>
      </c>
      <c r="W229" s="371" t="s">
        <v>2271</v>
      </c>
      <c r="X229" s="373">
        <v>28440</v>
      </c>
      <c r="Y229" s="373">
        <v>28440</v>
      </c>
      <c r="Z229" s="371" t="s">
        <v>2271</v>
      </c>
      <c r="AA229" s="373">
        <v>0</v>
      </c>
      <c r="AB229" s="373">
        <v>28330</v>
      </c>
      <c r="AC229" s="373">
        <v>28330</v>
      </c>
      <c r="AD229" s="371" t="s">
        <v>2271</v>
      </c>
      <c r="AE229" s="373">
        <v>0</v>
      </c>
      <c r="AF229" s="382">
        <v>0.6</v>
      </c>
      <c r="AG229" s="382">
        <v>0.6</v>
      </c>
      <c r="AH229" s="371" t="s">
        <v>2271</v>
      </c>
      <c r="AI229" s="382">
        <v>0.65069444444444402</v>
      </c>
      <c r="AJ229" s="382">
        <v>0.65069444444444402</v>
      </c>
      <c r="AK229" s="371" t="s">
        <v>2271</v>
      </c>
      <c r="AL229" s="206" t="s">
        <v>1221</v>
      </c>
      <c r="AM229" s="206" t="s">
        <v>42</v>
      </c>
      <c r="AN229" s="371" t="s">
        <v>2271</v>
      </c>
      <c r="AO229" s="206" t="s">
        <v>2448</v>
      </c>
      <c r="AP229" s="206"/>
      <c r="AQ229" s="206" t="s">
        <v>1131</v>
      </c>
      <c r="AR229" s="207" t="s">
        <v>68</v>
      </c>
    </row>
    <row r="230" spans="1:44" x14ac:dyDescent="0.2">
      <c r="A230" s="370">
        <v>211</v>
      </c>
      <c r="B230" s="380">
        <v>119</v>
      </c>
      <c r="C230" s="371" t="s">
        <v>2269</v>
      </c>
      <c r="D230" s="371" t="s">
        <v>2270</v>
      </c>
      <c r="E230" s="206"/>
      <c r="F230" s="206" t="s">
        <v>76</v>
      </c>
      <c r="G230" s="206" t="s">
        <v>76</v>
      </c>
      <c r="H230" s="371" t="s">
        <v>2271</v>
      </c>
      <c r="I230" s="206" t="s">
        <v>1449</v>
      </c>
      <c r="J230" s="206" t="s">
        <v>1449</v>
      </c>
      <c r="K230" s="371" t="s">
        <v>2271</v>
      </c>
      <c r="L230" s="206" t="s">
        <v>2143</v>
      </c>
      <c r="M230" s="206" t="s">
        <v>1338</v>
      </c>
      <c r="N230" s="206" t="s">
        <v>59</v>
      </c>
      <c r="O230" s="372">
        <v>45979</v>
      </c>
      <c r="P230" s="372">
        <v>45979</v>
      </c>
      <c r="Q230" s="371" t="s">
        <v>2271</v>
      </c>
      <c r="R230" s="373">
        <v>45890</v>
      </c>
      <c r="S230" s="373">
        <v>45890</v>
      </c>
      <c r="T230" s="371" t="s">
        <v>2271</v>
      </c>
      <c r="U230" s="373">
        <v>17520</v>
      </c>
      <c r="V230" s="373">
        <v>17520</v>
      </c>
      <c r="W230" s="371" t="s">
        <v>2271</v>
      </c>
      <c r="X230" s="373">
        <v>28370</v>
      </c>
      <c r="Y230" s="373">
        <v>28370</v>
      </c>
      <c r="Z230" s="371" t="s">
        <v>2271</v>
      </c>
      <c r="AA230" s="373">
        <v>0</v>
      </c>
      <c r="AB230" s="373">
        <v>28440</v>
      </c>
      <c r="AC230" s="373">
        <v>28440</v>
      </c>
      <c r="AD230" s="371" t="s">
        <v>2271</v>
      </c>
      <c r="AE230" s="373">
        <v>0</v>
      </c>
      <c r="AF230" s="382">
        <v>0.55972222222222201</v>
      </c>
      <c r="AG230" s="382">
        <v>0.55972222222222201</v>
      </c>
      <c r="AH230" s="371" t="s">
        <v>2271</v>
      </c>
      <c r="AI230" s="382">
        <v>0.60972222222222205</v>
      </c>
      <c r="AJ230" s="382">
        <v>0.60972222222222205</v>
      </c>
      <c r="AK230" s="371" t="s">
        <v>2271</v>
      </c>
      <c r="AL230" s="206" t="s">
        <v>42</v>
      </c>
      <c r="AM230" s="206" t="s">
        <v>42</v>
      </c>
      <c r="AN230" s="371" t="s">
        <v>2271</v>
      </c>
      <c r="AO230" s="206" t="s">
        <v>2449</v>
      </c>
      <c r="AP230" s="206" t="s">
        <v>1372</v>
      </c>
      <c r="AQ230" s="206" t="s">
        <v>1133</v>
      </c>
      <c r="AR230" s="207" t="s">
        <v>75</v>
      </c>
    </row>
    <row r="231" spans="1:44" x14ac:dyDescent="0.2">
      <c r="A231" s="370">
        <v>212</v>
      </c>
      <c r="B231" s="380">
        <v>119</v>
      </c>
      <c r="C231" s="371" t="s">
        <v>2337</v>
      </c>
      <c r="D231" s="371" t="s">
        <v>2235</v>
      </c>
      <c r="E231" s="206"/>
      <c r="F231" s="206" t="s">
        <v>186</v>
      </c>
      <c r="G231" s="206" t="s">
        <v>186</v>
      </c>
      <c r="H231" s="371" t="s">
        <v>2271</v>
      </c>
      <c r="I231" s="206"/>
      <c r="J231" s="206" t="s">
        <v>1447</v>
      </c>
      <c r="K231" s="371" t="s">
        <v>2276</v>
      </c>
      <c r="L231" s="206" t="s">
        <v>2216</v>
      </c>
      <c r="M231" s="206" t="s">
        <v>1728</v>
      </c>
      <c r="N231" s="206" t="s">
        <v>49</v>
      </c>
      <c r="O231" s="372">
        <v>46238</v>
      </c>
      <c r="P231" s="372">
        <v>46120</v>
      </c>
      <c r="Q231" s="371" t="s">
        <v>2276</v>
      </c>
      <c r="R231" s="373">
        <v>13390</v>
      </c>
      <c r="S231" s="373">
        <v>13390</v>
      </c>
      <c r="T231" s="371" t="s">
        <v>2271</v>
      </c>
      <c r="U231" s="373">
        <v>3920</v>
      </c>
      <c r="V231" s="373">
        <v>3920</v>
      </c>
      <c r="W231" s="371" t="s">
        <v>2271</v>
      </c>
      <c r="X231" s="373">
        <v>9470</v>
      </c>
      <c r="Y231" s="373">
        <v>9470</v>
      </c>
      <c r="Z231" s="371" t="s">
        <v>2271</v>
      </c>
      <c r="AA231" s="373">
        <v>0</v>
      </c>
      <c r="AB231" s="373">
        <v>9440</v>
      </c>
      <c r="AC231" s="373">
        <v>9440</v>
      </c>
      <c r="AD231" s="371" t="s">
        <v>2271</v>
      </c>
      <c r="AE231" s="373">
        <v>0</v>
      </c>
      <c r="AF231" s="382">
        <v>0.60347222222222197</v>
      </c>
      <c r="AG231" s="382"/>
      <c r="AH231" s="371" t="s">
        <v>2276</v>
      </c>
      <c r="AI231" s="382">
        <v>0.62708333333333299</v>
      </c>
      <c r="AJ231" s="382"/>
      <c r="AK231" s="371" t="s">
        <v>2276</v>
      </c>
      <c r="AL231" s="206" t="s">
        <v>1221</v>
      </c>
      <c r="AM231" s="206"/>
      <c r="AN231" s="371" t="s">
        <v>2276</v>
      </c>
      <c r="AO231" s="206" t="s">
        <v>2450</v>
      </c>
      <c r="AP231" s="206"/>
      <c r="AQ231" s="206" t="s">
        <v>1131</v>
      </c>
      <c r="AR231" s="207" t="s">
        <v>68</v>
      </c>
    </row>
    <row r="232" spans="1:44" x14ac:dyDescent="0.2">
      <c r="A232" s="370">
        <v>213</v>
      </c>
      <c r="B232" s="380">
        <v>120</v>
      </c>
      <c r="C232" s="371" t="s">
        <v>2269</v>
      </c>
      <c r="D232" s="371" t="s">
        <v>2270</v>
      </c>
      <c r="E232" s="206"/>
      <c r="F232" s="206" t="s">
        <v>56</v>
      </c>
      <c r="G232" s="206" t="s">
        <v>56</v>
      </c>
      <c r="H232" s="371" t="s">
        <v>2271</v>
      </c>
      <c r="I232" s="206" t="s">
        <v>1449</v>
      </c>
      <c r="J232" s="206" t="s">
        <v>1449</v>
      </c>
      <c r="K232" s="371" t="s">
        <v>2271</v>
      </c>
      <c r="L232" s="206" t="s">
        <v>2143</v>
      </c>
      <c r="M232" s="206" t="s">
        <v>1338</v>
      </c>
      <c r="N232" s="206" t="s">
        <v>59</v>
      </c>
      <c r="O232" s="372">
        <v>45979</v>
      </c>
      <c r="P232" s="372">
        <v>45979</v>
      </c>
      <c r="Q232" s="371" t="s">
        <v>2271</v>
      </c>
      <c r="R232" s="373">
        <v>25080</v>
      </c>
      <c r="S232" s="373">
        <v>25080</v>
      </c>
      <c r="T232" s="371" t="s">
        <v>2271</v>
      </c>
      <c r="U232" s="373">
        <v>10880</v>
      </c>
      <c r="V232" s="373">
        <v>10880</v>
      </c>
      <c r="W232" s="371" t="s">
        <v>2271</v>
      </c>
      <c r="X232" s="373">
        <v>14200</v>
      </c>
      <c r="Y232" s="373">
        <v>14200</v>
      </c>
      <c r="Z232" s="371" t="s">
        <v>2271</v>
      </c>
      <c r="AA232" s="373">
        <v>0</v>
      </c>
      <c r="AB232" s="373">
        <v>14120</v>
      </c>
      <c r="AC232" s="373">
        <v>14120</v>
      </c>
      <c r="AD232" s="371" t="s">
        <v>2271</v>
      </c>
      <c r="AE232" s="373">
        <v>0</v>
      </c>
      <c r="AF232" s="382">
        <v>0.5625</v>
      </c>
      <c r="AG232" s="382">
        <v>0.5625</v>
      </c>
      <c r="AH232" s="371" t="s">
        <v>2271</v>
      </c>
      <c r="AI232" s="382">
        <v>0.67013888888888895</v>
      </c>
      <c r="AJ232" s="382">
        <v>0.67013888888888895</v>
      </c>
      <c r="AK232" s="371" t="s">
        <v>2271</v>
      </c>
      <c r="AL232" s="206" t="s">
        <v>42</v>
      </c>
      <c r="AM232" s="206" t="s">
        <v>42</v>
      </c>
      <c r="AN232" s="371" t="s">
        <v>2271</v>
      </c>
      <c r="AO232" s="206" t="s">
        <v>2451</v>
      </c>
      <c r="AP232" s="206" t="s">
        <v>1781</v>
      </c>
      <c r="AQ232" s="206" t="s">
        <v>1132</v>
      </c>
      <c r="AR232" s="207" t="s">
        <v>75</v>
      </c>
    </row>
    <row r="233" spans="1:44" x14ac:dyDescent="0.2">
      <c r="A233" s="370">
        <v>214</v>
      </c>
      <c r="B233" s="380">
        <v>120</v>
      </c>
      <c r="C233" s="371" t="s">
        <v>2337</v>
      </c>
      <c r="D233" s="371" t="s">
        <v>2235</v>
      </c>
      <c r="E233" s="206"/>
      <c r="F233" s="206" t="s">
        <v>1268</v>
      </c>
      <c r="G233" s="206" t="s">
        <v>1268</v>
      </c>
      <c r="H233" s="371" t="s">
        <v>2271</v>
      </c>
      <c r="I233" s="206"/>
      <c r="J233" s="206" t="s">
        <v>1447</v>
      </c>
      <c r="K233" s="371" t="s">
        <v>2276</v>
      </c>
      <c r="L233" s="206" t="s">
        <v>2216</v>
      </c>
      <c r="M233" s="206" t="s">
        <v>1728</v>
      </c>
      <c r="N233" s="206" t="s">
        <v>49</v>
      </c>
      <c r="O233" s="372">
        <v>46238</v>
      </c>
      <c r="P233" s="372">
        <v>46120</v>
      </c>
      <c r="Q233" s="371" t="s">
        <v>2276</v>
      </c>
      <c r="R233" s="373">
        <v>13490</v>
      </c>
      <c r="S233" s="373">
        <v>13490</v>
      </c>
      <c r="T233" s="371" t="s">
        <v>2271</v>
      </c>
      <c r="U233" s="373">
        <v>3860</v>
      </c>
      <c r="V233" s="373">
        <v>3860</v>
      </c>
      <c r="W233" s="371" t="s">
        <v>2271</v>
      </c>
      <c r="X233" s="373">
        <v>9630</v>
      </c>
      <c r="Y233" s="373">
        <v>9630</v>
      </c>
      <c r="Z233" s="371" t="s">
        <v>2271</v>
      </c>
      <c r="AA233" s="373">
        <v>0</v>
      </c>
      <c r="AB233" s="373">
        <v>9540</v>
      </c>
      <c r="AC233" s="373">
        <v>9540</v>
      </c>
      <c r="AD233" s="371" t="s">
        <v>2271</v>
      </c>
      <c r="AE233" s="373">
        <v>0</v>
      </c>
      <c r="AF233" s="382">
        <v>0.66041666666666698</v>
      </c>
      <c r="AG233" s="382"/>
      <c r="AH233" s="371" t="s">
        <v>2276</v>
      </c>
      <c r="AI233" s="382">
        <v>0.68055555555555503</v>
      </c>
      <c r="AJ233" s="382"/>
      <c r="AK233" s="371" t="s">
        <v>2276</v>
      </c>
      <c r="AL233" s="206" t="s">
        <v>1221</v>
      </c>
      <c r="AM233" s="206"/>
      <c r="AN233" s="371" t="s">
        <v>2276</v>
      </c>
      <c r="AO233" s="206" t="s">
        <v>2452</v>
      </c>
      <c r="AP233" s="206"/>
      <c r="AQ233" s="206" t="s">
        <v>1131</v>
      </c>
      <c r="AR233" s="207" t="s">
        <v>68</v>
      </c>
    </row>
    <row r="234" spans="1:44" x14ac:dyDescent="0.2">
      <c r="A234" s="370">
        <v>215</v>
      </c>
      <c r="B234" s="380">
        <v>121</v>
      </c>
      <c r="C234" s="371" t="s">
        <v>2269</v>
      </c>
      <c r="D234" s="371" t="s">
        <v>2270</v>
      </c>
      <c r="E234" s="206"/>
      <c r="F234" s="206" t="s">
        <v>84</v>
      </c>
      <c r="G234" s="206" t="s">
        <v>84</v>
      </c>
      <c r="H234" s="371" t="s">
        <v>2271</v>
      </c>
      <c r="I234" s="206" t="s">
        <v>1449</v>
      </c>
      <c r="J234" s="206" t="s">
        <v>1449</v>
      </c>
      <c r="K234" s="371" t="s">
        <v>2271</v>
      </c>
      <c r="L234" s="206" t="s">
        <v>2143</v>
      </c>
      <c r="M234" s="206" t="s">
        <v>1338</v>
      </c>
      <c r="N234" s="206" t="s">
        <v>59</v>
      </c>
      <c r="O234" s="372">
        <v>45979</v>
      </c>
      <c r="P234" s="372">
        <v>45979</v>
      </c>
      <c r="Q234" s="371" t="s">
        <v>2271</v>
      </c>
      <c r="R234" s="373">
        <v>26660</v>
      </c>
      <c r="S234" s="373">
        <v>26660</v>
      </c>
      <c r="T234" s="371" t="s">
        <v>2271</v>
      </c>
      <c r="U234" s="373">
        <v>12180</v>
      </c>
      <c r="V234" s="373">
        <v>12180</v>
      </c>
      <c r="W234" s="371" t="s">
        <v>2271</v>
      </c>
      <c r="X234" s="373">
        <v>14480</v>
      </c>
      <c r="Y234" s="373">
        <v>14480</v>
      </c>
      <c r="Z234" s="371" t="s">
        <v>2271</v>
      </c>
      <c r="AA234" s="373">
        <v>0</v>
      </c>
      <c r="AB234" s="373">
        <v>14560</v>
      </c>
      <c r="AC234" s="373">
        <v>14560</v>
      </c>
      <c r="AD234" s="371" t="s">
        <v>2271</v>
      </c>
      <c r="AE234" s="373">
        <v>0</v>
      </c>
      <c r="AF234" s="382">
        <v>0.56666666666666698</v>
      </c>
      <c r="AG234" s="382">
        <v>0.56666666666666698</v>
      </c>
      <c r="AH234" s="371" t="s">
        <v>2271</v>
      </c>
      <c r="AI234" s="382">
        <v>0.64097222222222205</v>
      </c>
      <c r="AJ234" s="382">
        <v>0.64097222222222205</v>
      </c>
      <c r="AK234" s="371" t="s">
        <v>2271</v>
      </c>
      <c r="AL234" s="206" t="s">
        <v>42</v>
      </c>
      <c r="AM234" s="206" t="s">
        <v>42</v>
      </c>
      <c r="AN234" s="371" t="s">
        <v>2271</v>
      </c>
      <c r="AO234" s="206" t="s">
        <v>2453</v>
      </c>
      <c r="AP234" s="206" t="s">
        <v>1782</v>
      </c>
      <c r="AQ234" s="206" t="s">
        <v>1132</v>
      </c>
      <c r="AR234" s="207" t="s">
        <v>75</v>
      </c>
    </row>
    <row r="235" spans="1:44" x14ac:dyDescent="0.2">
      <c r="A235" s="370">
        <v>216</v>
      </c>
      <c r="B235" s="380">
        <v>121</v>
      </c>
      <c r="C235" s="371" t="s">
        <v>2337</v>
      </c>
      <c r="D235" s="371" t="s">
        <v>2235</v>
      </c>
      <c r="E235" s="206"/>
      <c r="F235" s="206" t="s">
        <v>1269</v>
      </c>
      <c r="G235" s="206" t="s">
        <v>1269</v>
      </c>
      <c r="H235" s="371" t="s">
        <v>2271</v>
      </c>
      <c r="I235" s="206"/>
      <c r="J235" s="206" t="s">
        <v>1447</v>
      </c>
      <c r="K235" s="371" t="s">
        <v>2276</v>
      </c>
      <c r="L235" s="206" t="s">
        <v>2216</v>
      </c>
      <c r="M235" s="206" t="s">
        <v>1728</v>
      </c>
      <c r="N235" s="206" t="s">
        <v>49</v>
      </c>
      <c r="O235" s="372">
        <v>46238</v>
      </c>
      <c r="P235" s="372">
        <v>46120</v>
      </c>
      <c r="Q235" s="371" t="s">
        <v>2276</v>
      </c>
      <c r="R235" s="373">
        <v>13190</v>
      </c>
      <c r="S235" s="373">
        <v>13190</v>
      </c>
      <c r="T235" s="371" t="s">
        <v>2271</v>
      </c>
      <c r="U235" s="373">
        <v>4130</v>
      </c>
      <c r="V235" s="373">
        <v>4130</v>
      </c>
      <c r="W235" s="371" t="s">
        <v>2271</v>
      </c>
      <c r="X235" s="373">
        <v>9060</v>
      </c>
      <c r="Y235" s="373">
        <v>9060</v>
      </c>
      <c r="Z235" s="371" t="s">
        <v>2271</v>
      </c>
      <c r="AA235" s="373">
        <v>0</v>
      </c>
      <c r="AB235" s="373">
        <v>9030</v>
      </c>
      <c r="AC235" s="373">
        <v>9030</v>
      </c>
      <c r="AD235" s="371" t="s">
        <v>2271</v>
      </c>
      <c r="AE235" s="373">
        <v>0</v>
      </c>
      <c r="AF235" s="382">
        <v>0.66180555555555598</v>
      </c>
      <c r="AG235" s="382"/>
      <c r="AH235" s="371" t="s">
        <v>2276</v>
      </c>
      <c r="AI235" s="382">
        <v>0.686805555555556</v>
      </c>
      <c r="AJ235" s="382"/>
      <c r="AK235" s="371" t="s">
        <v>2276</v>
      </c>
      <c r="AL235" s="206" t="s">
        <v>1221</v>
      </c>
      <c r="AM235" s="206"/>
      <c r="AN235" s="371" t="s">
        <v>2276</v>
      </c>
      <c r="AO235" s="206" t="s">
        <v>2454</v>
      </c>
      <c r="AP235" s="206"/>
      <c r="AQ235" s="206" t="s">
        <v>1131</v>
      </c>
      <c r="AR235" s="207" t="s">
        <v>68</v>
      </c>
    </row>
    <row r="236" spans="1:44" x14ac:dyDescent="0.2">
      <c r="A236" s="370">
        <v>217</v>
      </c>
      <c r="B236" s="380">
        <v>122</v>
      </c>
      <c r="C236" s="371" t="s">
        <v>2269</v>
      </c>
      <c r="D236" s="371" t="s">
        <v>2270</v>
      </c>
      <c r="E236" s="206"/>
      <c r="F236" s="206" t="s">
        <v>46</v>
      </c>
      <c r="G236" s="206" t="s">
        <v>46</v>
      </c>
      <c r="H236" s="371" t="s">
        <v>2271</v>
      </c>
      <c r="I236" s="206" t="s">
        <v>1449</v>
      </c>
      <c r="J236" s="206" t="s">
        <v>1449</v>
      </c>
      <c r="K236" s="371" t="s">
        <v>2271</v>
      </c>
      <c r="L236" s="206" t="s">
        <v>2143</v>
      </c>
      <c r="M236" s="206" t="s">
        <v>1338</v>
      </c>
      <c r="N236" s="206" t="s">
        <v>59</v>
      </c>
      <c r="O236" s="372">
        <v>45979</v>
      </c>
      <c r="P236" s="372">
        <v>45979</v>
      </c>
      <c r="Q236" s="371" t="s">
        <v>2271</v>
      </c>
      <c r="R236" s="373">
        <v>26550</v>
      </c>
      <c r="S236" s="373">
        <v>26550</v>
      </c>
      <c r="T236" s="371" t="s">
        <v>2271</v>
      </c>
      <c r="U236" s="373">
        <v>11710</v>
      </c>
      <c r="V236" s="373">
        <v>11710</v>
      </c>
      <c r="W236" s="371" t="s">
        <v>2271</v>
      </c>
      <c r="X236" s="373">
        <v>14840</v>
      </c>
      <c r="Y236" s="373">
        <v>14840</v>
      </c>
      <c r="Z236" s="371" t="s">
        <v>2271</v>
      </c>
      <c r="AA236" s="373">
        <v>0</v>
      </c>
      <c r="AB236" s="373">
        <v>14780</v>
      </c>
      <c r="AC236" s="373">
        <v>14780</v>
      </c>
      <c r="AD236" s="371" t="s">
        <v>2271</v>
      </c>
      <c r="AE236" s="373">
        <v>0</v>
      </c>
      <c r="AF236" s="382">
        <v>0.56944444444444398</v>
      </c>
      <c r="AG236" s="382">
        <v>0.56944444444444398</v>
      </c>
      <c r="AH236" s="371" t="s">
        <v>2271</v>
      </c>
      <c r="AI236" s="382">
        <v>0.64652777777777803</v>
      </c>
      <c r="AJ236" s="382">
        <v>0.64652777777777803</v>
      </c>
      <c r="AK236" s="371" t="s">
        <v>2271</v>
      </c>
      <c r="AL236" s="206" t="s">
        <v>42</v>
      </c>
      <c r="AM236" s="206" t="s">
        <v>42</v>
      </c>
      <c r="AN236" s="371" t="s">
        <v>2271</v>
      </c>
      <c r="AO236" s="206" t="s">
        <v>2455</v>
      </c>
      <c r="AP236" s="206" t="s">
        <v>1393</v>
      </c>
      <c r="AQ236" s="206" t="s">
        <v>1132</v>
      </c>
      <c r="AR236" s="207" t="s">
        <v>75</v>
      </c>
    </row>
    <row r="237" spans="1:44" x14ac:dyDescent="0.2">
      <c r="A237" s="370">
        <v>218</v>
      </c>
      <c r="B237" s="380">
        <v>122</v>
      </c>
      <c r="C237" s="371" t="s">
        <v>2337</v>
      </c>
      <c r="D237" s="371" t="s">
        <v>2235</v>
      </c>
      <c r="E237" s="206"/>
      <c r="F237" s="206" t="s">
        <v>1270</v>
      </c>
      <c r="G237" s="206" t="s">
        <v>1270</v>
      </c>
      <c r="H237" s="371" t="s">
        <v>2271</v>
      </c>
      <c r="I237" s="206"/>
      <c r="J237" s="206" t="s">
        <v>1447</v>
      </c>
      <c r="K237" s="371" t="s">
        <v>2276</v>
      </c>
      <c r="L237" s="206" t="s">
        <v>2216</v>
      </c>
      <c r="M237" s="206" t="s">
        <v>1728</v>
      </c>
      <c r="N237" s="206" t="s">
        <v>49</v>
      </c>
      <c r="O237" s="372">
        <v>46238</v>
      </c>
      <c r="P237" s="372">
        <v>46120</v>
      </c>
      <c r="Q237" s="371" t="s">
        <v>2276</v>
      </c>
      <c r="R237" s="373">
        <v>13870</v>
      </c>
      <c r="S237" s="373">
        <v>13870</v>
      </c>
      <c r="T237" s="371" t="s">
        <v>2271</v>
      </c>
      <c r="U237" s="373">
        <v>3940</v>
      </c>
      <c r="V237" s="373">
        <v>3940</v>
      </c>
      <c r="W237" s="371" t="s">
        <v>2271</v>
      </c>
      <c r="X237" s="373">
        <v>9930</v>
      </c>
      <c r="Y237" s="373">
        <v>9930</v>
      </c>
      <c r="Z237" s="371" t="s">
        <v>2271</v>
      </c>
      <c r="AA237" s="373">
        <v>0</v>
      </c>
      <c r="AB237" s="373">
        <v>9890</v>
      </c>
      <c r="AC237" s="373">
        <v>9890</v>
      </c>
      <c r="AD237" s="371" t="s">
        <v>2271</v>
      </c>
      <c r="AE237" s="373">
        <v>0</v>
      </c>
      <c r="AF237" s="382">
        <v>0.66319444444444398</v>
      </c>
      <c r="AG237" s="382"/>
      <c r="AH237" s="371" t="s">
        <v>2276</v>
      </c>
      <c r="AI237" s="382">
        <v>0.69097222222222199</v>
      </c>
      <c r="AJ237" s="382"/>
      <c r="AK237" s="371" t="s">
        <v>2276</v>
      </c>
      <c r="AL237" s="206" t="s">
        <v>1221</v>
      </c>
      <c r="AM237" s="206"/>
      <c r="AN237" s="371" t="s">
        <v>2276</v>
      </c>
      <c r="AO237" s="206" t="s">
        <v>2456</v>
      </c>
      <c r="AP237" s="206"/>
      <c r="AQ237" s="206" t="s">
        <v>1131</v>
      </c>
      <c r="AR237" s="207" t="s">
        <v>68</v>
      </c>
    </row>
    <row r="238" spans="1:44" x14ac:dyDescent="0.2">
      <c r="A238" s="370">
        <v>219</v>
      </c>
      <c r="B238" s="380">
        <v>123</v>
      </c>
      <c r="C238" s="371" t="s">
        <v>2275</v>
      </c>
      <c r="D238" s="371" t="s">
        <v>2235</v>
      </c>
      <c r="E238" s="206"/>
      <c r="F238" s="206" t="s">
        <v>84</v>
      </c>
      <c r="G238" s="206" t="s">
        <v>84</v>
      </c>
      <c r="H238" s="371" t="s">
        <v>2271</v>
      </c>
      <c r="I238" s="206" t="s">
        <v>2145</v>
      </c>
      <c r="J238" s="206" t="s">
        <v>1340</v>
      </c>
      <c r="K238" s="371" t="s">
        <v>2276</v>
      </c>
      <c r="L238" s="206" t="s">
        <v>2146</v>
      </c>
      <c r="M238" s="206" t="s">
        <v>1339</v>
      </c>
      <c r="N238" s="206" t="s">
        <v>78</v>
      </c>
      <c r="O238" s="372">
        <v>45983</v>
      </c>
      <c r="P238" s="372">
        <v>45983</v>
      </c>
      <c r="Q238" s="371" t="s">
        <v>2271</v>
      </c>
      <c r="R238" s="373">
        <v>26420</v>
      </c>
      <c r="S238" s="373">
        <v>26420</v>
      </c>
      <c r="T238" s="371" t="s">
        <v>2271</v>
      </c>
      <c r="U238" s="373">
        <v>12120</v>
      </c>
      <c r="V238" s="373">
        <v>12120</v>
      </c>
      <c r="W238" s="371" t="s">
        <v>2271</v>
      </c>
      <c r="X238" s="373">
        <v>14300</v>
      </c>
      <c r="Y238" s="373">
        <v>14300</v>
      </c>
      <c r="Z238" s="371" t="s">
        <v>2271</v>
      </c>
      <c r="AA238" s="373">
        <v>0</v>
      </c>
      <c r="AB238" s="373">
        <v>14260</v>
      </c>
      <c r="AC238" s="373">
        <v>14260</v>
      </c>
      <c r="AD238" s="371" t="s">
        <v>2271</v>
      </c>
      <c r="AE238" s="373">
        <v>0</v>
      </c>
      <c r="AF238" s="382">
        <v>0.58263888888888904</v>
      </c>
      <c r="AG238" s="382">
        <v>0.58263888888888904</v>
      </c>
      <c r="AH238" s="371" t="s">
        <v>2271</v>
      </c>
      <c r="AI238" s="382">
        <v>0.64861111111111103</v>
      </c>
      <c r="AJ238" s="382">
        <v>0.64861111111111103</v>
      </c>
      <c r="AK238" s="371" t="s">
        <v>2271</v>
      </c>
      <c r="AL238" s="206" t="s">
        <v>42</v>
      </c>
      <c r="AM238" s="206" t="s">
        <v>42</v>
      </c>
      <c r="AN238" s="371" t="s">
        <v>2271</v>
      </c>
      <c r="AO238" s="206" t="s">
        <v>2457</v>
      </c>
      <c r="AP238" s="206" t="s">
        <v>1782</v>
      </c>
      <c r="AQ238" s="206" t="s">
        <v>1132</v>
      </c>
      <c r="AR238" s="207" t="s">
        <v>88</v>
      </c>
    </row>
    <row r="239" spans="1:44" x14ac:dyDescent="0.2">
      <c r="A239" s="370">
        <v>220</v>
      </c>
      <c r="B239" s="380">
        <v>123</v>
      </c>
      <c r="C239" s="371" t="s">
        <v>2337</v>
      </c>
      <c r="D239" s="371" t="s">
        <v>2235</v>
      </c>
      <c r="E239" s="206"/>
      <c r="F239" s="206" t="s">
        <v>177</v>
      </c>
      <c r="G239" s="206" t="s">
        <v>177</v>
      </c>
      <c r="H239" s="371" t="s">
        <v>2271</v>
      </c>
      <c r="I239" s="206"/>
      <c r="J239" s="206" t="s">
        <v>1447</v>
      </c>
      <c r="K239" s="371" t="s">
        <v>2276</v>
      </c>
      <c r="L239" s="206" t="s">
        <v>2216</v>
      </c>
      <c r="M239" s="206" t="s">
        <v>1728</v>
      </c>
      <c r="N239" s="206" t="s">
        <v>49</v>
      </c>
      <c r="O239" s="372">
        <v>46238</v>
      </c>
      <c r="P239" s="372">
        <v>46120</v>
      </c>
      <c r="Q239" s="371" t="s">
        <v>2276</v>
      </c>
      <c r="R239" s="373">
        <v>13820</v>
      </c>
      <c r="S239" s="373">
        <v>13820</v>
      </c>
      <c r="T239" s="371" t="s">
        <v>2271</v>
      </c>
      <c r="U239" s="373">
        <v>4150</v>
      </c>
      <c r="V239" s="373">
        <v>4150</v>
      </c>
      <c r="W239" s="371" t="s">
        <v>2271</v>
      </c>
      <c r="X239" s="373">
        <v>9670</v>
      </c>
      <c r="Y239" s="373">
        <v>9670</v>
      </c>
      <c r="Z239" s="371" t="s">
        <v>2271</v>
      </c>
      <c r="AA239" s="373">
        <v>0</v>
      </c>
      <c r="AB239" s="373">
        <v>9620</v>
      </c>
      <c r="AC239" s="373">
        <v>9620</v>
      </c>
      <c r="AD239" s="371" t="s">
        <v>2271</v>
      </c>
      <c r="AE239" s="373">
        <v>0</v>
      </c>
      <c r="AF239" s="382">
        <v>0.68333333333333302</v>
      </c>
      <c r="AG239" s="382"/>
      <c r="AH239" s="371" t="s">
        <v>2276</v>
      </c>
      <c r="AI239" s="382">
        <v>0.69791666666666696</v>
      </c>
      <c r="AJ239" s="382"/>
      <c r="AK239" s="371" t="s">
        <v>2276</v>
      </c>
      <c r="AL239" s="206" t="s">
        <v>1221</v>
      </c>
      <c r="AM239" s="206"/>
      <c r="AN239" s="371" t="s">
        <v>2276</v>
      </c>
      <c r="AO239" s="206" t="s">
        <v>2458</v>
      </c>
      <c r="AP239" s="206"/>
      <c r="AQ239" s="206" t="s">
        <v>1131</v>
      </c>
      <c r="AR239" s="207" t="s">
        <v>68</v>
      </c>
    </row>
    <row r="240" spans="1:44" x14ac:dyDescent="0.2">
      <c r="A240" s="370">
        <v>221</v>
      </c>
      <c r="B240" s="380">
        <v>124</v>
      </c>
      <c r="C240" s="371" t="s">
        <v>2275</v>
      </c>
      <c r="D240" s="371" t="s">
        <v>2235</v>
      </c>
      <c r="E240" s="206"/>
      <c r="F240" s="206" t="s">
        <v>46</v>
      </c>
      <c r="G240" s="206" t="s">
        <v>46</v>
      </c>
      <c r="H240" s="371" t="s">
        <v>2271</v>
      </c>
      <c r="I240" s="206" t="s">
        <v>2145</v>
      </c>
      <c r="J240" s="206" t="s">
        <v>1340</v>
      </c>
      <c r="K240" s="371" t="s">
        <v>2276</v>
      </c>
      <c r="L240" s="206" t="s">
        <v>2146</v>
      </c>
      <c r="M240" s="206" t="s">
        <v>1339</v>
      </c>
      <c r="N240" s="206" t="s">
        <v>78</v>
      </c>
      <c r="O240" s="372">
        <v>45983</v>
      </c>
      <c r="P240" s="372">
        <v>45983</v>
      </c>
      <c r="Q240" s="371" t="s">
        <v>2271</v>
      </c>
      <c r="R240" s="373">
        <v>26300</v>
      </c>
      <c r="S240" s="373">
        <v>26300</v>
      </c>
      <c r="T240" s="371" t="s">
        <v>2271</v>
      </c>
      <c r="U240" s="373">
        <v>11690</v>
      </c>
      <c r="V240" s="373">
        <v>11690</v>
      </c>
      <c r="W240" s="371" t="s">
        <v>2271</v>
      </c>
      <c r="X240" s="373">
        <v>14610</v>
      </c>
      <c r="Y240" s="373">
        <v>14610</v>
      </c>
      <c r="Z240" s="371" t="s">
        <v>2271</v>
      </c>
      <c r="AA240" s="373">
        <v>0</v>
      </c>
      <c r="AB240" s="373">
        <v>14620</v>
      </c>
      <c r="AC240" s="373">
        <v>14620</v>
      </c>
      <c r="AD240" s="371" t="s">
        <v>2271</v>
      </c>
      <c r="AE240" s="373">
        <v>0</v>
      </c>
      <c r="AF240" s="382">
        <v>0.58888888888888902</v>
      </c>
      <c r="AG240" s="382">
        <v>0.58888888888888902</v>
      </c>
      <c r="AH240" s="371" t="s">
        <v>2271</v>
      </c>
      <c r="AI240" s="382">
        <v>0.66111111111111098</v>
      </c>
      <c r="AJ240" s="382">
        <v>0.66111111111111098</v>
      </c>
      <c r="AK240" s="371" t="s">
        <v>2271</v>
      </c>
      <c r="AL240" s="206" t="s">
        <v>42</v>
      </c>
      <c r="AM240" s="206" t="s">
        <v>42</v>
      </c>
      <c r="AN240" s="371" t="s">
        <v>2271</v>
      </c>
      <c r="AO240" s="206" t="s">
        <v>2459</v>
      </c>
      <c r="AP240" s="206" t="s">
        <v>1393</v>
      </c>
      <c r="AQ240" s="206" t="s">
        <v>1132</v>
      </c>
      <c r="AR240" s="207" t="s">
        <v>88</v>
      </c>
    </row>
    <row r="241" spans="1:44" x14ac:dyDescent="0.2">
      <c r="A241" s="370">
        <v>222</v>
      </c>
      <c r="B241" s="380">
        <v>124</v>
      </c>
      <c r="C241" s="371" t="s">
        <v>2337</v>
      </c>
      <c r="D241" s="371" t="s">
        <v>2235</v>
      </c>
      <c r="E241" s="206"/>
      <c r="F241" s="206" t="s">
        <v>1271</v>
      </c>
      <c r="G241" s="206" t="s">
        <v>1271</v>
      </c>
      <c r="H241" s="371" t="s">
        <v>2271</v>
      </c>
      <c r="I241" s="206"/>
      <c r="J241" s="206" t="s">
        <v>1447</v>
      </c>
      <c r="K241" s="371" t="s">
        <v>2276</v>
      </c>
      <c r="L241" s="206" t="s">
        <v>2216</v>
      </c>
      <c r="M241" s="206" t="s">
        <v>1728</v>
      </c>
      <c r="N241" s="206" t="s">
        <v>49</v>
      </c>
      <c r="O241" s="372">
        <v>46238</v>
      </c>
      <c r="P241" s="372">
        <v>46120</v>
      </c>
      <c r="Q241" s="371" t="s">
        <v>2276</v>
      </c>
      <c r="R241" s="373">
        <v>13370</v>
      </c>
      <c r="S241" s="373">
        <v>13370</v>
      </c>
      <c r="T241" s="371" t="s">
        <v>2271</v>
      </c>
      <c r="U241" s="373">
        <v>4000</v>
      </c>
      <c r="V241" s="373">
        <v>4000</v>
      </c>
      <c r="W241" s="371" t="s">
        <v>2271</v>
      </c>
      <c r="X241" s="373">
        <v>9370</v>
      </c>
      <c r="Y241" s="373">
        <v>9370</v>
      </c>
      <c r="Z241" s="371" t="s">
        <v>2271</v>
      </c>
      <c r="AA241" s="373">
        <v>0</v>
      </c>
      <c r="AB241" s="373">
        <v>9360</v>
      </c>
      <c r="AC241" s="373">
        <v>9360</v>
      </c>
      <c r="AD241" s="371" t="s">
        <v>2271</v>
      </c>
      <c r="AE241" s="373">
        <v>0</v>
      </c>
      <c r="AF241" s="382">
        <v>0.68958333333333299</v>
      </c>
      <c r="AG241" s="382"/>
      <c r="AH241" s="371" t="s">
        <v>2276</v>
      </c>
      <c r="AI241" s="382">
        <v>0.71875</v>
      </c>
      <c r="AJ241" s="382"/>
      <c r="AK241" s="371" t="s">
        <v>2276</v>
      </c>
      <c r="AL241" s="206" t="s">
        <v>1221</v>
      </c>
      <c r="AM241" s="206"/>
      <c r="AN241" s="371" t="s">
        <v>2276</v>
      </c>
      <c r="AO241" s="206" t="s">
        <v>2460</v>
      </c>
      <c r="AP241" s="206"/>
      <c r="AQ241" s="206" t="s">
        <v>1131</v>
      </c>
      <c r="AR241" s="207" t="s">
        <v>68</v>
      </c>
    </row>
    <row r="242" spans="1:44" x14ac:dyDescent="0.2">
      <c r="A242" s="370">
        <v>223</v>
      </c>
      <c r="B242" s="380">
        <v>125</v>
      </c>
      <c r="C242" s="371" t="s">
        <v>2275</v>
      </c>
      <c r="D242" s="371" t="s">
        <v>2235</v>
      </c>
      <c r="E242" s="206"/>
      <c r="F242" s="206" t="s">
        <v>56</v>
      </c>
      <c r="G242" s="206" t="s">
        <v>56</v>
      </c>
      <c r="H242" s="371" t="s">
        <v>2271</v>
      </c>
      <c r="I242" s="206" t="s">
        <v>2145</v>
      </c>
      <c r="J242" s="206" t="s">
        <v>1340</v>
      </c>
      <c r="K242" s="371" t="s">
        <v>2276</v>
      </c>
      <c r="L242" s="206" t="s">
        <v>2146</v>
      </c>
      <c r="M242" s="206" t="s">
        <v>1339</v>
      </c>
      <c r="N242" s="206" t="s">
        <v>78</v>
      </c>
      <c r="O242" s="372">
        <v>45983</v>
      </c>
      <c r="P242" s="372">
        <v>45983</v>
      </c>
      <c r="Q242" s="371" t="s">
        <v>2271</v>
      </c>
      <c r="R242" s="373">
        <v>24860</v>
      </c>
      <c r="S242" s="373">
        <v>24860</v>
      </c>
      <c r="T242" s="371" t="s">
        <v>2271</v>
      </c>
      <c r="U242" s="373">
        <v>10810</v>
      </c>
      <c r="V242" s="373">
        <v>10810</v>
      </c>
      <c r="W242" s="371" t="s">
        <v>2271</v>
      </c>
      <c r="X242" s="373">
        <v>14050</v>
      </c>
      <c r="Y242" s="373">
        <v>14050</v>
      </c>
      <c r="Z242" s="371" t="s">
        <v>2271</v>
      </c>
      <c r="AA242" s="373">
        <v>0</v>
      </c>
      <c r="AB242" s="373">
        <v>13990</v>
      </c>
      <c r="AC242" s="373">
        <v>13990</v>
      </c>
      <c r="AD242" s="371" t="s">
        <v>2271</v>
      </c>
      <c r="AE242" s="373">
        <v>0</v>
      </c>
      <c r="AF242" s="382">
        <v>0.60694444444444395</v>
      </c>
      <c r="AG242" s="382">
        <v>0.60694444444444395</v>
      </c>
      <c r="AH242" s="371" t="s">
        <v>2271</v>
      </c>
      <c r="AI242" s="382">
        <v>0.68125000000000002</v>
      </c>
      <c r="AJ242" s="382">
        <v>0.68125000000000002</v>
      </c>
      <c r="AK242" s="371" t="s">
        <v>2271</v>
      </c>
      <c r="AL242" s="206" t="s">
        <v>42</v>
      </c>
      <c r="AM242" s="206" t="s">
        <v>42</v>
      </c>
      <c r="AN242" s="371" t="s">
        <v>2271</v>
      </c>
      <c r="AO242" s="206" t="s">
        <v>2461</v>
      </c>
      <c r="AP242" s="206" t="s">
        <v>1781</v>
      </c>
      <c r="AQ242" s="206" t="s">
        <v>1132</v>
      </c>
      <c r="AR242" s="207" t="s">
        <v>88</v>
      </c>
    </row>
    <row r="243" spans="1:44" x14ac:dyDescent="0.2">
      <c r="A243" s="370">
        <v>224</v>
      </c>
      <c r="B243" s="380">
        <v>125</v>
      </c>
      <c r="C243" s="371" t="s">
        <v>2337</v>
      </c>
      <c r="D243" s="371" t="s">
        <v>2235</v>
      </c>
      <c r="E243" s="206"/>
      <c r="F243" s="206" t="s">
        <v>46</v>
      </c>
      <c r="G243" s="206" t="s">
        <v>46</v>
      </c>
      <c r="H243" s="371" t="s">
        <v>2271</v>
      </c>
      <c r="I243" s="206"/>
      <c r="J243" s="206" t="s">
        <v>1447</v>
      </c>
      <c r="K243" s="371" t="s">
        <v>2276</v>
      </c>
      <c r="L243" s="206" t="s">
        <v>2216</v>
      </c>
      <c r="M243" s="206" t="s">
        <v>1728</v>
      </c>
      <c r="N243" s="206" t="s">
        <v>49</v>
      </c>
      <c r="O243" s="372">
        <v>46238</v>
      </c>
      <c r="P243" s="372">
        <v>46120</v>
      </c>
      <c r="Q243" s="371" t="s">
        <v>2276</v>
      </c>
      <c r="R243" s="373">
        <v>26690</v>
      </c>
      <c r="S243" s="373">
        <v>26690</v>
      </c>
      <c r="T243" s="371" t="s">
        <v>2271</v>
      </c>
      <c r="U243" s="373">
        <v>11860</v>
      </c>
      <c r="V243" s="373">
        <v>11860</v>
      </c>
      <c r="W243" s="371" t="s">
        <v>2271</v>
      </c>
      <c r="X243" s="373">
        <v>14830</v>
      </c>
      <c r="Y243" s="373">
        <v>14830</v>
      </c>
      <c r="Z243" s="371" t="s">
        <v>2271</v>
      </c>
      <c r="AA243" s="373">
        <v>0</v>
      </c>
      <c r="AB243" s="373">
        <v>14800</v>
      </c>
      <c r="AC243" s="373">
        <v>14800</v>
      </c>
      <c r="AD243" s="371" t="s">
        <v>2271</v>
      </c>
      <c r="AE243" s="373">
        <v>0</v>
      </c>
      <c r="AF243" s="382">
        <v>0.71458333333333302</v>
      </c>
      <c r="AG243" s="382"/>
      <c r="AH243" s="371" t="s">
        <v>2276</v>
      </c>
      <c r="AI243" s="382">
        <v>0.75277777777777799</v>
      </c>
      <c r="AJ243" s="382"/>
      <c r="AK243" s="371" t="s">
        <v>2276</v>
      </c>
      <c r="AL243" s="206" t="s">
        <v>1221</v>
      </c>
      <c r="AM243" s="206"/>
      <c r="AN243" s="371" t="s">
        <v>2276</v>
      </c>
      <c r="AO243" s="206" t="s">
        <v>2462</v>
      </c>
      <c r="AP243" s="206" t="s">
        <v>1393</v>
      </c>
      <c r="AQ243" s="206" t="s">
        <v>1132</v>
      </c>
      <c r="AR243" s="207" t="s">
        <v>68</v>
      </c>
    </row>
    <row r="244" spans="1:44" x14ac:dyDescent="0.2">
      <c r="A244" s="370">
        <v>225</v>
      </c>
      <c r="B244" s="380">
        <v>126</v>
      </c>
      <c r="C244" s="371" t="s">
        <v>2275</v>
      </c>
      <c r="D244" s="371" t="s">
        <v>2235</v>
      </c>
      <c r="E244" s="206"/>
      <c r="F244" s="206" t="s">
        <v>84</v>
      </c>
      <c r="G244" s="206" t="s">
        <v>84</v>
      </c>
      <c r="H244" s="371" t="s">
        <v>2271</v>
      </c>
      <c r="I244" s="206" t="s">
        <v>2145</v>
      </c>
      <c r="J244" s="206" t="s">
        <v>1340</v>
      </c>
      <c r="K244" s="371" t="s">
        <v>2276</v>
      </c>
      <c r="L244" s="206" t="s">
        <v>2146</v>
      </c>
      <c r="M244" s="206" t="s">
        <v>1339</v>
      </c>
      <c r="N244" s="206" t="s">
        <v>78</v>
      </c>
      <c r="O244" s="372">
        <v>45983</v>
      </c>
      <c r="P244" s="372">
        <v>45983</v>
      </c>
      <c r="Q244" s="371" t="s">
        <v>2271</v>
      </c>
      <c r="R244" s="373">
        <v>26500</v>
      </c>
      <c r="S244" s="373">
        <v>26500</v>
      </c>
      <c r="T244" s="371" t="s">
        <v>2271</v>
      </c>
      <c r="U244" s="373">
        <v>12160</v>
      </c>
      <c r="V244" s="373">
        <v>12160</v>
      </c>
      <c r="W244" s="371" t="s">
        <v>2271</v>
      </c>
      <c r="X244" s="373">
        <v>14340</v>
      </c>
      <c r="Y244" s="373">
        <v>14340</v>
      </c>
      <c r="Z244" s="371" t="s">
        <v>2271</v>
      </c>
      <c r="AA244" s="373">
        <v>0</v>
      </c>
      <c r="AB244" s="373">
        <v>14410</v>
      </c>
      <c r="AC244" s="373">
        <v>14410</v>
      </c>
      <c r="AD244" s="371" t="s">
        <v>2271</v>
      </c>
      <c r="AE244" s="373">
        <v>0</v>
      </c>
      <c r="AF244" s="382">
        <v>0.72986111111111096</v>
      </c>
      <c r="AG244" s="382">
        <v>0.72986111111111096</v>
      </c>
      <c r="AH244" s="371" t="s">
        <v>2271</v>
      </c>
      <c r="AI244" s="382">
        <v>0.781944444444444</v>
      </c>
      <c r="AJ244" s="382">
        <v>0.781944444444444</v>
      </c>
      <c r="AK244" s="371" t="s">
        <v>2271</v>
      </c>
      <c r="AL244" s="206" t="s">
        <v>42</v>
      </c>
      <c r="AM244" s="206" t="s">
        <v>42</v>
      </c>
      <c r="AN244" s="371" t="s">
        <v>2271</v>
      </c>
      <c r="AO244" s="206" t="s">
        <v>2463</v>
      </c>
      <c r="AP244" s="206" t="s">
        <v>1782</v>
      </c>
      <c r="AQ244" s="206" t="s">
        <v>1132</v>
      </c>
      <c r="AR244" s="207" t="s">
        <v>88</v>
      </c>
    </row>
    <row r="245" spans="1:44" x14ac:dyDescent="0.2">
      <c r="A245" s="370">
        <v>226</v>
      </c>
      <c r="B245" s="380">
        <v>126</v>
      </c>
      <c r="C245" s="371" t="s">
        <v>2337</v>
      </c>
      <c r="D245" s="371" t="s">
        <v>2235</v>
      </c>
      <c r="E245" s="206"/>
      <c r="F245" s="206" t="s">
        <v>215</v>
      </c>
      <c r="G245" s="206" t="s">
        <v>215</v>
      </c>
      <c r="H245" s="371" t="s">
        <v>2271</v>
      </c>
      <c r="I245" s="206"/>
      <c r="J245" s="206" t="s">
        <v>1447</v>
      </c>
      <c r="K245" s="371" t="s">
        <v>2276</v>
      </c>
      <c r="L245" s="206" t="s">
        <v>2216</v>
      </c>
      <c r="M245" s="206" t="s">
        <v>1728</v>
      </c>
      <c r="N245" s="206" t="s">
        <v>49</v>
      </c>
      <c r="O245" s="372">
        <v>46238</v>
      </c>
      <c r="P245" s="372">
        <v>46120</v>
      </c>
      <c r="Q245" s="371" t="s">
        <v>2276</v>
      </c>
      <c r="R245" s="373">
        <v>12760</v>
      </c>
      <c r="S245" s="373">
        <v>12760</v>
      </c>
      <c r="T245" s="371" t="s">
        <v>2271</v>
      </c>
      <c r="U245" s="373">
        <v>3960</v>
      </c>
      <c r="V245" s="373">
        <v>3960</v>
      </c>
      <c r="W245" s="371" t="s">
        <v>2271</v>
      </c>
      <c r="X245" s="373">
        <v>8800</v>
      </c>
      <c r="Y245" s="373">
        <v>8800</v>
      </c>
      <c r="Z245" s="371" t="s">
        <v>2271</v>
      </c>
      <c r="AA245" s="373">
        <v>0</v>
      </c>
      <c r="AB245" s="373">
        <v>8760</v>
      </c>
      <c r="AC245" s="373">
        <v>8760</v>
      </c>
      <c r="AD245" s="371" t="s">
        <v>2271</v>
      </c>
      <c r="AE245" s="373">
        <v>0</v>
      </c>
      <c r="AF245" s="382">
        <v>0.71666666666666701</v>
      </c>
      <c r="AG245" s="382"/>
      <c r="AH245" s="371" t="s">
        <v>2276</v>
      </c>
      <c r="AI245" s="382">
        <v>0.74375000000000002</v>
      </c>
      <c r="AJ245" s="382"/>
      <c r="AK245" s="371" t="s">
        <v>2276</v>
      </c>
      <c r="AL245" s="206" t="s">
        <v>1221</v>
      </c>
      <c r="AM245" s="206"/>
      <c r="AN245" s="371" t="s">
        <v>2276</v>
      </c>
      <c r="AO245" s="206" t="s">
        <v>2464</v>
      </c>
      <c r="AP245" s="206"/>
      <c r="AQ245" s="206" t="s">
        <v>1131</v>
      </c>
      <c r="AR245" s="207" t="s">
        <v>68</v>
      </c>
    </row>
    <row r="246" spans="1:44" x14ac:dyDescent="0.2">
      <c r="A246" s="370">
        <v>227</v>
      </c>
      <c r="B246" s="380">
        <v>127</v>
      </c>
      <c r="C246" s="371" t="s">
        <v>2275</v>
      </c>
      <c r="D246" s="371" t="s">
        <v>2235</v>
      </c>
      <c r="E246" s="206"/>
      <c r="F246" s="206" t="s">
        <v>46</v>
      </c>
      <c r="G246" s="206" t="s">
        <v>46</v>
      </c>
      <c r="H246" s="371" t="s">
        <v>2271</v>
      </c>
      <c r="I246" s="206" t="s">
        <v>2145</v>
      </c>
      <c r="J246" s="206" t="s">
        <v>1340</v>
      </c>
      <c r="K246" s="371" t="s">
        <v>2276</v>
      </c>
      <c r="L246" s="206" t="s">
        <v>2146</v>
      </c>
      <c r="M246" s="206" t="s">
        <v>1339</v>
      </c>
      <c r="N246" s="206" t="s">
        <v>78</v>
      </c>
      <c r="O246" s="372">
        <v>45983</v>
      </c>
      <c r="P246" s="372">
        <v>45983</v>
      </c>
      <c r="Q246" s="371" t="s">
        <v>2271</v>
      </c>
      <c r="R246" s="373">
        <v>26320</v>
      </c>
      <c r="S246" s="373">
        <v>26320</v>
      </c>
      <c r="T246" s="371" t="s">
        <v>2271</v>
      </c>
      <c r="U246" s="373">
        <v>11700</v>
      </c>
      <c r="V246" s="373">
        <v>11700</v>
      </c>
      <c r="W246" s="371" t="s">
        <v>2271</v>
      </c>
      <c r="X246" s="373">
        <v>14620</v>
      </c>
      <c r="Y246" s="373">
        <v>14620</v>
      </c>
      <c r="Z246" s="371" t="s">
        <v>2271</v>
      </c>
      <c r="AA246" s="373">
        <v>0</v>
      </c>
      <c r="AB246" s="373">
        <v>14660</v>
      </c>
      <c r="AC246" s="373">
        <v>14660</v>
      </c>
      <c r="AD246" s="371" t="s">
        <v>2271</v>
      </c>
      <c r="AE246" s="373">
        <v>0</v>
      </c>
      <c r="AF246" s="382">
        <v>0.75833333333333297</v>
      </c>
      <c r="AG246" s="382">
        <v>0.75833333333333297</v>
      </c>
      <c r="AH246" s="371" t="s">
        <v>2271</v>
      </c>
      <c r="AI246" s="382">
        <v>0.80416666666666703</v>
      </c>
      <c r="AJ246" s="382">
        <v>0.80416666666666703</v>
      </c>
      <c r="AK246" s="371" t="s">
        <v>2271</v>
      </c>
      <c r="AL246" s="206" t="s">
        <v>42</v>
      </c>
      <c r="AM246" s="206" t="s">
        <v>42</v>
      </c>
      <c r="AN246" s="371" t="s">
        <v>2271</v>
      </c>
      <c r="AO246" s="206" t="s">
        <v>2465</v>
      </c>
      <c r="AP246" s="206" t="s">
        <v>1393</v>
      </c>
      <c r="AQ246" s="206" t="s">
        <v>1132</v>
      </c>
      <c r="AR246" s="207" t="s">
        <v>88</v>
      </c>
    </row>
    <row r="247" spans="1:44" x14ac:dyDescent="0.2">
      <c r="A247" s="370">
        <v>228</v>
      </c>
      <c r="B247" s="380">
        <v>127</v>
      </c>
      <c r="C247" s="371" t="s">
        <v>2337</v>
      </c>
      <c r="D247" s="371" t="s">
        <v>2235</v>
      </c>
      <c r="E247" s="206"/>
      <c r="F247" s="206" t="s">
        <v>211</v>
      </c>
      <c r="G247" s="206" t="s">
        <v>211</v>
      </c>
      <c r="H247" s="371" t="s">
        <v>2271</v>
      </c>
      <c r="I247" s="206"/>
      <c r="J247" s="206" t="s">
        <v>1447</v>
      </c>
      <c r="K247" s="371" t="s">
        <v>2276</v>
      </c>
      <c r="L247" s="206" t="s">
        <v>2216</v>
      </c>
      <c r="M247" s="206" t="s">
        <v>1728</v>
      </c>
      <c r="N247" s="206" t="s">
        <v>49</v>
      </c>
      <c r="O247" s="372">
        <v>46238</v>
      </c>
      <c r="P247" s="372">
        <v>46120</v>
      </c>
      <c r="Q247" s="371" t="s">
        <v>2276</v>
      </c>
      <c r="R247" s="373">
        <v>12950</v>
      </c>
      <c r="S247" s="373">
        <v>12950</v>
      </c>
      <c r="T247" s="371" t="s">
        <v>2271</v>
      </c>
      <c r="U247" s="373">
        <v>3930</v>
      </c>
      <c r="V247" s="373">
        <v>3930</v>
      </c>
      <c r="W247" s="371" t="s">
        <v>2271</v>
      </c>
      <c r="X247" s="373">
        <v>9020</v>
      </c>
      <c r="Y247" s="373">
        <v>9020</v>
      </c>
      <c r="Z247" s="371" t="s">
        <v>2271</v>
      </c>
      <c r="AA247" s="373">
        <v>0</v>
      </c>
      <c r="AB247" s="373">
        <v>8990</v>
      </c>
      <c r="AC247" s="373">
        <v>8990</v>
      </c>
      <c r="AD247" s="371" t="s">
        <v>2271</v>
      </c>
      <c r="AE247" s="373">
        <v>0</v>
      </c>
      <c r="AF247" s="382">
        <v>0.72152777777777799</v>
      </c>
      <c r="AG247" s="382"/>
      <c r="AH247" s="371" t="s">
        <v>2276</v>
      </c>
      <c r="AI247" s="382">
        <v>0.74513888888888902</v>
      </c>
      <c r="AJ247" s="382"/>
      <c r="AK247" s="371" t="s">
        <v>2276</v>
      </c>
      <c r="AL247" s="206" t="s">
        <v>1221</v>
      </c>
      <c r="AM247" s="206"/>
      <c r="AN247" s="371" t="s">
        <v>2276</v>
      </c>
      <c r="AO247" s="206" t="s">
        <v>2466</v>
      </c>
      <c r="AP247" s="206"/>
      <c r="AQ247" s="206" t="s">
        <v>1131</v>
      </c>
      <c r="AR247" s="207" t="s">
        <v>68</v>
      </c>
    </row>
    <row r="248" spans="1:44" x14ac:dyDescent="0.2">
      <c r="A248" s="370">
        <v>229</v>
      </c>
      <c r="B248" s="380">
        <v>128</v>
      </c>
      <c r="C248" s="371" t="s">
        <v>2275</v>
      </c>
      <c r="D248" s="371" t="s">
        <v>2235</v>
      </c>
      <c r="E248" s="206"/>
      <c r="F248" s="206" t="s">
        <v>56</v>
      </c>
      <c r="G248" s="206" t="s">
        <v>56</v>
      </c>
      <c r="H248" s="371" t="s">
        <v>2271</v>
      </c>
      <c r="I248" s="206" t="s">
        <v>2145</v>
      </c>
      <c r="J248" s="206" t="s">
        <v>1340</v>
      </c>
      <c r="K248" s="371" t="s">
        <v>2276</v>
      </c>
      <c r="L248" s="206" t="s">
        <v>2146</v>
      </c>
      <c r="M248" s="206" t="s">
        <v>1339</v>
      </c>
      <c r="N248" s="206" t="s">
        <v>78</v>
      </c>
      <c r="O248" s="372">
        <v>45983</v>
      </c>
      <c r="P248" s="372">
        <v>45983</v>
      </c>
      <c r="Q248" s="371" t="s">
        <v>2271</v>
      </c>
      <c r="R248" s="373">
        <v>24890</v>
      </c>
      <c r="S248" s="373">
        <v>24890</v>
      </c>
      <c r="T248" s="371" t="s">
        <v>2271</v>
      </c>
      <c r="U248" s="373">
        <v>10830</v>
      </c>
      <c r="V248" s="373">
        <v>10830</v>
      </c>
      <c r="W248" s="371" t="s">
        <v>2271</v>
      </c>
      <c r="X248" s="373">
        <v>14060</v>
      </c>
      <c r="Y248" s="373">
        <v>14060</v>
      </c>
      <c r="Z248" s="371" t="s">
        <v>2271</v>
      </c>
      <c r="AA248" s="373">
        <v>0</v>
      </c>
      <c r="AB248" s="373">
        <v>14100</v>
      </c>
      <c r="AC248" s="373">
        <v>14100</v>
      </c>
      <c r="AD248" s="371" t="s">
        <v>2271</v>
      </c>
      <c r="AE248" s="373">
        <v>0</v>
      </c>
      <c r="AF248" s="382">
        <v>0.77569444444444402</v>
      </c>
      <c r="AG248" s="382">
        <v>0.77569444444444502</v>
      </c>
      <c r="AH248" s="371" t="s">
        <v>2276</v>
      </c>
      <c r="AI248" s="382">
        <v>0.85833333333333295</v>
      </c>
      <c r="AJ248" s="382">
        <v>0.85833333333333295</v>
      </c>
      <c r="AK248" s="371" t="s">
        <v>2271</v>
      </c>
      <c r="AL248" s="206" t="s">
        <v>42</v>
      </c>
      <c r="AM248" s="206" t="s">
        <v>42</v>
      </c>
      <c r="AN248" s="371" t="s">
        <v>2271</v>
      </c>
      <c r="AO248" s="206" t="s">
        <v>2467</v>
      </c>
      <c r="AP248" s="206" t="s">
        <v>1781</v>
      </c>
      <c r="AQ248" s="206" t="s">
        <v>1132</v>
      </c>
      <c r="AR248" s="207" t="s">
        <v>88</v>
      </c>
    </row>
    <row r="249" spans="1:44" x14ac:dyDescent="0.2">
      <c r="A249" s="370">
        <v>230</v>
      </c>
      <c r="B249" s="380">
        <v>128</v>
      </c>
      <c r="C249" s="371" t="s">
        <v>2337</v>
      </c>
      <c r="D249" s="371" t="s">
        <v>2235</v>
      </c>
      <c r="E249" s="206"/>
      <c r="F249" s="206" t="s">
        <v>84</v>
      </c>
      <c r="G249" s="206" t="s">
        <v>84</v>
      </c>
      <c r="H249" s="371" t="s">
        <v>2271</v>
      </c>
      <c r="I249" s="206"/>
      <c r="J249" s="206" t="s">
        <v>1447</v>
      </c>
      <c r="K249" s="371" t="s">
        <v>2276</v>
      </c>
      <c r="L249" s="206" t="s">
        <v>2216</v>
      </c>
      <c r="M249" s="206" t="s">
        <v>1728</v>
      </c>
      <c r="N249" s="206" t="s">
        <v>49</v>
      </c>
      <c r="O249" s="372">
        <v>46238</v>
      </c>
      <c r="P249" s="372">
        <v>46120</v>
      </c>
      <c r="Q249" s="371" t="s">
        <v>2276</v>
      </c>
      <c r="R249" s="373">
        <v>26690</v>
      </c>
      <c r="S249" s="373">
        <v>26690</v>
      </c>
      <c r="T249" s="371" t="s">
        <v>2271</v>
      </c>
      <c r="U249" s="373">
        <v>12110</v>
      </c>
      <c r="V249" s="373">
        <v>12110</v>
      </c>
      <c r="W249" s="371" t="s">
        <v>2271</v>
      </c>
      <c r="X249" s="373">
        <v>14580</v>
      </c>
      <c r="Y249" s="373">
        <v>14580</v>
      </c>
      <c r="Z249" s="371" t="s">
        <v>2271</v>
      </c>
      <c r="AA249" s="373">
        <v>0</v>
      </c>
      <c r="AB249" s="373">
        <v>14540</v>
      </c>
      <c r="AC249" s="373">
        <v>14540</v>
      </c>
      <c r="AD249" s="371" t="s">
        <v>2271</v>
      </c>
      <c r="AE249" s="373">
        <v>0</v>
      </c>
      <c r="AF249" s="382">
        <v>0.73333333333333295</v>
      </c>
      <c r="AG249" s="382"/>
      <c r="AH249" s="371" t="s">
        <v>2276</v>
      </c>
      <c r="AI249" s="382">
        <v>0.781944444444444</v>
      </c>
      <c r="AJ249" s="382"/>
      <c r="AK249" s="371" t="s">
        <v>2276</v>
      </c>
      <c r="AL249" s="206" t="s">
        <v>1221</v>
      </c>
      <c r="AM249" s="206"/>
      <c r="AN249" s="371" t="s">
        <v>2276</v>
      </c>
      <c r="AO249" s="206" t="s">
        <v>2468</v>
      </c>
      <c r="AP249" s="206" t="s">
        <v>1397</v>
      </c>
      <c r="AQ249" s="206" t="s">
        <v>1132</v>
      </c>
      <c r="AR249" s="207" t="s">
        <v>68</v>
      </c>
    </row>
    <row r="250" spans="1:44" x14ac:dyDescent="0.2">
      <c r="A250" s="370">
        <v>231</v>
      </c>
      <c r="B250" s="380">
        <v>129</v>
      </c>
      <c r="C250" s="371" t="s">
        <v>2275</v>
      </c>
      <c r="D250" s="371" t="s">
        <v>2235</v>
      </c>
      <c r="E250" s="206"/>
      <c r="F250" s="206" t="s">
        <v>46</v>
      </c>
      <c r="G250" s="206" t="s">
        <v>46</v>
      </c>
      <c r="H250" s="371" t="s">
        <v>2271</v>
      </c>
      <c r="I250" s="206" t="s">
        <v>2145</v>
      </c>
      <c r="J250" s="206" t="s">
        <v>1340</v>
      </c>
      <c r="K250" s="371" t="s">
        <v>2276</v>
      </c>
      <c r="L250" s="206" t="s">
        <v>2146</v>
      </c>
      <c r="M250" s="206" t="s">
        <v>1339</v>
      </c>
      <c r="N250" s="206" t="s">
        <v>78</v>
      </c>
      <c r="O250" s="372">
        <v>45983</v>
      </c>
      <c r="P250" s="372">
        <v>45983</v>
      </c>
      <c r="Q250" s="371" t="s">
        <v>2271</v>
      </c>
      <c r="R250" s="373">
        <v>26440</v>
      </c>
      <c r="S250" s="373">
        <v>26440</v>
      </c>
      <c r="T250" s="371" t="s">
        <v>2271</v>
      </c>
      <c r="U250" s="373">
        <v>11700</v>
      </c>
      <c r="V250" s="373">
        <v>11700</v>
      </c>
      <c r="W250" s="371" t="s">
        <v>2271</v>
      </c>
      <c r="X250" s="373">
        <v>14740</v>
      </c>
      <c r="Y250" s="373">
        <v>14740</v>
      </c>
      <c r="Z250" s="371" t="s">
        <v>2271</v>
      </c>
      <c r="AA250" s="373">
        <v>0</v>
      </c>
      <c r="AB250" s="373">
        <v>14750</v>
      </c>
      <c r="AC250" s="373">
        <v>14750</v>
      </c>
      <c r="AD250" s="371" t="s">
        <v>2271</v>
      </c>
      <c r="AE250" s="373">
        <v>0</v>
      </c>
      <c r="AF250" s="382">
        <v>0.92569444444444404</v>
      </c>
      <c r="AG250" s="382">
        <v>0.92569444444444504</v>
      </c>
      <c r="AH250" s="371" t="s">
        <v>2276</v>
      </c>
      <c r="AI250" s="382">
        <v>0.97152777777777799</v>
      </c>
      <c r="AJ250" s="382">
        <v>0.97152777777777799</v>
      </c>
      <c r="AK250" s="371" t="s">
        <v>2271</v>
      </c>
      <c r="AL250" s="206" t="s">
        <v>42</v>
      </c>
      <c r="AM250" s="206" t="s">
        <v>42</v>
      </c>
      <c r="AN250" s="371" t="s">
        <v>2271</v>
      </c>
      <c r="AO250" s="206" t="s">
        <v>2469</v>
      </c>
      <c r="AP250" s="206" t="s">
        <v>1393</v>
      </c>
      <c r="AQ250" s="206" t="s">
        <v>1132</v>
      </c>
      <c r="AR250" s="207" t="s">
        <v>88</v>
      </c>
    </row>
    <row r="251" spans="1:44" x14ac:dyDescent="0.2">
      <c r="A251" s="370">
        <v>232</v>
      </c>
      <c r="B251" s="380">
        <v>129</v>
      </c>
      <c r="C251" s="371" t="s">
        <v>2337</v>
      </c>
      <c r="D251" s="371" t="s">
        <v>2235</v>
      </c>
      <c r="E251" s="206"/>
      <c r="F251" s="206" t="s">
        <v>1265</v>
      </c>
      <c r="G251" s="206" t="s">
        <v>1265</v>
      </c>
      <c r="H251" s="371" t="s">
        <v>2271</v>
      </c>
      <c r="I251" s="206"/>
      <c r="J251" s="206" t="s">
        <v>1447</v>
      </c>
      <c r="K251" s="371" t="s">
        <v>2276</v>
      </c>
      <c r="L251" s="206" t="s">
        <v>2216</v>
      </c>
      <c r="M251" s="206" t="s">
        <v>1728</v>
      </c>
      <c r="N251" s="206" t="s">
        <v>49</v>
      </c>
      <c r="O251" s="372">
        <v>46238</v>
      </c>
      <c r="P251" s="372">
        <v>46120</v>
      </c>
      <c r="Q251" s="371" t="s">
        <v>2276</v>
      </c>
      <c r="R251" s="373">
        <v>26790</v>
      </c>
      <c r="S251" s="373">
        <v>26790</v>
      </c>
      <c r="T251" s="371" t="s">
        <v>2271</v>
      </c>
      <c r="U251" s="373">
        <v>8260</v>
      </c>
      <c r="V251" s="373">
        <v>8260</v>
      </c>
      <c r="W251" s="371" t="s">
        <v>2271</v>
      </c>
      <c r="X251" s="373">
        <v>18530</v>
      </c>
      <c r="Y251" s="373">
        <v>18530</v>
      </c>
      <c r="Z251" s="371" t="s">
        <v>2271</v>
      </c>
      <c r="AA251" s="373">
        <v>0</v>
      </c>
      <c r="AB251" s="373">
        <v>18500</v>
      </c>
      <c r="AC251" s="373">
        <v>18500</v>
      </c>
      <c r="AD251" s="371" t="s">
        <v>2271</v>
      </c>
      <c r="AE251" s="373">
        <v>0</v>
      </c>
      <c r="AF251" s="382">
        <v>0.73750000000000004</v>
      </c>
      <c r="AG251" s="382"/>
      <c r="AH251" s="371" t="s">
        <v>2276</v>
      </c>
      <c r="AI251" s="382">
        <v>0.77361111111111103</v>
      </c>
      <c r="AJ251" s="382"/>
      <c r="AK251" s="371" t="s">
        <v>2276</v>
      </c>
      <c r="AL251" s="206" t="s">
        <v>1221</v>
      </c>
      <c r="AM251" s="206"/>
      <c r="AN251" s="371" t="s">
        <v>2276</v>
      </c>
      <c r="AO251" s="206" t="s">
        <v>2470</v>
      </c>
      <c r="AP251" s="206"/>
      <c r="AQ251" s="206" t="s">
        <v>1133</v>
      </c>
      <c r="AR251" s="207" t="s">
        <v>68</v>
      </c>
    </row>
    <row r="252" spans="1:44" x14ac:dyDescent="0.2">
      <c r="A252" s="370">
        <v>233</v>
      </c>
      <c r="B252" s="380">
        <v>130</v>
      </c>
      <c r="C252" s="371" t="s">
        <v>2269</v>
      </c>
      <c r="D252" s="371" t="s">
        <v>2235</v>
      </c>
      <c r="E252" s="206"/>
      <c r="F252" s="206" t="s">
        <v>56</v>
      </c>
      <c r="G252" s="206" t="s">
        <v>56</v>
      </c>
      <c r="H252" s="371" t="s">
        <v>2271</v>
      </c>
      <c r="I252" s="206" t="s">
        <v>1429</v>
      </c>
      <c r="J252" s="206" t="s">
        <v>1429</v>
      </c>
      <c r="K252" s="371" t="s">
        <v>2271</v>
      </c>
      <c r="L252" s="206" t="s">
        <v>2148</v>
      </c>
      <c r="M252" s="206" t="s">
        <v>1341</v>
      </c>
      <c r="N252" s="206" t="s">
        <v>49</v>
      </c>
      <c r="O252" s="372">
        <v>45988</v>
      </c>
      <c r="P252" s="372">
        <v>45988</v>
      </c>
      <c r="Q252" s="371" t="s">
        <v>2271</v>
      </c>
      <c r="R252" s="373">
        <v>25050</v>
      </c>
      <c r="S252" s="373">
        <v>25050</v>
      </c>
      <c r="T252" s="371" t="s">
        <v>2271</v>
      </c>
      <c r="U252" s="373">
        <v>10970</v>
      </c>
      <c r="V252" s="373">
        <v>10970</v>
      </c>
      <c r="W252" s="371" t="s">
        <v>2271</v>
      </c>
      <c r="X252" s="373">
        <v>14080</v>
      </c>
      <c r="Y252" s="373">
        <v>14080</v>
      </c>
      <c r="Z252" s="371" t="s">
        <v>2271</v>
      </c>
      <c r="AA252" s="373">
        <v>0</v>
      </c>
      <c r="AB252" s="373">
        <v>14220</v>
      </c>
      <c r="AC252" s="373">
        <v>14220</v>
      </c>
      <c r="AD252" s="371" t="s">
        <v>2271</v>
      </c>
      <c r="AE252" s="373">
        <v>0</v>
      </c>
      <c r="AF252" s="382">
        <v>0.40069444444444402</v>
      </c>
      <c r="AG252" s="382">
        <v>0.40069444444444502</v>
      </c>
      <c r="AH252" s="371" t="s">
        <v>2276</v>
      </c>
      <c r="AI252" s="382">
        <v>0.45694444444444399</v>
      </c>
      <c r="AJ252" s="382">
        <v>0.45694444444444399</v>
      </c>
      <c r="AK252" s="371" t="s">
        <v>2271</v>
      </c>
      <c r="AL252" s="206" t="s">
        <v>42</v>
      </c>
      <c r="AM252" s="206" t="s">
        <v>42</v>
      </c>
      <c r="AN252" s="371" t="s">
        <v>2271</v>
      </c>
      <c r="AO252" s="206" t="s">
        <v>2471</v>
      </c>
      <c r="AP252" s="206" t="s">
        <v>1781</v>
      </c>
      <c r="AQ252" s="206" t="s">
        <v>1132</v>
      </c>
      <c r="AR252" s="207" t="s">
        <v>68</v>
      </c>
    </row>
    <row r="253" spans="1:44" x14ac:dyDescent="0.2">
      <c r="A253" s="370">
        <v>234</v>
      </c>
      <c r="B253" s="380">
        <v>130</v>
      </c>
      <c r="C253" s="371" t="s">
        <v>2337</v>
      </c>
      <c r="D253" s="371" t="s">
        <v>2235</v>
      </c>
      <c r="E253" s="206"/>
      <c r="F253" s="206" t="s">
        <v>2217</v>
      </c>
      <c r="G253" s="206" t="s">
        <v>183</v>
      </c>
      <c r="H253" s="371" t="s">
        <v>2276</v>
      </c>
      <c r="I253" s="206"/>
      <c r="J253" s="206" t="s">
        <v>1447</v>
      </c>
      <c r="K253" s="371" t="s">
        <v>2276</v>
      </c>
      <c r="L253" s="206" t="s">
        <v>2216</v>
      </c>
      <c r="M253" s="206" t="s">
        <v>1728</v>
      </c>
      <c r="N253" s="206" t="s">
        <v>49</v>
      </c>
      <c r="O253" s="372">
        <v>46238</v>
      </c>
      <c r="P253" s="372">
        <v>46120</v>
      </c>
      <c r="Q253" s="371" t="s">
        <v>2276</v>
      </c>
      <c r="R253" s="373">
        <v>14090</v>
      </c>
      <c r="S253" s="373">
        <v>14090</v>
      </c>
      <c r="T253" s="371" t="s">
        <v>2271</v>
      </c>
      <c r="U253" s="373">
        <v>4150</v>
      </c>
      <c r="V253" s="373">
        <v>4150</v>
      </c>
      <c r="W253" s="371" t="s">
        <v>2271</v>
      </c>
      <c r="X253" s="373">
        <v>9940</v>
      </c>
      <c r="Y253" s="373">
        <v>9940</v>
      </c>
      <c r="Z253" s="371" t="s">
        <v>2271</v>
      </c>
      <c r="AA253" s="373">
        <v>0</v>
      </c>
      <c r="AB253" s="373">
        <v>9920</v>
      </c>
      <c r="AC253" s="373">
        <v>9920</v>
      </c>
      <c r="AD253" s="371" t="s">
        <v>2271</v>
      </c>
      <c r="AE253" s="373">
        <v>0</v>
      </c>
      <c r="AF253" s="382">
        <v>0.75624999999999998</v>
      </c>
      <c r="AG253" s="382"/>
      <c r="AH253" s="371" t="s">
        <v>2276</v>
      </c>
      <c r="AI253" s="382">
        <v>0.77986111111111101</v>
      </c>
      <c r="AJ253" s="382"/>
      <c r="AK253" s="371" t="s">
        <v>2276</v>
      </c>
      <c r="AL253" s="206" t="s">
        <v>1221</v>
      </c>
      <c r="AM253" s="206"/>
      <c r="AN253" s="371" t="s">
        <v>2276</v>
      </c>
      <c r="AO253" s="206" t="s">
        <v>2471</v>
      </c>
      <c r="AP253" s="206"/>
      <c r="AQ253" s="206" t="s">
        <v>1131</v>
      </c>
      <c r="AR253" s="207" t="s">
        <v>68</v>
      </c>
    </row>
    <row r="254" spans="1:44" x14ac:dyDescent="0.2">
      <c r="A254" s="370">
        <v>235</v>
      </c>
      <c r="B254" s="380">
        <v>131</v>
      </c>
      <c r="C254" s="371" t="s">
        <v>2269</v>
      </c>
      <c r="D254" s="371" t="s">
        <v>2270</v>
      </c>
      <c r="E254" s="206"/>
      <c r="F254" s="206" t="s">
        <v>84</v>
      </c>
      <c r="G254" s="206" t="s">
        <v>84</v>
      </c>
      <c r="H254" s="371" t="s">
        <v>2271</v>
      </c>
      <c r="I254" s="206" t="s">
        <v>1429</v>
      </c>
      <c r="J254" s="206" t="s">
        <v>1429</v>
      </c>
      <c r="K254" s="371" t="s">
        <v>2271</v>
      </c>
      <c r="L254" s="206" t="s">
        <v>2148</v>
      </c>
      <c r="M254" s="206" t="s">
        <v>1341</v>
      </c>
      <c r="N254" s="206" t="s">
        <v>49</v>
      </c>
      <c r="O254" s="372">
        <v>45988</v>
      </c>
      <c r="P254" s="372">
        <v>45988</v>
      </c>
      <c r="Q254" s="371" t="s">
        <v>2271</v>
      </c>
      <c r="R254" s="373">
        <v>26600</v>
      </c>
      <c r="S254" s="373">
        <v>26600</v>
      </c>
      <c r="T254" s="371" t="s">
        <v>2271</v>
      </c>
      <c r="U254" s="373">
        <v>12100</v>
      </c>
      <c r="V254" s="373">
        <v>12100</v>
      </c>
      <c r="W254" s="371" t="s">
        <v>2271</v>
      </c>
      <c r="X254" s="373">
        <v>14500</v>
      </c>
      <c r="Y254" s="373">
        <v>14500</v>
      </c>
      <c r="Z254" s="371" t="s">
        <v>2271</v>
      </c>
      <c r="AA254" s="373">
        <v>0</v>
      </c>
      <c r="AB254" s="373">
        <v>14460</v>
      </c>
      <c r="AC254" s="373">
        <v>14460</v>
      </c>
      <c r="AD254" s="371" t="s">
        <v>2271</v>
      </c>
      <c r="AE254" s="373">
        <v>0</v>
      </c>
      <c r="AF254" s="382">
        <v>0.40902777777777799</v>
      </c>
      <c r="AG254" s="382">
        <v>0.40902777777777799</v>
      </c>
      <c r="AH254" s="371" t="s">
        <v>2271</v>
      </c>
      <c r="AI254" s="382">
        <v>0.48263888888888901</v>
      </c>
      <c r="AJ254" s="382">
        <v>0.48263888888888901</v>
      </c>
      <c r="AK254" s="371" t="s">
        <v>2271</v>
      </c>
      <c r="AL254" s="206" t="s">
        <v>42</v>
      </c>
      <c r="AM254" s="206" t="s">
        <v>42</v>
      </c>
      <c r="AN254" s="371" t="s">
        <v>2271</v>
      </c>
      <c r="AO254" s="206" t="s">
        <v>2472</v>
      </c>
      <c r="AP254" s="206" t="s">
        <v>1782</v>
      </c>
      <c r="AQ254" s="206" t="s">
        <v>1132</v>
      </c>
      <c r="AR254" s="207" t="s">
        <v>68</v>
      </c>
    </row>
    <row r="255" spans="1:44" x14ac:dyDescent="0.2">
      <c r="A255" s="370">
        <v>236</v>
      </c>
      <c r="B255" s="380">
        <v>131</v>
      </c>
      <c r="C255" s="371" t="s">
        <v>2337</v>
      </c>
      <c r="D255" s="371" t="s">
        <v>2235</v>
      </c>
      <c r="E255" s="206"/>
      <c r="F255" s="206" t="s">
        <v>156</v>
      </c>
      <c r="G255" s="206" t="s">
        <v>156</v>
      </c>
      <c r="H255" s="371" t="s">
        <v>2271</v>
      </c>
      <c r="I255" s="206"/>
      <c r="J255" s="206" t="s">
        <v>1447</v>
      </c>
      <c r="K255" s="371" t="s">
        <v>2276</v>
      </c>
      <c r="L255" s="206" t="s">
        <v>2216</v>
      </c>
      <c r="M255" s="206" t="s">
        <v>1728</v>
      </c>
      <c r="N255" s="206" t="s">
        <v>49</v>
      </c>
      <c r="O255" s="372">
        <v>46238</v>
      </c>
      <c r="P255" s="372">
        <v>46120</v>
      </c>
      <c r="Q255" s="371" t="s">
        <v>2276</v>
      </c>
      <c r="R255" s="373">
        <v>14020</v>
      </c>
      <c r="S255" s="373">
        <v>14020</v>
      </c>
      <c r="T255" s="371" t="s">
        <v>2271</v>
      </c>
      <c r="U255" s="373">
        <v>4090</v>
      </c>
      <c r="V255" s="373">
        <v>4090</v>
      </c>
      <c r="W255" s="371" t="s">
        <v>2271</v>
      </c>
      <c r="X255" s="373">
        <v>9930</v>
      </c>
      <c r="Y255" s="373">
        <v>9930</v>
      </c>
      <c r="Z255" s="371" t="s">
        <v>2271</v>
      </c>
      <c r="AA255" s="373">
        <v>0</v>
      </c>
      <c r="AB255" s="373">
        <v>9890</v>
      </c>
      <c r="AC255" s="373">
        <v>9890</v>
      </c>
      <c r="AD255" s="371" t="s">
        <v>2271</v>
      </c>
      <c r="AE255" s="373">
        <v>0</v>
      </c>
      <c r="AF255" s="382">
        <v>0.79236111111111096</v>
      </c>
      <c r="AG255" s="382"/>
      <c r="AH255" s="371" t="s">
        <v>2276</v>
      </c>
      <c r="AI255" s="382">
        <v>0.81736111111111098</v>
      </c>
      <c r="AJ255" s="382"/>
      <c r="AK255" s="371" t="s">
        <v>2276</v>
      </c>
      <c r="AL255" s="206" t="s">
        <v>1221</v>
      </c>
      <c r="AM255" s="206"/>
      <c r="AN255" s="371" t="s">
        <v>2276</v>
      </c>
      <c r="AO255" s="206" t="s">
        <v>2472</v>
      </c>
      <c r="AP255" s="206"/>
      <c r="AQ255" s="206" t="s">
        <v>1131</v>
      </c>
      <c r="AR255" s="207" t="s">
        <v>68</v>
      </c>
    </row>
    <row r="256" spans="1:44" x14ac:dyDescent="0.2">
      <c r="A256" s="370">
        <v>237</v>
      </c>
      <c r="B256" s="380">
        <v>132</v>
      </c>
      <c r="C256" s="371" t="s">
        <v>2269</v>
      </c>
      <c r="D256" s="371" t="s">
        <v>2235</v>
      </c>
      <c r="E256" s="206"/>
      <c r="F256" s="206" t="s">
        <v>70</v>
      </c>
      <c r="G256" s="206" t="s">
        <v>70</v>
      </c>
      <c r="H256" s="371" t="s">
        <v>2271</v>
      </c>
      <c r="I256" s="206" t="s">
        <v>1450</v>
      </c>
      <c r="J256" s="206" t="s">
        <v>1450</v>
      </c>
      <c r="K256" s="371" t="s">
        <v>2271</v>
      </c>
      <c r="L256" s="206" t="s">
        <v>2147</v>
      </c>
      <c r="M256" s="206" t="s">
        <v>1342</v>
      </c>
      <c r="N256" s="206" t="s">
        <v>59</v>
      </c>
      <c r="O256" s="372">
        <v>45988</v>
      </c>
      <c r="P256" s="372">
        <v>45988</v>
      </c>
      <c r="Q256" s="371" t="s">
        <v>2271</v>
      </c>
      <c r="R256" s="373">
        <v>45680</v>
      </c>
      <c r="S256" s="373">
        <v>45680</v>
      </c>
      <c r="T256" s="371" t="s">
        <v>2271</v>
      </c>
      <c r="U256" s="373">
        <v>17530</v>
      </c>
      <c r="V256" s="373">
        <v>17530</v>
      </c>
      <c r="W256" s="371" t="s">
        <v>2271</v>
      </c>
      <c r="X256" s="373">
        <v>28150</v>
      </c>
      <c r="Y256" s="373">
        <v>28150</v>
      </c>
      <c r="Z256" s="371" t="s">
        <v>2271</v>
      </c>
      <c r="AA256" s="373">
        <v>0</v>
      </c>
      <c r="AB256" s="373">
        <v>28200</v>
      </c>
      <c r="AC256" s="373">
        <v>28200</v>
      </c>
      <c r="AD256" s="371" t="s">
        <v>2271</v>
      </c>
      <c r="AE256" s="373">
        <v>0</v>
      </c>
      <c r="AF256" s="382">
        <v>0.43333333333333302</v>
      </c>
      <c r="AG256" s="382">
        <v>0.43333333333333302</v>
      </c>
      <c r="AH256" s="371" t="s">
        <v>2271</v>
      </c>
      <c r="AI256" s="382">
        <v>0.55069444444444404</v>
      </c>
      <c r="AJ256" s="382">
        <v>0.55069444444444504</v>
      </c>
      <c r="AK256" s="371" t="s">
        <v>2276</v>
      </c>
      <c r="AL256" s="206" t="s">
        <v>42</v>
      </c>
      <c r="AM256" s="206" t="s">
        <v>42</v>
      </c>
      <c r="AN256" s="371" t="s">
        <v>2271</v>
      </c>
      <c r="AO256" s="206" t="s">
        <v>2473</v>
      </c>
      <c r="AP256" s="206" t="s">
        <v>1499</v>
      </c>
      <c r="AQ256" s="206" t="s">
        <v>1133</v>
      </c>
      <c r="AR256" s="207" t="s">
        <v>75</v>
      </c>
    </row>
    <row r="257" spans="1:44" x14ac:dyDescent="0.2">
      <c r="A257" s="370">
        <v>238</v>
      </c>
      <c r="B257" s="380">
        <v>132</v>
      </c>
      <c r="C257" s="371" t="s">
        <v>2337</v>
      </c>
      <c r="D257" s="371" t="s">
        <v>2235</v>
      </c>
      <c r="E257" s="206"/>
      <c r="F257" s="206" t="s">
        <v>1272</v>
      </c>
      <c r="G257" s="206" t="s">
        <v>1272</v>
      </c>
      <c r="H257" s="371" t="s">
        <v>2271</v>
      </c>
      <c r="I257" s="206"/>
      <c r="J257" s="206" t="s">
        <v>1447</v>
      </c>
      <c r="K257" s="371" t="s">
        <v>2276</v>
      </c>
      <c r="L257" s="206" t="s">
        <v>2216</v>
      </c>
      <c r="M257" s="206" t="s">
        <v>1728</v>
      </c>
      <c r="N257" s="206" t="s">
        <v>49</v>
      </c>
      <c r="O257" s="372">
        <v>46238</v>
      </c>
      <c r="P257" s="372">
        <v>46120</v>
      </c>
      <c r="Q257" s="371" t="s">
        <v>2276</v>
      </c>
      <c r="R257" s="373">
        <v>28550</v>
      </c>
      <c r="S257" s="373">
        <v>28550</v>
      </c>
      <c r="T257" s="371" t="s">
        <v>2271</v>
      </c>
      <c r="U257" s="373">
        <v>8030</v>
      </c>
      <c r="V257" s="373">
        <v>8030</v>
      </c>
      <c r="W257" s="371" t="s">
        <v>2271</v>
      </c>
      <c r="X257" s="373">
        <v>20520</v>
      </c>
      <c r="Y257" s="373">
        <v>20520</v>
      </c>
      <c r="Z257" s="371" t="s">
        <v>2271</v>
      </c>
      <c r="AA257" s="373">
        <v>0</v>
      </c>
      <c r="AB257" s="373">
        <v>20460</v>
      </c>
      <c r="AC257" s="373">
        <v>20460</v>
      </c>
      <c r="AD257" s="371" t="s">
        <v>2271</v>
      </c>
      <c r="AE257" s="373">
        <v>0</v>
      </c>
      <c r="AF257" s="382">
        <v>0.79374999999999996</v>
      </c>
      <c r="AG257" s="382"/>
      <c r="AH257" s="371" t="s">
        <v>2276</v>
      </c>
      <c r="AI257" s="382">
        <v>0.83611111111111103</v>
      </c>
      <c r="AJ257" s="382"/>
      <c r="AK257" s="371" t="s">
        <v>2276</v>
      </c>
      <c r="AL257" s="206" t="s">
        <v>1221</v>
      </c>
      <c r="AM257" s="206"/>
      <c r="AN257" s="371" t="s">
        <v>2276</v>
      </c>
      <c r="AO257" s="206" t="s">
        <v>2474</v>
      </c>
      <c r="AP257" s="206"/>
      <c r="AQ257" s="206" t="s">
        <v>1133</v>
      </c>
      <c r="AR257" s="207" t="s">
        <v>68</v>
      </c>
    </row>
    <row r="258" spans="1:44" x14ac:dyDescent="0.2">
      <c r="A258" s="370">
        <v>239</v>
      </c>
      <c r="B258" s="380">
        <v>133</v>
      </c>
      <c r="C258" s="371" t="s">
        <v>2269</v>
      </c>
      <c r="D258" s="371" t="s">
        <v>2235</v>
      </c>
      <c r="E258" s="206"/>
      <c r="F258" s="206" t="s">
        <v>76</v>
      </c>
      <c r="G258" s="206" t="s">
        <v>76</v>
      </c>
      <c r="H258" s="371" t="s">
        <v>2271</v>
      </c>
      <c r="I258" s="206" t="s">
        <v>1450</v>
      </c>
      <c r="J258" s="206" t="s">
        <v>1450</v>
      </c>
      <c r="K258" s="371" t="s">
        <v>2271</v>
      </c>
      <c r="L258" s="206" t="s">
        <v>2147</v>
      </c>
      <c r="M258" s="206" t="s">
        <v>1342</v>
      </c>
      <c r="N258" s="206" t="s">
        <v>59</v>
      </c>
      <c r="O258" s="372">
        <v>45988</v>
      </c>
      <c r="P258" s="372">
        <v>45988</v>
      </c>
      <c r="Q258" s="371" t="s">
        <v>2271</v>
      </c>
      <c r="R258" s="373">
        <v>45570</v>
      </c>
      <c r="S258" s="373">
        <v>45570</v>
      </c>
      <c r="T258" s="371" t="s">
        <v>2271</v>
      </c>
      <c r="U258" s="373">
        <v>17450</v>
      </c>
      <c r="V258" s="373">
        <v>17450</v>
      </c>
      <c r="W258" s="371" t="s">
        <v>2271</v>
      </c>
      <c r="X258" s="373">
        <v>28120</v>
      </c>
      <c r="Y258" s="373">
        <v>28120</v>
      </c>
      <c r="Z258" s="371" t="s">
        <v>2271</v>
      </c>
      <c r="AA258" s="373">
        <v>0</v>
      </c>
      <c r="AB258" s="373">
        <v>28140</v>
      </c>
      <c r="AC258" s="373">
        <v>28140</v>
      </c>
      <c r="AD258" s="371" t="s">
        <v>2271</v>
      </c>
      <c r="AE258" s="373">
        <v>0</v>
      </c>
      <c r="AF258" s="382">
        <v>0.54444444444444395</v>
      </c>
      <c r="AG258" s="382">
        <v>0.54444444444444395</v>
      </c>
      <c r="AH258" s="371" t="s">
        <v>2271</v>
      </c>
      <c r="AI258" s="382">
        <v>0.61944444444444402</v>
      </c>
      <c r="AJ258" s="382">
        <v>0.61944444444444502</v>
      </c>
      <c r="AK258" s="371" t="s">
        <v>2276</v>
      </c>
      <c r="AL258" s="206" t="s">
        <v>42</v>
      </c>
      <c r="AM258" s="206" t="s">
        <v>42</v>
      </c>
      <c r="AN258" s="371" t="s">
        <v>2271</v>
      </c>
      <c r="AO258" s="206" t="s">
        <v>2475</v>
      </c>
      <c r="AP258" s="206" t="s">
        <v>1372</v>
      </c>
      <c r="AQ258" s="206" t="s">
        <v>1133</v>
      </c>
      <c r="AR258" s="207" t="s">
        <v>75</v>
      </c>
    </row>
    <row r="259" spans="1:44" x14ac:dyDescent="0.2">
      <c r="A259" s="370">
        <v>240</v>
      </c>
      <c r="B259" s="380">
        <v>133</v>
      </c>
      <c r="C259" s="371" t="s">
        <v>2337</v>
      </c>
      <c r="D259" s="371" t="s">
        <v>2235</v>
      </c>
      <c r="E259" s="206"/>
      <c r="F259" s="206" t="s">
        <v>738</v>
      </c>
      <c r="G259" s="206" t="s">
        <v>738</v>
      </c>
      <c r="H259" s="371" t="s">
        <v>2271</v>
      </c>
      <c r="I259" s="206"/>
      <c r="J259" s="206" t="s">
        <v>1447</v>
      </c>
      <c r="K259" s="371" t="s">
        <v>2276</v>
      </c>
      <c r="L259" s="206" t="s">
        <v>2216</v>
      </c>
      <c r="M259" s="206" t="s">
        <v>1728</v>
      </c>
      <c r="N259" s="206" t="s">
        <v>49</v>
      </c>
      <c r="O259" s="372">
        <v>46238</v>
      </c>
      <c r="P259" s="372">
        <v>46120</v>
      </c>
      <c r="Q259" s="371" t="s">
        <v>2276</v>
      </c>
      <c r="R259" s="373">
        <v>12290</v>
      </c>
      <c r="S259" s="373">
        <v>12290</v>
      </c>
      <c r="T259" s="371" t="s">
        <v>2271</v>
      </c>
      <c r="U259" s="373">
        <v>3710</v>
      </c>
      <c r="V259" s="373">
        <v>3710</v>
      </c>
      <c r="W259" s="371" t="s">
        <v>2271</v>
      </c>
      <c r="X259" s="373">
        <v>8580</v>
      </c>
      <c r="Y259" s="373">
        <v>8580</v>
      </c>
      <c r="Z259" s="371" t="s">
        <v>2271</v>
      </c>
      <c r="AA259" s="373">
        <v>0</v>
      </c>
      <c r="AB259" s="373">
        <v>8560</v>
      </c>
      <c r="AC259" s="373">
        <v>8560</v>
      </c>
      <c r="AD259" s="371" t="s">
        <v>2271</v>
      </c>
      <c r="AE259" s="373">
        <v>0</v>
      </c>
      <c r="AF259" s="382">
        <v>0.82847222222222205</v>
      </c>
      <c r="AG259" s="382"/>
      <c r="AH259" s="371" t="s">
        <v>2276</v>
      </c>
      <c r="AI259" s="382">
        <v>0.85833333333333295</v>
      </c>
      <c r="AJ259" s="382"/>
      <c r="AK259" s="371" t="s">
        <v>2276</v>
      </c>
      <c r="AL259" s="206" t="s">
        <v>1221</v>
      </c>
      <c r="AM259" s="206"/>
      <c r="AN259" s="371" t="s">
        <v>2276</v>
      </c>
      <c r="AO259" s="206" t="s">
        <v>2476</v>
      </c>
      <c r="AP259" s="206"/>
      <c r="AQ259" s="206" t="s">
        <v>1131</v>
      </c>
      <c r="AR259" s="207" t="s">
        <v>68</v>
      </c>
    </row>
    <row r="260" spans="1:44" x14ac:dyDescent="0.2">
      <c r="A260" s="370">
        <v>241</v>
      </c>
      <c r="B260" s="380">
        <v>134</v>
      </c>
      <c r="C260" s="371" t="s">
        <v>2269</v>
      </c>
      <c r="D260" s="371" t="s">
        <v>2270</v>
      </c>
      <c r="E260" s="206"/>
      <c r="F260" s="206" t="s">
        <v>46</v>
      </c>
      <c r="G260" s="206" t="s">
        <v>46</v>
      </c>
      <c r="H260" s="371" t="s">
        <v>2271</v>
      </c>
      <c r="I260" s="206" t="s">
        <v>1429</v>
      </c>
      <c r="J260" s="206" t="s">
        <v>1429</v>
      </c>
      <c r="K260" s="371" t="s">
        <v>2271</v>
      </c>
      <c r="L260" s="206" t="s">
        <v>2148</v>
      </c>
      <c r="M260" s="206" t="s">
        <v>1341</v>
      </c>
      <c r="N260" s="206" t="s">
        <v>49</v>
      </c>
      <c r="O260" s="372">
        <v>45988</v>
      </c>
      <c r="P260" s="372">
        <v>45988</v>
      </c>
      <c r="Q260" s="371" t="s">
        <v>2271</v>
      </c>
      <c r="R260" s="373">
        <v>26610</v>
      </c>
      <c r="S260" s="373">
        <v>26610</v>
      </c>
      <c r="T260" s="371" t="s">
        <v>2271</v>
      </c>
      <c r="U260" s="373">
        <v>11760</v>
      </c>
      <c r="V260" s="373">
        <v>11760</v>
      </c>
      <c r="W260" s="371" t="s">
        <v>2271</v>
      </c>
      <c r="X260" s="373">
        <v>14850</v>
      </c>
      <c r="Y260" s="373">
        <v>14850</v>
      </c>
      <c r="Z260" s="371" t="s">
        <v>2271</v>
      </c>
      <c r="AA260" s="373">
        <v>0</v>
      </c>
      <c r="AB260" s="373">
        <v>14800</v>
      </c>
      <c r="AC260" s="373">
        <v>14800</v>
      </c>
      <c r="AD260" s="371" t="s">
        <v>2271</v>
      </c>
      <c r="AE260" s="373">
        <v>0</v>
      </c>
      <c r="AF260" s="382">
        <v>0.54583333333333295</v>
      </c>
      <c r="AG260" s="382">
        <v>0.54583333333333295</v>
      </c>
      <c r="AH260" s="371" t="s">
        <v>2271</v>
      </c>
      <c r="AI260" s="382">
        <v>0.61250000000000004</v>
      </c>
      <c r="AJ260" s="382">
        <v>0.61250000000000004</v>
      </c>
      <c r="AK260" s="371" t="s">
        <v>2271</v>
      </c>
      <c r="AL260" s="206" t="s">
        <v>42</v>
      </c>
      <c r="AM260" s="206" t="s">
        <v>42</v>
      </c>
      <c r="AN260" s="371" t="s">
        <v>2271</v>
      </c>
      <c r="AO260" s="206" t="s">
        <v>2477</v>
      </c>
      <c r="AP260" s="206" t="s">
        <v>1393</v>
      </c>
      <c r="AQ260" s="206" t="s">
        <v>1132</v>
      </c>
      <c r="AR260" s="207" t="s">
        <v>68</v>
      </c>
    </row>
    <row r="261" spans="1:44" x14ac:dyDescent="0.2">
      <c r="A261" s="370">
        <v>242</v>
      </c>
      <c r="B261" s="380">
        <v>134</v>
      </c>
      <c r="C261" s="371" t="s">
        <v>2337</v>
      </c>
      <c r="D261" s="371" t="s">
        <v>2235</v>
      </c>
      <c r="E261" s="206"/>
      <c r="F261" s="206" t="s">
        <v>2218</v>
      </c>
      <c r="G261" s="206" t="s">
        <v>1278</v>
      </c>
      <c r="H261" s="371" t="s">
        <v>2271</v>
      </c>
      <c r="I261" s="206"/>
      <c r="J261" s="206" t="s">
        <v>1447</v>
      </c>
      <c r="K261" s="371" t="s">
        <v>2276</v>
      </c>
      <c r="L261" s="206" t="s">
        <v>2216</v>
      </c>
      <c r="M261" s="206" t="s">
        <v>1728</v>
      </c>
      <c r="N261" s="206" t="s">
        <v>49</v>
      </c>
      <c r="O261" s="372">
        <v>46238</v>
      </c>
      <c r="P261" s="372">
        <v>46120</v>
      </c>
      <c r="Q261" s="371" t="s">
        <v>2276</v>
      </c>
      <c r="R261" s="373">
        <v>14130</v>
      </c>
      <c r="S261" s="373">
        <v>14130</v>
      </c>
      <c r="T261" s="371" t="s">
        <v>2271</v>
      </c>
      <c r="U261" s="373">
        <v>4300</v>
      </c>
      <c r="V261" s="373">
        <v>4300</v>
      </c>
      <c r="W261" s="371" t="s">
        <v>2271</v>
      </c>
      <c r="X261" s="373">
        <v>9830</v>
      </c>
      <c r="Y261" s="373">
        <v>9830</v>
      </c>
      <c r="Z261" s="371" t="s">
        <v>2271</v>
      </c>
      <c r="AA261" s="373">
        <v>0</v>
      </c>
      <c r="AB261" s="373">
        <v>9780</v>
      </c>
      <c r="AC261" s="373">
        <v>9780</v>
      </c>
      <c r="AD261" s="371" t="s">
        <v>2271</v>
      </c>
      <c r="AE261" s="373">
        <v>0</v>
      </c>
      <c r="AF261" s="382">
        <v>0.82986111111111105</v>
      </c>
      <c r="AG261" s="382"/>
      <c r="AH261" s="371" t="s">
        <v>2276</v>
      </c>
      <c r="AI261" s="382">
        <v>0.85208333333333297</v>
      </c>
      <c r="AJ261" s="382"/>
      <c r="AK261" s="371" t="s">
        <v>2276</v>
      </c>
      <c r="AL261" s="206" t="s">
        <v>1221</v>
      </c>
      <c r="AM261" s="206"/>
      <c r="AN261" s="371" t="s">
        <v>2276</v>
      </c>
      <c r="AO261" s="206" t="s">
        <v>2477</v>
      </c>
      <c r="AP261" s="206"/>
      <c r="AQ261" s="206" t="s">
        <v>1131</v>
      </c>
      <c r="AR261" s="207" t="s">
        <v>68</v>
      </c>
    </row>
    <row r="262" spans="1:44" x14ac:dyDescent="0.2">
      <c r="A262" s="370">
        <v>243</v>
      </c>
      <c r="B262" s="380">
        <v>135</v>
      </c>
      <c r="C262" s="371" t="s">
        <v>2269</v>
      </c>
      <c r="D262" s="371" t="s">
        <v>2235</v>
      </c>
      <c r="E262" s="206"/>
      <c r="F262" s="206" t="s">
        <v>70</v>
      </c>
      <c r="G262" s="206" t="s">
        <v>70</v>
      </c>
      <c r="H262" s="371" t="s">
        <v>2271</v>
      </c>
      <c r="I262" s="206" t="s">
        <v>1450</v>
      </c>
      <c r="J262" s="206" t="s">
        <v>1450</v>
      </c>
      <c r="K262" s="371" t="s">
        <v>2271</v>
      </c>
      <c r="L262" s="206" t="s">
        <v>2147</v>
      </c>
      <c r="M262" s="206" t="s">
        <v>1342</v>
      </c>
      <c r="N262" s="206" t="s">
        <v>59</v>
      </c>
      <c r="O262" s="372">
        <v>45988</v>
      </c>
      <c r="P262" s="372">
        <v>45988</v>
      </c>
      <c r="Q262" s="371" t="s">
        <v>2271</v>
      </c>
      <c r="R262" s="373">
        <v>45470</v>
      </c>
      <c r="S262" s="373">
        <v>45470</v>
      </c>
      <c r="T262" s="371" t="s">
        <v>2271</v>
      </c>
      <c r="U262" s="373">
        <v>17490</v>
      </c>
      <c r="V262" s="373">
        <v>17490</v>
      </c>
      <c r="W262" s="371" t="s">
        <v>2271</v>
      </c>
      <c r="X262" s="373">
        <v>27980</v>
      </c>
      <c r="Y262" s="373">
        <v>27980</v>
      </c>
      <c r="Z262" s="371" t="s">
        <v>2271</v>
      </c>
      <c r="AA262" s="373">
        <v>0</v>
      </c>
      <c r="AB262" s="373">
        <v>28020</v>
      </c>
      <c r="AC262" s="373">
        <v>28020</v>
      </c>
      <c r="AD262" s="371" t="s">
        <v>2271</v>
      </c>
      <c r="AE262" s="373">
        <v>0</v>
      </c>
      <c r="AF262" s="382">
        <v>0.70277777777777795</v>
      </c>
      <c r="AG262" s="382">
        <v>0.70277777777777795</v>
      </c>
      <c r="AH262" s="371" t="s">
        <v>2271</v>
      </c>
      <c r="AI262" s="382">
        <v>0.78819444444444497</v>
      </c>
      <c r="AJ262" s="382">
        <v>0.78819444444444398</v>
      </c>
      <c r="AK262" s="371" t="s">
        <v>2276</v>
      </c>
      <c r="AL262" s="206" t="s">
        <v>137</v>
      </c>
      <c r="AM262" s="206" t="s">
        <v>137</v>
      </c>
      <c r="AN262" s="371" t="s">
        <v>2271</v>
      </c>
      <c r="AO262" s="206" t="s">
        <v>2478</v>
      </c>
      <c r="AP262" s="206" t="s">
        <v>1499</v>
      </c>
      <c r="AQ262" s="206" t="s">
        <v>1133</v>
      </c>
      <c r="AR262" s="207" t="s">
        <v>75</v>
      </c>
    </row>
    <row r="263" spans="1:44" x14ac:dyDescent="0.2">
      <c r="A263" s="370">
        <v>244</v>
      </c>
      <c r="B263" s="380">
        <v>135</v>
      </c>
      <c r="C263" s="371" t="s">
        <v>2337</v>
      </c>
      <c r="D263" s="371" t="s">
        <v>2235</v>
      </c>
      <c r="E263" s="206"/>
      <c r="F263" s="206" t="s">
        <v>1273</v>
      </c>
      <c r="G263" s="206" t="s">
        <v>1273</v>
      </c>
      <c r="H263" s="371" t="s">
        <v>2271</v>
      </c>
      <c r="I263" s="206"/>
      <c r="J263" s="206" t="s">
        <v>1447</v>
      </c>
      <c r="K263" s="371" t="s">
        <v>2276</v>
      </c>
      <c r="L263" s="206" t="s">
        <v>2216</v>
      </c>
      <c r="M263" s="206" t="s">
        <v>1728</v>
      </c>
      <c r="N263" s="206" t="s">
        <v>49</v>
      </c>
      <c r="O263" s="372">
        <v>46238</v>
      </c>
      <c r="P263" s="372">
        <v>46120</v>
      </c>
      <c r="Q263" s="371" t="s">
        <v>2276</v>
      </c>
      <c r="R263" s="373">
        <v>13910</v>
      </c>
      <c r="S263" s="373">
        <v>13910</v>
      </c>
      <c r="T263" s="371" t="s">
        <v>2271</v>
      </c>
      <c r="U263" s="373">
        <v>4260</v>
      </c>
      <c r="V263" s="373">
        <v>4260</v>
      </c>
      <c r="W263" s="371" t="s">
        <v>2271</v>
      </c>
      <c r="X263" s="373">
        <v>9650</v>
      </c>
      <c r="Y263" s="373">
        <v>9650</v>
      </c>
      <c r="Z263" s="371" t="s">
        <v>2271</v>
      </c>
      <c r="AA263" s="373">
        <v>0</v>
      </c>
      <c r="AB263" s="373">
        <v>9580</v>
      </c>
      <c r="AC263" s="373">
        <v>9580</v>
      </c>
      <c r="AD263" s="371" t="s">
        <v>2271</v>
      </c>
      <c r="AE263" s="373">
        <v>0</v>
      </c>
      <c r="AF263" s="382">
        <v>0.83125000000000004</v>
      </c>
      <c r="AG263" s="382"/>
      <c r="AH263" s="371" t="s">
        <v>2276</v>
      </c>
      <c r="AI263" s="382">
        <v>0.85347222222222197</v>
      </c>
      <c r="AJ263" s="382"/>
      <c r="AK263" s="371" t="s">
        <v>2276</v>
      </c>
      <c r="AL263" s="206" t="s">
        <v>1221</v>
      </c>
      <c r="AM263" s="206"/>
      <c r="AN263" s="371" t="s">
        <v>2276</v>
      </c>
      <c r="AO263" s="206" t="s">
        <v>2479</v>
      </c>
      <c r="AP263" s="206"/>
      <c r="AQ263" s="206" t="s">
        <v>1131</v>
      </c>
      <c r="AR263" s="207" t="s">
        <v>68</v>
      </c>
    </row>
    <row r="264" spans="1:44" x14ac:dyDescent="0.2">
      <c r="A264" s="370">
        <v>245</v>
      </c>
      <c r="B264" s="380">
        <v>136</v>
      </c>
      <c r="C264" s="371" t="s">
        <v>2269</v>
      </c>
      <c r="D264" s="371" t="s">
        <v>2235</v>
      </c>
      <c r="E264" s="206"/>
      <c r="F264" s="206" t="s">
        <v>56</v>
      </c>
      <c r="G264" s="206" t="s">
        <v>56</v>
      </c>
      <c r="H264" s="371" t="s">
        <v>2271</v>
      </c>
      <c r="I264" s="206" t="s">
        <v>1429</v>
      </c>
      <c r="J264" s="206" t="s">
        <v>1429</v>
      </c>
      <c r="K264" s="371" t="s">
        <v>2271</v>
      </c>
      <c r="L264" s="206" t="s">
        <v>2148</v>
      </c>
      <c r="M264" s="206" t="s">
        <v>1341</v>
      </c>
      <c r="N264" s="206" t="s">
        <v>49</v>
      </c>
      <c r="O264" s="372">
        <v>45988</v>
      </c>
      <c r="P264" s="372">
        <v>45988</v>
      </c>
      <c r="Q264" s="371" t="s">
        <v>2271</v>
      </c>
      <c r="R264" s="373">
        <v>25150</v>
      </c>
      <c r="S264" s="373">
        <v>25150</v>
      </c>
      <c r="T264" s="371" t="s">
        <v>2271</v>
      </c>
      <c r="U264" s="373">
        <v>10900</v>
      </c>
      <c r="V264" s="373">
        <v>10900</v>
      </c>
      <c r="W264" s="371" t="s">
        <v>2271</v>
      </c>
      <c r="X264" s="373">
        <v>14250</v>
      </c>
      <c r="Y264" s="373">
        <v>14250</v>
      </c>
      <c r="Z264" s="371" t="s">
        <v>2271</v>
      </c>
      <c r="AA264" s="373">
        <v>0</v>
      </c>
      <c r="AB264" s="373">
        <v>14020</v>
      </c>
      <c r="AC264" s="373">
        <v>14020</v>
      </c>
      <c r="AD264" s="371" t="s">
        <v>2271</v>
      </c>
      <c r="AE264" s="373">
        <v>0</v>
      </c>
      <c r="AF264" s="382">
        <v>0.72569444444444497</v>
      </c>
      <c r="AG264" s="382">
        <v>0.72569444444444398</v>
      </c>
      <c r="AH264" s="371" t="s">
        <v>2276</v>
      </c>
      <c r="AI264" s="382">
        <v>0.81805555555555598</v>
      </c>
      <c r="AJ264" s="382">
        <v>0.81805555555555598</v>
      </c>
      <c r="AK264" s="371" t="s">
        <v>2271</v>
      </c>
      <c r="AL264" s="206" t="s">
        <v>137</v>
      </c>
      <c r="AM264" s="206" t="s">
        <v>137</v>
      </c>
      <c r="AN264" s="371" t="s">
        <v>2271</v>
      </c>
      <c r="AO264" s="206" t="s">
        <v>2480</v>
      </c>
      <c r="AP264" s="206" t="s">
        <v>1781</v>
      </c>
      <c r="AQ264" s="206" t="s">
        <v>1132</v>
      </c>
      <c r="AR264" s="207" t="s">
        <v>68</v>
      </c>
    </row>
    <row r="265" spans="1:44" x14ac:dyDescent="0.2">
      <c r="A265" s="370">
        <v>246</v>
      </c>
      <c r="B265" s="380">
        <v>136</v>
      </c>
      <c r="C265" s="371" t="s">
        <v>2337</v>
      </c>
      <c r="D265" s="371" t="s">
        <v>2235</v>
      </c>
      <c r="E265" s="206"/>
      <c r="F265" s="206" t="s">
        <v>1274</v>
      </c>
      <c r="G265" s="206" t="s">
        <v>1274</v>
      </c>
      <c r="H265" s="371" t="s">
        <v>2271</v>
      </c>
      <c r="I265" s="206"/>
      <c r="J265" s="206" t="s">
        <v>1447</v>
      </c>
      <c r="K265" s="371" t="s">
        <v>2276</v>
      </c>
      <c r="L265" s="206" t="s">
        <v>2216</v>
      </c>
      <c r="M265" s="206" t="s">
        <v>1728</v>
      </c>
      <c r="N265" s="206" t="s">
        <v>49</v>
      </c>
      <c r="O265" s="372">
        <v>46238</v>
      </c>
      <c r="P265" s="372">
        <v>46120</v>
      </c>
      <c r="Q265" s="371" t="s">
        <v>2276</v>
      </c>
      <c r="R265" s="373">
        <v>13330</v>
      </c>
      <c r="S265" s="373">
        <v>13330</v>
      </c>
      <c r="T265" s="371" t="s">
        <v>2271</v>
      </c>
      <c r="U265" s="373">
        <v>3890</v>
      </c>
      <c r="V265" s="373">
        <v>3890</v>
      </c>
      <c r="W265" s="371" t="s">
        <v>2271</v>
      </c>
      <c r="X265" s="373">
        <v>9440</v>
      </c>
      <c r="Y265" s="373">
        <v>9440</v>
      </c>
      <c r="Z265" s="371" t="s">
        <v>2271</v>
      </c>
      <c r="AA265" s="373">
        <v>0</v>
      </c>
      <c r="AB265" s="373">
        <v>9340</v>
      </c>
      <c r="AC265" s="373">
        <v>9340</v>
      </c>
      <c r="AD265" s="371" t="s">
        <v>2271</v>
      </c>
      <c r="AE265" s="373">
        <v>0</v>
      </c>
      <c r="AF265" s="382">
        <v>0.85555555555555596</v>
      </c>
      <c r="AG265" s="382"/>
      <c r="AH265" s="371" t="s">
        <v>2276</v>
      </c>
      <c r="AI265" s="382">
        <v>0.88055555555555598</v>
      </c>
      <c r="AJ265" s="382"/>
      <c r="AK265" s="371" t="s">
        <v>2276</v>
      </c>
      <c r="AL265" s="206" t="s">
        <v>1221</v>
      </c>
      <c r="AM265" s="206"/>
      <c r="AN265" s="371" t="s">
        <v>2276</v>
      </c>
      <c r="AO265" s="206" t="s">
        <v>2480</v>
      </c>
      <c r="AP265" s="206"/>
      <c r="AQ265" s="206" t="s">
        <v>1131</v>
      </c>
      <c r="AR265" s="207" t="s">
        <v>68</v>
      </c>
    </row>
    <row r="266" spans="1:44" x14ac:dyDescent="0.2">
      <c r="A266" s="370">
        <v>247</v>
      </c>
      <c r="B266" s="380">
        <v>137</v>
      </c>
      <c r="C266" s="371" t="s">
        <v>2269</v>
      </c>
      <c r="D266" s="371" t="s">
        <v>2235</v>
      </c>
      <c r="E266" s="206"/>
      <c r="F266" s="206" t="s">
        <v>84</v>
      </c>
      <c r="G266" s="206" t="s">
        <v>84</v>
      </c>
      <c r="H266" s="371" t="s">
        <v>2271</v>
      </c>
      <c r="I266" s="206" t="s">
        <v>1429</v>
      </c>
      <c r="J266" s="206" t="s">
        <v>1429</v>
      </c>
      <c r="K266" s="371" t="s">
        <v>2271</v>
      </c>
      <c r="L266" s="206" t="s">
        <v>2148</v>
      </c>
      <c r="M266" s="206" t="s">
        <v>1341</v>
      </c>
      <c r="N266" s="206" t="s">
        <v>49</v>
      </c>
      <c r="O266" s="372">
        <v>45988</v>
      </c>
      <c r="P266" s="372">
        <v>45988</v>
      </c>
      <c r="Q266" s="371" t="s">
        <v>2271</v>
      </c>
      <c r="R266" s="373">
        <v>26730</v>
      </c>
      <c r="S266" s="373">
        <v>26730</v>
      </c>
      <c r="T266" s="371" t="s">
        <v>2271</v>
      </c>
      <c r="U266" s="373">
        <v>12240</v>
      </c>
      <c r="V266" s="373">
        <v>12240</v>
      </c>
      <c r="W266" s="371" t="s">
        <v>2271</v>
      </c>
      <c r="X266" s="373">
        <v>14490</v>
      </c>
      <c r="Y266" s="373">
        <v>14490</v>
      </c>
      <c r="Z266" s="371" t="s">
        <v>2271</v>
      </c>
      <c r="AA266" s="373">
        <v>0</v>
      </c>
      <c r="AB266" s="373">
        <v>14450</v>
      </c>
      <c r="AC266" s="373">
        <v>14450</v>
      </c>
      <c r="AD266" s="371" t="s">
        <v>2271</v>
      </c>
      <c r="AE266" s="373">
        <v>0</v>
      </c>
      <c r="AF266" s="382">
        <v>0.74444444444444402</v>
      </c>
      <c r="AG266" s="382">
        <v>0.74444444444444502</v>
      </c>
      <c r="AH266" s="371" t="s">
        <v>2276</v>
      </c>
      <c r="AI266" s="382">
        <v>0.82708333333333295</v>
      </c>
      <c r="AJ266" s="382">
        <v>0.82708333333333295</v>
      </c>
      <c r="AK266" s="371" t="s">
        <v>2271</v>
      </c>
      <c r="AL266" s="206" t="s">
        <v>137</v>
      </c>
      <c r="AM266" s="206" t="s">
        <v>137</v>
      </c>
      <c r="AN266" s="371" t="s">
        <v>2271</v>
      </c>
      <c r="AO266" s="206" t="s">
        <v>2481</v>
      </c>
      <c r="AP266" s="206" t="s">
        <v>1782</v>
      </c>
      <c r="AQ266" s="206" t="s">
        <v>1132</v>
      </c>
      <c r="AR266" s="207" t="s">
        <v>68</v>
      </c>
    </row>
    <row r="267" spans="1:44" x14ac:dyDescent="0.2">
      <c r="A267" s="370">
        <v>248</v>
      </c>
      <c r="B267" s="380">
        <v>137</v>
      </c>
      <c r="C267" s="371" t="s">
        <v>2337</v>
      </c>
      <c r="D267" s="371" t="s">
        <v>2235</v>
      </c>
      <c r="E267" s="206"/>
      <c r="F267" s="206" t="s">
        <v>1275</v>
      </c>
      <c r="G267" s="206" t="s">
        <v>1275</v>
      </c>
      <c r="H267" s="371" t="s">
        <v>2271</v>
      </c>
      <c r="I267" s="206"/>
      <c r="J267" s="206" t="s">
        <v>1447</v>
      </c>
      <c r="K267" s="371" t="s">
        <v>2276</v>
      </c>
      <c r="L267" s="206" t="s">
        <v>2216</v>
      </c>
      <c r="M267" s="206" t="s">
        <v>1728</v>
      </c>
      <c r="N267" s="206" t="s">
        <v>49</v>
      </c>
      <c r="O267" s="372">
        <v>46238</v>
      </c>
      <c r="P267" s="372">
        <v>46120</v>
      </c>
      <c r="Q267" s="371" t="s">
        <v>2276</v>
      </c>
      <c r="R267" s="373">
        <v>13980</v>
      </c>
      <c r="S267" s="373">
        <v>13980</v>
      </c>
      <c r="T267" s="371" t="s">
        <v>2271</v>
      </c>
      <c r="U267" s="373">
        <v>4300</v>
      </c>
      <c r="V267" s="373">
        <v>4300</v>
      </c>
      <c r="W267" s="371" t="s">
        <v>2271</v>
      </c>
      <c r="X267" s="373">
        <v>9680</v>
      </c>
      <c r="Y267" s="373">
        <v>9680</v>
      </c>
      <c r="Z267" s="371" t="s">
        <v>2271</v>
      </c>
      <c r="AA267" s="373">
        <v>0</v>
      </c>
      <c r="AB267" s="373">
        <v>9610</v>
      </c>
      <c r="AC267" s="373">
        <v>9610</v>
      </c>
      <c r="AD267" s="371" t="s">
        <v>2271</v>
      </c>
      <c r="AE267" s="373">
        <v>0</v>
      </c>
      <c r="AF267" s="382">
        <v>0.85694444444444395</v>
      </c>
      <c r="AG267" s="382"/>
      <c r="AH267" s="371" t="s">
        <v>2276</v>
      </c>
      <c r="AI267" s="382">
        <v>0.88819444444444395</v>
      </c>
      <c r="AJ267" s="382"/>
      <c r="AK267" s="371" t="s">
        <v>2276</v>
      </c>
      <c r="AL267" s="206" t="s">
        <v>1221</v>
      </c>
      <c r="AM267" s="206"/>
      <c r="AN267" s="371" t="s">
        <v>2276</v>
      </c>
      <c r="AO267" s="206" t="s">
        <v>2481</v>
      </c>
      <c r="AP267" s="206"/>
      <c r="AQ267" s="206" t="s">
        <v>1131</v>
      </c>
      <c r="AR267" s="207" t="s">
        <v>68</v>
      </c>
    </row>
    <row r="268" spans="1:44" x14ac:dyDescent="0.2">
      <c r="A268" s="370">
        <v>249</v>
      </c>
      <c r="B268" s="380">
        <v>138</v>
      </c>
      <c r="C268" s="371" t="s">
        <v>2269</v>
      </c>
      <c r="D268" s="371" t="s">
        <v>2235</v>
      </c>
      <c r="E268" s="206"/>
      <c r="F268" s="206" t="s">
        <v>76</v>
      </c>
      <c r="G268" s="206" t="s">
        <v>76</v>
      </c>
      <c r="H268" s="371" t="s">
        <v>2271</v>
      </c>
      <c r="I268" s="206" t="s">
        <v>1450</v>
      </c>
      <c r="J268" s="206" t="s">
        <v>1450</v>
      </c>
      <c r="K268" s="371" t="s">
        <v>2271</v>
      </c>
      <c r="L268" s="206" t="s">
        <v>2147</v>
      </c>
      <c r="M268" s="206" t="s">
        <v>1342</v>
      </c>
      <c r="N268" s="206" t="s">
        <v>59</v>
      </c>
      <c r="O268" s="372">
        <v>45988</v>
      </c>
      <c r="P268" s="372">
        <v>45988</v>
      </c>
      <c r="Q268" s="371" t="s">
        <v>2271</v>
      </c>
      <c r="R268" s="373">
        <v>45650</v>
      </c>
      <c r="S268" s="373">
        <v>45650</v>
      </c>
      <c r="T268" s="371" t="s">
        <v>2271</v>
      </c>
      <c r="U268" s="373">
        <v>17430</v>
      </c>
      <c r="V268" s="373">
        <v>17430</v>
      </c>
      <c r="W268" s="371" t="s">
        <v>2271</v>
      </c>
      <c r="X268" s="373">
        <v>28220</v>
      </c>
      <c r="Y268" s="373">
        <v>28220</v>
      </c>
      <c r="Z268" s="371" t="s">
        <v>2271</v>
      </c>
      <c r="AA268" s="373">
        <v>0</v>
      </c>
      <c r="AB268" s="373">
        <v>28280</v>
      </c>
      <c r="AC268" s="373">
        <v>28280</v>
      </c>
      <c r="AD268" s="371" t="s">
        <v>2271</v>
      </c>
      <c r="AE268" s="373">
        <v>0</v>
      </c>
      <c r="AF268" s="382">
        <v>0.76944444444444404</v>
      </c>
      <c r="AG268" s="382">
        <v>0.76944444444444504</v>
      </c>
      <c r="AH268" s="371" t="s">
        <v>2276</v>
      </c>
      <c r="AI268" s="382">
        <v>0.81041666666666701</v>
      </c>
      <c r="AJ268" s="382">
        <v>0.81041666666666701</v>
      </c>
      <c r="AK268" s="371" t="s">
        <v>2271</v>
      </c>
      <c r="AL268" s="206" t="s">
        <v>137</v>
      </c>
      <c r="AM268" s="206" t="s">
        <v>137</v>
      </c>
      <c r="AN268" s="371" t="s">
        <v>2271</v>
      </c>
      <c r="AO268" s="206" t="s">
        <v>2482</v>
      </c>
      <c r="AP268" s="206" t="s">
        <v>1372</v>
      </c>
      <c r="AQ268" s="206" t="s">
        <v>1133</v>
      </c>
      <c r="AR268" s="207" t="s">
        <v>75</v>
      </c>
    </row>
    <row r="269" spans="1:44" x14ac:dyDescent="0.2">
      <c r="A269" s="370">
        <v>250</v>
      </c>
      <c r="B269" s="380">
        <v>138</v>
      </c>
      <c r="C269" s="371" t="s">
        <v>2337</v>
      </c>
      <c r="D269" s="371" t="s">
        <v>2235</v>
      </c>
      <c r="E269" s="206"/>
      <c r="F269" s="206" t="s">
        <v>1267</v>
      </c>
      <c r="G269" s="206" t="s">
        <v>1267</v>
      </c>
      <c r="H269" s="371" t="s">
        <v>2271</v>
      </c>
      <c r="I269" s="206"/>
      <c r="J269" s="206" t="s">
        <v>1447</v>
      </c>
      <c r="K269" s="371" t="s">
        <v>2276</v>
      </c>
      <c r="L269" s="206" t="s">
        <v>2216</v>
      </c>
      <c r="M269" s="206" t="s">
        <v>1728</v>
      </c>
      <c r="N269" s="206" t="s">
        <v>49</v>
      </c>
      <c r="O269" s="372">
        <v>46238</v>
      </c>
      <c r="P269" s="372">
        <v>46120</v>
      </c>
      <c r="Q269" s="371" t="s">
        <v>2276</v>
      </c>
      <c r="R269" s="373">
        <v>12710</v>
      </c>
      <c r="S269" s="373">
        <v>12710</v>
      </c>
      <c r="T269" s="371" t="s">
        <v>2271</v>
      </c>
      <c r="U269" s="373">
        <v>3790</v>
      </c>
      <c r="V269" s="373">
        <v>3790</v>
      </c>
      <c r="W269" s="371" t="s">
        <v>2271</v>
      </c>
      <c r="X269" s="373">
        <v>8920</v>
      </c>
      <c r="Y269" s="373">
        <v>8920</v>
      </c>
      <c r="Z269" s="371" t="s">
        <v>2271</v>
      </c>
      <c r="AA269" s="373">
        <v>0</v>
      </c>
      <c r="AB269" s="373">
        <v>8890</v>
      </c>
      <c r="AC269" s="373">
        <v>8890</v>
      </c>
      <c r="AD269" s="371" t="s">
        <v>2271</v>
      </c>
      <c r="AE269" s="373">
        <v>0</v>
      </c>
      <c r="AF269" s="382">
        <v>0.86111111111111105</v>
      </c>
      <c r="AG269" s="382"/>
      <c r="AH269" s="371" t="s">
        <v>2276</v>
      </c>
      <c r="AI269" s="382">
        <v>0.90138888888888902</v>
      </c>
      <c r="AJ269" s="382"/>
      <c r="AK269" s="371" t="s">
        <v>2276</v>
      </c>
      <c r="AL269" s="206" t="s">
        <v>1221</v>
      </c>
      <c r="AM269" s="206"/>
      <c r="AN269" s="371" t="s">
        <v>2276</v>
      </c>
      <c r="AO269" s="206" t="s">
        <v>2483</v>
      </c>
      <c r="AP269" s="206"/>
      <c r="AQ269" s="206" t="s">
        <v>1131</v>
      </c>
      <c r="AR269" s="207" t="s">
        <v>68</v>
      </c>
    </row>
    <row r="270" spans="1:44" x14ac:dyDescent="0.2">
      <c r="A270" s="370">
        <v>251</v>
      </c>
      <c r="B270" s="380">
        <v>139</v>
      </c>
      <c r="C270" s="371" t="s">
        <v>2269</v>
      </c>
      <c r="D270" s="371" t="s">
        <v>2270</v>
      </c>
      <c r="E270" s="206"/>
      <c r="F270" s="206" t="s">
        <v>46</v>
      </c>
      <c r="G270" s="206" t="s">
        <v>46</v>
      </c>
      <c r="H270" s="371" t="s">
        <v>2271</v>
      </c>
      <c r="I270" s="206" t="s">
        <v>1429</v>
      </c>
      <c r="J270" s="206" t="s">
        <v>1429</v>
      </c>
      <c r="K270" s="371" t="s">
        <v>2271</v>
      </c>
      <c r="L270" s="206" t="s">
        <v>2148</v>
      </c>
      <c r="M270" s="206" t="s">
        <v>1341</v>
      </c>
      <c r="N270" s="206" t="s">
        <v>49</v>
      </c>
      <c r="O270" s="372">
        <v>45988</v>
      </c>
      <c r="P270" s="372">
        <v>45988</v>
      </c>
      <c r="Q270" s="371" t="s">
        <v>2271</v>
      </c>
      <c r="R270" s="373">
        <v>26550</v>
      </c>
      <c r="S270" s="373">
        <v>26550</v>
      </c>
      <c r="T270" s="371" t="s">
        <v>2271</v>
      </c>
      <c r="U270" s="373">
        <v>11720</v>
      </c>
      <c r="V270" s="373">
        <v>11720</v>
      </c>
      <c r="W270" s="371" t="s">
        <v>2271</v>
      </c>
      <c r="X270" s="373">
        <v>14830</v>
      </c>
      <c r="Y270" s="373">
        <v>14830</v>
      </c>
      <c r="Z270" s="371" t="s">
        <v>2271</v>
      </c>
      <c r="AA270" s="373">
        <v>0</v>
      </c>
      <c r="AB270" s="373">
        <v>14770</v>
      </c>
      <c r="AC270" s="373">
        <v>14770</v>
      </c>
      <c r="AD270" s="371" t="s">
        <v>2271</v>
      </c>
      <c r="AE270" s="373">
        <v>0</v>
      </c>
      <c r="AF270" s="382">
        <v>0.81458333333333299</v>
      </c>
      <c r="AG270" s="382">
        <v>0.81458333333333299</v>
      </c>
      <c r="AH270" s="371" t="s">
        <v>2271</v>
      </c>
      <c r="AI270" s="382">
        <v>0.84791666666666698</v>
      </c>
      <c r="AJ270" s="382">
        <v>0.84791666666666698</v>
      </c>
      <c r="AK270" s="371" t="s">
        <v>2271</v>
      </c>
      <c r="AL270" s="206" t="s">
        <v>137</v>
      </c>
      <c r="AM270" s="206" t="s">
        <v>137</v>
      </c>
      <c r="AN270" s="371" t="s">
        <v>2271</v>
      </c>
      <c r="AO270" s="206" t="s">
        <v>2484</v>
      </c>
      <c r="AP270" s="206" t="s">
        <v>1393</v>
      </c>
      <c r="AQ270" s="206" t="s">
        <v>1132</v>
      </c>
      <c r="AR270" s="207" t="s">
        <v>68</v>
      </c>
    </row>
    <row r="271" spans="1:44" x14ac:dyDescent="0.2">
      <c r="A271" s="370">
        <v>252</v>
      </c>
      <c r="B271" s="380">
        <v>139</v>
      </c>
      <c r="C271" s="371" t="s">
        <v>2337</v>
      </c>
      <c r="D271" s="371" t="s">
        <v>2235</v>
      </c>
      <c r="E271" s="206"/>
      <c r="F271" s="206" t="s">
        <v>186</v>
      </c>
      <c r="G271" s="206" t="s">
        <v>186</v>
      </c>
      <c r="H271" s="371" t="s">
        <v>2271</v>
      </c>
      <c r="I271" s="206"/>
      <c r="J271" s="206" t="s">
        <v>1447</v>
      </c>
      <c r="K271" s="371" t="s">
        <v>2276</v>
      </c>
      <c r="L271" s="206" t="s">
        <v>2216</v>
      </c>
      <c r="M271" s="206" t="s">
        <v>1728</v>
      </c>
      <c r="N271" s="206" t="s">
        <v>49</v>
      </c>
      <c r="O271" s="372">
        <v>46238</v>
      </c>
      <c r="P271" s="372">
        <v>46120</v>
      </c>
      <c r="Q271" s="371" t="s">
        <v>2276</v>
      </c>
      <c r="R271" s="373">
        <v>13440</v>
      </c>
      <c r="S271" s="373">
        <v>13440</v>
      </c>
      <c r="T271" s="371" t="s">
        <v>2271</v>
      </c>
      <c r="U271" s="373">
        <v>3960</v>
      </c>
      <c r="V271" s="373">
        <v>3960</v>
      </c>
      <c r="W271" s="371" t="s">
        <v>2271</v>
      </c>
      <c r="X271" s="373">
        <v>9480</v>
      </c>
      <c r="Y271" s="373">
        <v>9480</v>
      </c>
      <c r="Z271" s="371" t="s">
        <v>2271</v>
      </c>
      <c r="AA271" s="373">
        <v>0</v>
      </c>
      <c r="AB271" s="373">
        <v>9440</v>
      </c>
      <c r="AC271" s="373">
        <v>9440</v>
      </c>
      <c r="AD271" s="371" t="s">
        <v>2271</v>
      </c>
      <c r="AE271" s="373">
        <v>0</v>
      </c>
      <c r="AF271" s="382">
        <v>0.875</v>
      </c>
      <c r="AG271" s="382"/>
      <c r="AH271" s="371" t="s">
        <v>2276</v>
      </c>
      <c r="AI271" s="382">
        <v>0.89444444444444404</v>
      </c>
      <c r="AJ271" s="382"/>
      <c r="AK271" s="371" t="s">
        <v>2276</v>
      </c>
      <c r="AL271" s="206" t="s">
        <v>1221</v>
      </c>
      <c r="AM271" s="206"/>
      <c r="AN271" s="371" t="s">
        <v>2276</v>
      </c>
      <c r="AO271" s="206" t="s">
        <v>2484</v>
      </c>
      <c r="AP271" s="206"/>
      <c r="AQ271" s="206" t="s">
        <v>1131</v>
      </c>
      <c r="AR271" s="207" t="s">
        <v>68</v>
      </c>
    </row>
    <row r="272" spans="1:44" x14ac:dyDescent="0.2">
      <c r="A272" s="370">
        <v>253</v>
      </c>
      <c r="B272" s="380">
        <v>140</v>
      </c>
      <c r="C272" s="371" t="s">
        <v>2269</v>
      </c>
      <c r="D272" s="371" t="s">
        <v>2270</v>
      </c>
      <c r="E272" s="206"/>
      <c r="F272" s="206" t="s">
        <v>70</v>
      </c>
      <c r="G272" s="206" t="s">
        <v>70</v>
      </c>
      <c r="H272" s="371" t="s">
        <v>2271</v>
      </c>
      <c r="I272" s="206" t="s">
        <v>1450</v>
      </c>
      <c r="J272" s="206" t="s">
        <v>1450</v>
      </c>
      <c r="K272" s="371" t="s">
        <v>2271</v>
      </c>
      <c r="L272" s="206" t="s">
        <v>2147</v>
      </c>
      <c r="M272" s="206" t="s">
        <v>1342</v>
      </c>
      <c r="N272" s="206" t="s">
        <v>59</v>
      </c>
      <c r="O272" s="372">
        <v>45989</v>
      </c>
      <c r="P272" s="372">
        <v>45989</v>
      </c>
      <c r="Q272" s="371" t="s">
        <v>2271</v>
      </c>
      <c r="R272" s="373">
        <v>45460</v>
      </c>
      <c r="S272" s="373">
        <v>45460</v>
      </c>
      <c r="T272" s="371" t="s">
        <v>2271</v>
      </c>
      <c r="U272" s="373">
        <v>17430</v>
      </c>
      <c r="V272" s="373">
        <v>17430</v>
      </c>
      <c r="W272" s="371" t="s">
        <v>2271</v>
      </c>
      <c r="X272" s="373">
        <v>28030</v>
      </c>
      <c r="Y272" s="373">
        <v>28030</v>
      </c>
      <c r="Z272" s="371" t="s">
        <v>2271</v>
      </c>
      <c r="AA272" s="373">
        <v>0</v>
      </c>
      <c r="AB272" s="373">
        <v>28080</v>
      </c>
      <c r="AC272" s="373">
        <v>28080</v>
      </c>
      <c r="AD272" s="371" t="s">
        <v>2271</v>
      </c>
      <c r="AE272" s="373">
        <v>0</v>
      </c>
      <c r="AF272" s="382">
        <v>0.95625000000000004</v>
      </c>
      <c r="AG272" s="382">
        <v>0.95625000000000004</v>
      </c>
      <c r="AH272" s="371" t="s">
        <v>2271</v>
      </c>
      <c r="AI272" s="382">
        <v>1.52777777777778E-2</v>
      </c>
      <c r="AJ272" s="382">
        <v>1.52777777777778E-2</v>
      </c>
      <c r="AK272" s="371" t="s">
        <v>2271</v>
      </c>
      <c r="AL272" s="206" t="s">
        <v>137</v>
      </c>
      <c r="AM272" s="206" t="s">
        <v>137</v>
      </c>
      <c r="AN272" s="371" t="s">
        <v>2271</v>
      </c>
      <c r="AO272" s="206" t="s">
        <v>2485</v>
      </c>
      <c r="AP272" s="206" t="s">
        <v>1499</v>
      </c>
      <c r="AQ272" s="206" t="s">
        <v>1133</v>
      </c>
      <c r="AR272" s="207" t="s">
        <v>75</v>
      </c>
    </row>
    <row r="273" spans="1:44" x14ac:dyDescent="0.2">
      <c r="A273" s="370">
        <v>254</v>
      </c>
      <c r="B273" s="380">
        <v>140</v>
      </c>
      <c r="C273" s="371" t="s">
        <v>2337</v>
      </c>
      <c r="D273" s="371" t="s">
        <v>2235</v>
      </c>
      <c r="E273" s="206"/>
      <c r="F273" s="206" t="s">
        <v>2219</v>
      </c>
      <c r="G273" s="206" t="s">
        <v>1268</v>
      </c>
      <c r="H273" s="371" t="s">
        <v>2271</v>
      </c>
      <c r="I273" s="206"/>
      <c r="J273" s="206" t="s">
        <v>1447</v>
      </c>
      <c r="K273" s="371" t="s">
        <v>2276</v>
      </c>
      <c r="L273" s="206" t="s">
        <v>2216</v>
      </c>
      <c r="M273" s="206" t="s">
        <v>1728</v>
      </c>
      <c r="N273" s="206" t="s">
        <v>49</v>
      </c>
      <c r="O273" s="372">
        <v>46238</v>
      </c>
      <c r="P273" s="372">
        <v>46120</v>
      </c>
      <c r="Q273" s="371" t="s">
        <v>2276</v>
      </c>
      <c r="R273" s="373">
        <v>13470</v>
      </c>
      <c r="S273" s="373">
        <v>13470</v>
      </c>
      <c r="T273" s="371" t="s">
        <v>2271</v>
      </c>
      <c r="U273" s="373">
        <v>3850</v>
      </c>
      <c r="V273" s="373">
        <v>3850</v>
      </c>
      <c r="W273" s="371" t="s">
        <v>2271</v>
      </c>
      <c r="X273" s="373">
        <v>9620</v>
      </c>
      <c r="Y273" s="373">
        <v>9620</v>
      </c>
      <c r="Z273" s="371" t="s">
        <v>2271</v>
      </c>
      <c r="AA273" s="373">
        <v>0</v>
      </c>
      <c r="AB273" s="373">
        <v>9600</v>
      </c>
      <c r="AC273" s="373">
        <v>9600</v>
      </c>
      <c r="AD273" s="371" t="s">
        <v>2271</v>
      </c>
      <c r="AE273" s="373">
        <v>0</v>
      </c>
      <c r="AF273" s="382">
        <v>0.93472222222222201</v>
      </c>
      <c r="AG273" s="382"/>
      <c r="AH273" s="371" t="s">
        <v>2276</v>
      </c>
      <c r="AI273" s="382">
        <v>0.95208333333333295</v>
      </c>
      <c r="AJ273" s="382"/>
      <c r="AK273" s="371" t="s">
        <v>2276</v>
      </c>
      <c r="AL273" s="206" t="s">
        <v>1221</v>
      </c>
      <c r="AM273" s="206"/>
      <c r="AN273" s="371" t="s">
        <v>2276</v>
      </c>
      <c r="AO273" s="206" t="s">
        <v>2486</v>
      </c>
      <c r="AP273" s="206"/>
      <c r="AQ273" s="206" t="s">
        <v>1131</v>
      </c>
      <c r="AR273" s="207" t="s">
        <v>68</v>
      </c>
    </row>
    <row r="274" spans="1:44" x14ac:dyDescent="0.2">
      <c r="A274" s="370">
        <v>255</v>
      </c>
      <c r="B274" s="380">
        <v>141</v>
      </c>
      <c r="C274" s="371" t="s">
        <v>2269</v>
      </c>
      <c r="D274" s="371" t="s">
        <v>2270</v>
      </c>
      <c r="E274" s="206"/>
      <c r="F274" s="206" t="s">
        <v>56</v>
      </c>
      <c r="G274" s="206" t="s">
        <v>56</v>
      </c>
      <c r="H274" s="371" t="s">
        <v>2271</v>
      </c>
      <c r="I274" s="206" t="s">
        <v>1429</v>
      </c>
      <c r="J274" s="206" t="s">
        <v>1429</v>
      </c>
      <c r="K274" s="371" t="s">
        <v>2271</v>
      </c>
      <c r="L274" s="206" t="s">
        <v>2148</v>
      </c>
      <c r="M274" s="206" t="s">
        <v>1341</v>
      </c>
      <c r="N274" s="206" t="s">
        <v>49</v>
      </c>
      <c r="O274" s="372">
        <v>45989</v>
      </c>
      <c r="P274" s="372">
        <v>45989</v>
      </c>
      <c r="Q274" s="371" t="s">
        <v>2271</v>
      </c>
      <c r="R274" s="373">
        <v>25090</v>
      </c>
      <c r="S274" s="373">
        <v>25090</v>
      </c>
      <c r="T274" s="371" t="s">
        <v>2271</v>
      </c>
      <c r="U274" s="373">
        <v>10860</v>
      </c>
      <c r="V274" s="373">
        <v>10860</v>
      </c>
      <c r="W274" s="371" t="s">
        <v>2271</v>
      </c>
      <c r="X274" s="373">
        <v>14230</v>
      </c>
      <c r="Y274" s="373">
        <v>14230</v>
      </c>
      <c r="Z274" s="371" t="s">
        <v>2271</v>
      </c>
      <c r="AA274" s="373">
        <v>0</v>
      </c>
      <c r="AB274" s="373">
        <v>14180</v>
      </c>
      <c r="AC274" s="373">
        <v>14180</v>
      </c>
      <c r="AD274" s="371" t="s">
        <v>2271</v>
      </c>
      <c r="AE274" s="373">
        <v>0</v>
      </c>
      <c r="AF274" s="382">
        <v>1.38888888888889E-3</v>
      </c>
      <c r="AG274" s="382">
        <v>1.38888888888889E-3</v>
      </c>
      <c r="AH274" s="371" t="s">
        <v>2271</v>
      </c>
      <c r="AI274" s="382">
        <v>5.6250000000000001E-2</v>
      </c>
      <c r="AJ274" s="382">
        <v>5.6250000000000001E-2</v>
      </c>
      <c r="AK274" s="371" t="s">
        <v>2271</v>
      </c>
      <c r="AL274" s="206" t="s">
        <v>137</v>
      </c>
      <c r="AM274" s="206" t="s">
        <v>137</v>
      </c>
      <c r="AN274" s="371" t="s">
        <v>2271</v>
      </c>
      <c r="AO274" s="206" t="s">
        <v>2487</v>
      </c>
      <c r="AP274" s="206" t="s">
        <v>1781</v>
      </c>
      <c r="AQ274" s="206" t="s">
        <v>1132</v>
      </c>
      <c r="AR274" s="207" t="s">
        <v>68</v>
      </c>
    </row>
    <row r="275" spans="1:44" x14ac:dyDescent="0.2">
      <c r="A275" s="370">
        <v>256</v>
      </c>
      <c r="B275" s="380">
        <v>141</v>
      </c>
      <c r="C275" s="371" t="s">
        <v>2337</v>
      </c>
      <c r="D275" s="371" t="s">
        <v>2235</v>
      </c>
      <c r="E275" s="206"/>
      <c r="F275" s="206" t="s">
        <v>1269</v>
      </c>
      <c r="G275" s="206" t="s">
        <v>1269</v>
      </c>
      <c r="H275" s="371" t="s">
        <v>2271</v>
      </c>
      <c r="I275" s="206"/>
      <c r="J275" s="206" t="s">
        <v>1447</v>
      </c>
      <c r="K275" s="371" t="s">
        <v>2276</v>
      </c>
      <c r="L275" s="206" t="s">
        <v>2216</v>
      </c>
      <c r="M275" s="206" t="s">
        <v>1728</v>
      </c>
      <c r="N275" s="206" t="s">
        <v>49</v>
      </c>
      <c r="O275" s="372">
        <v>46238</v>
      </c>
      <c r="P275" s="372">
        <v>46120</v>
      </c>
      <c r="Q275" s="371" t="s">
        <v>2276</v>
      </c>
      <c r="R275" s="373">
        <v>13180</v>
      </c>
      <c r="S275" s="373">
        <v>13180</v>
      </c>
      <c r="T275" s="371" t="s">
        <v>2271</v>
      </c>
      <c r="U275" s="373">
        <v>4120</v>
      </c>
      <c r="V275" s="373">
        <v>4120</v>
      </c>
      <c r="W275" s="371" t="s">
        <v>2271</v>
      </c>
      <c r="X275" s="373">
        <v>9060</v>
      </c>
      <c r="Y275" s="373">
        <v>9060</v>
      </c>
      <c r="Z275" s="371" t="s">
        <v>2271</v>
      </c>
      <c r="AA275" s="373">
        <v>0</v>
      </c>
      <c r="AB275" s="373">
        <v>9060</v>
      </c>
      <c r="AC275" s="373">
        <v>9060</v>
      </c>
      <c r="AD275" s="371" t="s">
        <v>2271</v>
      </c>
      <c r="AE275" s="373">
        <v>0</v>
      </c>
      <c r="AF275" s="382">
        <v>0.93611111111111101</v>
      </c>
      <c r="AG275" s="382"/>
      <c r="AH275" s="371" t="s">
        <v>2276</v>
      </c>
      <c r="AI275" s="382">
        <v>0.95902777777777803</v>
      </c>
      <c r="AJ275" s="382"/>
      <c r="AK275" s="371" t="s">
        <v>2276</v>
      </c>
      <c r="AL275" s="206" t="s">
        <v>1221</v>
      </c>
      <c r="AM275" s="206"/>
      <c r="AN275" s="371" t="s">
        <v>2276</v>
      </c>
      <c r="AO275" s="206" t="s">
        <v>2487</v>
      </c>
      <c r="AP275" s="206"/>
      <c r="AQ275" s="206" t="s">
        <v>1131</v>
      </c>
      <c r="AR275" s="207" t="s">
        <v>68</v>
      </c>
    </row>
    <row r="276" spans="1:44" x14ac:dyDescent="0.2">
      <c r="A276" s="370">
        <v>257</v>
      </c>
      <c r="B276" s="380">
        <v>142</v>
      </c>
      <c r="C276" s="371" t="s">
        <v>2269</v>
      </c>
      <c r="D276" s="371" t="s">
        <v>2270</v>
      </c>
      <c r="E276" s="206"/>
      <c r="F276" s="206" t="s">
        <v>46</v>
      </c>
      <c r="G276" s="206" t="s">
        <v>46</v>
      </c>
      <c r="H276" s="371" t="s">
        <v>2271</v>
      </c>
      <c r="I276" s="206" t="s">
        <v>1429</v>
      </c>
      <c r="J276" s="206" t="s">
        <v>1429</v>
      </c>
      <c r="K276" s="371" t="s">
        <v>2271</v>
      </c>
      <c r="L276" s="206" t="s">
        <v>2148</v>
      </c>
      <c r="M276" s="206" t="s">
        <v>1341</v>
      </c>
      <c r="N276" s="206" t="s">
        <v>49</v>
      </c>
      <c r="O276" s="372">
        <v>45989</v>
      </c>
      <c r="P276" s="372">
        <v>45989</v>
      </c>
      <c r="Q276" s="371" t="s">
        <v>2271</v>
      </c>
      <c r="R276" s="373">
        <v>26480</v>
      </c>
      <c r="S276" s="373">
        <v>26480</v>
      </c>
      <c r="T276" s="371" t="s">
        <v>2271</v>
      </c>
      <c r="U276" s="373">
        <v>11670</v>
      </c>
      <c r="V276" s="373">
        <v>11670</v>
      </c>
      <c r="W276" s="371" t="s">
        <v>2271</v>
      </c>
      <c r="X276" s="373">
        <v>14810</v>
      </c>
      <c r="Y276" s="373">
        <v>14810</v>
      </c>
      <c r="Z276" s="371" t="s">
        <v>2271</v>
      </c>
      <c r="AA276" s="373">
        <v>0</v>
      </c>
      <c r="AB276" s="373">
        <v>14740</v>
      </c>
      <c r="AC276" s="373">
        <v>14740</v>
      </c>
      <c r="AD276" s="371" t="s">
        <v>2271</v>
      </c>
      <c r="AE276" s="373">
        <v>0</v>
      </c>
      <c r="AF276" s="382">
        <v>1.8055555555555599E-2</v>
      </c>
      <c r="AG276" s="382">
        <v>1.8055555555555599E-2</v>
      </c>
      <c r="AH276" s="371" t="s">
        <v>2271</v>
      </c>
      <c r="AI276" s="382">
        <v>7.3611111111111099E-2</v>
      </c>
      <c r="AJ276" s="382">
        <v>7.3611111111111099E-2</v>
      </c>
      <c r="AK276" s="371" t="s">
        <v>2271</v>
      </c>
      <c r="AL276" s="206" t="s">
        <v>137</v>
      </c>
      <c r="AM276" s="206" t="s">
        <v>137</v>
      </c>
      <c r="AN276" s="371" t="s">
        <v>2271</v>
      </c>
      <c r="AO276" s="206" t="s">
        <v>2488</v>
      </c>
      <c r="AP276" s="206" t="s">
        <v>1393</v>
      </c>
      <c r="AQ276" s="206" t="s">
        <v>1132</v>
      </c>
      <c r="AR276" s="207" t="s">
        <v>68</v>
      </c>
    </row>
    <row r="277" spans="1:44" x14ac:dyDescent="0.2">
      <c r="A277" s="370">
        <v>258</v>
      </c>
      <c r="B277" s="380">
        <v>142</v>
      </c>
      <c r="C277" s="371" t="s">
        <v>2337</v>
      </c>
      <c r="D277" s="371" t="s">
        <v>2235</v>
      </c>
      <c r="E277" s="206"/>
      <c r="F277" s="206" t="s">
        <v>1276</v>
      </c>
      <c r="G277" s="206" t="s">
        <v>1276</v>
      </c>
      <c r="H277" s="371" t="s">
        <v>2271</v>
      </c>
      <c r="I277" s="206"/>
      <c r="J277" s="206" t="s">
        <v>1447</v>
      </c>
      <c r="K277" s="371" t="s">
        <v>2276</v>
      </c>
      <c r="L277" s="206" t="s">
        <v>2216</v>
      </c>
      <c r="M277" s="206" t="s">
        <v>1728</v>
      </c>
      <c r="N277" s="206" t="s">
        <v>49</v>
      </c>
      <c r="O277" s="372">
        <v>46238</v>
      </c>
      <c r="P277" s="372">
        <v>46120</v>
      </c>
      <c r="Q277" s="371" t="s">
        <v>2276</v>
      </c>
      <c r="R277" s="373">
        <v>13870</v>
      </c>
      <c r="S277" s="373">
        <v>13870</v>
      </c>
      <c r="T277" s="371" t="s">
        <v>2271</v>
      </c>
      <c r="U277" s="373">
        <v>3950</v>
      </c>
      <c r="V277" s="373">
        <v>3950</v>
      </c>
      <c r="W277" s="371" t="s">
        <v>2271</v>
      </c>
      <c r="X277" s="373">
        <v>9920</v>
      </c>
      <c r="Y277" s="373">
        <v>9920</v>
      </c>
      <c r="Z277" s="371" t="s">
        <v>2271</v>
      </c>
      <c r="AA277" s="373">
        <v>0</v>
      </c>
      <c r="AB277" s="373">
        <v>9910</v>
      </c>
      <c r="AC277" s="373">
        <v>9910</v>
      </c>
      <c r="AD277" s="371" t="s">
        <v>2271</v>
      </c>
      <c r="AE277" s="373">
        <v>0</v>
      </c>
      <c r="AF277" s="382">
        <v>0.9375</v>
      </c>
      <c r="AG277" s="382"/>
      <c r="AH277" s="371" t="s">
        <v>2276</v>
      </c>
      <c r="AI277" s="382">
        <v>0.96180555555555503</v>
      </c>
      <c r="AJ277" s="382"/>
      <c r="AK277" s="371" t="s">
        <v>2276</v>
      </c>
      <c r="AL277" s="206" t="s">
        <v>1221</v>
      </c>
      <c r="AM277" s="206"/>
      <c r="AN277" s="371" t="s">
        <v>2276</v>
      </c>
      <c r="AO277" s="206" t="s">
        <v>2488</v>
      </c>
      <c r="AP277" s="206"/>
      <c r="AQ277" s="206" t="s">
        <v>1131</v>
      </c>
      <c r="AR277" s="207" t="s">
        <v>68</v>
      </c>
    </row>
    <row r="278" spans="1:44" x14ac:dyDescent="0.2">
      <c r="A278" s="370">
        <v>259</v>
      </c>
      <c r="B278" s="380">
        <v>143</v>
      </c>
      <c r="C278" s="371" t="s">
        <v>2269</v>
      </c>
      <c r="D278" s="371" t="s">
        <v>2270</v>
      </c>
      <c r="E278" s="206"/>
      <c r="F278" s="206" t="s">
        <v>84</v>
      </c>
      <c r="G278" s="206" t="s">
        <v>84</v>
      </c>
      <c r="H278" s="371" t="s">
        <v>2271</v>
      </c>
      <c r="I278" s="206" t="s">
        <v>1429</v>
      </c>
      <c r="J278" s="206" t="s">
        <v>1429</v>
      </c>
      <c r="K278" s="371" t="s">
        <v>2271</v>
      </c>
      <c r="L278" s="206" t="s">
        <v>2148</v>
      </c>
      <c r="M278" s="206" t="s">
        <v>1341</v>
      </c>
      <c r="N278" s="206" t="s">
        <v>49</v>
      </c>
      <c r="O278" s="372">
        <v>45989</v>
      </c>
      <c r="P278" s="372">
        <v>45989</v>
      </c>
      <c r="Q278" s="371" t="s">
        <v>2271</v>
      </c>
      <c r="R278" s="373">
        <v>26640</v>
      </c>
      <c r="S278" s="373">
        <v>26640</v>
      </c>
      <c r="T278" s="371" t="s">
        <v>2271</v>
      </c>
      <c r="U278" s="373">
        <v>12160</v>
      </c>
      <c r="V278" s="373">
        <v>12160</v>
      </c>
      <c r="W278" s="371" t="s">
        <v>2271</v>
      </c>
      <c r="X278" s="373">
        <v>14480</v>
      </c>
      <c r="Y278" s="373">
        <v>14480</v>
      </c>
      <c r="Z278" s="371" t="s">
        <v>2271</v>
      </c>
      <c r="AA278" s="373">
        <v>0</v>
      </c>
      <c r="AB278" s="373">
        <v>14400</v>
      </c>
      <c r="AC278" s="373">
        <v>14400</v>
      </c>
      <c r="AD278" s="371" t="s">
        <v>2271</v>
      </c>
      <c r="AE278" s="373">
        <v>0</v>
      </c>
      <c r="AF278" s="382">
        <v>5.2777777777777798E-2</v>
      </c>
      <c r="AG278" s="382">
        <v>5.2777777777777798E-2</v>
      </c>
      <c r="AH278" s="371" t="s">
        <v>2271</v>
      </c>
      <c r="AI278" s="382">
        <v>8.8888888888888906E-2</v>
      </c>
      <c r="AJ278" s="382">
        <v>8.8888888888888906E-2</v>
      </c>
      <c r="AK278" s="371" t="s">
        <v>2271</v>
      </c>
      <c r="AL278" s="206" t="s">
        <v>137</v>
      </c>
      <c r="AM278" s="206" t="s">
        <v>137</v>
      </c>
      <c r="AN278" s="371" t="s">
        <v>2271</v>
      </c>
      <c r="AO278" s="206" t="s">
        <v>2489</v>
      </c>
      <c r="AP278" s="206" t="s">
        <v>1782</v>
      </c>
      <c r="AQ278" s="206" t="s">
        <v>1132</v>
      </c>
      <c r="AR278" s="207" t="s">
        <v>68</v>
      </c>
    </row>
    <row r="279" spans="1:44" x14ac:dyDescent="0.2">
      <c r="A279" s="370">
        <v>260</v>
      </c>
      <c r="B279" s="380">
        <v>143</v>
      </c>
      <c r="C279" s="371" t="s">
        <v>2337</v>
      </c>
      <c r="D279" s="371" t="s">
        <v>2235</v>
      </c>
      <c r="E279" s="206"/>
      <c r="F279" s="206" t="s">
        <v>211</v>
      </c>
      <c r="G279" s="206" t="s">
        <v>211</v>
      </c>
      <c r="H279" s="371" t="s">
        <v>2271</v>
      </c>
      <c r="I279" s="206"/>
      <c r="J279" s="206" t="s">
        <v>1447</v>
      </c>
      <c r="K279" s="371" t="s">
        <v>2276</v>
      </c>
      <c r="L279" s="206" t="s">
        <v>2216</v>
      </c>
      <c r="M279" s="206" t="s">
        <v>1728</v>
      </c>
      <c r="N279" s="206" t="s">
        <v>49</v>
      </c>
      <c r="O279" s="372">
        <v>46238</v>
      </c>
      <c r="P279" s="372">
        <v>46120</v>
      </c>
      <c r="Q279" s="371" t="s">
        <v>2276</v>
      </c>
      <c r="R279" s="373">
        <v>12970</v>
      </c>
      <c r="S279" s="373">
        <v>12970</v>
      </c>
      <c r="T279" s="371" t="s">
        <v>2271</v>
      </c>
      <c r="U279" s="373">
        <v>3950</v>
      </c>
      <c r="V279" s="373">
        <v>3950</v>
      </c>
      <c r="W279" s="371" t="s">
        <v>2271</v>
      </c>
      <c r="X279" s="373">
        <v>9020</v>
      </c>
      <c r="Y279" s="373">
        <v>9020</v>
      </c>
      <c r="Z279" s="371" t="s">
        <v>2271</v>
      </c>
      <c r="AA279" s="373">
        <v>0</v>
      </c>
      <c r="AB279" s="373">
        <v>8990</v>
      </c>
      <c r="AC279" s="373">
        <v>8990</v>
      </c>
      <c r="AD279" s="371" t="s">
        <v>2271</v>
      </c>
      <c r="AE279" s="373">
        <v>0</v>
      </c>
      <c r="AF279" s="382">
        <v>0.95416666666666705</v>
      </c>
      <c r="AG279" s="382"/>
      <c r="AH279" s="371" t="s">
        <v>2276</v>
      </c>
      <c r="AI279" s="382">
        <v>0.97222222222222199</v>
      </c>
      <c r="AJ279" s="382"/>
      <c r="AK279" s="371" t="s">
        <v>2276</v>
      </c>
      <c r="AL279" s="206" t="s">
        <v>1221</v>
      </c>
      <c r="AM279" s="206"/>
      <c r="AN279" s="371" t="s">
        <v>2276</v>
      </c>
      <c r="AO279" s="206" t="s">
        <v>2489</v>
      </c>
      <c r="AP279" s="206"/>
      <c r="AQ279" s="206" t="s">
        <v>1131</v>
      </c>
      <c r="AR279" s="207" t="s">
        <v>68</v>
      </c>
    </row>
    <row r="280" spans="1:44" x14ac:dyDescent="0.2">
      <c r="A280" s="370">
        <v>261</v>
      </c>
      <c r="B280" s="380">
        <v>144</v>
      </c>
      <c r="C280" s="371" t="s">
        <v>2269</v>
      </c>
      <c r="D280" s="371" t="s">
        <v>2270</v>
      </c>
      <c r="E280" s="206"/>
      <c r="F280" s="206" t="s">
        <v>76</v>
      </c>
      <c r="G280" s="206" t="s">
        <v>76</v>
      </c>
      <c r="H280" s="371" t="s">
        <v>2271</v>
      </c>
      <c r="I280" s="206" t="s">
        <v>1450</v>
      </c>
      <c r="J280" s="206" t="s">
        <v>1450</v>
      </c>
      <c r="K280" s="371" t="s">
        <v>2271</v>
      </c>
      <c r="L280" s="206" t="s">
        <v>2147</v>
      </c>
      <c r="M280" s="206" t="s">
        <v>1342</v>
      </c>
      <c r="N280" s="206" t="s">
        <v>59</v>
      </c>
      <c r="O280" s="372">
        <v>45989</v>
      </c>
      <c r="P280" s="372">
        <v>45989</v>
      </c>
      <c r="Q280" s="371" t="s">
        <v>2271</v>
      </c>
      <c r="R280" s="373">
        <v>45810</v>
      </c>
      <c r="S280" s="373">
        <v>45810</v>
      </c>
      <c r="T280" s="371" t="s">
        <v>2271</v>
      </c>
      <c r="U280" s="373">
        <v>17630</v>
      </c>
      <c r="V280" s="373">
        <v>17630</v>
      </c>
      <c r="W280" s="371" t="s">
        <v>2271</v>
      </c>
      <c r="X280" s="373">
        <v>28180</v>
      </c>
      <c r="Y280" s="373">
        <v>28180</v>
      </c>
      <c r="Z280" s="371" t="s">
        <v>2271</v>
      </c>
      <c r="AA280" s="373">
        <v>0</v>
      </c>
      <c r="AB280" s="373">
        <v>28240</v>
      </c>
      <c r="AC280" s="373">
        <v>28240</v>
      </c>
      <c r="AD280" s="371" t="s">
        <v>2271</v>
      </c>
      <c r="AE280" s="373">
        <v>0</v>
      </c>
      <c r="AF280" s="382">
        <v>0.45902777777777798</v>
      </c>
      <c r="AG280" s="382">
        <v>0.45902777777777798</v>
      </c>
      <c r="AH280" s="371" t="s">
        <v>2271</v>
      </c>
      <c r="AI280" s="382">
        <v>0.56597222222222199</v>
      </c>
      <c r="AJ280" s="382">
        <v>0.56597222222222199</v>
      </c>
      <c r="AK280" s="371" t="s">
        <v>2271</v>
      </c>
      <c r="AL280" s="206" t="s">
        <v>42</v>
      </c>
      <c r="AM280" s="206" t="s">
        <v>42</v>
      </c>
      <c r="AN280" s="371" t="s">
        <v>2271</v>
      </c>
      <c r="AO280" s="206" t="s">
        <v>2490</v>
      </c>
      <c r="AP280" s="206" t="s">
        <v>1372</v>
      </c>
      <c r="AQ280" s="206" t="s">
        <v>1133</v>
      </c>
      <c r="AR280" s="207" t="s">
        <v>75</v>
      </c>
    </row>
    <row r="281" spans="1:44" x14ac:dyDescent="0.2">
      <c r="A281" s="370">
        <v>262</v>
      </c>
      <c r="B281" s="380">
        <v>144</v>
      </c>
      <c r="C281" s="371" t="s">
        <v>2337</v>
      </c>
      <c r="D281" s="371" t="s">
        <v>2235</v>
      </c>
      <c r="E281" s="206"/>
      <c r="F281" s="206" t="s">
        <v>215</v>
      </c>
      <c r="G281" s="206" t="s">
        <v>215</v>
      </c>
      <c r="H281" s="371" t="s">
        <v>2271</v>
      </c>
      <c r="I281" s="206"/>
      <c r="J281" s="206" t="s">
        <v>1447</v>
      </c>
      <c r="K281" s="371" t="s">
        <v>2276</v>
      </c>
      <c r="L281" s="206" t="s">
        <v>2216</v>
      </c>
      <c r="M281" s="206" t="s">
        <v>1728</v>
      </c>
      <c r="N281" s="206" t="s">
        <v>49</v>
      </c>
      <c r="O281" s="372">
        <v>46238</v>
      </c>
      <c r="P281" s="372">
        <v>46120</v>
      </c>
      <c r="Q281" s="371" t="s">
        <v>2276</v>
      </c>
      <c r="R281" s="373">
        <v>12790</v>
      </c>
      <c r="S281" s="373">
        <v>12790</v>
      </c>
      <c r="T281" s="371" t="s">
        <v>2271</v>
      </c>
      <c r="U281" s="373">
        <v>3980</v>
      </c>
      <c r="V281" s="373">
        <v>3980</v>
      </c>
      <c r="W281" s="371" t="s">
        <v>2271</v>
      </c>
      <c r="X281" s="373">
        <v>8810</v>
      </c>
      <c r="Y281" s="373">
        <v>8810</v>
      </c>
      <c r="Z281" s="371" t="s">
        <v>2271</v>
      </c>
      <c r="AA281" s="373">
        <v>0</v>
      </c>
      <c r="AB281" s="373">
        <v>8750</v>
      </c>
      <c r="AC281" s="373">
        <v>8750</v>
      </c>
      <c r="AD281" s="371" t="s">
        <v>2271</v>
      </c>
      <c r="AE281" s="373">
        <v>0</v>
      </c>
      <c r="AF281" s="382">
        <v>0.96111111111111103</v>
      </c>
      <c r="AG281" s="382"/>
      <c r="AH281" s="371" t="s">
        <v>2276</v>
      </c>
      <c r="AI281" s="382">
        <v>0.98611111111111105</v>
      </c>
      <c r="AJ281" s="382"/>
      <c r="AK281" s="371" t="s">
        <v>2276</v>
      </c>
      <c r="AL281" s="206" t="s">
        <v>1221</v>
      </c>
      <c r="AM281" s="206"/>
      <c r="AN281" s="371" t="s">
        <v>2276</v>
      </c>
      <c r="AO281" s="206" t="s">
        <v>2491</v>
      </c>
      <c r="AP281" s="206"/>
      <c r="AQ281" s="206" t="s">
        <v>1131</v>
      </c>
      <c r="AR281" s="207" t="s">
        <v>68</v>
      </c>
    </row>
    <row r="282" spans="1:44" x14ac:dyDescent="0.2">
      <c r="A282" s="370">
        <v>263</v>
      </c>
      <c r="B282" s="380">
        <v>145</v>
      </c>
      <c r="C282" s="371" t="s">
        <v>2269</v>
      </c>
      <c r="D282" s="371" t="s">
        <v>2270</v>
      </c>
      <c r="E282" s="206"/>
      <c r="F282" s="206" t="s">
        <v>70</v>
      </c>
      <c r="G282" s="206" t="s">
        <v>70</v>
      </c>
      <c r="H282" s="371" t="s">
        <v>2271</v>
      </c>
      <c r="I282" s="206" t="s">
        <v>1450</v>
      </c>
      <c r="J282" s="206" t="s">
        <v>1450</v>
      </c>
      <c r="K282" s="371" t="s">
        <v>2271</v>
      </c>
      <c r="L282" s="206" t="s">
        <v>2147</v>
      </c>
      <c r="M282" s="206" t="s">
        <v>1342</v>
      </c>
      <c r="N282" s="206" t="s">
        <v>59</v>
      </c>
      <c r="O282" s="372">
        <v>45989</v>
      </c>
      <c r="P282" s="372">
        <v>45989</v>
      </c>
      <c r="Q282" s="371" t="s">
        <v>2271</v>
      </c>
      <c r="R282" s="373">
        <v>45670</v>
      </c>
      <c r="S282" s="373">
        <v>45670</v>
      </c>
      <c r="T282" s="371" t="s">
        <v>2271</v>
      </c>
      <c r="U282" s="373">
        <v>17430</v>
      </c>
      <c r="V282" s="373">
        <v>17430</v>
      </c>
      <c r="W282" s="371" t="s">
        <v>2271</v>
      </c>
      <c r="X282" s="373">
        <v>28240</v>
      </c>
      <c r="Y282" s="373">
        <v>28240</v>
      </c>
      <c r="Z282" s="371" t="s">
        <v>2271</v>
      </c>
      <c r="AA282" s="373">
        <v>0</v>
      </c>
      <c r="AB282" s="373">
        <v>28320</v>
      </c>
      <c r="AC282" s="373">
        <v>28320</v>
      </c>
      <c r="AD282" s="371" t="s">
        <v>2271</v>
      </c>
      <c r="AE282" s="373">
        <v>0</v>
      </c>
      <c r="AF282" s="382">
        <v>0.46458333333333302</v>
      </c>
      <c r="AG282" s="382">
        <v>0.46458333333333302</v>
      </c>
      <c r="AH282" s="371" t="s">
        <v>2271</v>
      </c>
      <c r="AI282" s="382">
        <v>0.56805555555555598</v>
      </c>
      <c r="AJ282" s="382">
        <v>0.56805555555555598</v>
      </c>
      <c r="AK282" s="371" t="s">
        <v>2271</v>
      </c>
      <c r="AL282" s="206" t="s">
        <v>42</v>
      </c>
      <c r="AM282" s="206" t="s">
        <v>42</v>
      </c>
      <c r="AN282" s="371" t="s">
        <v>2271</v>
      </c>
      <c r="AO282" s="206" t="s">
        <v>2492</v>
      </c>
      <c r="AP282" s="206" t="s">
        <v>1499</v>
      </c>
      <c r="AQ282" s="206" t="s">
        <v>1133</v>
      </c>
      <c r="AR282" s="207" t="s">
        <v>75</v>
      </c>
    </row>
    <row r="283" spans="1:44" x14ac:dyDescent="0.2">
      <c r="A283" s="370">
        <v>264</v>
      </c>
      <c r="B283" s="380">
        <v>145</v>
      </c>
      <c r="C283" s="371" t="s">
        <v>2337</v>
      </c>
      <c r="D283" s="371" t="s">
        <v>2235</v>
      </c>
      <c r="E283" s="206"/>
      <c r="F283" s="206" t="s">
        <v>1265</v>
      </c>
      <c r="G283" s="206" t="s">
        <v>1265</v>
      </c>
      <c r="H283" s="371" t="s">
        <v>2271</v>
      </c>
      <c r="I283" s="206"/>
      <c r="J283" s="206" t="s">
        <v>1447</v>
      </c>
      <c r="K283" s="371" t="s">
        <v>2276</v>
      </c>
      <c r="L283" s="206" t="s">
        <v>2216</v>
      </c>
      <c r="M283" s="206" t="s">
        <v>1728</v>
      </c>
      <c r="N283" s="206" t="s">
        <v>49</v>
      </c>
      <c r="O283" s="372">
        <v>46269</v>
      </c>
      <c r="P283" s="372">
        <v>46121</v>
      </c>
      <c r="Q283" s="371" t="s">
        <v>2276</v>
      </c>
      <c r="R283" s="373">
        <v>26800</v>
      </c>
      <c r="S283" s="373">
        <v>26800</v>
      </c>
      <c r="T283" s="371" t="s">
        <v>2271</v>
      </c>
      <c r="U283" s="373">
        <v>8270</v>
      </c>
      <c r="V283" s="373">
        <v>8270</v>
      </c>
      <c r="W283" s="371" t="s">
        <v>2271</v>
      </c>
      <c r="X283" s="373">
        <v>18530</v>
      </c>
      <c r="Y283" s="373">
        <v>18530</v>
      </c>
      <c r="Z283" s="371" t="s">
        <v>2271</v>
      </c>
      <c r="AA283" s="373">
        <v>0</v>
      </c>
      <c r="AB283" s="373">
        <v>18490</v>
      </c>
      <c r="AC283" s="373">
        <v>18490</v>
      </c>
      <c r="AD283" s="371" t="s">
        <v>2271</v>
      </c>
      <c r="AE283" s="373">
        <v>0</v>
      </c>
      <c r="AF283" s="382">
        <v>0.97638888888888897</v>
      </c>
      <c r="AG283" s="382"/>
      <c r="AH283" s="371" t="s">
        <v>2276</v>
      </c>
      <c r="AI283" s="382">
        <v>8.3333333333333297E-3</v>
      </c>
      <c r="AJ283" s="382"/>
      <c r="AK283" s="371" t="s">
        <v>2276</v>
      </c>
      <c r="AL283" s="206" t="s">
        <v>1221</v>
      </c>
      <c r="AM283" s="206"/>
      <c r="AN283" s="371" t="s">
        <v>2276</v>
      </c>
      <c r="AO283" s="206" t="s">
        <v>2493</v>
      </c>
      <c r="AP283" s="206"/>
      <c r="AQ283" s="206" t="s">
        <v>1132</v>
      </c>
      <c r="AR283" s="207" t="s">
        <v>68</v>
      </c>
    </row>
    <row r="284" spans="1:44" x14ac:dyDescent="0.2">
      <c r="A284" s="370">
        <v>265</v>
      </c>
      <c r="B284" s="380">
        <v>146</v>
      </c>
      <c r="C284" s="371" t="s">
        <v>2275</v>
      </c>
      <c r="D284" s="371" t="s">
        <v>2235</v>
      </c>
      <c r="E284" s="206"/>
      <c r="F284" s="206" t="s">
        <v>56</v>
      </c>
      <c r="G284" s="206" t="s">
        <v>56</v>
      </c>
      <c r="H284" s="371" t="s">
        <v>2271</v>
      </c>
      <c r="I284" s="206" t="s">
        <v>2149</v>
      </c>
      <c r="J284" s="206" t="s">
        <v>1340</v>
      </c>
      <c r="K284" s="371" t="s">
        <v>2276</v>
      </c>
      <c r="L284" s="206" t="s">
        <v>2150</v>
      </c>
      <c r="M284" s="206" t="s">
        <v>1343</v>
      </c>
      <c r="N284" s="206" t="s">
        <v>78</v>
      </c>
      <c r="O284" s="372">
        <v>45989</v>
      </c>
      <c r="P284" s="372">
        <v>45989</v>
      </c>
      <c r="Q284" s="371" t="s">
        <v>2271</v>
      </c>
      <c r="R284" s="373">
        <v>24920</v>
      </c>
      <c r="S284" s="373">
        <v>24920</v>
      </c>
      <c r="T284" s="371" t="s">
        <v>2271</v>
      </c>
      <c r="U284" s="373">
        <v>10850</v>
      </c>
      <c r="V284" s="373">
        <v>10850</v>
      </c>
      <c r="W284" s="371" t="s">
        <v>2271</v>
      </c>
      <c r="X284" s="373">
        <v>14070</v>
      </c>
      <c r="Y284" s="373">
        <v>14070</v>
      </c>
      <c r="Z284" s="371" t="s">
        <v>2271</v>
      </c>
      <c r="AA284" s="373">
        <v>0</v>
      </c>
      <c r="AB284" s="373">
        <v>14100</v>
      </c>
      <c r="AC284" s="373">
        <v>14100</v>
      </c>
      <c r="AD284" s="371" t="s">
        <v>2271</v>
      </c>
      <c r="AE284" s="373">
        <v>0</v>
      </c>
      <c r="AF284" s="382">
        <v>0.49305555555555602</v>
      </c>
      <c r="AG284" s="382">
        <v>0.49305555555555602</v>
      </c>
      <c r="AH284" s="371" t="s">
        <v>2271</v>
      </c>
      <c r="AI284" s="382">
        <v>0.624305555555556</v>
      </c>
      <c r="AJ284" s="382">
        <v>0.624305555555556</v>
      </c>
      <c r="AK284" s="371" t="s">
        <v>2271</v>
      </c>
      <c r="AL284" s="206" t="s">
        <v>42</v>
      </c>
      <c r="AM284" s="206" t="s">
        <v>42</v>
      </c>
      <c r="AN284" s="371" t="s">
        <v>2271</v>
      </c>
      <c r="AO284" s="206" t="s">
        <v>2494</v>
      </c>
      <c r="AP284" s="206" t="s">
        <v>1781</v>
      </c>
      <c r="AQ284" s="206" t="s">
        <v>1132</v>
      </c>
      <c r="AR284" s="207" t="s">
        <v>88</v>
      </c>
    </row>
    <row r="285" spans="1:44" x14ac:dyDescent="0.2">
      <c r="A285" s="370">
        <v>266</v>
      </c>
      <c r="B285" s="380">
        <v>146</v>
      </c>
      <c r="C285" s="371" t="s">
        <v>2337</v>
      </c>
      <c r="D285" s="371" t="s">
        <v>2235</v>
      </c>
      <c r="E285" s="206"/>
      <c r="F285" s="206" t="s">
        <v>1271</v>
      </c>
      <c r="G285" s="206" t="s">
        <v>1271</v>
      </c>
      <c r="H285" s="371" t="s">
        <v>2271</v>
      </c>
      <c r="I285" s="206"/>
      <c r="J285" s="206" t="s">
        <v>1447</v>
      </c>
      <c r="K285" s="371" t="s">
        <v>2276</v>
      </c>
      <c r="L285" s="206" t="s">
        <v>2216</v>
      </c>
      <c r="M285" s="206" t="s">
        <v>1728</v>
      </c>
      <c r="N285" s="206" t="s">
        <v>49</v>
      </c>
      <c r="O285" s="372">
        <v>46269</v>
      </c>
      <c r="P285" s="372">
        <v>46121</v>
      </c>
      <c r="Q285" s="371" t="s">
        <v>2276</v>
      </c>
      <c r="R285" s="373">
        <v>13370</v>
      </c>
      <c r="S285" s="373">
        <v>13370</v>
      </c>
      <c r="T285" s="371" t="s">
        <v>2271</v>
      </c>
      <c r="U285" s="373">
        <v>3980</v>
      </c>
      <c r="V285" s="373">
        <v>3980</v>
      </c>
      <c r="W285" s="371" t="s">
        <v>2271</v>
      </c>
      <c r="X285" s="373">
        <v>9390</v>
      </c>
      <c r="Y285" s="373">
        <v>9390</v>
      </c>
      <c r="Z285" s="371" t="s">
        <v>2271</v>
      </c>
      <c r="AA285" s="373">
        <v>0</v>
      </c>
      <c r="AB285" s="373">
        <v>9370</v>
      </c>
      <c r="AC285" s="373">
        <v>9370</v>
      </c>
      <c r="AD285" s="371" t="s">
        <v>2271</v>
      </c>
      <c r="AE285" s="373">
        <v>0</v>
      </c>
      <c r="AF285" s="382">
        <v>0.98541666666666705</v>
      </c>
      <c r="AG285" s="382"/>
      <c r="AH285" s="371" t="s">
        <v>2276</v>
      </c>
      <c r="AI285" s="382">
        <v>6.9444444444444404E-4</v>
      </c>
      <c r="AJ285" s="382"/>
      <c r="AK285" s="371" t="s">
        <v>2276</v>
      </c>
      <c r="AL285" s="206" t="s">
        <v>1221</v>
      </c>
      <c r="AM285" s="206"/>
      <c r="AN285" s="371" t="s">
        <v>2276</v>
      </c>
      <c r="AO285" s="206" t="s">
        <v>2495</v>
      </c>
      <c r="AP285" s="206"/>
      <c r="AQ285" s="206" t="s">
        <v>1131</v>
      </c>
      <c r="AR285" s="207" t="s">
        <v>68</v>
      </c>
    </row>
    <row r="286" spans="1:44" x14ac:dyDescent="0.2">
      <c r="A286" s="370">
        <v>267</v>
      </c>
      <c r="B286" s="380">
        <v>147</v>
      </c>
      <c r="C286" s="371" t="s">
        <v>2275</v>
      </c>
      <c r="D286" s="371" t="s">
        <v>2235</v>
      </c>
      <c r="E286" s="206"/>
      <c r="F286" s="206" t="s">
        <v>46</v>
      </c>
      <c r="G286" s="206" t="s">
        <v>46</v>
      </c>
      <c r="H286" s="371" t="s">
        <v>2271</v>
      </c>
      <c r="I286" s="206" t="s">
        <v>2149</v>
      </c>
      <c r="J286" s="206" t="s">
        <v>1340</v>
      </c>
      <c r="K286" s="371" t="s">
        <v>2276</v>
      </c>
      <c r="L286" s="206" t="s">
        <v>2150</v>
      </c>
      <c r="M286" s="206" t="s">
        <v>1343</v>
      </c>
      <c r="N286" s="206" t="s">
        <v>78</v>
      </c>
      <c r="O286" s="372">
        <v>45989</v>
      </c>
      <c r="P286" s="372">
        <v>45989</v>
      </c>
      <c r="Q286" s="371" t="s">
        <v>2271</v>
      </c>
      <c r="R286" s="373">
        <v>26460</v>
      </c>
      <c r="S286" s="373">
        <v>26460</v>
      </c>
      <c r="T286" s="371" t="s">
        <v>2271</v>
      </c>
      <c r="U286" s="373">
        <v>11810</v>
      </c>
      <c r="V286" s="373">
        <v>11810</v>
      </c>
      <c r="W286" s="371" t="s">
        <v>2271</v>
      </c>
      <c r="X286" s="373">
        <v>14650</v>
      </c>
      <c r="Y286" s="373">
        <v>14650</v>
      </c>
      <c r="Z286" s="371" t="s">
        <v>2271</v>
      </c>
      <c r="AA286" s="373">
        <v>0</v>
      </c>
      <c r="AB286" s="373">
        <v>14690</v>
      </c>
      <c r="AC286" s="373">
        <v>14690</v>
      </c>
      <c r="AD286" s="371" t="s">
        <v>2271</v>
      </c>
      <c r="AE286" s="373">
        <v>0</v>
      </c>
      <c r="AF286" s="382">
        <v>0.56736111111111098</v>
      </c>
      <c r="AG286" s="382">
        <v>0.56736111111111098</v>
      </c>
      <c r="AH286" s="371" t="s">
        <v>2271</v>
      </c>
      <c r="AI286" s="382">
        <v>0.63819444444444395</v>
      </c>
      <c r="AJ286" s="382">
        <v>0.63819444444444395</v>
      </c>
      <c r="AK286" s="371" t="s">
        <v>2271</v>
      </c>
      <c r="AL286" s="206" t="s">
        <v>42</v>
      </c>
      <c r="AM286" s="206" t="s">
        <v>42</v>
      </c>
      <c r="AN286" s="371" t="s">
        <v>2271</v>
      </c>
      <c r="AO286" s="206" t="s">
        <v>2496</v>
      </c>
      <c r="AP286" s="206" t="s">
        <v>1393</v>
      </c>
      <c r="AQ286" s="206" t="s">
        <v>1132</v>
      </c>
      <c r="AR286" s="207" t="s">
        <v>88</v>
      </c>
    </row>
    <row r="287" spans="1:44" x14ac:dyDescent="0.2">
      <c r="A287" s="370">
        <v>268</v>
      </c>
      <c r="B287" s="380">
        <v>147</v>
      </c>
      <c r="C287" s="371" t="s">
        <v>2337</v>
      </c>
      <c r="D287" s="371" t="s">
        <v>2235</v>
      </c>
      <c r="E287" s="206"/>
      <c r="F287" s="206" t="s">
        <v>177</v>
      </c>
      <c r="G287" s="206" t="s">
        <v>177</v>
      </c>
      <c r="H287" s="371" t="s">
        <v>2271</v>
      </c>
      <c r="I287" s="206"/>
      <c r="J287" s="206" t="s">
        <v>1447</v>
      </c>
      <c r="K287" s="371" t="s">
        <v>2276</v>
      </c>
      <c r="L287" s="206" t="s">
        <v>2216</v>
      </c>
      <c r="M287" s="206" t="s">
        <v>1728</v>
      </c>
      <c r="N287" s="206" t="s">
        <v>49</v>
      </c>
      <c r="O287" s="372">
        <v>46269</v>
      </c>
      <c r="P287" s="372">
        <v>46121</v>
      </c>
      <c r="Q287" s="371" t="s">
        <v>2276</v>
      </c>
      <c r="R287" s="373">
        <v>13760</v>
      </c>
      <c r="S287" s="373">
        <v>13760</v>
      </c>
      <c r="T287" s="371" t="s">
        <v>2271</v>
      </c>
      <c r="U287" s="373">
        <v>4140</v>
      </c>
      <c r="V287" s="373">
        <v>4140</v>
      </c>
      <c r="W287" s="371" t="s">
        <v>2271</v>
      </c>
      <c r="X287" s="373">
        <v>9620</v>
      </c>
      <c r="Y287" s="373">
        <v>9620</v>
      </c>
      <c r="Z287" s="371" t="s">
        <v>2271</v>
      </c>
      <c r="AA287" s="373">
        <v>0</v>
      </c>
      <c r="AB287" s="373">
        <v>9600</v>
      </c>
      <c r="AC287" s="373">
        <v>9600</v>
      </c>
      <c r="AD287" s="371" t="s">
        <v>2271</v>
      </c>
      <c r="AE287" s="373">
        <v>0</v>
      </c>
      <c r="AF287" s="382">
        <v>0.98888888888888904</v>
      </c>
      <c r="AG287" s="382"/>
      <c r="AH287" s="371" t="s">
        <v>2276</v>
      </c>
      <c r="AI287" s="382">
        <v>4.1666666666666701E-3</v>
      </c>
      <c r="AJ287" s="382"/>
      <c r="AK287" s="371" t="s">
        <v>2276</v>
      </c>
      <c r="AL287" s="206" t="s">
        <v>1221</v>
      </c>
      <c r="AM287" s="206"/>
      <c r="AN287" s="371" t="s">
        <v>2276</v>
      </c>
      <c r="AO287" s="206" t="s">
        <v>2497</v>
      </c>
      <c r="AP287" s="206"/>
      <c r="AQ287" s="206" t="s">
        <v>1131</v>
      </c>
      <c r="AR287" s="207" t="s">
        <v>68</v>
      </c>
    </row>
    <row r="288" spans="1:44" x14ac:dyDescent="0.2">
      <c r="A288" s="370">
        <v>269</v>
      </c>
      <c r="B288" s="380">
        <v>148</v>
      </c>
      <c r="C288" s="371" t="s">
        <v>2275</v>
      </c>
      <c r="D288" s="371" t="s">
        <v>2235</v>
      </c>
      <c r="E288" s="206"/>
      <c r="F288" s="206" t="s">
        <v>84</v>
      </c>
      <c r="G288" s="206" t="s">
        <v>84</v>
      </c>
      <c r="H288" s="371" t="s">
        <v>2271</v>
      </c>
      <c r="I288" s="206" t="s">
        <v>2149</v>
      </c>
      <c r="J288" s="206" t="s">
        <v>1340</v>
      </c>
      <c r="K288" s="371" t="s">
        <v>2276</v>
      </c>
      <c r="L288" s="206" t="s">
        <v>2150</v>
      </c>
      <c r="M288" s="206" t="s">
        <v>1343</v>
      </c>
      <c r="N288" s="206" t="s">
        <v>78</v>
      </c>
      <c r="O288" s="372">
        <v>45989</v>
      </c>
      <c r="P288" s="372">
        <v>45989</v>
      </c>
      <c r="Q288" s="371" t="s">
        <v>2271</v>
      </c>
      <c r="R288" s="373">
        <v>26580</v>
      </c>
      <c r="S288" s="373">
        <v>26580</v>
      </c>
      <c r="T288" s="371" t="s">
        <v>2271</v>
      </c>
      <c r="U288" s="373">
        <v>12160</v>
      </c>
      <c r="V288" s="373">
        <v>12160</v>
      </c>
      <c r="W288" s="371" t="s">
        <v>2271</v>
      </c>
      <c r="X288" s="373">
        <v>14420</v>
      </c>
      <c r="Y288" s="373">
        <v>14420</v>
      </c>
      <c r="Z288" s="371" t="s">
        <v>2271</v>
      </c>
      <c r="AA288" s="373">
        <v>0</v>
      </c>
      <c r="AB288" s="373">
        <v>14430</v>
      </c>
      <c r="AC288" s="373">
        <v>14430</v>
      </c>
      <c r="AD288" s="371" t="s">
        <v>2271</v>
      </c>
      <c r="AE288" s="373">
        <v>0</v>
      </c>
      <c r="AF288" s="382">
        <v>0.625694444444444</v>
      </c>
      <c r="AG288" s="382">
        <v>0.625694444444444</v>
      </c>
      <c r="AH288" s="371" t="s">
        <v>2271</v>
      </c>
      <c r="AI288" s="382">
        <v>0.67430555555555605</v>
      </c>
      <c r="AJ288" s="382">
        <v>0.67430555555555605</v>
      </c>
      <c r="AK288" s="371" t="s">
        <v>2271</v>
      </c>
      <c r="AL288" s="206" t="s">
        <v>42</v>
      </c>
      <c r="AM288" s="206" t="s">
        <v>42</v>
      </c>
      <c r="AN288" s="371" t="s">
        <v>2271</v>
      </c>
      <c r="AO288" s="206" t="s">
        <v>2498</v>
      </c>
      <c r="AP288" s="206" t="s">
        <v>1782</v>
      </c>
      <c r="AQ288" s="206" t="s">
        <v>1132</v>
      </c>
      <c r="AR288" s="207" t="s">
        <v>88</v>
      </c>
    </row>
    <row r="289" spans="1:44" x14ac:dyDescent="0.2">
      <c r="A289" s="370">
        <v>270</v>
      </c>
      <c r="B289" s="380">
        <v>148</v>
      </c>
      <c r="C289" s="371" t="s">
        <v>2337</v>
      </c>
      <c r="D289" s="371" t="s">
        <v>2235</v>
      </c>
      <c r="E289" s="206"/>
      <c r="F289" s="206" t="s">
        <v>156</v>
      </c>
      <c r="G289" s="206" t="s">
        <v>156</v>
      </c>
      <c r="H289" s="371" t="s">
        <v>2271</v>
      </c>
      <c r="I289" s="206"/>
      <c r="J289" s="206" t="s">
        <v>1447</v>
      </c>
      <c r="K289" s="371" t="s">
        <v>2276</v>
      </c>
      <c r="L289" s="206" t="s">
        <v>2216</v>
      </c>
      <c r="M289" s="206" t="s">
        <v>1728</v>
      </c>
      <c r="N289" s="206" t="s">
        <v>49</v>
      </c>
      <c r="O289" s="372">
        <v>46269</v>
      </c>
      <c r="P289" s="372">
        <v>46121</v>
      </c>
      <c r="Q289" s="371" t="s">
        <v>2276</v>
      </c>
      <c r="R289" s="373">
        <v>14030</v>
      </c>
      <c r="S289" s="373">
        <v>14030</v>
      </c>
      <c r="T289" s="371" t="s">
        <v>2271</v>
      </c>
      <c r="U289" s="373">
        <v>4110</v>
      </c>
      <c r="V289" s="373">
        <v>4110</v>
      </c>
      <c r="W289" s="371" t="s">
        <v>2271</v>
      </c>
      <c r="X289" s="373">
        <v>9920</v>
      </c>
      <c r="Y289" s="373">
        <v>9920</v>
      </c>
      <c r="Z289" s="371" t="s">
        <v>2271</v>
      </c>
      <c r="AA289" s="373">
        <v>0</v>
      </c>
      <c r="AB289" s="373">
        <v>9890</v>
      </c>
      <c r="AC289" s="373">
        <v>9890</v>
      </c>
      <c r="AD289" s="371" t="s">
        <v>2271</v>
      </c>
      <c r="AE289" s="373">
        <v>0</v>
      </c>
      <c r="AF289" s="382">
        <v>2.7777777777777801E-3</v>
      </c>
      <c r="AG289" s="382"/>
      <c r="AH289" s="371" t="s">
        <v>2276</v>
      </c>
      <c r="AI289" s="382">
        <v>2.0833333333333301E-2</v>
      </c>
      <c r="AJ289" s="382"/>
      <c r="AK289" s="371" t="s">
        <v>2276</v>
      </c>
      <c r="AL289" s="206" t="s">
        <v>1221</v>
      </c>
      <c r="AM289" s="206"/>
      <c r="AN289" s="371" t="s">
        <v>2276</v>
      </c>
      <c r="AO289" s="206" t="s">
        <v>2499</v>
      </c>
      <c r="AP289" s="206"/>
      <c r="AQ289" s="206" t="s">
        <v>1131</v>
      </c>
      <c r="AR289" s="207" t="s">
        <v>68</v>
      </c>
    </row>
    <row r="290" spans="1:44" x14ac:dyDescent="0.2">
      <c r="A290" s="370">
        <v>271</v>
      </c>
      <c r="B290" s="380">
        <v>149</v>
      </c>
      <c r="C290" s="371" t="s">
        <v>2269</v>
      </c>
      <c r="D290" s="371" t="s">
        <v>2235</v>
      </c>
      <c r="E290" s="206"/>
      <c r="F290" s="206" t="s">
        <v>46</v>
      </c>
      <c r="G290" s="206" t="s">
        <v>46</v>
      </c>
      <c r="H290" s="371" t="s">
        <v>2271</v>
      </c>
      <c r="I290" s="206" t="s">
        <v>1429</v>
      </c>
      <c r="J290" s="206" t="s">
        <v>1429</v>
      </c>
      <c r="K290" s="371" t="s">
        <v>2271</v>
      </c>
      <c r="L290" s="206" t="s">
        <v>2148</v>
      </c>
      <c r="M290" s="206" t="s">
        <v>1341</v>
      </c>
      <c r="N290" s="206" t="s">
        <v>49</v>
      </c>
      <c r="O290" s="372">
        <v>45990</v>
      </c>
      <c r="P290" s="372">
        <v>45990</v>
      </c>
      <c r="Q290" s="371" t="s">
        <v>2271</v>
      </c>
      <c r="R290" s="373">
        <v>26590</v>
      </c>
      <c r="S290" s="373">
        <v>26590</v>
      </c>
      <c r="T290" s="371" t="s">
        <v>2271</v>
      </c>
      <c r="U290" s="373">
        <v>11770</v>
      </c>
      <c r="V290" s="373">
        <v>11770</v>
      </c>
      <c r="W290" s="371" t="s">
        <v>2271</v>
      </c>
      <c r="X290" s="373">
        <v>14820</v>
      </c>
      <c r="Y290" s="373">
        <v>14820</v>
      </c>
      <c r="Z290" s="371" t="s">
        <v>2271</v>
      </c>
      <c r="AA290" s="373">
        <v>0</v>
      </c>
      <c r="AB290" s="373">
        <v>14470</v>
      </c>
      <c r="AC290" s="373">
        <v>14470</v>
      </c>
      <c r="AD290" s="371" t="s">
        <v>2271</v>
      </c>
      <c r="AE290" s="373">
        <v>0</v>
      </c>
      <c r="AF290" s="382">
        <v>0.40069444444444402</v>
      </c>
      <c r="AG290" s="382">
        <v>0.40069444444444502</v>
      </c>
      <c r="AH290" s="371" t="s">
        <v>2276</v>
      </c>
      <c r="AI290" s="382">
        <v>0.44097222222222199</v>
      </c>
      <c r="AJ290" s="382">
        <v>0.44097222222222199</v>
      </c>
      <c r="AK290" s="371" t="s">
        <v>2271</v>
      </c>
      <c r="AL290" s="206" t="s">
        <v>42</v>
      </c>
      <c r="AM290" s="206" t="s">
        <v>42</v>
      </c>
      <c r="AN290" s="371" t="s">
        <v>2271</v>
      </c>
      <c r="AO290" s="206" t="s">
        <v>2500</v>
      </c>
      <c r="AP290" s="206" t="s">
        <v>1393</v>
      </c>
      <c r="AQ290" s="206" t="s">
        <v>1132</v>
      </c>
      <c r="AR290" s="207" t="s">
        <v>68</v>
      </c>
    </row>
    <row r="291" spans="1:44" x14ac:dyDescent="0.2">
      <c r="A291" s="370">
        <v>272</v>
      </c>
      <c r="B291" s="380">
        <v>149</v>
      </c>
      <c r="C291" s="371" t="s">
        <v>2337</v>
      </c>
      <c r="D291" s="371" t="s">
        <v>2235</v>
      </c>
      <c r="E291" s="206"/>
      <c r="F291" s="206" t="s">
        <v>1272</v>
      </c>
      <c r="G291" s="206" t="s">
        <v>1272</v>
      </c>
      <c r="H291" s="371" t="s">
        <v>2271</v>
      </c>
      <c r="I291" s="206"/>
      <c r="J291" s="206" t="s">
        <v>1447</v>
      </c>
      <c r="K291" s="371" t="s">
        <v>2276</v>
      </c>
      <c r="L291" s="206" t="s">
        <v>2216</v>
      </c>
      <c r="M291" s="206" t="s">
        <v>1728</v>
      </c>
      <c r="N291" s="206" t="s">
        <v>49</v>
      </c>
      <c r="O291" s="372">
        <v>46269</v>
      </c>
      <c r="P291" s="372">
        <v>46121</v>
      </c>
      <c r="Q291" s="371" t="s">
        <v>2276</v>
      </c>
      <c r="R291" s="373">
        <v>28560</v>
      </c>
      <c r="S291" s="373">
        <v>28560</v>
      </c>
      <c r="T291" s="371" t="s">
        <v>2271</v>
      </c>
      <c r="U291" s="373">
        <v>8050</v>
      </c>
      <c r="V291" s="373">
        <v>8050</v>
      </c>
      <c r="W291" s="371" t="s">
        <v>2271</v>
      </c>
      <c r="X291" s="373">
        <v>20510</v>
      </c>
      <c r="Y291" s="373">
        <v>20510</v>
      </c>
      <c r="Z291" s="371" t="s">
        <v>2271</v>
      </c>
      <c r="AA291" s="373">
        <v>0</v>
      </c>
      <c r="AB291" s="373">
        <v>20460</v>
      </c>
      <c r="AC291" s="373">
        <v>20460</v>
      </c>
      <c r="AD291" s="371" t="s">
        <v>2271</v>
      </c>
      <c r="AE291" s="373">
        <v>0</v>
      </c>
      <c r="AF291" s="382">
        <v>1.8055555555555599E-2</v>
      </c>
      <c r="AG291" s="382"/>
      <c r="AH291" s="371" t="s">
        <v>2276</v>
      </c>
      <c r="AI291" s="382">
        <v>4.65277777777778E-2</v>
      </c>
      <c r="AJ291" s="382"/>
      <c r="AK291" s="371" t="s">
        <v>2276</v>
      </c>
      <c r="AL291" s="206" t="s">
        <v>137</v>
      </c>
      <c r="AM291" s="206"/>
      <c r="AN291" s="371" t="s">
        <v>2276</v>
      </c>
      <c r="AO291" s="206" t="s">
        <v>2500</v>
      </c>
      <c r="AP291" s="206"/>
      <c r="AQ291" s="206" t="s">
        <v>1132</v>
      </c>
      <c r="AR291" s="207" t="s">
        <v>68</v>
      </c>
    </row>
    <row r="292" spans="1:44" x14ac:dyDescent="0.2">
      <c r="A292" s="370">
        <v>273</v>
      </c>
      <c r="B292" s="380">
        <v>150</v>
      </c>
      <c r="C292" s="371" t="s">
        <v>2269</v>
      </c>
      <c r="D292" s="371" t="s">
        <v>2235</v>
      </c>
      <c r="E292" s="206"/>
      <c r="F292" s="206" t="s">
        <v>56</v>
      </c>
      <c r="G292" s="206" t="s">
        <v>56</v>
      </c>
      <c r="H292" s="371" t="s">
        <v>2271</v>
      </c>
      <c r="I292" s="206" t="s">
        <v>1429</v>
      </c>
      <c r="J292" s="206" t="s">
        <v>1429</v>
      </c>
      <c r="K292" s="371" t="s">
        <v>2271</v>
      </c>
      <c r="L292" s="206" t="s">
        <v>2148</v>
      </c>
      <c r="M292" s="206" t="s">
        <v>1341</v>
      </c>
      <c r="N292" s="206" t="s">
        <v>49</v>
      </c>
      <c r="O292" s="372">
        <v>45990</v>
      </c>
      <c r="P292" s="372">
        <v>45990</v>
      </c>
      <c r="Q292" s="371" t="s">
        <v>2271</v>
      </c>
      <c r="R292" s="373">
        <v>25040</v>
      </c>
      <c r="S292" s="373">
        <v>25040</v>
      </c>
      <c r="T292" s="371" t="s">
        <v>2271</v>
      </c>
      <c r="U292" s="373">
        <v>10790</v>
      </c>
      <c r="V292" s="373">
        <v>10790</v>
      </c>
      <c r="W292" s="371" t="s">
        <v>2271</v>
      </c>
      <c r="X292" s="373">
        <v>14250</v>
      </c>
      <c r="Y292" s="373">
        <v>14250</v>
      </c>
      <c r="Z292" s="371" t="s">
        <v>2271</v>
      </c>
      <c r="AA292" s="373">
        <v>0</v>
      </c>
      <c r="AB292" s="373">
        <v>14770</v>
      </c>
      <c r="AC292" s="373">
        <v>14770</v>
      </c>
      <c r="AD292" s="371" t="s">
        <v>2271</v>
      </c>
      <c r="AE292" s="373">
        <v>0</v>
      </c>
      <c r="AF292" s="382">
        <v>0.41944444444444401</v>
      </c>
      <c r="AG292" s="382">
        <v>0.41944444444444501</v>
      </c>
      <c r="AH292" s="371" t="s">
        <v>2276</v>
      </c>
      <c r="AI292" s="382">
        <v>0.50277777777777799</v>
      </c>
      <c r="AJ292" s="382">
        <v>0.50277777777777799</v>
      </c>
      <c r="AK292" s="371" t="s">
        <v>2271</v>
      </c>
      <c r="AL292" s="206" t="s">
        <v>42</v>
      </c>
      <c r="AM292" s="206" t="s">
        <v>42</v>
      </c>
      <c r="AN292" s="371" t="s">
        <v>2271</v>
      </c>
      <c r="AO292" s="206" t="s">
        <v>2501</v>
      </c>
      <c r="AP292" s="206" t="s">
        <v>1781</v>
      </c>
      <c r="AQ292" s="206" t="s">
        <v>1132</v>
      </c>
      <c r="AR292" s="207" t="s">
        <v>68</v>
      </c>
    </row>
    <row r="293" spans="1:44" x14ac:dyDescent="0.2">
      <c r="A293" s="370">
        <v>274</v>
      </c>
      <c r="B293" s="380">
        <v>150</v>
      </c>
      <c r="C293" s="371" t="s">
        <v>2337</v>
      </c>
      <c r="D293" s="371" t="s">
        <v>2235</v>
      </c>
      <c r="E293" s="206"/>
      <c r="F293" s="206" t="s">
        <v>738</v>
      </c>
      <c r="G293" s="206" t="s">
        <v>738</v>
      </c>
      <c r="H293" s="371" t="s">
        <v>2271</v>
      </c>
      <c r="I293" s="206"/>
      <c r="J293" s="206" t="s">
        <v>1447</v>
      </c>
      <c r="K293" s="371" t="s">
        <v>2276</v>
      </c>
      <c r="L293" s="206" t="s">
        <v>2216</v>
      </c>
      <c r="M293" s="206" t="s">
        <v>1728</v>
      </c>
      <c r="N293" s="206" t="s">
        <v>49</v>
      </c>
      <c r="O293" s="372">
        <v>46269</v>
      </c>
      <c r="P293" s="372">
        <v>46121</v>
      </c>
      <c r="Q293" s="371" t="s">
        <v>2276</v>
      </c>
      <c r="R293" s="373">
        <v>12270</v>
      </c>
      <c r="S293" s="373">
        <v>12270</v>
      </c>
      <c r="T293" s="371" t="s">
        <v>2271</v>
      </c>
      <c r="U293" s="373">
        <v>3710</v>
      </c>
      <c r="V293" s="373">
        <v>3710</v>
      </c>
      <c r="W293" s="371" t="s">
        <v>2271</v>
      </c>
      <c r="X293" s="373">
        <v>8560</v>
      </c>
      <c r="Y293" s="373">
        <v>8560</v>
      </c>
      <c r="Z293" s="371" t="s">
        <v>2271</v>
      </c>
      <c r="AA293" s="373">
        <v>0</v>
      </c>
      <c r="AB293" s="373">
        <v>8550</v>
      </c>
      <c r="AC293" s="373">
        <v>8550</v>
      </c>
      <c r="AD293" s="371" t="s">
        <v>2271</v>
      </c>
      <c r="AE293" s="373">
        <v>0</v>
      </c>
      <c r="AF293" s="382">
        <v>5.2083333333333301E-2</v>
      </c>
      <c r="AG293" s="382"/>
      <c r="AH293" s="371" t="s">
        <v>2276</v>
      </c>
      <c r="AI293" s="382">
        <v>7.9166666666666705E-2</v>
      </c>
      <c r="AJ293" s="382"/>
      <c r="AK293" s="371" t="s">
        <v>2276</v>
      </c>
      <c r="AL293" s="206" t="s">
        <v>137</v>
      </c>
      <c r="AM293" s="206"/>
      <c r="AN293" s="371" t="s">
        <v>2276</v>
      </c>
      <c r="AO293" s="206" t="s">
        <v>2501</v>
      </c>
      <c r="AP293" s="206"/>
      <c r="AQ293" s="206" t="s">
        <v>1131</v>
      </c>
      <c r="AR293" s="207" t="s">
        <v>68</v>
      </c>
    </row>
    <row r="294" spans="1:44" x14ac:dyDescent="0.2">
      <c r="A294" s="370">
        <v>275</v>
      </c>
      <c r="B294" s="380">
        <v>151</v>
      </c>
      <c r="C294" s="371" t="s">
        <v>2269</v>
      </c>
      <c r="D294" s="371" t="s">
        <v>2270</v>
      </c>
      <c r="E294" s="206"/>
      <c r="F294" s="206" t="s">
        <v>76</v>
      </c>
      <c r="G294" s="206" t="s">
        <v>76</v>
      </c>
      <c r="H294" s="371" t="s">
        <v>2271</v>
      </c>
      <c r="I294" s="206" t="s">
        <v>1450</v>
      </c>
      <c r="J294" s="206" t="s">
        <v>1450</v>
      </c>
      <c r="K294" s="371" t="s">
        <v>2271</v>
      </c>
      <c r="L294" s="206" t="s">
        <v>2147</v>
      </c>
      <c r="M294" s="206" t="s">
        <v>1342</v>
      </c>
      <c r="N294" s="206" t="s">
        <v>59</v>
      </c>
      <c r="O294" s="372">
        <v>45990</v>
      </c>
      <c r="P294" s="372">
        <v>45990</v>
      </c>
      <c r="Q294" s="371" t="s">
        <v>2271</v>
      </c>
      <c r="R294" s="373">
        <v>45820</v>
      </c>
      <c r="S294" s="373">
        <v>45820</v>
      </c>
      <c r="T294" s="371" t="s">
        <v>2271</v>
      </c>
      <c r="U294" s="373">
        <v>17640</v>
      </c>
      <c r="V294" s="373">
        <v>17640</v>
      </c>
      <c r="W294" s="371" t="s">
        <v>2271</v>
      </c>
      <c r="X294" s="373">
        <v>28180</v>
      </c>
      <c r="Y294" s="373">
        <v>28180</v>
      </c>
      <c r="Z294" s="371" t="s">
        <v>2271</v>
      </c>
      <c r="AA294" s="373">
        <v>0</v>
      </c>
      <c r="AB294" s="373">
        <v>28120</v>
      </c>
      <c r="AC294" s="373">
        <v>28120</v>
      </c>
      <c r="AD294" s="371" t="s">
        <v>2271</v>
      </c>
      <c r="AE294" s="373">
        <v>0</v>
      </c>
      <c r="AF294" s="382">
        <v>0.43055555555555602</v>
      </c>
      <c r="AG294" s="382">
        <v>0.43055555555555602</v>
      </c>
      <c r="AH294" s="371" t="s">
        <v>2271</v>
      </c>
      <c r="AI294" s="382">
        <v>0.57222222222222197</v>
      </c>
      <c r="AJ294" s="382">
        <v>0.57222222222222197</v>
      </c>
      <c r="AK294" s="371" t="s">
        <v>2271</v>
      </c>
      <c r="AL294" s="206" t="s">
        <v>42</v>
      </c>
      <c r="AM294" s="206" t="s">
        <v>42</v>
      </c>
      <c r="AN294" s="371" t="s">
        <v>2271</v>
      </c>
      <c r="AO294" s="206" t="s">
        <v>2502</v>
      </c>
      <c r="AP294" s="206" t="s">
        <v>1372</v>
      </c>
      <c r="AQ294" s="206" t="s">
        <v>1133</v>
      </c>
      <c r="AR294" s="207" t="s">
        <v>75</v>
      </c>
    </row>
    <row r="295" spans="1:44" x14ac:dyDescent="0.2">
      <c r="A295" s="370">
        <v>276</v>
      </c>
      <c r="B295" s="380">
        <v>151</v>
      </c>
      <c r="C295" s="371" t="s">
        <v>2337</v>
      </c>
      <c r="D295" s="371" t="s">
        <v>2235</v>
      </c>
      <c r="E295" s="206"/>
      <c r="F295" s="206" t="s">
        <v>186</v>
      </c>
      <c r="G295" s="206" t="s">
        <v>186</v>
      </c>
      <c r="H295" s="371" t="s">
        <v>2271</v>
      </c>
      <c r="I295" s="206"/>
      <c r="J295" s="206" t="s">
        <v>1447</v>
      </c>
      <c r="K295" s="371" t="s">
        <v>2276</v>
      </c>
      <c r="L295" s="206" t="s">
        <v>2216</v>
      </c>
      <c r="M295" s="206" t="s">
        <v>1728</v>
      </c>
      <c r="N295" s="206" t="s">
        <v>49</v>
      </c>
      <c r="O295" s="372">
        <v>46269</v>
      </c>
      <c r="P295" s="372">
        <v>46121</v>
      </c>
      <c r="Q295" s="371" t="s">
        <v>2276</v>
      </c>
      <c r="R295" s="373">
        <v>13430</v>
      </c>
      <c r="S295" s="373">
        <v>13430</v>
      </c>
      <c r="T295" s="371" t="s">
        <v>2271</v>
      </c>
      <c r="U295" s="373">
        <v>3950</v>
      </c>
      <c r="V295" s="373">
        <v>3950</v>
      </c>
      <c r="W295" s="371" t="s">
        <v>2271</v>
      </c>
      <c r="X295" s="373">
        <v>9480</v>
      </c>
      <c r="Y295" s="373">
        <v>9480</v>
      </c>
      <c r="Z295" s="371" t="s">
        <v>2271</v>
      </c>
      <c r="AA295" s="373">
        <v>0</v>
      </c>
      <c r="AB295" s="373">
        <v>9450</v>
      </c>
      <c r="AC295" s="373">
        <v>9450</v>
      </c>
      <c r="AD295" s="371" t="s">
        <v>2271</v>
      </c>
      <c r="AE295" s="373">
        <v>0</v>
      </c>
      <c r="AF295" s="382">
        <v>7.0138888888888903E-2</v>
      </c>
      <c r="AG295" s="382"/>
      <c r="AH295" s="371" t="s">
        <v>2276</v>
      </c>
      <c r="AI295" s="382">
        <v>8.4027777777777798E-2</v>
      </c>
      <c r="AJ295" s="382"/>
      <c r="AK295" s="371" t="s">
        <v>2276</v>
      </c>
      <c r="AL295" s="206" t="s">
        <v>137</v>
      </c>
      <c r="AM295" s="206"/>
      <c r="AN295" s="371" t="s">
        <v>2276</v>
      </c>
      <c r="AO295" s="206" t="s">
        <v>2503</v>
      </c>
      <c r="AP295" s="206"/>
      <c r="AQ295" s="206" t="s">
        <v>1131</v>
      </c>
      <c r="AR295" s="207" t="s">
        <v>68</v>
      </c>
    </row>
    <row r="296" spans="1:44" x14ac:dyDescent="0.2">
      <c r="A296" s="370">
        <v>277</v>
      </c>
      <c r="B296" s="380">
        <v>152</v>
      </c>
      <c r="C296" s="371" t="s">
        <v>2269</v>
      </c>
      <c r="D296" s="371" t="s">
        <v>2270</v>
      </c>
      <c r="E296" s="206"/>
      <c r="F296" s="206" t="s">
        <v>84</v>
      </c>
      <c r="G296" s="206" t="s">
        <v>84</v>
      </c>
      <c r="H296" s="371" t="s">
        <v>2271</v>
      </c>
      <c r="I296" s="206" t="s">
        <v>1429</v>
      </c>
      <c r="J296" s="206" t="s">
        <v>1429</v>
      </c>
      <c r="K296" s="371" t="s">
        <v>2271</v>
      </c>
      <c r="L296" s="206" t="s">
        <v>2148</v>
      </c>
      <c r="M296" s="206" t="s">
        <v>1341</v>
      </c>
      <c r="N296" s="206" t="s">
        <v>49</v>
      </c>
      <c r="O296" s="372">
        <v>45990</v>
      </c>
      <c r="P296" s="372">
        <v>45990</v>
      </c>
      <c r="Q296" s="371" t="s">
        <v>2271</v>
      </c>
      <c r="R296" s="373">
        <v>26620</v>
      </c>
      <c r="S296" s="373">
        <v>26620</v>
      </c>
      <c r="T296" s="371" t="s">
        <v>2271</v>
      </c>
      <c r="U296" s="373">
        <v>12110</v>
      </c>
      <c r="V296" s="373">
        <v>12110</v>
      </c>
      <c r="W296" s="371" t="s">
        <v>2271</v>
      </c>
      <c r="X296" s="373">
        <v>14510</v>
      </c>
      <c r="Y296" s="373">
        <v>14510</v>
      </c>
      <c r="Z296" s="371" t="s">
        <v>2271</v>
      </c>
      <c r="AA296" s="373">
        <v>0</v>
      </c>
      <c r="AB296" s="373">
        <v>14780</v>
      </c>
      <c r="AC296" s="373">
        <v>14780</v>
      </c>
      <c r="AD296" s="371" t="s">
        <v>2271</v>
      </c>
      <c r="AE296" s="373">
        <v>0</v>
      </c>
      <c r="AF296" s="382">
        <v>0.43472222222222201</v>
      </c>
      <c r="AG296" s="382">
        <v>0.43472222222222201</v>
      </c>
      <c r="AH296" s="371" t="s">
        <v>2271</v>
      </c>
      <c r="AI296" s="382">
        <v>0.50138888888888899</v>
      </c>
      <c r="AJ296" s="382">
        <v>0.50138888888888899</v>
      </c>
      <c r="AK296" s="371" t="s">
        <v>2271</v>
      </c>
      <c r="AL296" s="206" t="s">
        <v>42</v>
      </c>
      <c r="AM296" s="206" t="s">
        <v>42</v>
      </c>
      <c r="AN296" s="371" t="s">
        <v>2271</v>
      </c>
      <c r="AO296" s="206" t="s">
        <v>2504</v>
      </c>
      <c r="AP296" s="206" t="s">
        <v>1782</v>
      </c>
      <c r="AQ296" s="206" t="s">
        <v>1132</v>
      </c>
      <c r="AR296" s="207" t="s">
        <v>68</v>
      </c>
    </row>
    <row r="297" spans="1:44" x14ac:dyDescent="0.2">
      <c r="A297" s="370">
        <v>278</v>
      </c>
      <c r="B297" s="380">
        <v>152</v>
      </c>
      <c r="C297" s="371" t="s">
        <v>2337</v>
      </c>
      <c r="D297" s="371" t="s">
        <v>2235</v>
      </c>
      <c r="E297" s="206"/>
      <c r="F297" s="206" t="s">
        <v>2220</v>
      </c>
      <c r="G297" s="206" t="s">
        <v>1267</v>
      </c>
      <c r="H297" s="371" t="s">
        <v>2271</v>
      </c>
      <c r="I297" s="206"/>
      <c r="J297" s="206" t="s">
        <v>1447</v>
      </c>
      <c r="K297" s="371" t="s">
        <v>2276</v>
      </c>
      <c r="L297" s="206" t="s">
        <v>2216</v>
      </c>
      <c r="M297" s="206" t="s">
        <v>1728</v>
      </c>
      <c r="N297" s="206" t="s">
        <v>49</v>
      </c>
      <c r="O297" s="372">
        <v>46269</v>
      </c>
      <c r="P297" s="372">
        <v>46121</v>
      </c>
      <c r="Q297" s="371" t="s">
        <v>2276</v>
      </c>
      <c r="R297" s="373">
        <v>12700</v>
      </c>
      <c r="S297" s="373">
        <v>12700</v>
      </c>
      <c r="T297" s="371" t="s">
        <v>2271</v>
      </c>
      <c r="U297" s="373">
        <v>3790</v>
      </c>
      <c r="V297" s="373">
        <v>3790</v>
      </c>
      <c r="W297" s="371" t="s">
        <v>2271</v>
      </c>
      <c r="X297" s="373">
        <v>8910</v>
      </c>
      <c r="Y297" s="373">
        <v>8910</v>
      </c>
      <c r="Z297" s="371" t="s">
        <v>2271</v>
      </c>
      <c r="AA297" s="373">
        <v>0</v>
      </c>
      <c r="AB297" s="373">
        <v>8890</v>
      </c>
      <c r="AC297" s="373">
        <v>8890</v>
      </c>
      <c r="AD297" s="371" t="s">
        <v>2271</v>
      </c>
      <c r="AE297" s="373">
        <v>0</v>
      </c>
      <c r="AF297" s="382">
        <v>0.109722222222222</v>
      </c>
      <c r="AG297" s="382"/>
      <c r="AH297" s="371" t="s">
        <v>2276</v>
      </c>
      <c r="AI297" s="382">
        <v>0.13055555555555601</v>
      </c>
      <c r="AJ297" s="382"/>
      <c r="AK297" s="371" t="s">
        <v>2276</v>
      </c>
      <c r="AL297" s="206" t="s">
        <v>137</v>
      </c>
      <c r="AM297" s="206"/>
      <c r="AN297" s="371" t="s">
        <v>2276</v>
      </c>
      <c r="AO297" s="206" t="s">
        <v>2504</v>
      </c>
      <c r="AP297" s="206"/>
      <c r="AQ297" s="206" t="s">
        <v>1131</v>
      </c>
      <c r="AR297" s="207" t="s">
        <v>68</v>
      </c>
    </row>
    <row r="298" spans="1:44" x14ac:dyDescent="0.2">
      <c r="A298" s="370">
        <v>279</v>
      </c>
      <c r="B298" s="380">
        <v>153</v>
      </c>
      <c r="C298" s="371" t="s">
        <v>2269</v>
      </c>
      <c r="D298" s="371" t="s">
        <v>2270</v>
      </c>
      <c r="E298" s="206"/>
      <c r="F298" s="206" t="s">
        <v>70</v>
      </c>
      <c r="G298" s="206" t="s">
        <v>70</v>
      </c>
      <c r="H298" s="371" t="s">
        <v>2271</v>
      </c>
      <c r="I298" s="206" t="s">
        <v>1450</v>
      </c>
      <c r="J298" s="206" t="s">
        <v>1450</v>
      </c>
      <c r="K298" s="371" t="s">
        <v>2271</v>
      </c>
      <c r="L298" s="206" t="s">
        <v>2147</v>
      </c>
      <c r="M298" s="206" t="s">
        <v>1342</v>
      </c>
      <c r="N298" s="206" t="s">
        <v>59</v>
      </c>
      <c r="O298" s="372">
        <v>45990</v>
      </c>
      <c r="P298" s="372">
        <v>45990</v>
      </c>
      <c r="Q298" s="371" t="s">
        <v>2271</v>
      </c>
      <c r="R298" s="373">
        <v>45630</v>
      </c>
      <c r="S298" s="373">
        <v>45630</v>
      </c>
      <c r="T298" s="371" t="s">
        <v>2271</v>
      </c>
      <c r="U298" s="373">
        <v>17540</v>
      </c>
      <c r="V298" s="373">
        <v>17540</v>
      </c>
      <c r="W298" s="371" t="s">
        <v>2271</v>
      </c>
      <c r="X298" s="373">
        <v>28090</v>
      </c>
      <c r="Y298" s="373">
        <v>28090</v>
      </c>
      <c r="Z298" s="371" t="s">
        <v>2271</v>
      </c>
      <c r="AA298" s="373">
        <v>0</v>
      </c>
      <c r="AB298" s="373">
        <v>28320</v>
      </c>
      <c r="AC298" s="373">
        <v>28320</v>
      </c>
      <c r="AD298" s="371" t="s">
        <v>2271</v>
      </c>
      <c r="AE298" s="373">
        <v>0</v>
      </c>
      <c r="AF298" s="382">
        <v>0.45138888888888901</v>
      </c>
      <c r="AG298" s="382">
        <v>0.45138888888888901</v>
      </c>
      <c r="AH298" s="371" t="s">
        <v>2271</v>
      </c>
      <c r="AI298" s="382">
        <v>0.58333333333333304</v>
      </c>
      <c r="AJ298" s="382">
        <v>0.58333333333333304</v>
      </c>
      <c r="AK298" s="371" t="s">
        <v>2271</v>
      </c>
      <c r="AL298" s="206" t="s">
        <v>42</v>
      </c>
      <c r="AM298" s="206" t="s">
        <v>42</v>
      </c>
      <c r="AN298" s="371" t="s">
        <v>2271</v>
      </c>
      <c r="AO298" s="206" t="s">
        <v>2505</v>
      </c>
      <c r="AP298" s="206" t="s">
        <v>1499</v>
      </c>
      <c r="AQ298" s="206" t="s">
        <v>1133</v>
      </c>
      <c r="AR298" s="207" t="s">
        <v>75</v>
      </c>
    </row>
    <row r="299" spans="1:44" x14ac:dyDescent="0.2">
      <c r="A299" s="370">
        <v>280</v>
      </c>
      <c r="B299" s="380">
        <v>153</v>
      </c>
      <c r="C299" s="371" t="s">
        <v>2337</v>
      </c>
      <c r="D299" s="371" t="s">
        <v>2235</v>
      </c>
      <c r="E299" s="206"/>
      <c r="F299" s="206" t="s">
        <v>713</v>
      </c>
      <c r="G299" s="206" t="s">
        <v>183</v>
      </c>
      <c r="H299" s="371" t="s">
        <v>2271</v>
      </c>
      <c r="I299" s="206"/>
      <c r="J299" s="206" t="s">
        <v>1447</v>
      </c>
      <c r="K299" s="371" t="s">
        <v>2276</v>
      </c>
      <c r="L299" s="206" t="s">
        <v>2216</v>
      </c>
      <c r="M299" s="206" t="s">
        <v>1728</v>
      </c>
      <c r="N299" s="206" t="s">
        <v>49</v>
      </c>
      <c r="O299" s="372">
        <v>46269</v>
      </c>
      <c r="P299" s="372">
        <v>46121</v>
      </c>
      <c r="Q299" s="371" t="s">
        <v>2276</v>
      </c>
      <c r="R299" s="373">
        <v>14080</v>
      </c>
      <c r="S299" s="373">
        <v>14080</v>
      </c>
      <c r="T299" s="371" t="s">
        <v>2271</v>
      </c>
      <c r="U299" s="373">
        <v>4160</v>
      </c>
      <c r="V299" s="373">
        <v>4160</v>
      </c>
      <c r="W299" s="371" t="s">
        <v>2271</v>
      </c>
      <c r="X299" s="373">
        <v>9920</v>
      </c>
      <c r="Y299" s="373">
        <v>9920</v>
      </c>
      <c r="Z299" s="371" t="s">
        <v>2271</v>
      </c>
      <c r="AA299" s="373">
        <v>0</v>
      </c>
      <c r="AB299" s="373">
        <v>9910</v>
      </c>
      <c r="AC299" s="373">
        <v>9910</v>
      </c>
      <c r="AD299" s="371" t="s">
        <v>2271</v>
      </c>
      <c r="AE299" s="373">
        <v>0</v>
      </c>
      <c r="AF299" s="382">
        <v>0.118055555555556</v>
      </c>
      <c r="AG299" s="382"/>
      <c r="AH299" s="371" t="s">
        <v>2276</v>
      </c>
      <c r="AI299" s="382">
        <v>0.139583333333333</v>
      </c>
      <c r="AJ299" s="382"/>
      <c r="AK299" s="371" t="s">
        <v>2276</v>
      </c>
      <c r="AL299" s="206" t="s">
        <v>137</v>
      </c>
      <c r="AM299" s="206"/>
      <c r="AN299" s="371" t="s">
        <v>2276</v>
      </c>
      <c r="AO299" s="206" t="s">
        <v>2506</v>
      </c>
      <c r="AP299" s="206"/>
      <c r="AQ299" s="206" t="s">
        <v>1131</v>
      </c>
      <c r="AR299" s="207" t="s">
        <v>68</v>
      </c>
    </row>
    <row r="300" spans="1:44" x14ac:dyDescent="0.2">
      <c r="A300" s="370">
        <v>281</v>
      </c>
      <c r="B300" s="380">
        <v>154</v>
      </c>
      <c r="C300" s="371" t="s">
        <v>2269</v>
      </c>
      <c r="D300" s="371" t="s">
        <v>2270</v>
      </c>
      <c r="E300" s="206"/>
      <c r="F300" s="206" t="s">
        <v>46</v>
      </c>
      <c r="G300" s="206" t="s">
        <v>46</v>
      </c>
      <c r="H300" s="371" t="s">
        <v>2271</v>
      </c>
      <c r="I300" s="206" t="s">
        <v>1429</v>
      </c>
      <c r="J300" s="206" t="s">
        <v>1429</v>
      </c>
      <c r="K300" s="371" t="s">
        <v>2271</v>
      </c>
      <c r="L300" s="206" t="s">
        <v>2148</v>
      </c>
      <c r="M300" s="206" t="s">
        <v>1341</v>
      </c>
      <c r="N300" s="206" t="s">
        <v>49</v>
      </c>
      <c r="O300" s="372">
        <v>45990</v>
      </c>
      <c r="P300" s="372">
        <v>45990</v>
      </c>
      <c r="Q300" s="371" t="s">
        <v>2271</v>
      </c>
      <c r="R300" s="373">
        <v>26560</v>
      </c>
      <c r="S300" s="373">
        <v>26560</v>
      </c>
      <c r="T300" s="371" t="s">
        <v>2271</v>
      </c>
      <c r="U300" s="373">
        <v>11710</v>
      </c>
      <c r="V300" s="373">
        <v>11710</v>
      </c>
      <c r="W300" s="371" t="s">
        <v>2271</v>
      </c>
      <c r="X300" s="373">
        <v>14850</v>
      </c>
      <c r="Y300" s="373">
        <v>14850</v>
      </c>
      <c r="Z300" s="371" t="s">
        <v>2271</v>
      </c>
      <c r="AA300" s="373">
        <v>0</v>
      </c>
      <c r="AB300" s="373">
        <v>14470</v>
      </c>
      <c r="AC300" s="373">
        <v>14470</v>
      </c>
      <c r="AD300" s="371" t="s">
        <v>2271</v>
      </c>
      <c r="AE300" s="373">
        <v>0</v>
      </c>
      <c r="AF300" s="382">
        <v>0.62847222222222199</v>
      </c>
      <c r="AG300" s="382">
        <v>0.62847222222222199</v>
      </c>
      <c r="AH300" s="371" t="s">
        <v>2271</v>
      </c>
      <c r="AI300" s="382">
        <v>0.67083333333333295</v>
      </c>
      <c r="AJ300" s="382">
        <v>0.67083333333333295</v>
      </c>
      <c r="AK300" s="371" t="s">
        <v>2271</v>
      </c>
      <c r="AL300" s="206" t="s">
        <v>42</v>
      </c>
      <c r="AM300" s="206" t="s">
        <v>42</v>
      </c>
      <c r="AN300" s="371" t="s">
        <v>2271</v>
      </c>
      <c r="AO300" s="206" t="s">
        <v>2507</v>
      </c>
      <c r="AP300" s="206" t="s">
        <v>1393</v>
      </c>
      <c r="AQ300" s="206" t="s">
        <v>1132</v>
      </c>
      <c r="AR300" s="207" t="s">
        <v>68</v>
      </c>
    </row>
    <row r="301" spans="1:44" x14ac:dyDescent="0.2">
      <c r="A301" s="370">
        <v>282</v>
      </c>
      <c r="B301" s="380">
        <v>154</v>
      </c>
      <c r="C301" s="371" t="s">
        <v>2337</v>
      </c>
      <c r="D301" s="371" t="s">
        <v>2235</v>
      </c>
      <c r="E301" s="206"/>
      <c r="F301" s="206" t="s">
        <v>1269</v>
      </c>
      <c r="G301" s="206" t="s">
        <v>1269</v>
      </c>
      <c r="H301" s="371" t="s">
        <v>2271</v>
      </c>
      <c r="I301" s="206"/>
      <c r="J301" s="206" t="s">
        <v>1447</v>
      </c>
      <c r="K301" s="371" t="s">
        <v>2276</v>
      </c>
      <c r="L301" s="206" t="s">
        <v>2216</v>
      </c>
      <c r="M301" s="206" t="s">
        <v>1728</v>
      </c>
      <c r="N301" s="206" t="s">
        <v>49</v>
      </c>
      <c r="O301" s="372">
        <v>46269</v>
      </c>
      <c r="P301" s="372">
        <v>46121</v>
      </c>
      <c r="Q301" s="371" t="s">
        <v>2276</v>
      </c>
      <c r="R301" s="373">
        <v>12390</v>
      </c>
      <c r="S301" s="373">
        <v>12390</v>
      </c>
      <c r="T301" s="371" t="s">
        <v>2271</v>
      </c>
      <c r="U301" s="373">
        <v>4110</v>
      </c>
      <c r="V301" s="373">
        <v>4110</v>
      </c>
      <c r="W301" s="371" t="s">
        <v>2271</v>
      </c>
      <c r="X301" s="373">
        <v>8280</v>
      </c>
      <c r="Y301" s="373">
        <v>8280</v>
      </c>
      <c r="Z301" s="371" t="s">
        <v>2271</v>
      </c>
      <c r="AA301" s="373">
        <v>0</v>
      </c>
      <c r="AB301" s="373">
        <v>8250</v>
      </c>
      <c r="AC301" s="373">
        <v>8250</v>
      </c>
      <c r="AD301" s="371" t="s">
        <v>2271</v>
      </c>
      <c r="AE301" s="373">
        <v>0</v>
      </c>
      <c r="AF301" s="382">
        <v>0.17361111111111099</v>
      </c>
      <c r="AG301" s="382"/>
      <c r="AH301" s="371" t="s">
        <v>2276</v>
      </c>
      <c r="AI301" s="382">
        <v>0.19027777777777799</v>
      </c>
      <c r="AJ301" s="382"/>
      <c r="AK301" s="371" t="s">
        <v>2276</v>
      </c>
      <c r="AL301" s="206" t="s">
        <v>137</v>
      </c>
      <c r="AM301" s="206"/>
      <c r="AN301" s="371" t="s">
        <v>2276</v>
      </c>
      <c r="AO301" s="206" t="s">
        <v>2507</v>
      </c>
      <c r="AP301" s="206"/>
      <c r="AQ301" s="206" t="s">
        <v>1131</v>
      </c>
      <c r="AR301" s="207" t="s">
        <v>68</v>
      </c>
    </row>
    <row r="302" spans="1:44" x14ac:dyDescent="0.2">
      <c r="A302" s="370">
        <v>283</v>
      </c>
      <c r="B302" s="380">
        <v>155</v>
      </c>
      <c r="C302" s="371" t="s">
        <v>2269</v>
      </c>
      <c r="D302" s="371" t="s">
        <v>2270</v>
      </c>
      <c r="E302" s="206"/>
      <c r="F302" s="206" t="s">
        <v>76</v>
      </c>
      <c r="G302" s="206" t="s">
        <v>76</v>
      </c>
      <c r="H302" s="371" t="s">
        <v>2271</v>
      </c>
      <c r="I302" s="206" t="s">
        <v>1450</v>
      </c>
      <c r="J302" s="206" t="s">
        <v>1450</v>
      </c>
      <c r="K302" s="371" t="s">
        <v>2271</v>
      </c>
      <c r="L302" s="206" t="s">
        <v>2147</v>
      </c>
      <c r="M302" s="206" t="s">
        <v>1342</v>
      </c>
      <c r="N302" s="206" t="s">
        <v>59</v>
      </c>
      <c r="O302" s="372">
        <v>45990</v>
      </c>
      <c r="P302" s="372">
        <v>45990</v>
      </c>
      <c r="Q302" s="371" t="s">
        <v>2271</v>
      </c>
      <c r="R302" s="373">
        <v>45710</v>
      </c>
      <c r="S302" s="373">
        <v>45710</v>
      </c>
      <c r="T302" s="371" t="s">
        <v>2271</v>
      </c>
      <c r="U302" s="373">
        <v>17720</v>
      </c>
      <c r="V302" s="373">
        <v>17720</v>
      </c>
      <c r="W302" s="371" t="s">
        <v>2271</v>
      </c>
      <c r="X302" s="373">
        <v>27990</v>
      </c>
      <c r="Y302" s="373">
        <v>27990</v>
      </c>
      <c r="Z302" s="371" t="s">
        <v>2271</v>
      </c>
      <c r="AA302" s="373">
        <v>0</v>
      </c>
      <c r="AB302" s="373">
        <v>28140</v>
      </c>
      <c r="AC302" s="373">
        <v>28140</v>
      </c>
      <c r="AD302" s="371" t="s">
        <v>2271</v>
      </c>
      <c r="AE302" s="373">
        <v>0</v>
      </c>
      <c r="AF302" s="382">
        <v>0.71041666666666703</v>
      </c>
      <c r="AG302" s="382">
        <v>0.71041666666666703</v>
      </c>
      <c r="AH302" s="371" t="s">
        <v>2271</v>
      </c>
      <c r="AI302" s="382">
        <v>0.81527777777777799</v>
      </c>
      <c r="AJ302" s="382">
        <v>0.81527777777777799</v>
      </c>
      <c r="AK302" s="371" t="s">
        <v>2271</v>
      </c>
      <c r="AL302" s="206" t="s">
        <v>137</v>
      </c>
      <c r="AM302" s="206" t="s">
        <v>137</v>
      </c>
      <c r="AN302" s="371" t="s">
        <v>2271</v>
      </c>
      <c r="AO302" s="206" t="s">
        <v>2508</v>
      </c>
      <c r="AP302" s="206" t="s">
        <v>1372</v>
      </c>
      <c r="AQ302" s="206" t="s">
        <v>1133</v>
      </c>
      <c r="AR302" s="207" t="s">
        <v>75</v>
      </c>
    </row>
    <row r="303" spans="1:44" x14ac:dyDescent="0.2">
      <c r="A303" s="370">
        <v>284</v>
      </c>
      <c r="B303" s="380">
        <v>155</v>
      </c>
      <c r="C303" s="371" t="s">
        <v>2337</v>
      </c>
      <c r="D303" s="371" t="s">
        <v>2235</v>
      </c>
      <c r="E303" s="206"/>
      <c r="F303" s="206" t="s">
        <v>1277</v>
      </c>
      <c r="G303" s="206" t="s">
        <v>1277</v>
      </c>
      <c r="H303" s="371" t="s">
        <v>2271</v>
      </c>
      <c r="I303" s="206"/>
      <c r="J303" s="206" t="s">
        <v>1447</v>
      </c>
      <c r="K303" s="371" t="s">
        <v>2276</v>
      </c>
      <c r="L303" s="206" t="s">
        <v>2216</v>
      </c>
      <c r="M303" s="206" t="s">
        <v>1728</v>
      </c>
      <c r="N303" s="206" t="s">
        <v>49</v>
      </c>
      <c r="O303" s="372">
        <v>46269</v>
      </c>
      <c r="P303" s="372">
        <v>46121</v>
      </c>
      <c r="Q303" s="371" t="s">
        <v>2276</v>
      </c>
      <c r="R303" s="373">
        <v>14110</v>
      </c>
      <c r="S303" s="373">
        <v>14110</v>
      </c>
      <c r="T303" s="371" t="s">
        <v>2271</v>
      </c>
      <c r="U303" s="373">
        <v>4280</v>
      </c>
      <c r="V303" s="373">
        <v>4280</v>
      </c>
      <c r="W303" s="371" t="s">
        <v>2271</v>
      </c>
      <c r="X303" s="373">
        <v>9830</v>
      </c>
      <c r="Y303" s="373">
        <v>9830</v>
      </c>
      <c r="Z303" s="371" t="s">
        <v>2271</v>
      </c>
      <c r="AA303" s="373">
        <v>0</v>
      </c>
      <c r="AB303" s="373">
        <v>9790</v>
      </c>
      <c r="AC303" s="373">
        <v>9790</v>
      </c>
      <c r="AD303" s="371" t="s">
        <v>2271</v>
      </c>
      <c r="AE303" s="373">
        <v>0</v>
      </c>
      <c r="AF303" s="382">
        <v>0.264583333333333</v>
      </c>
      <c r="AG303" s="382"/>
      <c r="AH303" s="371" t="s">
        <v>2276</v>
      </c>
      <c r="AI303" s="382">
        <v>0.281944444444444</v>
      </c>
      <c r="AJ303" s="382"/>
      <c r="AK303" s="371" t="s">
        <v>2276</v>
      </c>
      <c r="AL303" s="206" t="s">
        <v>137</v>
      </c>
      <c r="AM303" s="206"/>
      <c r="AN303" s="371" t="s">
        <v>2276</v>
      </c>
      <c r="AO303" s="206" t="s">
        <v>2509</v>
      </c>
      <c r="AP303" s="206"/>
      <c r="AQ303" s="206" t="s">
        <v>1131</v>
      </c>
      <c r="AR303" s="207" t="s">
        <v>68</v>
      </c>
    </row>
    <row r="304" spans="1:44" x14ac:dyDescent="0.2">
      <c r="A304" s="370">
        <v>285</v>
      </c>
      <c r="B304" s="380">
        <v>156</v>
      </c>
      <c r="C304" s="371" t="s">
        <v>2269</v>
      </c>
      <c r="D304" s="371" t="s">
        <v>2270</v>
      </c>
      <c r="E304" s="206"/>
      <c r="F304" s="206" t="s">
        <v>84</v>
      </c>
      <c r="G304" s="206" t="s">
        <v>84</v>
      </c>
      <c r="H304" s="371" t="s">
        <v>2271</v>
      </c>
      <c r="I304" s="206" t="s">
        <v>1429</v>
      </c>
      <c r="J304" s="206" t="s">
        <v>1429</v>
      </c>
      <c r="K304" s="371" t="s">
        <v>2271</v>
      </c>
      <c r="L304" s="206" t="s">
        <v>2148</v>
      </c>
      <c r="M304" s="206" t="s">
        <v>1341</v>
      </c>
      <c r="N304" s="206" t="s">
        <v>49</v>
      </c>
      <c r="O304" s="372">
        <v>45990</v>
      </c>
      <c r="P304" s="372">
        <v>45990</v>
      </c>
      <c r="Q304" s="371" t="s">
        <v>2271</v>
      </c>
      <c r="R304" s="373">
        <v>26720</v>
      </c>
      <c r="S304" s="373">
        <v>26720</v>
      </c>
      <c r="T304" s="371" t="s">
        <v>2271</v>
      </c>
      <c r="U304" s="373">
        <v>12210</v>
      </c>
      <c r="V304" s="373">
        <v>12210</v>
      </c>
      <c r="W304" s="371" t="s">
        <v>2271</v>
      </c>
      <c r="X304" s="373">
        <v>14510</v>
      </c>
      <c r="Y304" s="373">
        <v>14510</v>
      </c>
      <c r="Z304" s="371" t="s">
        <v>2271</v>
      </c>
      <c r="AA304" s="373">
        <v>0</v>
      </c>
      <c r="AB304" s="373">
        <v>14190</v>
      </c>
      <c r="AC304" s="373">
        <v>14190</v>
      </c>
      <c r="AD304" s="371" t="s">
        <v>2271</v>
      </c>
      <c r="AE304" s="373">
        <v>0</v>
      </c>
      <c r="AF304" s="382">
        <v>0.71736111111111101</v>
      </c>
      <c r="AG304" s="382">
        <v>0.71736111111111101</v>
      </c>
      <c r="AH304" s="371" t="s">
        <v>2271</v>
      </c>
      <c r="AI304" s="382">
        <v>0.76388888888888895</v>
      </c>
      <c r="AJ304" s="382">
        <v>0.76388888888888895</v>
      </c>
      <c r="AK304" s="371" t="s">
        <v>2271</v>
      </c>
      <c r="AL304" s="206" t="s">
        <v>137</v>
      </c>
      <c r="AM304" s="206" t="s">
        <v>137</v>
      </c>
      <c r="AN304" s="371" t="s">
        <v>2271</v>
      </c>
      <c r="AO304" s="206" t="s">
        <v>2510</v>
      </c>
      <c r="AP304" s="206" t="s">
        <v>1782</v>
      </c>
      <c r="AQ304" s="206" t="s">
        <v>1132</v>
      </c>
      <c r="AR304" s="207" t="s">
        <v>68</v>
      </c>
    </row>
    <row r="305" spans="1:44" x14ac:dyDescent="0.2">
      <c r="A305" s="370">
        <v>286</v>
      </c>
      <c r="B305" s="380">
        <v>156</v>
      </c>
      <c r="C305" s="371" t="s">
        <v>2337</v>
      </c>
      <c r="D305" s="371" t="s">
        <v>2235</v>
      </c>
      <c r="E305" s="206"/>
      <c r="F305" s="206" t="s">
        <v>1273</v>
      </c>
      <c r="G305" s="206" t="s">
        <v>1273</v>
      </c>
      <c r="H305" s="371" t="s">
        <v>2271</v>
      </c>
      <c r="I305" s="206"/>
      <c r="J305" s="206" t="s">
        <v>1447</v>
      </c>
      <c r="K305" s="371" t="s">
        <v>2276</v>
      </c>
      <c r="L305" s="206" t="s">
        <v>2216</v>
      </c>
      <c r="M305" s="206" t="s">
        <v>1728</v>
      </c>
      <c r="N305" s="206" t="s">
        <v>49</v>
      </c>
      <c r="O305" s="372">
        <v>46269</v>
      </c>
      <c r="P305" s="372">
        <v>46121</v>
      </c>
      <c r="Q305" s="371" t="s">
        <v>2276</v>
      </c>
      <c r="R305" s="373">
        <v>13880</v>
      </c>
      <c r="S305" s="373">
        <v>13880</v>
      </c>
      <c r="T305" s="371" t="s">
        <v>2271</v>
      </c>
      <c r="U305" s="373">
        <v>4240</v>
      </c>
      <c r="V305" s="373">
        <v>4240</v>
      </c>
      <c r="W305" s="371" t="s">
        <v>2271</v>
      </c>
      <c r="X305" s="373">
        <v>9640</v>
      </c>
      <c r="Y305" s="373">
        <v>9640</v>
      </c>
      <c r="Z305" s="371" t="s">
        <v>2271</v>
      </c>
      <c r="AA305" s="373">
        <v>0</v>
      </c>
      <c r="AB305" s="373">
        <v>9600</v>
      </c>
      <c r="AC305" s="373">
        <v>9600</v>
      </c>
      <c r="AD305" s="371" t="s">
        <v>2271</v>
      </c>
      <c r="AE305" s="373">
        <v>0</v>
      </c>
      <c r="AF305" s="382">
        <v>0.265972222222222</v>
      </c>
      <c r="AG305" s="382"/>
      <c r="AH305" s="371" t="s">
        <v>2276</v>
      </c>
      <c r="AI305" s="382">
        <v>0.28333333333333299</v>
      </c>
      <c r="AJ305" s="382"/>
      <c r="AK305" s="371" t="s">
        <v>2276</v>
      </c>
      <c r="AL305" s="206" t="s">
        <v>137</v>
      </c>
      <c r="AM305" s="206"/>
      <c r="AN305" s="371" t="s">
        <v>2276</v>
      </c>
      <c r="AO305" s="206" t="s">
        <v>2510</v>
      </c>
      <c r="AP305" s="206"/>
      <c r="AQ305" s="206" t="s">
        <v>1131</v>
      </c>
      <c r="AR305" s="207" t="s">
        <v>68</v>
      </c>
    </row>
    <row r="306" spans="1:44" x14ac:dyDescent="0.2">
      <c r="A306" s="370">
        <v>287</v>
      </c>
      <c r="B306" s="380">
        <v>157</v>
      </c>
      <c r="C306" s="371" t="s">
        <v>2269</v>
      </c>
      <c r="D306" s="371" t="s">
        <v>2270</v>
      </c>
      <c r="E306" s="206"/>
      <c r="F306" s="206" t="s">
        <v>70</v>
      </c>
      <c r="G306" s="206" t="s">
        <v>70</v>
      </c>
      <c r="H306" s="371" t="s">
        <v>2271</v>
      </c>
      <c r="I306" s="206" t="s">
        <v>1450</v>
      </c>
      <c r="J306" s="206" t="s">
        <v>1450</v>
      </c>
      <c r="K306" s="371" t="s">
        <v>2271</v>
      </c>
      <c r="L306" s="206" t="s">
        <v>2147</v>
      </c>
      <c r="M306" s="206" t="s">
        <v>1342</v>
      </c>
      <c r="N306" s="206" t="s">
        <v>59</v>
      </c>
      <c r="O306" s="372">
        <v>45990</v>
      </c>
      <c r="P306" s="372">
        <v>45990</v>
      </c>
      <c r="Q306" s="371" t="s">
        <v>2271</v>
      </c>
      <c r="R306" s="373">
        <v>45310</v>
      </c>
      <c r="S306" s="373">
        <v>45310</v>
      </c>
      <c r="T306" s="371" t="s">
        <v>2271</v>
      </c>
      <c r="U306" s="373">
        <v>17490</v>
      </c>
      <c r="V306" s="373">
        <v>17490</v>
      </c>
      <c r="W306" s="371" t="s">
        <v>2271</v>
      </c>
      <c r="X306" s="373">
        <v>27820</v>
      </c>
      <c r="Y306" s="373">
        <v>27820</v>
      </c>
      <c r="Z306" s="371" t="s">
        <v>2271</v>
      </c>
      <c r="AA306" s="373">
        <v>0</v>
      </c>
      <c r="AB306" s="373">
        <v>27840</v>
      </c>
      <c r="AC306" s="373">
        <v>27840</v>
      </c>
      <c r="AD306" s="371" t="s">
        <v>2271</v>
      </c>
      <c r="AE306" s="373">
        <v>0</v>
      </c>
      <c r="AF306" s="382">
        <v>0.73750000000000004</v>
      </c>
      <c r="AG306" s="382">
        <v>0.73750000000000004</v>
      </c>
      <c r="AH306" s="371" t="s">
        <v>2271</v>
      </c>
      <c r="AI306" s="382">
        <v>0.81666666666666698</v>
      </c>
      <c r="AJ306" s="382">
        <v>0.81666666666666698</v>
      </c>
      <c r="AK306" s="371" t="s">
        <v>2271</v>
      </c>
      <c r="AL306" s="206" t="s">
        <v>137</v>
      </c>
      <c r="AM306" s="206" t="s">
        <v>137</v>
      </c>
      <c r="AN306" s="371" t="s">
        <v>2271</v>
      </c>
      <c r="AO306" s="206" t="s">
        <v>2511</v>
      </c>
      <c r="AP306" s="206" t="s">
        <v>1499</v>
      </c>
      <c r="AQ306" s="206" t="s">
        <v>1133</v>
      </c>
      <c r="AR306" s="207" t="s">
        <v>75</v>
      </c>
    </row>
    <row r="307" spans="1:44" x14ac:dyDescent="0.2">
      <c r="A307" s="370">
        <v>288</v>
      </c>
      <c r="B307" s="380">
        <v>157</v>
      </c>
      <c r="C307" s="371" t="s">
        <v>2337</v>
      </c>
      <c r="D307" s="371" t="s">
        <v>2235</v>
      </c>
      <c r="E307" s="206"/>
      <c r="F307" s="206" t="s">
        <v>1274</v>
      </c>
      <c r="G307" s="206" t="s">
        <v>1274</v>
      </c>
      <c r="H307" s="371" t="s">
        <v>2271</v>
      </c>
      <c r="I307" s="206"/>
      <c r="J307" s="206" t="s">
        <v>1447</v>
      </c>
      <c r="K307" s="371" t="s">
        <v>2276</v>
      </c>
      <c r="L307" s="206" t="s">
        <v>2216</v>
      </c>
      <c r="M307" s="206" t="s">
        <v>1728</v>
      </c>
      <c r="N307" s="206" t="s">
        <v>49</v>
      </c>
      <c r="O307" s="372">
        <v>46269</v>
      </c>
      <c r="P307" s="372">
        <v>46121</v>
      </c>
      <c r="Q307" s="371" t="s">
        <v>2276</v>
      </c>
      <c r="R307" s="373">
        <v>13320</v>
      </c>
      <c r="S307" s="373">
        <v>13320</v>
      </c>
      <c r="T307" s="371" t="s">
        <v>2271</v>
      </c>
      <c r="U307" s="373">
        <v>3870</v>
      </c>
      <c r="V307" s="373">
        <v>3870</v>
      </c>
      <c r="W307" s="371" t="s">
        <v>2271</v>
      </c>
      <c r="X307" s="373">
        <v>9450</v>
      </c>
      <c r="Y307" s="373">
        <v>9450</v>
      </c>
      <c r="Z307" s="371" t="s">
        <v>2271</v>
      </c>
      <c r="AA307" s="373">
        <v>0</v>
      </c>
      <c r="AB307" s="373">
        <v>9410</v>
      </c>
      <c r="AC307" s="373">
        <v>9410</v>
      </c>
      <c r="AD307" s="371" t="s">
        <v>2271</v>
      </c>
      <c r="AE307" s="373">
        <v>0</v>
      </c>
      <c r="AF307" s="382">
        <v>0.26736111111111099</v>
      </c>
      <c r="AG307" s="382"/>
      <c r="AH307" s="371" t="s">
        <v>2276</v>
      </c>
      <c r="AI307" s="382">
        <v>0.28819444444444398</v>
      </c>
      <c r="AJ307" s="382"/>
      <c r="AK307" s="371" t="s">
        <v>2276</v>
      </c>
      <c r="AL307" s="206" t="s">
        <v>137</v>
      </c>
      <c r="AM307" s="206"/>
      <c r="AN307" s="371" t="s">
        <v>2276</v>
      </c>
      <c r="AO307" s="206" t="s">
        <v>2512</v>
      </c>
      <c r="AP307" s="206"/>
      <c r="AQ307" s="206" t="s">
        <v>1131</v>
      </c>
      <c r="AR307" s="207" t="s">
        <v>68</v>
      </c>
    </row>
    <row r="308" spans="1:44" x14ac:dyDescent="0.2">
      <c r="A308" s="370">
        <v>289</v>
      </c>
      <c r="B308" s="380">
        <v>158</v>
      </c>
      <c r="C308" s="371" t="s">
        <v>2269</v>
      </c>
      <c r="D308" s="371" t="s">
        <v>2270</v>
      </c>
      <c r="E308" s="206"/>
      <c r="F308" s="206" t="s">
        <v>56</v>
      </c>
      <c r="G308" s="206" t="s">
        <v>56</v>
      </c>
      <c r="H308" s="371" t="s">
        <v>2271</v>
      </c>
      <c r="I308" s="206" t="s">
        <v>1429</v>
      </c>
      <c r="J308" s="206" t="s">
        <v>1429</v>
      </c>
      <c r="K308" s="371" t="s">
        <v>2271</v>
      </c>
      <c r="L308" s="206" t="s">
        <v>2148</v>
      </c>
      <c r="M308" s="206" t="s">
        <v>1341</v>
      </c>
      <c r="N308" s="206" t="s">
        <v>49</v>
      </c>
      <c r="O308" s="372">
        <v>45990</v>
      </c>
      <c r="P308" s="372">
        <v>45990</v>
      </c>
      <c r="Q308" s="371" t="s">
        <v>2271</v>
      </c>
      <c r="R308" s="373">
        <v>25150</v>
      </c>
      <c r="S308" s="373">
        <v>25150</v>
      </c>
      <c r="T308" s="371" t="s">
        <v>2271</v>
      </c>
      <c r="U308" s="373">
        <v>10880</v>
      </c>
      <c r="V308" s="373">
        <v>10880</v>
      </c>
      <c r="W308" s="371" t="s">
        <v>2271</v>
      </c>
      <c r="X308" s="373">
        <v>14270</v>
      </c>
      <c r="Y308" s="373">
        <v>14270</v>
      </c>
      <c r="Z308" s="371" t="s">
        <v>2271</v>
      </c>
      <c r="AA308" s="373">
        <v>0</v>
      </c>
      <c r="AB308" s="373">
        <v>14820</v>
      </c>
      <c r="AC308" s="373">
        <v>14820</v>
      </c>
      <c r="AD308" s="371" t="s">
        <v>2271</v>
      </c>
      <c r="AE308" s="373">
        <v>0</v>
      </c>
      <c r="AF308" s="382">
        <v>0.74027777777777803</v>
      </c>
      <c r="AG308" s="382">
        <v>0.74027777777777803</v>
      </c>
      <c r="AH308" s="371" t="s">
        <v>2271</v>
      </c>
      <c r="AI308" s="382">
        <v>0.79236111111111096</v>
      </c>
      <c r="AJ308" s="382">
        <v>0.79236111111111096</v>
      </c>
      <c r="AK308" s="371" t="s">
        <v>2271</v>
      </c>
      <c r="AL308" s="206" t="s">
        <v>137</v>
      </c>
      <c r="AM308" s="206" t="s">
        <v>137</v>
      </c>
      <c r="AN308" s="371" t="s">
        <v>2271</v>
      </c>
      <c r="AO308" s="206" t="s">
        <v>2513</v>
      </c>
      <c r="AP308" s="206" t="s">
        <v>1781</v>
      </c>
      <c r="AQ308" s="206" t="s">
        <v>1132</v>
      </c>
      <c r="AR308" s="207" t="s">
        <v>68</v>
      </c>
    </row>
    <row r="309" spans="1:44" x14ac:dyDescent="0.2">
      <c r="A309" s="370">
        <v>290</v>
      </c>
      <c r="B309" s="380">
        <v>159</v>
      </c>
      <c r="C309" s="371" t="s">
        <v>2269</v>
      </c>
      <c r="D309" s="371" t="s">
        <v>2270</v>
      </c>
      <c r="E309" s="206"/>
      <c r="F309" s="206" t="s">
        <v>46</v>
      </c>
      <c r="G309" s="206" t="s">
        <v>46</v>
      </c>
      <c r="H309" s="371" t="s">
        <v>2271</v>
      </c>
      <c r="I309" s="206" t="s">
        <v>1429</v>
      </c>
      <c r="J309" s="206" t="s">
        <v>1429</v>
      </c>
      <c r="K309" s="371" t="s">
        <v>2271</v>
      </c>
      <c r="L309" s="206" t="s">
        <v>2148</v>
      </c>
      <c r="M309" s="206" t="s">
        <v>1341</v>
      </c>
      <c r="N309" s="206" t="s">
        <v>49</v>
      </c>
      <c r="O309" s="372">
        <v>45990</v>
      </c>
      <c r="P309" s="372">
        <v>45990</v>
      </c>
      <c r="Q309" s="371" t="s">
        <v>2271</v>
      </c>
      <c r="R309" s="373">
        <v>26660</v>
      </c>
      <c r="S309" s="373">
        <v>26660</v>
      </c>
      <c r="T309" s="371" t="s">
        <v>2271</v>
      </c>
      <c r="U309" s="373">
        <v>11800</v>
      </c>
      <c r="V309" s="373">
        <v>11800</v>
      </c>
      <c r="W309" s="371" t="s">
        <v>2271</v>
      </c>
      <c r="X309" s="373">
        <v>14860</v>
      </c>
      <c r="Y309" s="373">
        <v>14860</v>
      </c>
      <c r="Z309" s="371" t="s">
        <v>2271</v>
      </c>
      <c r="AA309" s="373">
        <v>0</v>
      </c>
      <c r="AB309" s="373">
        <v>14220</v>
      </c>
      <c r="AC309" s="373">
        <v>14220</v>
      </c>
      <c r="AD309" s="371" t="s">
        <v>2271</v>
      </c>
      <c r="AE309" s="373">
        <v>0</v>
      </c>
      <c r="AF309" s="382">
        <v>0.85833333333333295</v>
      </c>
      <c r="AG309" s="382">
        <v>0.85833333333333295</v>
      </c>
      <c r="AH309" s="371" t="s">
        <v>2271</v>
      </c>
      <c r="AI309" s="382">
        <v>0.90972222222222199</v>
      </c>
      <c r="AJ309" s="382">
        <v>0.90972222222222199</v>
      </c>
      <c r="AK309" s="371" t="s">
        <v>2271</v>
      </c>
      <c r="AL309" s="206" t="s">
        <v>137</v>
      </c>
      <c r="AM309" s="206" t="s">
        <v>137</v>
      </c>
      <c r="AN309" s="371" t="s">
        <v>2271</v>
      </c>
      <c r="AO309" s="206" t="s">
        <v>2514</v>
      </c>
      <c r="AP309" s="206" t="s">
        <v>1393</v>
      </c>
      <c r="AQ309" s="206" t="s">
        <v>1132</v>
      </c>
      <c r="AR309" s="207" t="s">
        <v>68</v>
      </c>
    </row>
    <row r="310" spans="1:44" x14ac:dyDescent="0.2">
      <c r="A310" s="370">
        <v>291</v>
      </c>
      <c r="B310" s="380">
        <v>160</v>
      </c>
      <c r="C310" s="371" t="s">
        <v>2269</v>
      </c>
      <c r="D310" s="371" t="s">
        <v>2270</v>
      </c>
      <c r="E310" s="206"/>
      <c r="F310" s="206" t="s">
        <v>76</v>
      </c>
      <c r="G310" s="206" t="s">
        <v>76</v>
      </c>
      <c r="H310" s="371" t="s">
        <v>2271</v>
      </c>
      <c r="I310" s="206" t="s">
        <v>1450</v>
      </c>
      <c r="J310" s="206" t="s">
        <v>1450</v>
      </c>
      <c r="K310" s="371" t="s">
        <v>2271</v>
      </c>
      <c r="L310" s="206" t="s">
        <v>2147</v>
      </c>
      <c r="M310" s="206" t="s">
        <v>1342</v>
      </c>
      <c r="N310" s="206" t="s">
        <v>59</v>
      </c>
      <c r="O310" s="372">
        <v>45991</v>
      </c>
      <c r="P310" s="372">
        <v>45991</v>
      </c>
      <c r="Q310" s="371" t="s">
        <v>2271</v>
      </c>
      <c r="R310" s="373">
        <v>45760</v>
      </c>
      <c r="S310" s="373">
        <v>45760</v>
      </c>
      <c r="T310" s="371" t="s">
        <v>2271</v>
      </c>
      <c r="U310" s="373">
        <v>17690</v>
      </c>
      <c r="V310" s="373">
        <v>17690</v>
      </c>
      <c r="W310" s="371" t="s">
        <v>2271</v>
      </c>
      <c r="X310" s="373">
        <v>28070</v>
      </c>
      <c r="Y310" s="373">
        <v>28070</v>
      </c>
      <c r="Z310" s="371" t="s">
        <v>2271</v>
      </c>
      <c r="AA310" s="373">
        <v>0</v>
      </c>
      <c r="AB310" s="373">
        <v>28100</v>
      </c>
      <c r="AC310" s="373">
        <v>28100</v>
      </c>
      <c r="AD310" s="371" t="s">
        <v>2271</v>
      </c>
      <c r="AE310" s="373">
        <v>0</v>
      </c>
      <c r="AF310" s="382">
        <v>0.96388888888888902</v>
      </c>
      <c r="AG310" s="382">
        <v>0.96388888888888902</v>
      </c>
      <c r="AH310" s="371" t="s">
        <v>2271</v>
      </c>
      <c r="AI310" s="382">
        <v>3.4722222222222199E-3</v>
      </c>
      <c r="AJ310" s="382">
        <v>3.4722222222222199E-3</v>
      </c>
      <c r="AK310" s="371" t="s">
        <v>2271</v>
      </c>
      <c r="AL310" s="206" t="s">
        <v>137</v>
      </c>
      <c r="AM310" s="206" t="s">
        <v>137</v>
      </c>
      <c r="AN310" s="371" t="s">
        <v>2271</v>
      </c>
      <c r="AO310" s="206" t="s">
        <v>2515</v>
      </c>
      <c r="AP310" s="206" t="s">
        <v>1372</v>
      </c>
      <c r="AQ310" s="206" t="s">
        <v>1133</v>
      </c>
      <c r="AR310" s="207" t="s">
        <v>75</v>
      </c>
    </row>
    <row r="311" spans="1:44" x14ac:dyDescent="0.2">
      <c r="A311" s="370">
        <v>292</v>
      </c>
      <c r="B311" s="380">
        <v>161</v>
      </c>
      <c r="C311" s="371" t="s">
        <v>2269</v>
      </c>
      <c r="D311" s="371" t="s">
        <v>2235</v>
      </c>
      <c r="E311" s="206"/>
      <c r="F311" s="206" t="s">
        <v>70</v>
      </c>
      <c r="G311" s="206" t="s">
        <v>70</v>
      </c>
      <c r="H311" s="371" t="s">
        <v>2271</v>
      </c>
      <c r="I311" s="206" t="s">
        <v>1450</v>
      </c>
      <c r="J311" s="206" t="s">
        <v>1450</v>
      </c>
      <c r="K311" s="371" t="s">
        <v>2271</v>
      </c>
      <c r="L311" s="206" t="s">
        <v>2147</v>
      </c>
      <c r="M311" s="206" t="s">
        <v>1342</v>
      </c>
      <c r="N311" s="206" t="s">
        <v>59</v>
      </c>
      <c r="O311" s="372">
        <v>45991</v>
      </c>
      <c r="P311" s="372">
        <v>45991</v>
      </c>
      <c r="Q311" s="371" t="s">
        <v>2271</v>
      </c>
      <c r="R311" s="373">
        <v>45420</v>
      </c>
      <c r="S311" s="373">
        <v>45420</v>
      </c>
      <c r="T311" s="371" t="s">
        <v>2271</v>
      </c>
      <c r="U311" s="373">
        <v>17460</v>
      </c>
      <c r="V311" s="373">
        <v>17460</v>
      </c>
      <c r="W311" s="371" t="s">
        <v>2271</v>
      </c>
      <c r="X311" s="373">
        <v>27960</v>
      </c>
      <c r="Y311" s="373">
        <v>27960</v>
      </c>
      <c r="Z311" s="371" t="s">
        <v>2271</v>
      </c>
      <c r="AA311" s="373">
        <v>0</v>
      </c>
      <c r="AB311" s="373">
        <v>27980</v>
      </c>
      <c r="AC311" s="373">
        <v>27980</v>
      </c>
      <c r="AD311" s="371" t="s">
        <v>2271</v>
      </c>
      <c r="AE311" s="373">
        <v>0</v>
      </c>
      <c r="AF311" s="382">
        <v>0.99444444444444402</v>
      </c>
      <c r="AG311" s="382">
        <v>0.99444444444444502</v>
      </c>
      <c r="AH311" s="371" t="s">
        <v>2276</v>
      </c>
      <c r="AI311" s="382">
        <v>2.70833333333333E-2</v>
      </c>
      <c r="AJ311" s="382">
        <v>2.70833333333333E-2</v>
      </c>
      <c r="AK311" s="371" t="s">
        <v>2271</v>
      </c>
      <c r="AL311" s="206" t="s">
        <v>137</v>
      </c>
      <c r="AM311" s="206" t="s">
        <v>137</v>
      </c>
      <c r="AN311" s="371" t="s">
        <v>2271</v>
      </c>
      <c r="AO311" s="206" t="s">
        <v>2516</v>
      </c>
      <c r="AP311" s="206" t="s">
        <v>1499</v>
      </c>
      <c r="AQ311" s="206" t="s">
        <v>1133</v>
      </c>
      <c r="AR311" s="207" t="s">
        <v>75</v>
      </c>
    </row>
    <row r="312" spans="1:44" x14ac:dyDescent="0.2">
      <c r="A312" s="370">
        <v>293</v>
      </c>
      <c r="B312" s="380">
        <v>162</v>
      </c>
      <c r="C312" s="371" t="s">
        <v>2269</v>
      </c>
      <c r="D312" s="371" t="s">
        <v>2270</v>
      </c>
      <c r="E312" s="206"/>
      <c r="F312" s="206" t="s">
        <v>56</v>
      </c>
      <c r="G312" s="206" t="s">
        <v>56</v>
      </c>
      <c r="H312" s="371" t="s">
        <v>2271</v>
      </c>
      <c r="I312" s="206" t="s">
        <v>1429</v>
      </c>
      <c r="J312" s="206" t="s">
        <v>1429</v>
      </c>
      <c r="K312" s="371" t="s">
        <v>2271</v>
      </c>
      <c r="L312" s="206" t="s">
        <v>2148</v>
      </c>
      <c r="M312" s="206" t="s">
        <v>1341</v>
      </c>
      <c r="N312" s="206" t="s">
        <v>49</v>
      </c>
      <c r="O312" s="372">
        <v>45991</v>
      </c>
      <c r="P312" s="372">
        <v>45991</v>
      </c>
      <c r="Q312" s="371" t="s">
        <v>2271</v>
      </c>
      <c r="R312" s="373">
        <v>25110</v>
      </c>
      <c r="S312" s="373">
        <v>25110</v>
      </c>
      <c r="T312" s="371" t="s">
        <v>2271</v>
      </c>
      <c r="U312" s="373">
        <v>10860</v>
      </c>
      <c r="V312" s="373">
        <v>10860</v>
      </c>
      <c r="W312" s="371" t="s">
        <v>2271</v>
      </c>
      <c r="X312" s="373">
        <v>14250</v>
      </c>
      <c r="Y312" s="373">
        <v>14250</v>
      </c>
      <c r="Z312" s="371" t="s">
        <v>2271</v>
      </c>
      <c r="AA312" s="373">
        <v>0</v>
      </c>
      <c r="AB312" s="373">
        <v>14220</v>
      </c>
      <c r="AC312" s="373">
        <v>14220</v>
      </c>
      <c r="AD312" s="371" t="s">
        <v>2271</v>
      </c>
      <c r="AE312" s="373">
        <v>0</v>
      </c>
      <c r="AF312" s="382">
        <v>0.99652777777777801</v>
      </c>
      <c r="AG312" s="382">
        <v>0.99652777777777801</v>
      </c>
      <c r="AH312" s="371" t="s">
        <v>2271</v>
      </c>
      <c r="AI312" s="382">
        <v>0.17013888888888901</v>
      </c>
      <c r="AJ312" s="382">
        <v>0.17013888888888901</v>
      </c>
      <c r="AK312" s="371" t="s">
        <v>2271</v>
      </c>
      <c r="AL312" s="206" t="s">
        <v>137</v>
      </c>
      <c r="AM312" s="206" t="s">
        <v>137</v>
      </c>
      <c r="AN312" s="371" t="s">
        <v>2271</v>
      </c>
      <c r="AO312" s="206" t="s">
        <v>2517</v>
      </c>
      <c r="AP312" s="206" t="s">
        <v>1781</v>
      </c>
      <c r="AQ312" s="206" t="s">
        <v>1132</v>
      </c>
      <c r="AR312" s="207" t="s">
        <v>68</v>
      </c>
    </row>
    <row r="313" spans="1:44" x14ac:dyDescent="0.2">
      <c r="A313" s="370">
        <v>294</v>
      </c>
      <c r="B313" s="380">
        <v>162</v>
      </c>
      <c r="C313" s="371" t="s">
        <v>2337</v>
      </c>
      <c r="D313" s="371" t="s">
        <v>2235</v>
      </c>
      <c r="E313" s="206"/>
      <c r="F313" s="206" t="s">
        <v>153</v>
      </c>
      <c r="G313" s="206" t="s">
        <v>153</v>
      </c>
      <c r="H313" s="371" t="s">
        <v>2271</v>
      </c>
      <c r="I313" s="206"/>
      <c r="J313" s="206" t="s">
        <v>1726</v>
      </c>
      <c r="K313" s="371" t="s">
        <v>2276</v>
      </c>
      <c r="L313" s="206" t="s">
        <v>2221</v>
      </c>
      <c r="M313" s="206" t="s">
        <v>1594</v>
      </c>
      <c r="N313" s="206" t="s">
        <v>49</v>
      </c>
      <c r="O313" s="372" t="s">
        <v>2222</v>
      </c>
      <c r="P313" s="372">
        <v>46140</v>
      </c>
      <c r="Q313" s="371" t="s">
        <v>2276</v>
      </c>
      <c r="R313" s="373">
        <v>13630</v>
      </c>
      <c r="S313" s="373">
        <v>13630</v>
      </c>
      <c r="T313" s="371" t="s">
        <v>2271</v>
      </c>
      <c r="U313" s="373">
        <v>4030</v>
      </c>
      <c r="V313" s="373">
        <v>4030</v>
      </c>
      <c r="W313" s="371" t="s">
        <v>2271</v>
      </c>
      <c r="X313" s="373">
        <v>9600</v>
      </c>
      <c r="Y313" s="373">
        <v>9600</v>
      </c>
      <c r="Z313" s="371" t="s">
        <v>2271</v>
      </c>
      <c r="AA313" s="373">
        <v>0</v>
      </c>
      <c r="AB313" s="373">
        <v>9580</v>
      </c>
      <c r="AC313" s="373">
        <v>9580</v>
      </c>
      <c r="AD313" s="371" t="s">
        <v>2271</v>
      </c>
      <c r="AE313" s="373">
        <v>0</v>
      </c>
      <c r="AF313" s="382">
        <v>0.70902777777777803</v>
      </c>
      <c r="AG313" s="382">
        <v>0.70902777777777803</v>
      </c>
      <c r="AH313" s="371" t="s">
        <v>2271</v>
      </c>
      <c r="AI313" s="382">
        <v>0.74722222222222201</v>
      </c>
      <c r="AJ313" s="382">
        <v>0.74722222222222201</v>
      </c>
      <c r="AK313" s="371" t="s">
        <v>2271</v>
      </c>
      <c r="AL313" s="206" t="s">
        <v>1221</v>
      </c>
      <c r="AM313" s="206" t="s">
        <v>1221</v>
      </c>
      <c r="AN313" s="371" t="s">
        <v>2271</v>
      </c>
      <c r="AO313" s="206" t="s">
        <v>2517</v>
      </c>
      <c r="AP313" s="206"/>
      <c r="AQ313" s="206" t="s">
        <v>1131</v>
      </c>
      <c r="AR313" s="207" t="s">
        <v>68</v>
      </c>
    </row>
    <row r="314" spans="1:44" x14ac:dyDescent="0.2">
      <c r="A314" s="370">
        <v>295</v>
      </c>
      <c r="B314" s="380">
        <v>163</v>
      </c>
      <c r="C314" s="371" t="s">
        <v>2269</v>
      </c>
      <c r="D314" s="371" t="s">
        <v>2270</v>
      </c>
      <c r="E314" s="206"/>
      <c r="F314" s="206" t="s">
        <v>84</v>
      </c>
      <c r="G314" s="206" t="s">
        <v>84</v>
      </c>
      <c r="H314" s="371" t="s">
        <v>2271</v>
      </c>
      <c r="I314" s="206" t="s">
        <v>1429</v>
      </c>
      <c r="J314" s="206" t="s">
        <v>1429</v>
      </c>
      <c r="K314" s="371" t="s">
        <v>2271</v>
      </c>
      <c r="L314" s="206" t="s">
        <v>2148</v>
      </c>
      <c r="M314" s="206" t="s">
        <v>1341</v>
      </c>
      <c r="N314" s="206" t="s">
        <v>49</v>
      </c>
      <c r="O314" s="372">
        <v>45991</v>
      </c>
      <c r="P314" s="372">
        <v>45991</v>
      </c>
      <c r="Q314" s="371" t="s">
        <v>2271</v>
      </c>
      <c r="R314" s="373">
        <v>26700</v>
      </c>
      <c r="S314" s="373">
        <v>26700</v>
      </c>
      <c r="T314" s="371" t="s">
        <v>2271</v>
      </c>
      <c r="U314" s="373">
        <v>12190</v>
      </c>
      <c r="V314" s="373">
        <v>12190</v>
      </c>
      <c r="W314" s="371" t="s">
        <v>2271</v>
      </c>
      <c r="X314" s="373">
        <v>14510</v>
      </c>
      <c r="Y314" s="373">
        <v>14510</v>
      </c>
      <c r="Z314" s="371" t="s">
        <v>2271</v>
      </c>
      <c r="AA314" s="373">
        <v>0</v>
      </c>
      <c r="AB314" s="373">
        <v>14490</v>
      </c>
      <c r="AC314" s="373">
        <v>14490</v>
      </c>
      <c r="AD314" s="371" t="s">
        <v>2271</v>
      </c>
      <c r="AE314" s="373">
        <v>0</v>
      </c>
      <c r="AF314" s="382">
        <v>0.99861111111111101</v>
      </c>
      <c r="AG314" s="382">
        <v>0.99861111111111101</v>
      </c>
      <c r="AH314" s="371" t="s">
        <v>2271</v>
      </c>
      <c r="AI314" s="382">
        <v>9.5138888888888898E-2</v>
      </c>
      <c r="AJ314" s="382">
        <v>9.5138888888888898E-2</v>
      </c>
      <c r="AK314" s="371" t="s">
        <v>2271</v>
      </c>
      <c r="AL314" s="206" t="s">
        <v>137</v>
      </c>
      <c r="AM314" s="206" t="s">
        <v>137</v>
      </c>
      <c r="AN314" s="371" t="s">
        <v>2271</v>
      </c>
      <c r="AO314" s="206" t="s">
        <v>2518</v>
      </c>
      <c r="AP314" s="206" t="s">
        <v>1782</v>
      </c>
      <c r="AQ314" s="206" t="s">
        <v>1132</v>
      </c>
      <c r="AR314" s="207" t="s">
        <v>68</v>
      </c>
    </row>
    <row r="315" spans="1:44" x14ac:dyDescent="0.2">
      <c r="A315" s="370">
        <v>296</v>
      </c>
      <c r="B315" s="380">
        <v>163</v>
      </c>
      <c r="C315" s="371" t="s">
        <v>2337</v>
      </c>
      <c r="D315" s="371" t="s">
        <v>2235</v>
      </c>
      <c r="E315" s="206"/>
      <c r="F315" s="206" t="s">
        <v>163</v>
      </c>
      <c r="G315" s="206" t="s">
        <v>163</v>
      </c>
      <c r="H315" s="371" t="s">
        <v>2271</v>
      </c>
      <c r="I315" s="206"/>
      <c r="J315" s="206" t="s">
        <v>1726</v>
      </c>
      <c r="K315" s="371" t="s">
        <v>2276</v>
      </c>
      <c r="L315" s="206" t="s">
        <v>2221</v>
      </c>
      <c r="M315" s="206" t="s">
        <v>1594</v>
      </c>
      <c r="N315" s="206" t="s">
        <v>49</v>
      </c>
      <c r="O315" s="372" t="s">
        <v>2222</v>
      </c>
      <c r="P315" s="372">
        <v>46140</v>
      </c>
      <c r="Q315" s="371" t="s">
        <v>2276</v>
      </c>
      <c r="R315" s="373">
        <v>13980</v>
      </c>
      <c r="S315" s="373">
        <v>13980</v>
      </c>
      <c r="T315" s="371" t="s">
        <v>2271</v>
      </c>
      <c r="U315" s="373">
        <v>3910</v>
      </c>
      <c r="V315" s="373">
        <v>3910</v>
      </c>
      <c r="W315" s="371" t="s">
        <v>2271</v>
      </c>
      <c r="X315" s="373">
        <v>10070</v>
      </c>
      <c r="Y315" s="373">
        <v>10070</v>
      </c>
      <c r="Z315" s="371" t="s">
        <v>2271</v>
      </c>
      <c r="AA315" s="373">
        <v>0</v>
      </c>
      <c r="AB315" s="373">
        <v>10060</v>
      </c>
      <c r="AC315" s="373">
        <v>10060</v>
      </c>
      <c r="AD315" s="371" t="s">
        <v>2271</v>
      </c>
      <c r="AE315" s="373">
        <v>0</v>
      </c>
      <c r="AF315" s="382">
        <v>0.73124999999999996</v>
      </c>
      <c r="AG315" s="382">
        <v>0.73124999999999996</v>
      </c>
      <c r="AH315" s="371" t="s">
        <v>2271</v>
      </c>
      <c r="AI315" s="382">
        <v>0.75</v>
      </c>
      <c r="AJ315" s="382">
        <v>0.75</v>
      </c>
      <c r="AK315" s="371" t="s">
        <v>2271</v>
      </c>
      <c r="AL315" s="206" t="s">
        <v>1221</v>
      </c>
      <c r="AM315" s="206" t="s">
        <v>1221</v>
      </c>
      <c r="AN315" s="371" t="s">
        <v>2271</v>
      </c>
      <c r="AO315" s="206" t="s">
        <v>2518</v>
      </c>
      <c r="AP315" s="206"/>
      <c r="AQ315" s="206" t="s">
        <v>1131</v>
      </c>
      <c r="AR315" s="207" t="s">
        <v>68</v>
      </c>
    </row>
    <row r="316" spans="1:44" x14ac:dyDescent="0.2">
      <c r="A316" s="370">
        <v>297</v>
      </c>
      <c r="B316" s="380">
        <v>164</v>
      </c>
      <c r="C316" s="371" t="s">
        <v>2269</v>
      </c>
      <c r="D316" s="371" t="s">
        <v>2270</v>
      </c>
      <c r="E316" s="206"/>
      <c r="F316" s="206" t="s">
        <v>76</v>
      </c>
      <c r="G316" s="206" t="s">
        <v>76</v>
      </c>
      <c r="H316" s="371" t="s">
        <v>2271</v>
      </c>
      <c r="I316" s="206" t="s">
        <v>1450</v>
      </c>
      <c r="J316" s="206" t="s">
        <v>1450</v>
      </c>
      <c r="K316" s="371" t="s">
        <v>2271</v>
      </c>
      <c r="L316" s="206" t="s">
        <v>2147</v>
      </c>
      <c r="M316" s="206" t="s">
        <v>1342</v>
      </c>
      <c r="N316" s="206" t="s">
        <v>59</v>
      </c>
      <c r="O316" s="372">
        <v>45991</v>
      </c>
      <c r="P316" s="372">
        <v>45991</v>
      </c>
      <c r="Q316" s="371" t="s">
        <v>2271</v>
      </c>
      <c r="R316" s="373">
        <v>39830</v>
      </c>
      <c r="S316" s="373">
        <v>39830</v>
      </c>
      <c r="T316" s="371" t="s">
        <v>2271</v>
      </c>
      <c r="U316" s="373">
        <v>17670</v>
      </c>
      <c r="V316" s="373">
        <v>17670</v>
      </c>
      <c r="W316" s="371" t="s">
        <v>2271</v>
      </c>
      <c r="X316" s="373">
        <v>22160</v>
      </c>
      <c r="Y316" s="373">
        <v>22160</v>
      </c>
      <c r="Z316" s="371" t="s">
        <v>2271</v>
      </c>
      <c r="AA316" s="373">
        <v>0</v>
      </c>
      <c r="AB316" s="373">
        <v>22240</v>
      </c>
      <c r="AC316" s="373">
        <v>22240</v>
      </c>
      <c r="AD316" s="371" t="s">
        <v>2271</v>
      </c>
      <c r="AE316" s="373">
        <v>0</v>
      </c>
      <c r="AF316" s="382">
        <v>0.16736111111111099</v>
      </c>
      <c r="AG316" s="382">
        <v>0.16736111111111099</v>
      </c>
      <c r="AH316" s="371" t="s">
        <v>2271</v>
      </c>
      <c r="AI316" s="382">
        <v>0.20624999999999999</v>
      </c>
      <c r="AJ316" s="382">
        <v>0.20624999999999999</v>
      </c>
      <c r="AK316" s="371" t="s">
        <v>2271</v>
      </c>
      <c r="AL316" s="206" t="s">
        <v>137</v>
      </c>
      <c r="AM316" s="206" t="s">
        <v>137</v>
      </c>
      <c r="AN316" s="371" t="s">
        <v>2271</v>
      </c>
      <c r="AO316" s="206" t="s">
        <v>2519</v>
      </c>
      <c r="AP316" s="206" t="s">
        <v>1372</v>
      </c>
      <c r="AQ316" s="206" t="s">
        <v>1133</v>
      </c>
      <c r="AR316" s="207" t="s">
        <v>75</v>
      </c>
    </row>
    <row r="317" spans="1:44" x14ac:dyDescent="0.2">
      <c r="A317" s="370">
        <v>298</v>
      </c>
      <c r="B317" s="380">
        <v>164</v>
      </c>
      <c r="C317" s="371" t="s">
        <v>2337</v>
      </c>
      <c r="D317" s="371" t="s">
        <v>2235</v>
      </c>
      <c r="E317" s="206"/>
      <c r="F317" s="206" t="s">
        <v>1276</v>
      </c>
      <c r="G317" s="206" t="s">
        <v>1276</v>
      </c>
      <c r="H317" s="371" t="s">
        <v>2271</v>
      </c>
      <c r="I317" s="206"/>
      <c r="J317" s="206" t="s">
        <v>1726</v>
      </c>
      <c r="K317" s="371" t="s">
        <v>2276</v>
      </c>
      <c r="L317" s="206" t="s">
        <v>2221</v>
      </c>
      <c r="M317" s="206" t="s">
        <v>1594</v>
      </c>
      <c r="N317" s="206" t="s">
        <v>49</v>
      </c>
      <c r="O317" s="372" t="s">
        <v>2222</v>
      </c>
      <c r="P317" s="372">
        <v>46140</v>
      </c>
      <c r="Q317" s="371" t="s">
        <v>2276</v>
      </c>
      <c r="R317" s="373">
        <v>13930</v>
      </c>
      <c r="S317" s="373">
        <v>13930</v>
      </c>
      <c r="T317" s="371" t="s">
        <v>2271</v>
      </c>
      <c r="U317" s="373">
        <v>4000</v>
      </c>
      <c r="V317" s="373">
        <v>4000</v>
      </c>
      <c r="W317" s="371" t="s">
        <v>2271</v>
      </c>
      <c r="X317" s="373">
        <v>9930</v>
      </c>
      <c r="Y317" s="373">
        <v>9930</v>
      </c>
      <c r="Z317" s="371" t="s">
        <v>2271</v>
      </c>
      <c r="AA317" s="373">
        <v>0</v>
      </c>
      <c r="AB317" s="373">
        <v>9960</v>
      </c>
      <c r="AC317" s="373">
        <v>9960</v>
      </c>
      <c r="AD317" s="371" t="s">
        <v>2271</v>
      </c>
      <c r="AE317" s="373">
        <v>0</v>
      </c>
      <c r="AF317" s="382">
        <v>0.75138888888888899</v>
      </c>
      <c r="AG317" s="382">
        <v>0.75138888888888899</v>
      </c>
      <c r="AH317" s="371" t="s">
        <v>2271</v>
      </c>
      <c r="AI317" s="382">
        <v>0.77361111111111103</v>
      </c>
      <c r="AJ317" s="382">
        <v>0.77361111111111103</v>
      </c>
      <c r="AK317" s="371" t="s">
        <v>2271</v>
      </c>
      <c r="AL317" s="206" t="s">
        <v>1221</v>
      </c>
      <c r="AM317" s="206" t="s">
        <v>1221</v>
      </c>
      <c r="AN317" s="371" t="s">
        <v>2271</v>
      </c>
      <c r="AO317" s="206" t="s">
        <v>2520</v>
      </c>
      <c r="AP317" s="206"/>
      <c r="AQ317" s="206" t="s">
        <v>1131</v>
      </c>
      <c r="AR317" s="207" t="s">
        <v>68</v>
      </c>
    </row>
    <row r="318" spans="1:44" x14ac:dyDescent="0.2">
      <c r="A318" s="370">
        <v>299</v>
      </c>
      <c r="B318" s="380">
        <v>165</v>
      </c>
      <c r="C318" s="371" t="s">
        <v>2269</v>
      </c>
      <c r="D318" s="371" t="s">
        <v>2270</v>
      </c>
      <c r="E318" s="206"/>
      <c r="F318" s="206" t="s">
        <v>76</v>
      </c>
      <c r="G318" s="206" t="s">
        <v>76</v>
      </c>
      <c r="H318" s="371" t="s">
        <v>2271</v>
      </c>
      <c r="I318" s="206" t="s">
        <v>1429</v>
      </c>
      <c r="J318" s="206" t="s">
        <v>1429</v>
      </c>
      <c r="K318" s="371" t="s">
        <v>2271</v>
      </c>
      <c r="L318" s="206" t="s">
        <v>2148</v>
      </c>
      <c r="M318" s="206" t="s">
        <v>1341</v>
      </c>
      <c r="N318" s="206" t="s">
        <v>49</v>
      </c>
      <c r="O318" s="372">
        <v>45991</v>
      </c>
      <c r="P318" s="372">
        <v>45991</v>
      </c>
      <c r="Q318" s="371" t="s">
        <v>2271</v>
      </c>
      <c r="R318" s="373">
        <v>45940</v>
      </c>
      <c r="S318" s="373">
        <v>45940</v>
      </c>
      <c r="T318" s="371" t="s">
        <v>2271</v>
      </c>
      <c r="U318" s="373">
        <v>17680</v>
      </c>
      <c r="V318" s="373">
        <v>17680</v>
      </c>
      <c r="W318" s="371" t="s">
        <v>2271</v>
      </c>
      <c r="X318" s="373">
        <v>28260</v>
      </c>
      <c r="Y318" s="373">
        <v>28260</v>
      </c>
      <c r="Z318" s="371" t="s">
        <v>2271</v>
      </c>
      <c r="AA318" s="373">
        <v>0</v>
      </c>
      <c r="AB318" s="373">
        <v>28230</v>
      </c>
      <c r="AC318" s="373">
        <v>28230</v>
      </c>
      <c r="AD318" s="371" t="s">
        <v>2271</v>
      </c>
      <c r="AE318" s="373">
        <v>0</v>
      </c>
      <c r="AF318" s="382">
        <v>0.44513888888888897</v>
      </c>
      <c r="AG318" s="382">
        <v>0.44513888888888897</v>
      </c>
      <c r="AH318" s="371" t="s">
        <v>2271</v>
      </c>
      <c r="AI318" s="382">
        <v>0.62083333333333302</v>
      </c>
      <c r="AJ318" s="382">
        <v>0.62083333333333302</v>
      </c>
      <c r="AK318" s="371" t="s">
        <v>2271</v>
      </c>
      <c r="AL318" s="206" t="s">
        <v>42</v>
      </c>
      <c r="AM318" s="206" t="s">
        <v>42</v>
      </c>
      <c r="AN318" s="371" t="s">
        <v>2271</v>
      </c>
      <c r="AO318" s="206" t="s">
        <v>2521</v>
      </c>
      <c r="AP318" s="206" t="s">
        <v>1372</v>
      </c>
      <c r="AQ318" s="206" t="s">
        <v>1133</v>
      </c>
      <c r="AR318" s="207" t="s">
        <v>68</v>
      </c>
    </row>
    <row r="319" spans="1:44" x14ac:dyDescent="0.2">
      <c r="A319" s="370">
        <v>300</v>
      </c>
      <c r="B319" s="380">
        <v>165</v>
      </c>
      <c r="C319" s="371" t="s">
        <v>2337</v>
      </c>
      <c r="D319" s="371" t="s">
        <v>2235</v>
      </c>
      <c r="E319" s="206"/>
      <c r="F319" s="206" t="s">
        <v>1268</v>
      </c>
      <c r="G319" s="206" t="s">
        <v>1268</v>
      </c>
      <c r="H319" s="371" t="s">
        <v>2271</v>
      </c>
      <c r="I319" s="206"/>
      <c r="J319" s="206" t="s">
        <v>1726</v>
      </c>
      <c r="K319" s="371" t="s">
        <v>2276</v>
      </c>
      <c r="L319" s="206" t="s">
        <v>2221</v>
      </c>
      <c r="M319" s="206" t="s">
        <v>1594</v>
      </c>
      <c r="N319" s="206" t="s">
        <v>49</v>
      </c>
      <c r="O319" s="372" t="s">
        <v>2222</v>
      </c>
      <c r="P319" s="372">
        <v>46140</v>
      </c>
      <c r="Q319" s="371" t="s">
        <v>2276</v>
      </c>
      <c r="R319" s="373">
        <v>13600</v>
      </c>
      <c r="S319" s="373">
        <v>13600</v>
      </c>
      <c r="T319" s="371" t="s">
        <v>2271</v>
      </c>
      <c r="U319" s="373">
        <v>3960</v>
      </c>
      <c r="V319" s="373">
        <v>3960</v>
      </c>
      <c r="W319" s="371" t="s">
        <v>2271</v>
      </c>
      <c r="X319" s="373">
        <v>9640</v>
      </c>
      <c r="Y319" s="373">
        <v>9640</v>
      </c>
      <c r="Z319" s="371" t="s">
        <v>2271</v>
      </c>
      <c r="AA319" s="373">
        <v>0</v>
      </c>
      <c r="AB319" s="373">
        <v>9660</v>
      </c>
      <c r="AC319" s="373">
        <v>9660</v>
      </c>
      <c r="AD319" s="371" t="s">
        <v>2271</v>
      </c>
      <c r="AE319" s="373">
        <v>0</v>
      </c>
      <c r="AF319" s="382">
        <v>0.75277777777777799</v>
      </c>
      <c r="AG319" s="382">
        <v>0.75277777777777799</v>
      </c>
      <c r="AH319" s="371" t="s">
        <v>2271</v>
      </c>
      <c r="AI319" s="382">
        <v>0.77152777777777803</v>
      </c>
      <c r="AJ319" s="382">
        <v>0.77152777777777803</v>
      </c>
      <c r="AK319" s="371" t="s">
        <v>2271</v>
      </c>
      <c r="AL319" s="206" t="s">
        <v>1221</v>
      </c>
      <c r="AM319" s="206" t="s">
        <v>1221</v>
      </c>
      <c r="AN319" s="371" t="s">
        <v>2271</v>
      </c>
      <c r="AO319" s="206" t="s">
        <v>2521</v>
      </c>
      <c r="AP319" s="206"/>
      <c r="AQ319" s="206" t="s">
        <v>1131</v>
      </c>
      <c r="AR319" s="207" t="s">
        <v>68</v>
      </c>
    </row>
    <row r="320" spans="1:44" x14ac:dyDescent="0.2">
      <c r="A320" s="370">
        <v>301</v>
      </c>
      <c r="B320" s="380">
        <v>166</v>
      </c>
      <c r="C320" s="371" t="s">
        <v>2269</v>
      </c>
      <c r="D320" s="371" t="s">
        <v>2270</v>
      </c>
      <c r="E320" s="206"/>
      <c r="F320" s="206" t="s">
        <v>84</v>
      </c>
      <c r="G320" s="206" t="s">
        <v>84</v>
      </c>
      <c r="H320" s="371" t="s">
        <v>2271</v>
      </c>
      <c r="I320" s="206" t="s">
        <v>1429</v>
      </c>
      <c r="J320" s="206" t="s">
        <v>1429</v>
      </c>
      <c r="K320" s="371" t="s">
        <v>2271</v>
      </c>
      <c r="L320" s="206" t="s">
        <v>2148</v>
      </c>
      <c r="M320" s="206" t="s">
        <v>1341</v>
      </c>
      <c r="N320" s="206" t="s">
        <v>49</v>
      </c>
      <c r="O320" s="372">
        <v>45991</v>
      </c>
      <c r="P320" s="372">
        <v>45991</v>
      </c>
      <c r="Q320" s="371" t="s">
        <v>2271</v>
      </c>
      <c r="R320" s="373">
        <v>26640</v>
      </c>
      <c r="S320" s="373">
        <v>26640</v>
      </c>
      <c r="T320" s="371" t="s">
        <v>2271</v>
      </c>
      <c r="U320" s="373">
        <v>12120</v>
      </c>
      <c r="V320" s="373">
        <v>12120</v>
      </c>
      <c r="W320" s="371" t="s">
        <v>2271</v>
      </c>
      <c r="X320" s="373">
        <v>14520</v>
      </c>
      <c r="Y320" s="373">
        <v>14520</v>
      </c>
      <c r="Z320" s="371" t="s">
        <v>2271</v>
      </c>
      <c r="AA320" s="373">
        <v>0</v>
      </c>
      <c r="AB320" s="373">
        <v>14460</v>
      </c>
      <c r="AC320" s="373">
        <v>14460</v>
      </c>
      <c r="AD320" s="371" t="s">
        <v>2271</v>
      </c>
      <c r="AE320" s="373">
        <v>0</v>
      </c>
      <c r="AF320" s="382">
        <v>0.452777777777778</v>
      </c>
      <c r="AG320" s="382">
        <v>0.452777777777778</v>
      </c>
      <c r="AH320" s="371" t="s">
        <v>2271</v>
      </c>
      <c r="AI320" s="382">
        <v>0.56597222222222199</v>
      </c>
      <c r="AJ320" s="382">
        <v>0.56597222222222199</v>
      </c>
      <c r="AK320" s="371" t="s">
        <v>2271</v>
      </c>
      <c r="AL320" s="206" t="s">
        <v>42</v>
      </c>
      <c r="AM320" s="206" t="s">
        <v>42</v>
      </c>
      <c r="AN320" s="371" t="s">
        <v>2271</v>
      </c>
      <c r="AO320" s="206" t="s">
        <v>2522</v>
      </c>
      <c r="AP320" s="206" t="s">
        <v>1782</v>
      </c>
      <c r="AQ320" s="206" t="s">
        <v>1132</v>
      </c>
      <c r="AR320" s="207" t="s">
        <v>68</v>
      </c>
    </row>
    <row r="321" spans="1:44" x14ac:dyDescent="0.2">
      <c r="A321" s="370">
        <v>302</v>
      </c>
      <c r="B321" s="380">
        <v>166</v>
      </c>
      <c r="C321" s="371" t="s">
        <v>2337</v>
      </c>
      <c r="D321" s="371" t="s">
        <v>2235</v>
      </c>
      <c r="E321" s="206"/>
      <c r="F321" s="206" t="s">
        <v>158</v>
      </c>
      <c r="G321" s="206" t="s">
        <v>158</v>
      </c>
      <c r="H321" s="371" t="s">
        <v>2271</v>
      </c>
      <c r="I321" s="206"/>
      <c r="J321" s="206" t="s">
        <v>1726</v>
      </c>
      <c r="K321" s="371" t="s">
        <v>2276</v>
      </c>
      <c r="L321" s="206" t="s">
        <v>2221</v>
      </c>
      <c r="M321" s="206" t="s">
        <v>1594</v>
      </c>
      <c r="N321" s="206" t="s">
        <v>49</v>
      </c>
      <c r="O321" s="372" t="s">
        <v>2222</v>
      </c>
      <c r="P321" s="372">
        <v>46140</v>
      </c>
      <c r="Q321" s="371" t="s">
        <v>2276</v>
      </c>
      <c r="R321" s="373">
        <v>13830</v>
      </c>
      <c r="S321" s="373">
        <v>13830</v>
      </c>
      <c r="T321" s="371" t="s">
        <v>2271</v>
      </c>
      <c r="U321" s="373">
        <v>3860</v>
      </c>
      <c r="V321" s="373">
        <v>3860</v>
      </c>
      <c r="W321" s="371" t="s">
        <v>2271</v>
      </c>
      <c r="X321" s="373">
        <v>9970</v>
      </c>
      <c r="Y321" s="373">
        <v>9970</v>
      </c>
      <c r="Z321" s="371" t="s">
        <v>2271</v>
      </c>
      <c r="AA321" s="373">
        <v>0</v>
      </c>
      <c r="AB321" s="373">
        <v>10020</v>
      </c>
      <c r="AC321" s="373">
        <v>10020</v>
      </c>
      <c r="AD321" s="371" t="s">
        <v>2271</v>
      </c>
      <c r="AE321" s="373">
        <v>0</v>
      </c>
      <c r="AF321" s="382">
        <v>0.75763888888888897</v>
      </c>
      <c r="AG321" s="382">
        <v>0.75763888888888897</v>
      </c>
      <c r="AH321" s="371" t="s">
        <v>2271</v>
      </c>
      <c r="AI321" s="382">
        <v>0.780555555555556</v>
      </c>
      <c r="AJ321" s="382">
        <v>0.780555555555556</v>
      </c>
      <c r="AK321" s="371" t="s">
        <v>2271</v>
      </c>
      <c r="AL321" s="206" t="s">
        <v>1221</v>
      </c>
      <c r="AM321" s="206" t="s">
        <v>1221</v>
      </c>
      <c r="AN321" s="371" t="s">
        <v>2271</v>
      </c>
      <c r="AO321" s="206" t="s">
        <v>2522</v>
      </c>
      <c r="AP321" s="206"/>
      <c r="AQ321" s="206" t="s">
        <v>1131</v>
      </c>
      <c r="AR321" s="207" t="s">
        <v>68</v>
      </c>
    </row>
    <row r="322" spans="1:44" x14ac:dyDescent="0.2">
      <c r="A322" s="370">
        <v>303</v>
      </c>
      <c r="B322" s="380">
        <v>167</v>
      </c>
      <c r="C322" s="371" t="s">
        <v>2269</v>
      </c>
      <c r="D322" s="371" t="s">
        <v>2270</v>
      </c>
      <c r="E322" s="206"/>
      <c r="F322" s="206" t="s">
        <v>46</v>
      </c>
      <c r="G322" s="206" t="s">
        <v>46</v>
      </c>
      <c r="H322" s="371" t="s">
        <v>2271</v>
      </c>
      <c r="I322" s="206" t="s">
        <v>1429</v>
      </c>
      <c r="J322" s="206" t="s">
        <v>1429</v>
      </c>
      <c r="K322" s="371" t="s">
        <v>2271</v>
      </c>
      <c r="L322" s="206" t="s">
        <v>2148</v>
      </c>
      <c r="M322" s="206" t="s">
        <v>1341</v>
      </c>
      <c r="N322" s="206" t="s">
        <v>49</v>
      </c>
      <c r="O322" s="372">
        <v>45991</v>
      </c>
      <c r="P322" s="372">
        <v>45991</v>
      </c>
      <c r="Q322" s="371" t="s">
        <v>2271</v>
      </c>
      <c r="R322" s="373">
        <v>26600</v>
      </c>
      <c r="S322" s="373">
        <v>26600</v>
      </c>
      <c r="T322" s="371" t="s">
        <v>2271</v>
      </c>
      <c r="U322" s="373">
        <v>11780</v>
      </c>
      <c r="V322" s="373">
        <v>11780</v>
      </c>
      <c r="W322" s="371" t="s">
        <v>2271</v>
      </c>
      <c r="X322" s="373">
        <v>14820</v>
      </c>
      <c r="Y322" s="373">
        <v>14820</v>
      </c>
      <c r="Z322" s="371" t="s">
        <v>2271</v>
      </c>
      <c r="AA322" s="373">
        <v>0</v>
      </c>
      <c r="AB322" s="373">
        <v>14790</v>
      </c>
      <c r="AC322" s="373">
        <v>14790</v>
      </c>
      <c r="AD322" s="371" t="s">
        <v>2271</v>
      </c>
      <c r="AE322" s="373">
        <v>0</v>
      </c>
      <c r="AF322" s="382">
        <v>0.46041666666666697</v>
      </c>
      <c r="AG322" s="382">
        <v>0.46041666666666697</v>
      </c>
      <c r="AH322" s="371" t="s">
        <v>2271</v>
      </c>
      <c r="AI322" s="382">
        <v>0.56388888888888899</v>
      </c>
      <c r="AJ322" s="382">
        <v>0.56388888888888899</v>
      </c>
      <c r="AK322" s="371" t="s">
        <v>2271</v>
      </c>
      <c r="AL322" s="206" t="s">
        <v>42</v>
      </c>
      <c r="AM322" s="206" t="s">
        <v>42</v>
      </c>
      <c r="AN322" s="371" t="s">
        <v>2271</v>
      </c>
      <c r="AO322" s="206" t="s">
        <v>2523</v>
      </c>
      <c r="AP322" s="206" t="s">
        <v>1393</v>
      </c>
      <c r="AQ322" s="206" t="s">
        <v>1132</v>
      </c>
      <c r="AR322" s="207" t="s">
        <v>68</v>
      </c>
    </row>
    <row r="323" spans="1:44" x14ac:dyDescent="0.2">
      <c r="A323" s="370">
        <v>304</v>
      </c>
      <c r="B323" s="380">
        <v>167</v>
      </c>
      <c r="C323" s="371" t="s">
        <v>2337</v>
      </c>
      <c r="D323" s="371" t="s">
        <v>2235</v>
      </c>
      <c r="E323" s="206"/>
      <c r="F323" s="206" t="s">
        <v>1047</v>
      </c>
      <c r="G323" s="206" t="s">
        <v>1047</v>
      </c>
      <c r="H323" s="371" t="s">
        <v>2271</v>
      </c>
      <c r="I323" s="206"/>
      <c r="J323" s="206" t="s">
        <v>1726</v>
      </c>
      <c r="K323" s="371" t="s">
        <v>2276</v>
      </c>
      <c r="L323" s="206" t="s">
        <v>2221</v>
      </c>
      <c r="M323" s="206" t="s">
        <v>1594</v>
      </c>
      <c r="N323" s="206" t="s">
        <v>49</v>
      </c>
      <c r="O323" s="372" t="s">
        <v>2222</v>
      </c>
      <c r="P323" s="372">
        <v>46140</v>
      </c>
      <c r="Q323" s="371" t="s">
        <v>2276</v>
      </c>
      <c r="R323" s="373">
        <v>13620</v>
      </c>
      <c r="S323" s="373">
        <v>13620</v>
      </c>
      <c r="T323" s="371" t="s">
        <v>2271</v>
      </c>
      <c r="U323" s="373">
        <v>4010</v>
      </c>
      <c r="V323" s="373">
        <v>4010</v>
      </c>
      <c r="W323" s="371" t="s">
        <v>2271</v>
      </c>
      <c r="X323" s="373">
        <v>9610</v>
      </c>
      <c r="Y323" s="373">
        <v>9610</v>
      </c>
      <c r="Z323" s="371" t="s">
        <v>2271</v>
      </c>
      <c r="AA323" s="373">
        <v>0</v>
      </c>
      <c r="AB323" s="373">
        <v>9600</v>
      </c>
      <c r="AC323" s="373">
        <v>9600</v>
      </c>
      <c r="AD323" s="371" t="s">
        <v>2271</v>
      </c>
      <c r="AE323" s="373">
        <v>0</v>
      </c>
      <c r="AF323" s="382">
        <v>0.84236111111111101</v>
      </c>
      <c r="AG323" s="382">
        <v>0.84236111111111101</v>
      </c>
      <c r="AH323" s="371" t="s">
        <v>2271</v>
      </c>
      <c r="AI323" s="382">
        <v>0.86388888888888904</v>
      </c>
      <c r="AJ323" s="382">
        <v>0.86388888888888904</v>
      </c>
      <c r="AK323" s="371" t="s">
        <v>2271</v>
      </c>
      <c r="AL323" s="206" t="s">
        <v>1221</v>
      </c>
      <c r="AM323" s="206" t="s">
        <v>1221</v>
      </c>
      <c r="AN323" s="371" t="s">
        <v>2271</v>
      </c>
      <c r="AO323" s="206" t="s">
        <v>2523</v>
      </c>
      <c r="AP323" s="206"/>
      <c r="AQ323" s="206" t="s">
        <v>1131</v>
      </c>
      <c r="AR323" s="207" t="s">
        <v>68</v>
      </c>
    </row>
    <row r="324" spans="1:44" x14ac:dyDescent="0.2">
      <c r="A324" s="370">
        <v>305</v>
      </c>
      <c r="B324" s="380">
        <v>168</v>
      </c>
      <c r="C324" s="371" t="s">
        <v>2269</v>
      </c>
      <c r="D324" s="371" t="s">
        <v>2270</v>
      </c>
      <c r="E324" s="206"/>
      <c r="F324" s="206" t="s">
        <v>56</v>
      </c>
      <c r="G324" s="206" t="s">
        <v>56</v>
      </c>
      <c r="H324" s="371" t="s">
        <v>2271</v>
      </c>
      <c r="I324" s="206" t="s">
        <v>1429</v>
      </c>
      <c r="J324" s="206" t="s">
        <v>1429</v>
      </c>
      <c r="K324" s="371" t="s">
        <v>2271</v>
      </c>
      <c r="L324" s="206" t="s">
        <v>2148</v>
      </c>
      <c r="M324" s="206" t="s">
        <v>1341</v>
      </c>
      <c r="N324" s="206" t="s">
        <v>49</v>
      </c>
      <c r="O324" s="372">
        <v>45991</v>
      </c>
      <c r="P324" s="372">
        <v>45991</v>
      </c>
      <c r="Q324" s="371" t="s">
        <v>2271</v>
      </c>
      <c r="R324" s="373">
        <v>25070</v>
      </c>
      <c r="S324" s="373">
        <v>25070</v>
      </c>
      <c r="T324" s="371" t="s">
        <v>2271</v>
      </c>
      <c r="U324" s="373">
        <v>10820</v>
      </c>
      <c r="V324" s="373">
        <v>10820</v>
      </c>
      <c r="W324" s="371" t="s">
        <v>2271</v>
      </c>
      <c r="X324" s="373">
        <v>14250</v>
      </c>
      <c r="Y324" s="373">
        <v>14250</v>
      </c>
      <c r="Z324" s="371" t="s">
        <v>2271</v>
      </c>
      <c r="AA324" s="373">
        <v>0</v>
      </c>
      <c r="AB324" s="373">
        <v>14220</v>
      </c>
      <c r="AC324" s="373">
        <v>14220</v>
      </c>
      <c r="AD324" s="371" t="s">
        <v>2271</v>
      </c>
      <c r="AE324" s="373">
        <v>0</v>
      </c>
      <c r="AF324" s="382">
        <v>0.47430555555555598</v>
      </c>
      <c r="AG324" s="382">
        <v>0.47430555555555598</v>
      </c>
      <c r="AH324" s="371" t="s">
        <v>2271</v>
      </c>
      <c r="AI324" s="382">
        <v>0.56458333333333299</v>
      </c>
      <c r="AJ324" s="382">
        <v>0.56458333333333299</v>
      </c>
      <c r="AK324" s="371" t="s">
        <v>2271</v>
      </c>
      <c r="AL324" s="206" t="s">
        <v>42</v>
      </c>
      <c r="AM324" s="206" t="s">
        <v>42</v>
      </c>
      <c r="AN324" s="371" t="s">
        <v>2271</v>
      </c>
      <c r="AO324" s="206" t="s">
        <v>2524</v>
      </c>
      <c r="AP324" s="206" t="s">
        <v>1781</v>
      </c>
      <c r="AQ324" s="206" t="s">
        <v>1132</v>
      </c>
      <c r="AR324" s="207" t="s">
        <v>68</v>
      </c>
    </row>
    <row r="325" spans="1:44" x14ac:dyDescent="0.2">
      <c r="A325" s="370">
        <v>306</v>
      </c>
      <c r="B325" s="380">
        <v>168</v>
      </c>
      <c r="C325" s="371" t="s">
        <v>2337</v>
      </c>
      <c r="D325" s="371" t="s">
        <v>2235</v>
      </c>
      <c r="E325" s="206"/>
      <c r="F325" s="206" t="s">
        <v>149</v>
      </c>
      <c r="G325" s="206" t="s">
        <v>149</v>
      </c>
      <c r="H325" s="371" t="s">
        <v>2271</v>
      </c>
      <c r="I325" s="206"/>
      <c r="J325" s="206" t="s">
        <v>1726</v>
      </c>
      <c r="K325" s="371" t="s">
        <v>2276</v>
      </c>
      <c r="L325" s="206" t="s">
        <v>2221</v>
      </c>
      <c r="M325" s="206" t="s">
        <v>1594</v>
      </c>
      <c r="N325" s="206" t="s">
        <v>49</v>
      </c>
      <c r="O325" s="372" t="s">
        <v>2222</v>
      </c>
      <c r="P325" s="372">
        <v>46140</v>
      </c>
      <c r="Q325" s="371" t="s">
        <v>2276</v>
      </c>
      <c r="R325" s="373">
        <v>13890</v>
      </c>
      <c r="S325" s="373">
        <v>13890</v>
      </c>
      <c r="T325" s="371" t="s">
        <v>2271</v>
      </c>
      <c r="U325" s="373">
        <v>4040</v>
      </c>
      <c r="V325" s="373">
        <v>4040</v>
      </c>
      <c r="W325" s="371" t="s">
        <v>2271</v>
      </c>
      <c r="X325" s="373">
        <v>9850</v>
      </c>
      <c r="Y325" s="373">
        <v>9850</v>
      </c>
      <c r="Z325" s="371" t="s">
        <v>2271</v>
      </c>
      <c r="AA325" s="373">
        <v>0</v>
      </c>
      <c r="AB325" s="373">
        <v>9830</v>
      </c>
      <c r="AC325" s="373">
        <v>9830</v>
      </c>
      <c r="AD325" s="371" t="s">
        <v>2271</v>
      </c>
      <c r="AE325" s="373">
        <v>0</v>
      </c>
      <c r="AF325" s="382">
        <v>0.97986111111111096</v>
      </c>
      <c r="AG325" s="382">
        <v>0.97986111111111096</v>
      </c>
      <c r="AH325" s="371" t="s">
        <v>2271</v>
      </c>
      <c r="AI325" s="382">
        <v>1.38888888888889E-2</v>
      </c>
      <c r="AJ325" s="382">
        <v>1.38888888888889E-2</v>
      </c>
      <c r="AK325" s="371" t="s">
        <v>2271</v>
      </c>
      <c r="AL325" s="206" t="s">
        <v>1221</v>
      </c>
      <c r="AM325" s="206" t="s">
        <v>1221</v>
      </c>
      <c r="AN325" s="371" t="s">
        <v>2271</v>
      </c>
      <c r="AO325" s="206" t="s">
        <v>2524</v>
      </c>
      <c r="AP325" s="206"/>
      <c r="AQ325" s="206" t="s">
        <v>1131</v>
      </c>
      <c r="AR325" s="207" t="s">
        <v>68</v>
      </c>
    </row>
    <row r="326" spans="1:44" x14ac:dyDescent="0.2">
      <c r="A326" s="370">
        <v>307</v>
      </c>
      <c r="B326" s="380">
        <v>169</v>
      </c>
      <c r="C326" s="371" t="s">
        <v>2269</v>
      </c>
      <c r="D326" s="371" t="s">
        <v>2270</v>
      </c>
      <c r="E326" s="206"/>
      <c r="F326" s="206" t="s">
        <v>70</v>
      </c>
      <c r="G326" s="206" t="s">
        <v>70</v>
      </c>
      <c r="H326" s="371" t="s">
        <v>2271</v>
      </c>
      <c r="I326" s="206" t="s">
        <v>1429</v>
      </c>
      <c r="J326" s="206" t="s">
        <v>1429</v>
      </c>
      <c r="K326" s="371" t="s">
        <v>2271</v>
      </c>
      <c r="L326" s="206" t="s">
        <v>2148</v>
      </c>
      <c r="M326" s="206" t="s">
        <v>1341</v>
      </c>
      <c r="N326" s="206" t="s">
        <v>49</v>
      </c>
      <c r="O326" s="372">
        <v>45991</v>
      </c>
      <c r="P326" s="372">
        <v>45991</v>
      </c>
      <c r="Q326" s="371" t="s">
        <v>2271</v>
      </c>
      <c r="R326" s="373">
        <v>45700</v>
      </c>
      <c r="S326" s="373">
        <v>45700</v>
      </c>
      <c r="T326" s="371" t="s">
        <v>2271</v>
      </c>
      <c r="U326" s="373">
        <v>17430</v>
      </c>
      <c r="V326" s="373">
        <v>17430</v>
      </c>
      <c r="W326" s="371" t="s">
        <v>2271</v>
      </c>
      <c r="X326" s="373">
        <v>28270</v>
      </c>
      <c r="Y326" s="373">
        <v>28270</v>
      </c>
      <c r="Z326" s="371" t="s">
        <v>2271</v>
      </c>
      <c r="AA326" s="373">
        <v>0</v>
      </c>
      <c r="AB326" s="373">
        <v>28240</v>
      </c>
      <c r="AC326" s="373">
        <v>28240</v>
      </c>
      <c r="AD326" s="371" t="s">
        <v>2271</v>
      </c>
      <c r="AE326" s="373">
        <v>0</v>
      </c>
      <c r="AF326" s="382">
        <v>0.56041666666666701</v>
      </c>
      <c r="AG326" s="382">
        <v>0.56041666666666701</v>
      </c>
      <c r="AH326" s="371" t="s">
        <v>2271</v>
      </c>
      <c r="AI326" s="382">
        <v>0.60972222222222205</v>
      </c>
      <c r="AJ326" s="382">
        <v>0.60972222222222205</v>
      </c>
      <c r="AK326" s="371" t="s">
        <v>2271</v>
      </c>
      <c r="AL326" s="206" t="s">
        <v>42</v>
      </c>
      <c r="AM326" s="206" t="s">
        <v>42</v>
      </c>
      <c r="AN326" s="371" t="s">
        <v>2271</v>
      </c>
      <c r="AO326" s="206" t="s">
        <v>2525</v>
      </c>
      <c r="AP326" s="206" t="s">
        <v>1499</v>
      </c>
      <c r="AQ326" s="206" t="s">
        <v>1133</v>
      </c>
      <c r="AR326" s="207" t="s">
        <v>68</v>
      </c>
    </row>
    <row r="327" spans="1:44" x14ac:dyDescent="0.2">
      <c r="A327" s="370">
        <v>308</v>
      </c>
      <c r="B327" s="380">
        <v>169</v>
      </c>
      <c r="C327" s="371" t="s">
        <v>2337</v>
      </c>
      <c r="D327" s="371" t="s">
        <v>2235</v>
      </c>
      <c r="E327" s="206"/>
      <c r="F327" s="206" t="s">
        <v>39</v>
      </c>
      <c r="G327" s="206" t="s">
        <v>39</v>
      </c>
      <c r="H327" s="371" t="s">
        <v>2271</v>
      </c>
      <c r="I327" s="206"/>
      <c r="J327" s="206" t="s">
        <v>1726</v>
      </c>
      <c r="K327" s="371" t="s">
        <v>2276</v>
      </c>
      <c r="L327" s="206" t="s">
        <v>2221</v>
      </c>
      <c r="M327" s="206" t="s">
        <v>1594</v>
      </c>
      <c r="N327" s="206" t="s">
        <v>49</v>
      </c>
      <c r="O327" s="372" t="s">
        <v>2222</v>
      </c>
      <c r="P327" s="372">
        <v>46140</v>
      </c>
      <c r="Q327" s="371" t="s">
        <v>2276</v>
      </c>
      <c r="R327" s="373">
        <v>13610</v>
      </c>
      <c r="S327" s="373">
        <v>13610</v>
      </c>
      <c r="T327" s="371" t="s">
        <v>2271</v>
      </c>
      <c r="U327" s="373">
        <v>4050</v>
      </c>
      <c r="V327" s="373">
        <v>4050</v>
      </c>
      <c r="W327" s="371" t="s">
        <v>2271</v>
      </c>
      <c r="X327" s="373">
        <v>9560</v>
      </c>
      <c r="Y327" s="373">
        <v>9560</v>
      </c>
      <c r="Z327" s="371" t="s">
        <v>2271</v>
      </c>
      <c r="AA327" s="373">
        <v>0</v>
      </c>
      <c r="AB327" s="373">
        <v>9510</v>
      </c>
      <c r="AC327" s="373">
        <v>9510</v>
      </c>
      <c r="AD327" s="371" t="s">
        <v>2271</v>
      </c>
      <c r="AE327" s="373">
        <v>0</v>
      </c>
      <c r="AF327" s="382">
        <v>0.98333333333333295</v>
      </c>
      <c r="AG327" s="382">
        <v>0.98333333333333295</v>
      </c>
      <c r="AH327" s="371" t="s">
        <v>2271</v>
      </c>
      <c r="AI327" s="382">
        <v>1.8749999999999999E-2</v>
      </c>
      <c r="AJ327" s="382">
        <v>1.8749999999999999E-2</v>
      </c>
      <c r="AK327" s="371" t="s">
        <v>2271</v>
      </c>
      <c r="AL327" s="206" t="s">
        <v>1221</v>
      </c>
      <c r="AM327" s="206" t="s">
        <v>1221</v>
      </c>
      <c r="AN327" s="371" t="s">
        <v>2271</v>
      </c>
      <c r="AO327" s="206" t="s">
        <v>2525</v>
      </c>
      <c r="AP327" s="206"/>
      <c r="AQ327" s="206" t="s">
        <v>1131</v>
      </c>
      <c r="AR327" s="207" t="s">
        <v>68</v>
      </c>
    </row>
    <row r="328" spans="1:44" x14ac:dyDescent="0.2">
      <c r="A328" s="370">
        <v>309</v>
      </c>
      <c r="B328" s="380">
        <v>170</v>
      </c>
      <c r="C328" s="371" t="s">
        <v>2269</v>
      </c>
      <c r="D328" s="371" t="s">
        <v>2270</v>
      </c>
      <c r="E328" s="206"/>
      <c r="F328" s="206" t="s">
        <v>56</v>
      </c>
      <c r="G328" s="206" t="s">
        <v>56</v>
      </c>
      <c r="H328" s="371" t="s">
        <v>2271</v>
      </c>
      <c r="I328" s="206" t="s">
        <v>1429</v>
      </c>
      <c r="J328" s="206" t="s">
        <v>1429</v>
      </c>
      <c r="K328" s="371" t="s">
        <v>2271</v>
      </c>
      <c r="L328" s="206" t="s">
        <v>2148</v>
      </c>
      <c r="M328" s="206" t="s">
        <v>1341</v>
      </c>
      <c r="N328" s="206" t="s">
        <v>49</v>
      </c>
      <c r="O328" s="372">
        <v>45991</v>
      </c>
      <c r="P328" s="372">
        <v>45991</v>
      </c>
      <c r="Q328" s="371" t="s">
        <v>2271</v>
      </c>
      <c r="R328" s="373">
        <v>25050</v>
      </c>
      <c r="S328" s="373">
        <v>25050</v>
      </c>
      <c r="T328" s="371" t="s">
        <v>2271</v>
      </c>
      <c r="U328" s="373">
        <v>10930</v>
      </c>
      <c r="V328" s="373">
        <v>10930</v>
      </c>
      <c r="W328" s="371" t="s">
        <v>2271</v>
      </c>
      <c r="X328" s="373">
        <v>14120</v>
      </c>
      <c r="Y328" s="373">
        <v>14120</v>
      </c>
      <c r="Z328" s="371" t="s">
        <v>2271</v>
      </c>
      <c r="AA328" s="373">
        <v>0</v>
      </c>
      <c r="AB328" s="373">
        <v>14240</v>
      </c>
      <c r="AC328" s="373">
        <v>14240</v>
      </c>
      <c r="AD328" s="371" t="s">
        <v>2271</v>
      </c>
      <c r="AE328" s="373">
        <v>0</v>
      </c>
      <c r="AF328" s="382">
        <v>0.74791666666666701</v>
      </c>
      <c r="AG328" s="382">
        <v>0.74791666666666701</v>
      </c>
      <c r="AH328" s="371" t="s">
        <v>2271</v>
      </c>
      <c r="AI328" s="382">
        <v>0.83611111111111103</v>
      </c>
      <c r="AJ328" s="382">
        <v>0.83611111111111103</v>
      </c>
      <c r="AK328" s="371" t="s">
        <v>2271</v>
      </c>
      <c r="AL328" s="206" t="s">
        <v>137</v>
      </c>
      <c r="AM328" s="206" t="s">
        <v>137</v>
      </c>
      <c r="AN328" s="371" t="s">
        <v>2271</v>
      </c>
      <c r="AO328" s="206" t="s">
        <v>2526</v>
      </c>
      <c r="AP328" s="206" t="s">
        <v>1781</v>
      </c>
      <c r="AQ328" s="206" t="s">
        <v>1132</v>
      </c>
      <c r="AR328" s="207" t="s">
        <v>68</v>
      </c>
    </row>
    <row r="329" spans="1:44" x14ac:dyDescent="0.2">
      <c r="A329" s="370">
        <v>310</v>
      </c>
      <c r="B329" s="380">
        <v>170</v>
      </c>
      <c r="C329" s="371" t="s">
        <v>2337</v>
      </c>
      <c r="D329" s="371" t="s">
        <v>2235</v>
      </c>
      <c r="E329" s="206"/>
      <c r="F329" s="206" t="s">
        <v>1593</v>
      </c>
      <c r="G329" s="206" t="s">
        <v>1593</v>
      </c>
      <c r="H329" s="371" t="s">
        <v>2271</v>
      </c>
      <c r="I329" s="206"/>
      <c r="J329" s="206" t="s">
        <v>1726</v>
      </c>
      <c r="K329" s="371" t="s">
        <v>2276</v>
      </c>
      <c r="L329" s="206" t="s">
        <v>2221</v>
      </c>
      <c r="M329" s="206" t="s">
        <v>1594</v>
      </c>
      <c r="N329" s="206" t="s">
        <v>49</v>
      </c>
      <c r="O329" s="372" t="s">
        <v>2222</v>
      </c>
      <c r="P329" s="372">
        <v>46140</v>
      </c>
      <c r="Q329" s="371" t="s">
        <v>2276</v>
      </c>
      <c r="R329" s="373">
        <v>13910</v>
      </c>
      <c r="S329" s="373">
        <v>13910</v>
      </c>
      <c r="T329" s="371" t="s">
        <v>2271</v>
      </c>
      <c r="U329" s="373">
        <v>4190</v>
      </c>
      <c r="V329" s="373">
        <v>4190</v>
      </c>
      <c r="W329" s="371" t="s">
        <v>2271</v>
      </c>
      <c r="X329" s="373">
        <v>9720</v>
      </c>
      <c r="Y329" s="373">
        <v>9720</v>
      </c>
      <c r="Z329" s="371" t="s">
        <v>2271</v>
      </c>
      <c r="AA329" s="373">
        <v>0</v>
      </c>
      <c r="AB329" s="373">
        <v>9680</v>
      </c>
      <c r="AC329" s="373">
        <v>9680</v>
      </c>
      <c r="AD329" s="371" t="s">
        <v>2271</v>
      </c>
      <c r="AE329" s="373">
        <v>0</v>
      </c>
      <c r="AF329" s="382">
        <v>0.98472222222222205</v>
      </c>
      <c r="AG329" s="382">
        <v>0.98472222222222205</v>
      </c>
      <c r="AH329" s="371" t="s">
        <v>2271</v>
      </c>
      <c r="AI329" s="382">
        <v>2.0138888888888901E-2</v>
      </c>
      <c r="AJ329" s="382">
        <v>2.0138888888888901E-2</v>
      </c>
      <c r="AK329" s="371" t="s">
        <v>2271</v>
      </c>
      <c r="AL329" s="206" t="s">
        <v>1221</v>
      </c>
      <c r="AM329" s="206" t="s">
        <v>1221</v>
      </c>
      <c r="AN329" s="371" t="s">
        <v>2271</v>
      </c>
      <c r="AO329" s="206" t="s">
        <v>2526</v>
      </c>
      <c r="AP329" s="206"/>
      <c r="AQ329" s="206" t="s">
        <v>1131</v>
      </c>
      <c r="AR329" s="207" t="s">
        <v>68</v>
      </c>
    </row>
    <row r="330" spans="1:44" x14ac:dyDescent="0.2">
      <c r="A330" s="370">
        <v>311</v>
      </c>
      <c r="B330" s="380">
        <v>171</v>
      </c>
      <c r="C330" s="371" t="s">
        <v>2269</v>
      </c>
      <c r="D330" s="371" t="s">
        <v>2270</v>
      </c>
      <c r="E330" s="206"/>
      <c r="F330" s="206" t="s">
        <v>46</v>
      </c>
      <c r="G330" s="206" t="s">
        <v>46</v>
      </c>
      <c r="H330" s="371" t="s">
        <v>2271</v>
      </c>
      <c r="I330" s="206" t="s">
        <v>1429</v>
      </c>
      <c r="J330" s="206" t="s">
        <v>1429</v>
      </c>
      <c r="K330" s="371" t="s">
        <v>2271</v>
      </c>
      <c r="L330" s="206" t="s">
        <v>2148</v>
      </c>
      <c r="M330" s="206" t="s">
        <v>1341</v>
      </c>
      <c r="N330" s="206" t="s">
        <v>49</v>
      </c>
      <c r="O330" s="372">
        <v>45991</v>
      </c>
      <c r="P330" s="372">
        <v>45991</v>
      </c>
      <c r="Q330" s="371" t="s">
        <v>2271</v>
      </c>
      <c r="R330" s="373">
        <v>26570</v>
      </c>
      <c r="S330" s="373">
        <v>26570</v>
      </c>
      <c r="T330" s="371" t="s">
        <v>2271</v>
      </c>
      <c r="U330" s="373">
        <v>11720</v>
      </c>
      <c r="V330" s="373">
        <v>11720</v>
      </c>
      <c r="W330" s="371" t="s">
        <v>2271</v>
      </c>
      <c r="X330" s="373">
        <v>14850</v>
      </c>
      <c r="Y330" s="373">
        <v>14850</v>
      </c>
      <c r="Z330" s="371" t="s">
        <v>2271</v>
      </c>
      <c r="AA330" s="373">
        <v>0</v>
      </c>
      <c r="AB330" s="373">
        <v>14780</v>
      </c>
      <c r="AC330" s="373">
        <v>14780</v>
      </c>
      <c r="AD330" s="371" t="s">
        <v>2271</v>
      </c>
      <c r="AE330" s="373">
        <v>0</v>
      </c>
      <c r="AF330" s="382">
        <v>0.75</v>
      </c>
      <c r="AG330" s="382">
        <v>0.75</v>
      </c>
      <c r="AH330" s="371" t="s">
        <v>2271</v>
      </c>
      <c r="AI330" s="382">
        <v>0.83125000000000004</v>
      </c>
      <c r="AJ330" s="382">
        <v>0.83125000000000004</v>
      </c>
      <c r="AK330" s="371" t="s">
        <v>2271</v>
      </c>
      <c r="AL330" s="206" t="s">
        <v>137</v>
      </c>
      <c r="AM330" s="206" t="s">
        <v>137</v>
      </c>
      <c r="AN330" s="371" t="s">
        <v>2271</v>
      </c>
      <c r="AO330" s="206" t="s">
        <v>2527</v>
      </c>
      <c r="AP330" s="206" t="s">
        <v>1393</v>
      </c>
      <c r="AQ330" s="206" t="s">
        <v>1132</v>
      </c>
      <c r="AR330" s="207" t="s">
        <v>68</v>
      </c>
    </row>
    <row r="331" spans="1:44" x14ac:dyDescent="0.2">
      <c r="A331" s="370">
        <v>312</v>
      </c>
      <c r="B331" s="380">
        <v>171</v>
      </c>
      <c r="C331" s="371" t="s">
        <v>2337</v>
      </c>
      <c r="D331" s="371" t="s">
        <v>2235</v>
      </c>
      <c r="E331" s="206"/>
      <c r="F331" s="206" t="s">
        <v>1592</v>
      </c>
      <c r="G331" s="206" t="s">
        <v>1592</v>
      </c>
      <c r="H331" s="371" t="s">
        <v>2271</v>
      </c>
      <c r="I331" s="206"/>
      <c r="J331" s="206" t="s">
        <v>1726</v>
      </c>
      <c r="K331" s="371" t="s">
        <v>2276</v>
      </c>
      <c r="L331" s="206" t="s">
        <v>2221</v>
      </c>
      <c r="M331" s="206" t="s">
        <v>1594</v>
      </c>
      <c r="N331" s="206" t="s">
        <v>49</v>
      </c>
      <c r="O331" s="372" t="s">
        <v>2222</v>
      </c>
      <c r="P331" s="372">
        <v>46140</v>
      </c>
      <c r="Q331" s="371" t="s">
        <v>2276</v>
      </c>
      <c r="R331" s="373">
        <v>13270</v>
      </c>
      <c r="S331" s="373">
        <v>13270</v>
      </c>
      <c r="T331" s="371" t="s">
        <v>2271</v>
      </c>
      <c r="U331" s="373">
        <v>3910</v>
      </c>
      <c r="V331" s="373">
        <v>3910</v>
      </c>
      <c r="W331" s="371" t="s">
        <v>2271</v>
      </c>
      <c r="X331" s="373">
        <v>9360</v>
      </c>
      <c r="Y331" s="373">
        <v>9360</v>
      </c>
      <c r="Z331" s="371" t="s">
        <v>2271</v>
      </c>
      <c r="AA331" s="373">
        <v>0</v>
      </c>
      <c r="AB331" s="373">
        <v>9350</v>
      </c>
      <c r="AC331" s="373">
        <v>9350</v>
      </c>
      <c r="AD331" s="371" t="s">
        <v>2271</v>
      </c>
      <c r="AE331" s="373">
        <v>0</v>
      </c>
      <c r="AF331" s="382">
        <v>0.98541666666666705</v>
      </c>
      <c r="AG331" s="382">
        <v>0.98541666666666705</v>
      </c>
      <c r="AH331" s="371" t="s">
        <v>2271</v>
      </c>
      <c r="AI331" s="382">
        <v>2.9861111111111099E-2</v>
      </c>
      <c r="AJ331" s="382">
        <v>2.9861111111111099E-2</v>
      </c>
      <c r="AK331" s="371" t="s">
        <v>2271</v>
      </c>
      <c r="AL331" s="206" t="s">
        <v>1221</v>
      </c>
      <c r="AM331" s="206" t="s">
        <v>1221</v>
      </c>
      <c r="AN331" s="371" t="s">
        <v>2271</v>
      </c>
      <c r="AO331" s="206" t="s">
        <v>2527</v>
      </c>
      <c r="AP331" s="206"/>
      <c r="AQ331" s="206" t="s">
        <v>1131</v>
      </c>
      <c r="AR331" s="207" t="s">
        <v>68</v>
      </c>
    </row>
    <row r="332" spans="1:44" x14ac:dyDescent="0.2">
      <c r="A332" s="370">
        <v>313</v>
      </c>
      <c r="B332" s="380">
        <v>172</v>
      </c>
      <c r="C332" s="371" t="s">
        <v>2269</v>
      </c>
      <c r="D332" s="371" t="s">
        <v>2270</v>
      </c>
      <c r="E332" s="206"/>
      <c r="F332" s="206" t="s">
        <v>84</v>
      </c>
      <c r="G332" s="206" t="s">
        <v>84</v>
      </c>
      <c r="H332" s="371" t="s">
        <v>2271</v>
      </c>
      <c r="I332" s="206" t="s">
        <v>1429</v>
      </c>
      <c r="J332" s="206" t="s">
        <v>1429</v>
      </c>
      <c r="K332" s="371" t="s">
        <v>2271</v>
      </c>
      <c r="L332" s="206" t="s">
        <v>2148</v>
      </c>
      <c r="M332" s="206" t="s">
        <v>1341</v>
      </c>
      <c r="N332" s="206" t="s">
        <v>49</v>
      </c>
      <c r="O332" s="372">
        <v>45991</v>
      </c>
      <c r="P332" s="372">
        <v>45991</v>
      </c>
      <c r="Q332" s="371" t="s">
        <v>2271</v>
      </c>
      <c r="R332" s="373">
        <v>26720</v>
      </c>
      <c r="S332" s="373">
        <v>26720</v>
      </c>
      <c r="T332" s="371" t="s">
        <v>2271</v>
      </c>
      <c r="U332" s="373">
        <v>12260</v>
      </c>
      <c r="V332" s="373">
        <v>12260</v>
      </c>
      <c r="W332" s="371" t="s">
        <v>2271</v>
      </c>
      <c r="X332" s="373">
        <v>14460</v>
      </c>
      <c r="Y332" s="373">
        <v>14460</v>
      </c>
      <c r="Z332" s="371" t="s">
        <v>2271</v>
      </c>
      <c r="AA332" s="373">
        <v>0</v>
      </c>
      <c r="AB332" s="373">
        <v>14460</v>
      </c>
      <c r="AC332" s="373">
        <v>14460</v>
      </c>
      <c r="AD332" s="371" t="s">
        <v>2271</v>
      </c>
      <c r="AE332" s="373">
        <v>0</v>
      </c>
      <c r="AF332" s="382">
        <v>0.77361111111111103</v>
      </c>
      <c r="AG332" s="382">
        <v>0.77361111111111103</v>
      </c>
      <c r="AH332" s="371" t="s">
        <v>2271</v>
      </c>
      <c r="AI332" s="382">
        <v>0.83541666666666703</v>
      </c>
      <c r="AJ332" s="382">
        <v>0.83541666666666703</v>
      </c>
      <c r="AK332" s="371" t="s">
        <v>2271</v>
      </c>
      <c r="AL332" s="206" t="s">
        <v>137</v>
      </c>
      <c r="AM332" s="206" t="s">
        <v>137</v>
      </c>
      <c r="AN332" s="371" t="s">
        <v>2271</v>
      </c>
      <c r="AO332" s="206" t="s">
        <v>2528</v>
      </c>
      <c r="AP332" s="206" t="s">
        <v>1782</v>
      </c>
      <c r="AQ332" s="206" t="s">
        <v>1132</v>
      </c>
      <c r="AR332" s="207" t="s">
        <v>68</v>
      </c>
    </row>
    <row r="333" spans="1:44" x14ac:dyDescent="0.2">
      <c r="A333" s="370">
        <v>314</v>
      </c>
      <c r="B333" s="380">
        <v>172</v>
      </c>
      <c r="C333" s="371" t="s">
        <v>2337</v>
      </c>
      <c r="D333" s="371" t="s">
        <v>2235</v>
      </c>
      <c r="E333" s="206"/>
      <c r="F333" s="206" t="s">
        <v>194</v>
      </c>
      <c r="G333" s="206" t="s">
        <v>194</v>
      </c>
      <c r="H333" s="371" t="s">
        <v>2271</v>
      </c>
      <c r="I333" s="206"/>
      <c r="J333" s="206" t="s">
        <v>1726</v>
      </c>
      <c r="K333" s="371" t="s">
        <v>2276</v>
      </c>
      <c r="L333" s="206" t="s">
        <v>2221</v>
      </c>
      <c r="M333" s="206" t="s">
        <v>1594</v>
      </c>
      <c r="N333" s="206" t="s">
        <v>49</v>
      </c>
      <c r="O333" s="372" t="s">
        <v>2222</v>
      </c>
      <c r="P333" s="372">
        <v>46140</v>
      </c>
      <c r="Q333" s="371" t="s">
        <v>2276</v>
      </c>
      <c r="R333" s="373">
        <v>13080</v>
      </c>
      <c r="S333" s="373">
        <v>13080</v>
      </c>
      <c r="T333" s="371" t="s">
        <v>2271</v>
      </c>
      <c r="U333" s="373">
        <v>3790</v>
      </c>
      <c r="V333" s="373">
        <v>3790</v>
      </c>
      <c r="W333" s="371" t="s">
        <v>2271</v>
      </c>
      <c r="X333" s="373">
        <v>9290</v>
      </c>
      <c r="Y333" s="373">
        <v>9290</v>
      </c>
      <c r="Z333" s="371" t="s">
        <v>2271</v>
      </c>
      <c r="AA333" s="373">
        <v>0</v>
      </c>
      <c r="AB333" s="373">
        <v>9290</v>
      </c>
      <c r="AC333" s="373">
        <v>9290</v>
      </c>
      <c r="AD333" s="371" t="s">
        <v>2271</v>
      </c>
      <c r="AE333" s="373">
        <v>0</v>
      </c>
      <c r="AF333" s="382">
        <v>2.2222222222222199E-2</v>
      </c>
      <c r="AG333" s="382">
        <v>2.2222222222222199E-2</v>
      </c>
      <c r="AH333" s="371" t="s">
        <v>2271</v>
      </c>
      <c r="AI333" s="382">
        <v>4.3749999999999997E-2</v>
      </c>
      <c r="AJ333" s="382">
        <v>4.3749999999999997E-2</v>
      </c>
      <c r="AK333" s="371" t="s">
        <v>2271</v>
      </c>
      <c r="AL333" s="206" t="s">
        <v>1221</v>
      </c>
      <c r="AM333" s="206" t="s">
        <v>1221</v>
      </c>
      <c r="AN333" s="371" t="s">
        <v>2271</v>
      </c>
      <c r="AO333" s="206" t="s">
        <v>2528</v>
      </c>
      <c r="AP333" s="206"/>
      <c r="AQ333" s="206" t="s">
        <v>1131</v>
      </c>
      <c r="AR333" s="207" t="s">
        <v>68</v>
      </c>
    </row>
    <row r="334" spans="1:44" x14ac:dyDescent="0.2">
      <c r="A334" s="370">
        <v>315</v>
      </c>
      <c r="B334" s="380">
        <v>173</v>
      </c>
      <c r="C334" s="371" t="s">
        <v>2269</v>
      </c>
      <c r="D334" s="371" t="s">
        <v>2270</v>
      </c>
      <c r="E334" s="206"/>
      <c r="F334" s="206" t="s">
        <v>76</v>
      </c>
      <c r="G334" s="206" t="s">
        <v>76</v>
      </c>
      <c r="H334" s="371" t="s">
        <v>2271</v>
      </c>
      <c r="I334" s="206" t="s">
        <v>1429</v>
      </c>
      <c r="J334" s="206" t="s">
        <v>1429</v>
      </c>
      <c r="K334" s="371" t="s">
        <v>2271</v>
      </c>
      <c r="L334" s="206" t="s">
        <v>2148</v>
      </c>
      <c r="M334" s="206" t="s">
        <v>1341</v>
      </c>
      <c r="N334" s="206" t="s">
        <v>49</v>
      </c>
      <c r="O334" s="372">
        <v>45991</v>
      </c>
      <c r="P334" s="372">
        <v>45991</v>
      </c>
      <c r="Q334" s="371" t="s">
        <v>2271</v>
      </c>
      <c r="R334" s="373">
        <v>45900</v>
      </c>
      <c r="S334" s="373">
        <v>45900</v>
      </c>
      <c r="T334" s="371" t="s">
        <v>2271</v>
      </c>
      <c r="U334" s="373">
        <v>17620</v>
      </c>
      <c r="V334" s="373">
        <v>17620</v>
      </c>
      <c r="W334" s="371" t="s">
        <v>2271</v>
      </c>
      <c r="X334" s="373">
        <v>28280</v>
      </c>
      <c r="Y334" s="373">
        <v>28280</v>
      </c>
      <c r="Z334" s="371" t="s">
        <v>2271</v>
      </c>
      <c r="AA334" s="373">
        <v>0</v>
      </c>
      <c r="AB334" s="373">
        <v>28200</v>
      </c>
      <c r="AC334" s="373">
        <v>28200</v>
      </c>
      <c r="AD334" s="371" t="s">
        <v>2271</v>
      </c>
      <c r="AE334" s="373">
        <v>0</v>
      </c>
      <c r="AF334" s="382">
        <v>0.82499999999999996</v>
      </c>
      <c r="AG334" s="382">
        <v>0.82499999999999996</v>
      </c>
      <c r="AH334" s="371" t="s">
        <v>2271</v>
      </c>
      <c r="AI334" s="382">
        <v>0.87152777777777801</v>
      </c>
      <c r="AJ334" s="382">
        <v>0.87152777777777801</v>
      </c>
      <c r="AK334" s="371" t="s">
        <v>2271</v>
      </c>
      <c r="AL334" s="206" t="s">
        <v>137</v>
      </c>
      <c r="AM334" s="206" t="s">
        <v>137</v>
      </c>
      <c r="AN334" s="371" t="s">
        <v>2271</v>
      </c>
      <c r="AO334" s="206" t="s">
        <v>2529</v>
      </c>
      <c r="AP334" s="206" t="s">
        <v>1372</v>
      </c>
      <c r="AQ334" s="206" t="s">
        <v>1133</v>
      </c>
      <c r="AR334" s="207" t="s">
        <v>68</v>
      </c>
    </row>
    <row r="335" spans="1:44" x14ac:dyDescent="0.2">
      <c r="A335" s="370">
        <v>316</v>
      </c>
      <c r="B335" s="380">
        <v>173</v>
      </c>
      <c r="C335" s="371" t="s">
        <v>2337</v>
      </c>
      <c r="D335" s="371" t="s">
        <v>2235</v>
      </c>
      <c r="E335" s="206"/>
      <c r="F335" s="206" t="s">
        <v>158</v>
      </c>
      <c r="G335" s="206" t="s">
        <v>158</v>
      </c>
      <c r="H335" s="371" t="s">
        <v>2271</v>
      </c>
      <c r="I335" s="206"/>
      <c r="J335" s="206" t="s">
        <v>1726</v>
      </c>
      <c r="K335" s="371" t="s">
        <v>2276</v>
      </c>
      <c r="L335" s="206" t="s">
        <v>2221</v>
      </c>
      <c r="M335" s="206" t="s">
        <v>1594</v>
      </c>
      <c r="N335" s="206" t="s">
        <v>49</v>
      </c>
      <c r="O335" s="372" t="s">
        <v>2222</v>
      </c>
      <c r="P335" s="372">
        <v>46140</v>
      </c>
      <c r="Q335" s="371" t="s">
        <v>2276</v>
      </c>
      <c r="R335" s="373">
        <v>13810</v>
      </c>
      <c r="S335" s="373">
        <v>13810</v>
      </c>
      <c r="T335" s="371" t="s">
        <v>2271</v>
      </c>
      <c r="U335" s="373">
        <v>3780</v>
      </c>
      <c r="V335" s="373">
        <v>3780</v>
      </c>
      <c r="W335" s="371" t="s">
        <v>2271</v>
      </c>
      <c r="X335" s="373">
        <v>10030</v>
      </c>
      <c r="Y335" s="373">
        <v>10030</v>
      </c>
      <c r="Z335" s="371" t="s">
        <v>2271</v>
      </c>
      <c r="AA335" s="373">
        <v>0</v>
      </c>
      <c r="AB335" s="373">
        <v>9930</v>
      </c>
      <c r="AC335" s="373">
        <v>9930</v>
      </c>
      <c r="AD335" s="371" t="s">
        <v>2271</v>
      </c>
      <c r="AE335" s="373">
        <v>0</v>
      </c>
      <c r="AF335" s="382">
        <v>3.3333333333333298E-2</v>
      </c>
      <c r="AG335" s="382">
        <v>3.3333333333333298E-2</v>
      </c>
      <c r="AH335" s="371" t="s">
        <v>2271</v>
      </c>
      <c r="AI335" s="382">
        <v>6.1111111111111102E-2</v>
      </c>
      <c r="AJ335" s="382">
        <v>6.1111111111111102E-2</v>
      </c>
      <c r="AK335" s="371" t="s">
        <v>2271</v>
      </c>
      <c r="AL335" s="206" t="s">
        <v>1221</v>
      </c>
      <c r="AM335" s="206" t="s">
        <v>1221</v>
      </c>
      <c r="AN335" s="371" t="s">
        <v>2271</v>
      </c>
      <c r="AO335" s="206" t="s">
        <v>2529</v>
      </c>
      <c r="AP335" s="206"/>
      <c r="AQ335" s="206" t="s">
        <v>1131</v>
      </c>
      <c r="AR335" s="207" t="s">
        <v>68</v>
      </c>
    </row>
    <row r="336" spans="1:44" x14ac:dyDescent="0.2">
      <c r="A336" s="370">
        <v>317</v>
      </c>
      <c r="B336" s="380">
        <v>174</v>
      </c>
      <c r="C336" s="371" t="s">
        <v>2269</v>
      </c>
      <c r="D336" s="371" t="s">
        <v>2270</v>
      </c>
      <c r="E336" s="206"/>
      <c r="F336" s="206" t="s">
        <v>70</v>
      </c>
      <c r="G336" s="206" t="s">
        <v>70</v>
      </c>
      <c r="H336" s="371" t="s">
        <v>2271</v>
      </c>
      <c r="I336" s="206" t="s">
        <v>1429</v>
      </c>
      <c r="J336" s="206" t="s">
        <v>1429</v>
      </c>
      <c r="K336" s="371" t="s">
        <v>2271</v>
      </c>
      <c r="L336" s="206" t="s">
        <v>2148</v>
      </c>
      <c r="M336" s="206" t="s">
        <v>1341</v>
      </c>
      <c r="N336" s="206" t="s">
        <v>49</v>
      </c>
      <c r="O336" s="372">
        <v>45991</v>
      </c>
      <c r="P336" s="372">
        <v>45991</v>
      </c>
      <c r="Q336" s="371" t="s">
        <v>2271</v>
      </c>
      <c r="R336" s="373">
        <v>45940</v>
      </c>
      <c r="S336" s="373">
        <v>45940</v>
      </c>
      <c r="T336" s="371" t="s">
        <v>2271</v>
      </c>
      <c r="U336" s="373">
        <v>17650</v>
      </c>
      <c r="V336" s="373">
        <v>17650</v>
      </c>
      <c r="W336" s="371" t="s">
        <v>2271</v>
      </c>
      <c r="X336" s="373">
        <v>28290</v>
      </c>
      <c r="Y336" s="373">
        <v>28290</v>
      </c>
      <c r="Z336" s="371" t="s">
        <v>2271</v>
      </c>
      <c r="AA336" s="373">
        <v>0</v>
      </c>
      <c r="AB336" s="373">
        <v>28230</v>
      </c>
      <c r="AC336" s="373">
        <v>28230</v>
      </c>
      <c r="AD336" s="371" t="s">
        <v>2271</v>
      </c>
      <c r="AE336" s="373">
        <v>0</v>
      </c>
      <c r="AF336" s="382">
        <v>0.84722222222222199</v>
      </c>
      <c r="AG336" s="382">
        <v>0.84722222222222199</v>
      </c>
      <c r="AH336" s="371" t="s">
        <v>2271</v>
      </c>
      <c r="AI336" s="382">
        <v>0.88333333333333297</v>
      </c>
      <c r="AJ336" s="382">
        <v>0.88333333333333297</v>
      </c>
      <c r="AK336" s="371" t="s">
        <v>2271</v>
      </c>
      <c r="AL336" s="206" t="s">
        <v>137</v>
      </c>
      <c r="AM336" s="206" t="s">
        <v>137</v>
      </c>
      <c r="AN336" s="371" t="s">
        <v>2271</v>
      </c>
      <c r="AO336" s="206" t="s">
        <v>2530</v>
      </c>
      <c r="AP336" s="206" t="s">
        <v>1499</v>
      </c>
      <c r="AQ336" s="206" t="s">
        <v>1133</v>
      </c>
      <c r="AR336" s="207" t="s">
        <v>68</v>
      </c>
    </row>
    <row r="337" spans="1:44" x14ac:dyDescent="0.2">
      <c r="A337" s="370">
        <v>318</v>
      </c>
      <c r="B337" s="380">
        <v>174</v>
      </c>
      <c r="C337" s="371" t="s">
        <v>2337</v>
      </c>
      <c r="D337" s="371" t="s">
        <v>2235</v>
      </c>
      <c r="E337" s="206"/>
      <c r="F337" s="206" t="s">
        <v>163</v>
      </c>
      <c r="G337" s="206" t="s">
        <v>163</v>
      </c>
      <c r="H337" s="371" t="s">
        <v>2271</v>
      </c>
      <c r="I337" s="206"/>
      <c r="J337" s="206" t="s">
        <v>1726</v>
      </c>
      <c r="K337" s="371" t="s">
        <v>2276</v>
      </c>
      <c r="L337" s="206" t="s">
        <v>2221</v>
      </c>
      <c r="M337" s="206" t="s">
        <v>1594</v>
      </c>
      <c r="N337" s="206" t="s">
        <v>49</v>
      </c>
      <c r="O337" s="372" t="s">
        <v>2222</v>
      </c>
      <c r="P337" s="372">
        <v>46140</v>
      </c>
      <c r="Q337" s="371" t="s">
        <v>2276</v>
      </c>
      <c r="R337" s="373">
        <v>13940</v>
      </c>
      <c r="S337" s="373">
        <v>13940</v>
      </c>
      <c r="T337" s="371" t="s">
        <v>2271</v>
      </c>
      <c r="U337" s="373">
        <v>3890</v>
      </c>
      <c r="V337" s="373">
        <v>3890</v>
      </c>
      <c r="W337" s="371" t="s">
        <v>2271</v>
      </c>
      <c r="X337" s="373">
        <v>10050</v>
      </c>
      <c r="Y337" s="373">
        <v>10050</v>
      </c>
      <c r="Z337" s="371" t="s">
        <v>2271</v>
      </c>
      <c r="AA337" s="373">
        <v>0</v>
      </c>
      <c r="AB337" s="373">
        <v>10000</v>
      </c>
      <c r="AC337" s="373">
        <v>10000</v>
      </c>
      <c r="AD337" s="371" t="s">
        <v>2271</v>
      </c>
      <c r="AE337" s="373">
        <v>0</v>
      </c>
      <c r="AF337" s="382">
        <v>3.4722222222222203E-2</v>
      </c>
      <c r="AG337" s="382">
        <v>3.4722222222222203E-2</v>
      </c>
      <c r="AH337" s="371" t="s">
        <v>2271</v>
      </c>
      <c r="AI337" s="382">
        <v>5.6944444444444402E-2</v>
      </c>
      <c r="AJ337" s="382">
        <v>5.6944444444444402E-2</v>
      </c>
      <c r="AK337" s="371" t="s">
        <v>2271</v>
      </c>
      <c r="AL337" s="206" t="s">
        <v>1221</v>
      </c>
      <c r="AM337" s="206" t="s">
        <v>1221</v>
      </c>
      <c r="AN337" s="371" t="s">
        <v>2271</v>
      </c>
      <c r="AO337" s="206" t="s">
        <v>2530</v>
      </c>
      <c r="AP337" s="206"/>
      <c r="AQ337" s="206" t="s">
        <v>1131</v>
      </c>
      <c r="AR337" s="207" t="s">
        <v>68</v>
      </c>
    </row>
    <row r="338" spans="1:44" x14ac:dyDescent="0.2">
      <c r="A338" s="370">
        <v>319</v>
      </c>
      <c r="B338" s="380">
        <v>175</v>
      </c>
      <c r="C338" s="371" t="s">
        <v>2269</v>
      </c>
      <c r="D338" s="371" t="s">
        <v>2270</v>
      </c>
      <c r="E338" s="206"/>
      <c r="F338" s="206" t="s">
        <v>46</v>
      </c>
      <c r="G338" s="206" t="s">
        <v>46</v>
      </c>
      <c r="H338" s="371" t="s">
        <v>2271</v>
      </c>
      <c r="I338" s="206" t="s">
        <v>1429</v>
      </c>
      <c r="J338" s="206" t="s">
        <v>1429</v>
      </c>
      <c r="K338" s="371" t="s">
        <v>2271</v>
      </c>
      <c r="L338" s="206" t="s">
        <v>2148</v>
      </c>
      <c r="M338" s="206" t="s">
        <v>1341</v>
      </c>
      <c r="N338" s="206" t="s">
        <v>49</v>
      </c>
      <c r="O338" s="372">
        <v>45992</v>
      </c>
      <c r="P338" s="372">
        <v>45992</v>
      </c>
      <c r="Q338" s="371" t="s">
        <v>2271</v>
      </c>
      <c r="R338" s="373">
        <v>26550</v>
      </c>
      <c r="S338" s="373">
        <v>26550</v>
      </c>
      <c r="T338" s="371" t="s">
        <v>2271</v>
      </c>
      <c r="U338" s="373">
        <v>11700</v>
      </c>
      <c r="V338" s="373">
        <v>11700</v>
      </c>
      <c r="W338" s="371" t="s">
        <v>2271</v>
      </c>
      <c r="X338" s="373">
        <v>14850</v>
      </c>
      <c r="Y338" s="373">
        <v>14850</v>
      </c>
      <c r="Z338" s="371" t="s">
        <v>2271</v>
      </c>
      <c r="AA338" s="373">
        <v>0</v>
      </c>
      <c r="AB338" s="373">
        <v>14830</v>
      </c>
      <c r="AC338" s="373">
        <v>14830</v>
      </c>
      <c r="AD338" s="371" t="s">
        <v>2271</v>
      </c>
      <c r="AE338" s="373">
        <v>0</v>
      </c>
      <c r="AF338" s="382">
        <v>5.1388888888888901E-2</v>
      </c>
      <c r="AG338" s="382">
        <v>5.1388888888888901E-2</v>
      </c>
      <c r="AH338" s="371" t="s">
        <v>2271</v>
      </c>
      <c r="AI338" s="382">
        <v>8.5416666666666696E-2</v>
      </c>
      <c r="AJ338" s="382">
        <v>8.5416666666666696E-2</v>
      </c>
      <c r="AK338" s="371" t="s">
        <v>2271</v>
      </c>
      <c r="AL338" s="206" t="s">
        <v>137</v>
      </c>
      <c r="AM338" s="206" t="s">
        <v>137</v>
      </c>
      <c r="AN338" s="371" t="s">
        <v>2271</v>
      </c>
      <c r="AO338" s="206" t="s">
        <v>2531</v>
      </c>
      <c r="AP338" s="206" t="s">
        <v>1393</v>
      </c>
      <c r="AQ338" s="206" t="s">
        <v>1132</v>
      </c>
      <c r="AR338" s="207" t="s">
        <v>68</v>
      </c>
    </row>
    <row r="339" spans="1:44" x14ac:dyDescent="0.2">
      <c r="A339" s="370">
        <v>320</v>
      </c>
      <c r="B339" s="380">
        <v>175</v>
      </c>
      <c r="C339" s="371" t="s">
        <v>2337</v>
      </c>
      <c r="D339" s="371" t="s">
        <v>2235</v>
      </c>
      <c r="E339" s="206"/>
      <c r="F339" s="206" t="s">
        <v>153</v>
      </c>
      <c r="G339" s="206" t="s">
        <v>153</v>
      </c>
      <c r="H339" s="371" t="s">
        <v>2271</v>
      </c>
      <c r="I339" s="206"/>
      <c r="J339" s="206" t="s">
        <v>1726</v>
      </c>
      <c r="K339" s="371" t="s">
        <v>2276</v>
      </c>
      <c r="L339" s="206" t="s">
        <v>2221</v>
      </c>
      <c r="M339" s="206" t="s">
        <v>1594</v>
      </c>
      <c r="N339" s="206" t="s">
        <v>49</v>
      </c>
      <c r="O339" s="372" t="s">
        <v>2222</v>
      </c>
      <c r="P339" s="372">
        <v>46140</v>
      </c>
      <c r="Q339" s="371" t="s">
        <v>2276</v>
      </c>
      <c r="R339" s="373">
        <v>13620</v>
      </c>
      <c r="S339" s="373">
        <v>13620</v>
      </c>
      <c r="T339" s="371" t="s">
        <v>2271</v>
      </c>
      <c r="U339" s="373">
        <v>4050</v>
      </c>
      <c r="V339" s="373">
        <v>4050</v>
      </c>
      <c r="W339" s="371" t="s">
        <v>2271</v>
      </c>
      <c r="X339" s="373">
        <v>9570</v>
      </c>
      <c r="Y339" s="373">
        <v>9570</v>
      </c>
      <c r="Z339" s="371" t="s">
        <v>2271</v>
      </c>
      <c r="AA339" s="373">
        <v>0</v>
      </c>
      <c r="AB339" s="373">
        <v>9540</v>
      </c>
      <c r="AC339" s="373">
        <v>9540</v>
      </c>
      <c r="AD339" s="371" t="s">
        <v>2271</v>
      </c>
      <c r="AE339" s="373">
        <v>0</v>
      </c>
      <c r="AF339" s="382">
        <v>3.6805555555555598E-2</v>
      </c>
      <c r="AG339" s="382">
        <v>3.6805555555555598E-2</v>
      </c>
      <c r="AH339" s="371" t="s">
        <v>2271</v>
      </c>
      <c r="AI339" s="382">
        <v>6.3888888888888898E-2</v>
      </c>
      <c r="AJ339" s="382">
        <v>6.3888888888888898E-2</v>
      </c>
      <c r="AK339" s="371" t="s">
        <v>2271</v>
      </c>
      <c r="AL339" s="206" t="s">
        <v>1221</v>
      </c>
      <c r="AM339" s="206" t="s">
        <v>1221</v>
      </c>
      <c r="AN339" s="371" t="s">
        <v>2271</v>
      </c>
      <c r="AO339" s="206" t="s">
        <v>2531</v>
      </c>
      <c r="AP339" s="206"/>
      <c r="AQ339" s="206" t="s">
        <v>1131</v>
      </c>
      <c r="AR339" s="207" t="s">
        <v>68</v>
      </c>
    </row>
    <row r="340" spans="1:44" x14ac:dyDescent="0.2">
      <c r="A340" s="370">
        <v>321</v>
      </c>
      <c r="B340" s="380">
        <v>176</v>
      </c>
      <c r="C340" s="371" t="s">
        <v>2269</v>
      </c>
      <c r="D340" s="371" t="s">
        <v>2270</v>
      </c>
      <c r="E340" s="206"/>
      <c r="F340" s="206" t="s">
        <v>56</v>
      </c>
      <c r="G340" s="206" t="s">
        <v>56</v>
      </c>
      <c r="H340" s="371" t="s">
        <v>2271</v>
      </c>
      <c r="I340" s="206" t="s">
        <v>1429</v>
      </c>
      <c r="J340" s="206" t="s">
        <v>1429</v>
      </c>
      <c r="K340" s="371" t="s">
        <v>2271</v>
      </c>
      <c r="L340" s="206" t="s">
        <v>2148</v>
      </c>
      <c r="M340" s="206" t="s">
        <v>1341</v>
      </c>
      <c r="N340" s="206" t="s">
        <v>49</v>
      </c>
      <c r="O340" s="372">
        <v>45992</v>
      </c>
      <c r="P340" s="372">
        <v>45992</v>
      </c>
      <c r="Q340" s="371" t="s">
        <v>2271</v>
      </c>
      <c r="R340" s="373">
        <v>25130</v>
      </c>
      <c r="S340" s="373">
        <v>25130</v>
      </c>
      <c r="T340" s="371" t="s">
        <v>2271</v>
      </c>
      <c r="U340" s="373">
        <v>10870</v>
      </c>
      <c r="V340" s="373">
        <v>10870</v>
      </c>
      <c r="W340" s="371" t="s">
        <v>2271</v>
      </c>
      <c r="X340" s="373">
        <v>14260</v>
      </c>
      <c r="Y340" s="373">
        <v>14260</v>
      </c>
      <c r="Z340" s="371" t="s">
        <v>2271</v>
      </c>
      <c r="AA340" s="373">
        <v>0</v>
      </c>
      <c r="AB340" s="373">
        <v>14220</v>
      </c>
      <c r="AC340" s="373">
        <v>14220</v>
      </c>
      <c r="AD340" s="371" t="s">
        <v>2271</v>
      </c>
      <c r="AE340" s="373">
        <v>0</v>
      </c>
      <c r="AF340" s="382">
        <v>5.5555555555555601E-2</v>
      </c>
      <c r="AG340" s="382">
        <v>5.5555555555555601E-2</v>
      </c>
      <c r="AH340" s="371" t="s">
        <v>2271</v>
      </c>
      <c r="AI340" s="382">
        <v>0.10763888888888901</v>
      </c>
      <c r="AJ340" s="382">
        <v>0.10763888888888901</v>
      </c>
      <c r="AK340" s="371" t="s">
        <v>2271</v>
      </c>
      <c r="AL340" s="206" t="s">
        <v>137</v>
      </c>
      <c r="AM340" s="206" t="s">
        <v>137</v>
      </c>
      <c r="AN340" s="371" t="s">
        <v>2271</v>
      </c>
      <c r="AO340" s="206" t="s">
        <v>2532</v>
      </c>
      <c r="AP340" s="206" t="s">
        <v>1781</v>
      </c>
      <c r="AQ340" s="206" t="s">
        <v>1132</v>
      </c>
      <c r="AR340" s="207" t="s">
        <v>68</v>
      </c>
    </row>
    <row r="341" spans="1:44" x14ac:dyDescent="0.2">
      <c r="A341" s="370">
        <v>322</v>
      </c>
      <c r="B341" s="380">
        <v>176</v>
      </c>
      <c r="C341" s="371" t="s">
        <v>2337</v>
      </c>
      <c r="D341" s="371" t="s">
        <v>2235</v>
      </c>
      <c r="E341" s="206"/>
      <c r="F341" s="206" t="s">
        <v>1276</v>
      </c>
      <c r="G341" s="206" t="s">
        <v>1276</v>
      </c>
      <c r="H341" s="371" t="s">
        <v>2271</v>
      </c>
      <c r="I341" s="206"/>
      <c r="J341" s="206" t="s">
        <v>1726</v>
      </c>
      <c r="K341" s="371" t="s">
        <v>2276</v>
      </c>
      <c r="L341" s="206" t="s">
        <v>2221</v>
      </c>
      <c r="M341" s="206" t="s">
        <v>1594</v>
      </c>
      <c r="N341" s="206" t="s">
        <v>49</v>
      </c>
      <c r="O341" s="372" t="s">
        <v>2222</v>
      </c>
      <c r="P341" s="372">
        <v>46140</v>
      </c>
      <c r="Q341" s="371" t="s">
        <v>2276</v>
      </c>
      <c r="R341" s="373">
        <v>13930</v>
      </c>
      <c r="S341" s="373">
        <v>13930</v>
      </c>
      <c r="T341" s="371" t="s">
        <v>2271</v>
      </c>
      <c r="U341" s="373">
        <v>3970</v>
      </c>
      <c r="V341" s="373">
        <v>3970</v>
      </c>
      <c r="W341" s="371" t="s">
        <v>2271</v>
      </c>
      <c r="X341" s="373">
        <v>9960</v>
      </c>
      <c r="Y341" s="373">
        <v>9960</v>
      </c>
      <c r="Z341" s="371" t="s">
        <v>2271</v>
      </c>
      <c r="AA341" s="373">
        <v>0</v>
      </c>
      <c r="AB341" s="373">
        <v>9890</v>
      </c>
      <c r="AC341" s="373">
        <v>9890</v>
      </c>
      <c r="AD341" s="371" t="s">
        <v>2271</v>
      </c>
      <c r="AE341" s="373">
        <v>0</v>
      </c>
      <c r="AF341" s="382">
        <v>4.0972222222222202E-2</v>
      </c>
      <c r="AG341" s="382">
        <v>4.0972222222222202E-2</v>
      </c>
      <c r="AH341" s="371" t="s">
        <v>2271</v>
      </c>
      <c r="AI341" s="382">
        <v>8.1944444444444403E-2</v>
      </c>
      <c r="AJ341" s="382">
        <v>8.1944444444444403E-2</v>
      </c>
      <c r="AK341" s="371" t="s">
        <v>2271</v>
      </c>
      <c r="AL341" s="206" t="s">
        <v>1221</v>
      </c>
      <c r="AM341" s="206" t="s">
        <v>1221</v>
      </c>
      <c r="AN341" s="371" t="s">
        <v>2271</v>
      </c>
      <c r="AO341" s="206" t="s">
        <v>2532</v>
      </c>
      <c r="AP341" s="206"/>
      <c r="AQ341" s="206" t="s">
        <v>1131</v>
      </c>
      <c r="AR341" s="207" t="s">
        <v>68</v>
      </c>
    </row>
    <row r="342" spans="1:44" x14ac:dyDescent="0.2">
      <c r="A342" s="370">
        <v>323</v>
      </c>
      <c r="B342" s="380">
        <v>177</v>
      </c>
      <c r="C342" s="371" t="s">
        <v>2269</v>
      </c>
      <c r="D342" s="371" t="s">
        <v>2270</v>
      </c>
      <c r="E342" s="206"/>
      <c r="F342" s="206" t="s">
        <v>84</v>
      </c>
      <c r="G342" s="206" t="s">
        <v>84</v>
      </c>
      <c r="H342" s="371" t="s">
        <v>2271</v>
      </c>
      <c r="I342" s="206" t="s">
        <v>1429</v>
      </c>
      <c r="J342" s="206" t="s">
        <v>1429</v>
      </c>
      <c r="K342" s="371" t="s">
        <v>2271</v>
      </c>
      <c r="L342" s="206" t="s">
        <v>2148</v>
      </c>
      <c r="M342" s="206" t="s">
        <v>1341</v>
      </c>
      <c r="N342" s="206" t="s">
        <v>49</v>
      </c>
      <c r="O342" s="372">
        <v>45992</v>
      </c>
      <c r="P342" s="372">
        <v>45992</v>
      </c>
      <c r="Q342" s="371" t="s">
        <v>2271</v>
      </c>
      <c r="R342" s="373">
        <v>26690</v>
      </c>
      <c r="S342" s="373">
        <v>26690</v>
      </c>
      <c r="T342" s="371" t="s">
        <v>2271</v>
      </c>
      <c r="U342" s="373">
        <v>12210</v>
      </c>
      <c r="V342" s="373">
        <v>12210</v>
      </c>
      <c r="W342" s="371" t="s">
        <v>2271</v>
      </c>
      <c r="X342" s="373">
        <v>14480</v>
      </c>
      <c r="Y342" s="373">
        <v>14480</v>
      </c>
      <c r="Z342" s="371" t="s">
        <v>2271</v>
      </c>
      <c r="AA342" s="373">
        <v>0</v>
      </c>
      <c r="AB342" s="373">
        <v>14440</v>
      </c>
      <c r="AC342" s="373">
        <v>14440</v>
      </c>
      <c r="AD342" s="371" t="s">
        <v>2271</v>
      </c>
      <c r="AE342" s="373">
        <v>0</v>
      </c>
      <c r="AF342" s="382">
        <v>7.0138888888888903E-2</v>
      </c>
      <c r="AG342" s="382">
        <v>7.0138888888888903E-2</v>
      </c>
      <c r="AH342" s="371" t="s">
        <v>2271</v>
      </c>
      <c r="AI342" s="382">
        <v>0.117361111111111</v>
      </c>
      <c r="AJ342" s="382">
        <v>0.117361111111111</v>
      </c>
      <c r="AK342" s="371" t="s">
        <v>2271</v>
      </c>
      <c r="AL342" s="206" t="s">
        <v>137</v>
      </c>
      <c r="AM342" s="206" t="s">
        <v>137</v>
      </c>
      <c r="AN342" s="371" t="s">
        <v>2271</v>
      </c>
      <c r="AO342" s="206" t="s">
        <v>2533</v>
      </c>
      <c r="AP342" s="206" t="s">
        <v>1782</v>
      </c>
      <c r="AQ342" s="206" t="s">
        <v>1132</v>
      </c>
      <c r="AR342" s="207" t="s">
        <v>68</v>
      </c>
    </row>
    <row r="343" spans="1:44" x14ac:dyDescent="0.2">
      <c r="A343" s="370">
        <v>324</v>
      </c>
      <c r="B343" s="380">
        <v>177</v>
      </c>
      <c r="C343" s="371" t="s">
        <v>2337</v>
      </c>
      <c r="D343" s="371" t="s">
        <v>2235</v>
      </c>
      <c r="E343" s="206"/>
      <c r="F343" s="206" t="s">
        <v>1268</v>
      </c>
      <c r="G343" s="206" t="s">
        <v>1268</v>
      </c>
      <c r="H343" s="371" t="s">
        <v>2271</v>
      </c>
      <c r="I343" s="206"/>
      <c r="J343" s="206" t="s">
        <v>1726</v>
      </c>
      <c r="K343" s="371" t="s">
        <v>2276</v>
      </c>
      <c r="L343" s="206" t="s">
        <v>2221</v>
      </c>
      <c r="M343" s="206" t="s">
        <v>1594</v>
      </c>
      <c r="N343" s="206" t="s">
        <v>49</v>
      </c>
      <c r="O343" s="372" t="s">
        <v>2222</v>
      </c>
      <c r="P343" s="372">
        <v>46140</v>
      </c>
      <c r="Q343" s="371" t="s">
        <v>2276</v>
      </c>
      <c r="R343" s="373">
        <v>13570</v>
      </c>
      <c r="S343" s="373">
        <v>13570</v>
      </c>
      <c r="T343" s="371" t="s">
        <v>2271</v>
      </c>
      <c r="U343" s="373">
        <v>3930</v>
      </c>
      <c r="V343" s="373">
        <v>3930</v>
      </c>
      <c r="W343" s="371" t="s">
        <v>2271</v>
      </c>
      <c r="X343" s="373">
        <v>9640</v>
      </c>
      <c r="Y343" s="373">
        <v>9640</v>
      </c>
      <c r="Z343" s="371" t="s">
        <v>2271</v>
      </c>
      <c r="AA343" s="373">
        <v>0</v>
      </c>
      <c r="AB343" s="373">
        <v>9560</v>
      </c>
      <c r="AC343" s="373">
        <v>9560</v>
      </c>
      <c r="AD343" s="371" t="s">
        <v>2271</v>
      </c>
      <c r="AE343" s="373">
        <v>0</v>
      </c>
      <c r="AF343" s="382">
        <v>4.2361111111111099E-2</v>
      </c>
      <c r="AG343" s="382">
        <v>4.2361111111111099E-2</v>
      </c>
      <c r="AH343" s="371" t="s">
        <v>2271</v>
      </c>
      <c r="AI343" s="382">
        <v>7.9861111111111105E-2</v>
      </c>
      <c r="AJ343" s="382">
        <v>7.9861111111111105E-2</v>
      </c>
      <c r="AK343" s="371" t="s">
        <v>2271</v>
      </c>
      <c r="AL343" s="206" t="s">
        <v>1221</v>
      </c>
      <c r="AM343" s="206" t="s">
        <v>1221</v>
      </c>
      <c r="AN343" s="371" t="s">
        <v>2271</v>
      </c>
      <c r="AO343" s="206" t="s">
        <v>2533</v>
      </c>
      <c r="AP343" s="206"/>
      <c r="AQ343" s="206" t="s">
        <v>1131</v>
      </c>
      <c r="AR343" s="207" t="s">
        <v>68</v>
      </c>
    </row>
    <row r="344" spans="1:44" x14ac:dyDescent="0.2">
      <c r="A344" s="370">
        <v>325</v>
      </c>
      <c r="B344" s="380">
        <v>178</v>
      </c>
      <c r="C344" s="371" t="s">
        <v>2275</v>
      </c>
      <c r="D344" s="371" t="s">
        <v>2235</v>
      </c>
      <c r="E344" s="206"/>
      <c r="F344" s="206" t="s">
        <v>151</v>
      </c>
      <c r="G344" s="206" t="s">
        <v>151</v>
      </c>
      <c r="H344" s="371" t="s">
        <v>2271</v>
      </c>
      <c r="I344" s="206"/>
      <c r="J344" s="206" t="s">
        <v>1345</v>
      </c>
      <c r="K344" s="371" t="s">
        <v>2276</v>
      </c>
      <c r="L344" s="206" t="s">
        <v>2151</v>
      </c>
      <c r="M344" s="206" t="s">
        <v>1344</v>
      </c>
      <c r="N344" s="206" t="s">
        <v>40</v>
      </c>
      <c r="O344" s="372">
        <v>45992</v>
      </c>
      <c r="P344" s="372">
        <v>45992</v>
      </c>
      <c r="Q344" s="371" t="s">
        <v>2271</v>
      </c>
      <c r="R344" s="373">
        <v>13470</v>
      </c>
      <c r="S344" s="373">
        <v>13470</v>
      </c>
      <c r="T344" s="371" t="s">
        <v>2271</v>
      </c>
      <c r="U344" s="373">
        <v>4070</v>
      </c>
      <c r="V344" s="373">
        <v>4070</v>
      </c>
      <c r="W344" s="371" t="s">
        <v>2271</v>
      </c>
      <c r="X344" s="373">
        <v>9400</v>
      </c>
      <c r="Y344" s="373">
        <v>9400</v>
      </c>
      <c r="Z344" s="371" t="s">
        <v>2271</v>
      </c>
      <c r="AA344" s="373">
        <v>0</v>
      </c>
      <c r="AB344" s="373">
        <v>9400</v>
      </c>
      <c r="AC344" s="373">
        <v>9400</v>
      </c>
      <c r="AD344" s="371" t="s">
        <v>2271</v>
      </c>
      <c r="AE344" s="373">
        <v>0</v>
      </c>
      <c r="AF344" s="382">
        <v>0.69722222222222197</v>
      </c>
      <c r="AG344" s="382">
        <v>0.69722222222222197</v>
      </c>
      <c r="AH344" s="371" t="s">
        <v>2271</v>
      </c>
      <c r="AI344" s="382">
        <v>0.74166666666666703</v>
      </c>
      <c r="AJ344" s="382">
        <v>0.74166666666666703</v>
      </c>
      <c r="AK344" s="371" t="s">
        <v>2271</v>
      </c>
      <c r="AL344" s="206" t="s">
        <v>137</v>
      </c>
      <c r="AM344" s="206" t="s">
        <v>137</v>
      </c>
      <c r="AN344" s="371" t="s">
        <v>2271</v>
      </c>
      <c r="AO344" s="206" t="s">
        <v>2534</v>
      </c>
      <c r="AP344" s="206"/>
      <c r="AQ344" s="206" t="s">
        <v>1131</v>
      </c>
      <c r="AR344" s="207" t="s">
        <v>82</v>
      </c>
    </row>
    <row r="345" spans="1:44" x14ac:dyDescent="0.2">
      <c r="A345" s="370">
        <v>326</v>
      </c>
      <c r="B345" s="380">
        <v>178</v>
      </c>
      <c r="C345" s="371" t="s">
        <v>2337</v>
      </c>
      <c r="D345" s="371" t="s">
        <v>2235</v>
      </c>
      <c r="E345" s="206"/>
      <c r="F345" s="206" t="s">
        <v>1047</v>
      </c>
      <c r="G345" s="206" t="s">
        <v>1047</v>
      </c>
      <c r="H345" s="371" t="s">
        <v>2271</v>
      </c>
      <c r="I345" s="206"/>
      <c r="J345" s="206" t="s">
        <v>1726</v>
      </c>
      <c r="K345" s="371" t="s">
        <v>2276</v>
      </c>
      <c r="L345" s="206" t="s">
        <v>2221</v>
      </c>
      <c r="M345" s="206" t="s">
        <v>1594</v>
      </c>
      <c r="N345" s="206" t="s">
        <v>49</v>
      </c>
      <c r="O345" s="372" t="s">
        <v>2223</v>
      </c>
      <c r="P345" s="372">
        <v>46141</v>
      </c>
      <c r="Q345" s="371" t="s">
        <v>2276</v>
      </c>
      <c r="R345" s="373">
        <v>13600</v>
      </c>
      <c r="S345" s="373">
        <v>13600</v>
      </c>
      <c r="T345" s="371" t="s">
        <v>2271</v>
      </c>
      <c r="U345" s="373">
        <v>3990</v>
      </c>
      <c r="V345" s="373">
        <v>3990</v>
      </c>
      <c r="W345" s="371" t="s">
        <v>2271</v>
      </c>
      <c r="X345" s="373">
        <v>9610</v>
      </c>
      <c r="Y345" s="373">
        <v>9610</v>
      </c>
      <c r="Z345" s="371" t="s">
        <v>2271</v>
      </c>
      <c r="AA345" s="373">
        <v>0</v>
      </c>
      <c r="AB345" s="373">
        <v>9590</v>
      </c>
      <c r="AC345" s="373">
        <v>9590</v>
      </c>
      <c r="AD345" s="371" t="s">
        <v>2271</v>
      </c>
      <c r="AE345" s="373">
        <v>0</v>
      </c>
      <c r="AF345" s="382">
        <v>0.47430555555555598</v>
      </c>
      <c r="AG345" s="382">
        <v>0.47430555555555598</v>
      </c>
      <c r="AH345" s="371" t="s">
        <v>2271</v>
      </c>
      <c r="AI345" s="382">
        <v>0.51041666666666696</v>
      </c>
      <c r="AJ345" s="382">
        <v>0.51041666666666696</v>
      </c>
      <c r="AK345" s="371" t="s">
        <v>2271</v>
      </c>
      <c r="AL345" s="206" t="s">
        <v>137</v>
      </c>
      <c r="AM345" s="206" t="s">
        <v>137</v>
      </c>
      <c r="AN345" s="371" t="s">
        <v>2271</v>
      </c>
      <c r="AO345" s="206" t="s">
        <v>2535</v>
      </c>
      <c r="AP345" s="206"/>
      <c r="AQ345" s="206" t="s">
        <v>1131</v>
      </c>
      <c r="AR345" s="207" t="s">
        <v>68</v>
      </c>
    </row>
    <row r="346" spans="1:44" x14ac:dyDescent="0.2">
      <c r="A346" s="370">
        <v>327</v>
      </c>
      <c r="B346" s="380">
        <v>179</v>
      </c>
      <c r="C346" s="371" t="s">
        <v>2275</v>
      </c>
      <c r="D346" s="371" t="s">
        <v>2235</v>
      </c>
      <c r="E346" s="206"/>
      <c r="F346" s="206" t="s">
        <v>183</v>
      </c>
      <c r="G346" s="206" t="s">
        <v>183</v>
      </c>
      <c r="H346" s="371" t="s">
        <v>2271</v>
      </c>
      <c r="I346" s="206"/>
      <c r="J346" s="206" t="s">
        <v>1345</v>
      </c>
      <c r="K346" s="371" t="s">
        <v>2276</v>
      </c>
      <c r="L346" s="206" t="s">
        <v>2151</v>
      </c>
      <c r="M346" s="206" t="s">
        <v>1344</v>
      </c>
      <c r="N346" s="206" t="s">
        <v>40</v>
      </c>
      <c r="O346" s="372">
        <v>45992</v>
      </c>
      <c r="P346" s="372">
        <v>45992</v>
      </c>
      <c r="Q346" s="371" t="s">
        <v>2271</v>
      </c>
      <c r="R346" s="373">
        <v>14210</v>
      </c>
      <c r="S346" s="373">
        <v>14210</v>
      </c>
      <c r="T346" s="371" t="s">
        <v>2271</v>
      </c>
      <c r="U346" s="373">
        <v>4170</v>
      </c>
      <c r="V346" s="373">
        <v>4170</v>
      </c>
      <c r="W346" s="371" t="s">
        <v>2271</v>
      </c>
      <c r="X346" s="373">
        <v>10040</v>
      </c>
      <c r="Y346" s="373">
        <v>10040</v>
      </c>
      <c r="Z346" s="371" t="s">
        <v>2271</v>
      </c>
      <c r="AA346" s="373">
        <v>0</v>
      </c>
      <c r="AB346" s="373">
        <v>10020</v>
      </c>
      <c r="AC346" s="373">
        <v>10020</v>
      </c>
      <c r="AD346" s="371" t="s">
        <v>2271</v>
      </c>
      <c r="AE346" s="373">
        <v>0</v>
      </c>
      <c r="AF346" s="382">
        <v>0.70555555555555605</v>
      </c>
      <c r="AG346" s="382">
        <v>0.70555555555555605</v>
      </c>
      <c r="AH346" s="371" t="s">
        <v>2271</v>
      </c>
      <c r="AI346" s="382">
        <v>0.73888888888888904</v>
      </c>
      <c r="AJ346" s="382">
        <v>0.73888888888888904</v>
      </c>
      <c r="AK346" s="371" t="s">
        <v>2271</v>
      </c>
      <c r="AL346" s="206" t="s">
        <v>137</v>
      </c>
      <c r="AM346" s="206" t="s">
        <v>137</v>
      </c>
      <c r="AN346" s="371" t="s">
        <v>2271</v>
      </c>
      <c r="AO346" s="206" t="s">
        <v>2536</v>
      </c>
      <c r="AP346" s="206"/>
      <c r="AQ346" s="206" t="s">
        <v>1131</v>
      </c>
      <c r="AR346" s="207" t="s">
        <v>82</v>
      </c>
    </row>
    <row r="347" spans="1:44" x14ac:dyDescent="0.2">
      <c r="A347" s="370">
        <v>328</v>
      </c>
      <c r="B347" s="380">
        <v>179</v>
      </c>
      <c r="C347" s="371" t="s">
        <v>2337</v>
      </c>
      <c r="D347" s="371" t="s">
        <v>2235</v>
      </c>
      <c r="E347" s="206"/>
      <c r="F347" s="206" t="s">
        <v>163</v>
      </c>
      <c r="G347" s="206" t="s">
        <v>163</v>
      </c>
      <c r="H347" s="371" t="s">
        <v>2271</v>
      </c>
      <c r="I347" s="206"/>
      <c r="J347" s="206" t="s">
        <v>1726</v>
      </c>
      <c r="K347" s="371" t="s">
        <v>2276</v>
      </c>
      <c r="L347" s="206" t="s">
        <v>2221</v>
      </c>
      <c r="M347" s="206" t="s">
        <v>1594</v>
      </c>
      <c r="N347" s="206" t="s">
        <v>49</v>
      </c>
      <c r="O347" s="372" t="s">
        <v>2223</v>
      </c>
      <c r="P347" s="372">
        <v>46141</v>
      </c>
      <c r="Q347" s="371" t="s">
        <v>2276</v>
      </c>
      <c r="R347" s="373">
        <v>13980</v>
      </c>
      <c r="S347" s="373">
        <v>13980</v>
      </c>
      <c r="T347" s="371" t="s">
        <v>2271</v>
      </c>
      <c r="U347" s="373">
        <v>3920</v>
      </c>
      <c r="V347" s="373">
        <v>3920</v>
      </c>
      <c r="W347" s="371" t="s">
        <v>2271</v>
      </c>
      <c r="X347" s="373">
        <v>10060</v>
      </c>
      <c r="Y347" s="373">
        <v>10060</v>
      </c>
      <c r="Z347" s="371" t="s">
        <v>2271</v>
      </c>
      <c r="AA347" s="373">
        <v>0</v>
      </c>
      <c r="AB347" s="373">
        <v>10020</v>
      </c>
      <c r="AC347" s="373">
        <v>10020</v>
      </c>
      <c r="AD347" s="371" t="s">
        <v>2271</v>
      </c>
      <c r="AE347" s="373">
        <v>0</v>
      </c>
      <c r="AF347" s="382">
        <v>0.48680555555555599</v>
      </c>
      <c r="AG347" s="382">
        <v>0.48680555555555599</v>
      </c>
      <c r="AH347" s="371" t="s">
        <v>2271</v>
      </c>
      <c r="AI347" s="382">
        <v>0.50763888888888897</v>
      </c>
      <c r="AJ347" s="382">
        <v>0.50763888888888897</v>
      </c>
      <c r="AK347" s="371" t="s">
        <v>2271</v>
      </c>
      <c r="AL347" s="206" t="s">
        <v>137</v>
      </c>
      <c r="AM347" s="206" t="s">
        <v>137</v>
      </c>
      <c r="AN347" s="371" t="s">
        <v>2271</v>
      </c>
      <c r="AO347" s="206" t="s">
        <v>2537</v>
      </c>
      <c r="AP347" s="206"/>
      <c r="AQ347" s="206" t="s">
        <v>1131</v>
      </c>
      <c r="AR347" s="207" t="s">
        <v>68</v>
      </c>
    </row>
    <row r="348" spans="1:44" x14ac:dyDescent="0.2">
      <c r="A348" s="370">
        <v>329</v>
      </c>
      <c r="B348" s="380">
        <v>180</v>
      </c>
      <c r="C348" s="371" t="s">
        <v>2275</v>
      </c>
      <c r="D348" s="371" t="s">
        <v>2235</v>
      </c>
      <c r="E348" s="206"/>
      <c r="F348" s="206" t="s">
        <v>155</v>
      </c>
      <c r="G348" s="206" t="s">
        <v>155</v>
      </c>
      <c r="H348" s="371" t="s">
        <v>2271</v>
      </c>
      <c r="I348" s="206"/>
      <c r="J348" s="206" t="s">
        <v>1345</v>
      </c>
      <c r="K348" s="371" t="s">
        <v>2276</v>
      </c>
      <c r="L348" s="206" t="s">
        <v>2151</v>
      </c>
      <c r="M348" s="206" t="s">
        <v>1344</v>
      </c>
      <c r="N348" s="206" t="s">
        <v>40</v>
      </c>
      <c r="O348" s="372">
        <v>45992</v>
      </c>
      <c r="P348" s="372">
        <v>45992</v>
      </c>
      <c r="Q348" s="371" t="s">
        <v>2271</v>
      </c>
      <c r="R348" s="373">
        <v>13520</v>
      </c>
      <c r="S348" s="373">
        <v>13520</v>
      </c>
      <c r="T348" s="371" t="s">
        <v>2271</v>
      </c>
      <c r="U348" s="373">
        <v>3880</v>
      </c>
      <c r="V348" s="373">
        <v>3880</v>
      </c>
      <c r="W348" s="371" t="s">
        <v>2271</v>
      </c>
      <c r="X348" s="373">
        <v>9640</v>
      </c>
      <c r="Y348" s="373">
        <v>9640</v>
      </c>
      <c r="Z348" s="371" t="s">
        <v>2271</v>
      </c>
      <c r="AA348" s="373">
        <v>0</v>
      </c>
      <c r="AB348" s="373">
        <v>9620</v>
      </c>
      <c r="AC348" s="373">
        <v>9620</v>
      </c>
      <c r="AD348" s="371" t="s">
        <v>2271</v>
      </c>
      <c r="AE348" s="373">
        <v>0</v>
      </c>
      <c r="AF348" s="382">
        <v>0.88611111111111096</v>
      </c>
      <c r="AG348" s="382">
        <v>0.88611111111111096</v>
      </c>
      <c r="AH348" s="371" t="s">
        <v>2271</v>
      </c>
      <c r="AI348" s="382">
        <v>0.93888888888888899</v>
      </c>
      <c r="AJ348" s="382">
        <v>0.93888888888888899</v>
      </c>
      <c r="AK348" s="371" t="s">
        <v>2271</v>
      </c>
      <c r="AL348" s="206" t="s">
        <v>42</v>
      </c>
      <c r="AM348" s="206" t="s">
        <v>42</v>
      </c>
      <c r="AN348" s="371" t="s">
        <v>2271</v>
      </c>
      <c r="AO348" s="206" t="s">
        <v>2538</v>
      </c>
      <c r="AP348" s="206"/>
      <c r="AQ348" s="206" t="s">
        <v>1131</v>
      </c>
      <c r="AR348" s="207" t="s">
        <v>82</v>
      </c>
    </row>
    <row r="349" spans="1:44" x14ac:dyDescent="0.2">
      <c r="A349" s="370">
        <v>330</v>
      </c>
      <c r="B349" s="380">
        <v>180</v>
      </c>
      <c r="C349" s="371" t="s">
        <v>2337</v>
      </c>
      <c r="D349" s="371" t="s">
        <v>2235</v>
      </c>
      <c r="E349" s="206"/>
      <c r="F349" s="206" t="s">
        <v>1276</v>
      </c>
      <c r="G349" s="206" t="s">
        <v>1276</v>
      </c>
      <c r="H349" s="371" t="s">
        <v>2271</v>
      </c>
      <c r="I349" s="206"/>
      <c r="J349" s="206" t="s">
        <v>1726</v>
      </c>
      <c r="K349" s="371" t="s">
        <v>2276</v>
      </c>
      <c r="L349" s="206" t="s">
        <v>2221</v>
      </c>
      <c r="M349" s="206" t="s">
        <v>1594</v>
      </c>
      <c r="N349" s="206" t="s">
        <v>49</v>
      </c>
      <c r="O349" s="372" t="s">
        <v>2223</v>
      </c>
      <c r="P349" s="372">
        <v>46141</v>
      </c>
      <c r="Q349" s="371" t="s">
        <v>2276</v>
      </c>
      <c r="R349" s="373">
        <v>13930</v>
      </c>
      <c r="S349" s="373">
        <v>13930</v>
      </c>
      <c r="T349" s="371" t="s">
        <v>2271</v>
      </c>
      <c r="U349" s="373">
        <v>3990</v>
      </c>
      <c r="V349" s="373">
        <v>3990</v>
      </c>
      <c r="W349" s="371" t="s">
        <v>2271</v>
      </c>
      <c r="X349" s="373">
        <v>9940</v>
      </c>
      <c r="Y349" s="373">
        <v>9940</v>
      </c>
      <c r="Z349" s="371" t="s">
        <v>2271</v>
      </c>
      <c r="AA349" s="373">
        <v>0</v>
      </c>
      <c r="AB349" s="373">
        <v>9950</v>
      </c>
      <c r="AC349" s="373">
        <v>9950</v>
      </c>
      <c r="AD349" s="371" t="s">
        <v>2271</v>
      </c>
      <c r="AE349" s="373">
        <v>0</v>
      </c>
      <c r="AF349" s="382">
        <v>0.49375000000000002</v>
      </c>
      <c r="AG349" s="382">
        <v>0.49375000000000002</v>
      </c>
      <c r="AH349" s="371" t="s">
        <v>2271</v>
      </c>
      <c r="AI349" s="382">
        <v>0.51944444444444404</v>
      </c>
      <c r="AJ349" s="382">
        <v>0.51944444444444404</v>
      </c>
      <c r="AK349" s="371" t="s">
        <v>2271</v>
      </c>
      <c r="AL349" s="206" t="s">
        <v>137</v>
      </c>
      <c r="AM349" s="206" t="s">
        <v>137</v>
      </c>
      <c r="AN349" s="371" t="s">
        <v>2271</v>
      </c>
      <c r="AO349" s="206" t="s">
        <v>2539</v>
      </c>
      <c r="AP349" s="206"/>
      <c r="AQ349" s="206" t="s">
        <v>1131</v>
      </c>
      <c r="AR349" s="207" t="s">
        <v>68</v>
      </c>
    </row>
    <row r="350" spans="1:44" x14ac:dyDescent="0.2">
      <c r="A350" s="370">
        <v>331</v>
      </c>
      <c r="B350" s="380">
        <v>181</v>
      </c>
      <c r="C350" s="371" t="s">
        <v>2275</v>
      </c>
      <c r="D350" s="371" t="s">
        <v>2235</v>
      </c>
      <c r="E350" s="206"/>
      <c r="F350" s="206" t="s">
        <v>39</v>
      </c>
      <c r="G350" s="206" t="s">
        <v>39</v>
      </c>
      <c r="H350" s="371" t="s">
        <v>2271</v>
      </c>
      <c r="I350" s="206"/>
      <c r="J350" s="206" t="s">
        <v>1345</v>
      </c>
      <c r="K350" s="371" t="s">
        <v>2276</v>
      </c>
      <c r="L350" s="206" t="s">
        <v>2151</v>
      </c>
      <c r="M350" s="206" t="s">
        <v>1344</v>
      </c>
      <c r="N350" s="206" t="s">
        <v>40</v>
      </c>
      <c r="O350" s="372">
        <v>45992</v>
      </c>
      <c r="P350" s="372">
        <v>45992</v>
      </c>
      <c r="Q350" s="371" t="s">
        <v>2271</v>
      </c>
      <c r="R350" s="373">
        <v>13710</v>
      </c>
      <c r="S350" s="373">
        <v>13710</v>
      </c>
      <c r="T350" s="371" t="s">
        <v>2271</v>
      </c>
      <c r="U350" s="373">
        <v>4090</v>
      </c>
      <c r="V350" s="373">
        <v>4090</v>
      </c>
      <c r="W350" s="371" t="s">
        <v>2271</v>
      </c>
      <c r="X350" s="373">
        <v>9620</v>
      </c>
      <c r="Y350" s="373">
        <v>9620</v>
      </c>
      <c r="Z350" s="371" t="s">
        <v>2271</v>
      </c>
      <c r="AA350" s="373">
        <v>0</v>
      </c>
      <c r="AB350" s="373">
        <v>9590</v>
      </c>
      <c r="AC350" s="373">
        <v>9590</v>
      </c>
      <c r="AD350" s="371" t="s">
        <v>2271</v>
      </c>
      <c r="AE350" s="373">
        <v>0</v>
      </c>
      <c r="AF350" s="382">
        <v>0.88680555555555596</v>
      </c>
      <c r="AG350" s="382">
        <v>0.88680555555555596</v>
      </c>
      <c r="AH350" s="371" t="s">
        <v>2271</v>
      </c>
      <c r="AI350" s="382">
        <v>0.94027777777777799</v>
      </c>
      <c r="AJ350" s="382">
        <v>0.94027777777777799</v>
      </c>
      <c r="AK350" s="371" t="s">
        <v>2271</v>
      </c>
      <c r="AL350" s="206" t="s">
        <v>42</v>
      </c>
      <c r="AM350" s="206" t="s">
        <v>42</v>
      </c>
      <c r="AN350" s="371" t="s">
        <v>2271</v>
      </c>
      <c r="AO350" s="206" t="s">
        <v>2540</v>
      </c>
      <c r="AP350" s="206"/>
      <c r="AQ350" s="206" t="s">
        <v>1131</v>
      </c>
      <c r="AR350" s="207" t="s">
        <v>82</v>
      </c>
    </row>
    <row r="351" spans="1:44" x14ac:dyDescent="0.2">
      <c r="A351" s="370">
        <v>332</v>
      </c>
      <c r="B351" s="380">
        <v>181</v>
      </c>
      <c r="C351" s="371" t="s">
        <v>2337</v>
      </c>
      <c r="D351" s="371" t="s">
        <v>2235</v>
      </c>
      <c r="E351" s="206"/>
      <c r="F351" s="206" t="s">
        <v>1268</v>
      </c>
      <c r="G351" s="206" t="s">
        <v>1268</v>
      </c>
      <c r="H351" s="371" t="s">
        <v>2271</v>
      </c>
      <c r="I351" s="206"/>
      <c r="J351" s="206" t="s">
        <v>1726</v>
      </c>
      <c r="K351" s="371" t="s">
        <v>2276</v>
      </c>
      <c r="L351" s="206" t="s">
        <v>2221</v>
      </c>
      <c r="M351" s="206" t="s">
        <v>1594</v>
      </c>
      <c r="N351" s="206" t="s">
        <v>49</v>
      </c>
      <c r="O351" s="372" t="s">
        <v>2223</v>
      </c>
      <c r="P351" s="372">
        <v>46141</v>
      </c>
      <c r="Q351" s="371" t="s">
        <v>2276</v>
      </c>
      <c r="R351" s="373">
        <v>13550</v>
      </c>
      <c r="S351" s="373">
        <v>13550</v>
      </c>
      <c r="T351" s="371" t="s">
        <v>2271</v>
      </c>
      <c r="U351" s="373">
        <v>3940</v>
      </c>
      <c r="V351" s="373">
        <v>3940</v>
      </c>
      <c r="W351" s="371" t="s">
        <v>2271</v>
      </c>
      <c r="X351" s="373">
        <v>9610</v>
      </c>
      <c r="Y351" s="373">
        <v>9610</v>
      </c>
      <c r="Z351" s="371" t="s">
        <v>2271</v>
      </c>
      <c r="AA351" s="373">
        <v>0</v>
      </c>
      <c r="AB351" s="373">
        <v>9610</v>
      </c>
      <c r="AC351" s="373">
        <v>9610</v>
      </c>
      <c r="AD351" s="371" t="s">
        <v>2271</v>
      </c>
      <c r="AE351" s="373">
        <v>0</v>
      </c>
      <c r="AF351" s="382">
        <v>0.55416666666666703</v>
      </c>
      <c r="AG351" s="382">
        <v>0.55416666666666703</v>
      </c>
      <c r="AH351" s="371" t="s">
        <v>2271</v>
      </c>
      <c r="AI351" s="382">
        <v>0.56944444444444398</v>
      </c>
      <c r="AJ351" s="382">
        <v>0.56944444444444398</v>
      </c>
      <c r="AK351" s="371" t="s">
        <v>2271</v>
      </c>
      <c r="AL351" s="206" t="s">
        <v>137</v>
      </c>
      <c r="AM351" s="206" t="s">
        <v>137</v>
      </c>
      <c r="AN351" s="371" t="s">
        <v>2271</v>
      </c>
      <c r="AO351" s="206" t="s">
        <v>2541</v>
      </c>
      <c r="AP351" s="206"/>
      <c r="AQ351" s="206" t="s">
        <v>1131</v>
      </c>
      <c r="AR351" s="207" t="s">
        <v>68</v>
      </c>
    </row>
    <row r="352" spans="1:44" x14ac:dyDescent="0.2">
      <c r="A352" s="370">
        <v>333</v>
      </c>
      <c r="B352" s="380">
        <v>182</v>
      </c>
      <c r="C352" s="371" t="s">
        <v>2275</v>
      </c>
      <c r="D352" s="371" t="s">
        <v>2235</v>
      </c>
      <c r="E352" s="206"/>
      <c r="F352" s="206" t="s">
        <v>184</v>
      </c>
      <c r="G352" s="206" t="s">
        <v>184</v>
      </c>
      <c r="H352" s="371" t="s">
        <v>2271</v>
      </c>
      <c r="I352" s="206"/>
      <c r="J352" s="206" t="s">
        <v>1345</v>
      </c>
      <c r="K352" s="371" t="s">
        <v>2276</v>
      </c>
      <c r="L352" s="206" t="s">
        <v>2151</v>
      </c>
      <c r="M352" s="206" t="s">
        <v>1344</v>
      </c>
      <c r="N352" s="206" t="s">
        <v>40</v>
      </c>
      <c r="O352" s="372">
        <v>45992</v>
      </c>
      <c r="P352" s="372">
        <v>45992</v>
      </c>
      <c r="Q352" s="371" t="s">
        <v>2271</v>
      </c>
      <c r="R352" s="373">
        <v>13780</v>
      </c>
      <c r="S352" s="373">
        <v>13780</v>
      </c>
      <c r="T352" s="371" t="s">
        <v>2271</v>
      </c>
      <c r="U352" s="373">
        <v>3910</v>
      </c>
      <c r="V352" s="373">
        <v>3910</v>
      </c>
      <c r="W352" s="371" t="s">
        <v>2271</v>
      </c>
      <c r="X352" s="373">
        <v>9870</v>
      </c>
      <c r="Y352" s="373">
        <v>9870</v>
      </c>
      <c r="Z352" s="371" t="s">
        <v>2271</v>
      </c>
      <c r="AA352" s="373">
        <v>0</v>
      </c>
      <c r="AB352" s="373">
        <v>9840</v>
      </c>
      <c r="AC352" s="373">
        <v>9840</v>
      </c>
      <c r="AD352" s="371" t="s">
        <v>2271</v>
      </c>
      <c r="AE352" s="373">
        <v>0</v>
      </c>
      <c r="AF352" s="382">
        <v>0.88888888888888895</v>
      </c>
      <c r="AG352" s="382">
        <v>0.88888888888888895</v>
      </c>
      <c r="AH352" s="371" t="s">
        <v>2271</v>
      </c>
      <c r="AI352" s="382">
        <v>0.98958333333333304</v>
      </c>
      <c r="AJ352" s="382">
        <v>0.98958333333333304</v>
      </c>
      <c r="AK352" s="371" t="s">
        <v>2271</v>
      </c>
      <c r="AL352" s="206" t="s">
        <v>42</v>
      </c>
      <c r="AM352" s="206" t="s">
        <v>42</v>
      </c>
      <c r="AN352" s="371" t="s">
        <v>2271</v>
      </c>
      <c r="AO352" s="206" t="s">
        <v>2542</v>
      </c>
      <c r="AP352" s="206"/>
      <c r="AQ352" s="206" t="s">
        <v>1131</v>
      </c>
      <c r="AR352" s="207" t="s">
        <v>82</v>
      </c>
    </row>
    <row r="353" spans="1:44" x14ac:dyDescent="0.2">
      <c r="A353" s="370">
        <v>334</v>
      </c>
      <c r="B353" s="380">
        <v>182</v>
      </c>
      <c r="C353" s="371" t="s">
        <v>2337</v>
      </c>
      <c r="D353" s="371" t="s">
        <v>2235</v>
      </c>
      <c r="E353" s="206"/>
      <c r="F353" s="206" t="s">
        <v>149</v>
      </c>
      <c r="G353" s="206" t="s">
        <v>149</v>
      </c>
      <c r="H353" s="371" t="s">
        <v>2271</v>
      </c>
      <c r="I353" s="206"/>
      <c r="J353" s="206" t="s">
        <v>1726</v>
      </c>
      <c r="K353" s="371" t="s">
        <v>2276</v>
      </c>
      <c r="L353" s="206" t="s">
        <v>2221</v>
      </c>
      <c r="M353" s="206" t="s">
        <v>1594</v>
      </c>
      <c r="N353" s="206" t="s">
        <v>49</v>
      </c>
      <c r="O353" s="372" t="s">
        <v>2223</v>
      </c>
      <c r="P353" s="372">
        <v>46141</v>
      </c>
      <c r="Q353" s="371" t="s">
        <v>2276</v>
      </c>
      <c r="R353" s="373">
        <v>13840</v>
      </c>
      <c r="S353" s="373">
        <v>13840</v>
      </c>
      <c r="T353" s="371" t="s">
        <v>2271</v>
      </c>
      <c r="U353" s="373">
        <v>4010</v>
      </c>
      <c r="V353" s="373">
        <v>4010</v>
      </c>
      <c r="W353" s="371" t="s">
        <v>2271</v>
      </c>
      <c r="X353" s="373">
        <v>9830</v>
      </c>
      <c r="Y353" s="373">
        <v>9830</v>
      </c>
      <c r="Z353" s="371" t="s">
        <v>2271</v>
      </c>
      <c r="AA353" s="373">
        <v>0</v>
      </c>
      <c r="AB353" s="373">
        <v>9800</v>
      </c>
      <c r="AC353" s="373">
        <v>9800</v>
      </c>
      <c r="AD353" s="371" t="s">
        <v>2271</v>
      </c>
      <c r="AE353" s="373">
        <v>0</v>
      </c>
      <c r="AF353" s="382">
        <v>0.56527777777777799</v>
      </c>
      <c r="AG353" s="382">
        <v>0.56527777777777799</v>
      </c>
      <c r="AH353" s="371" t="s">
        <v>2271</v>
      </c>
      <c r="AI353" s="382">
        <v>0.58541666666666703</v>
      </c>
      <c r="AJ353" s="382">
        <v>0.58541666666666703</v>
      </c>
      <c r="AK353" s="371" t="s">
        <v>2271</v>
      </c>
      <c r="AL353" s="206" t="s">
        <v>137</v>
      </c>
      <c r="AM353" s="206" t="s">
        <v>137</v>
      </c>
      <c r="AN353" s="371" t="s">
        <v>2271</v>
      </c>
      <c r="AO353" s="206" t="s">
        <v>2543</v>
      </c>
      <c r="AP353" s="206"/>
      <c r="AQ353" s="206" t="s">
        <v>1131</v>
      </c>
      <c r="AR353" s="207" t="s">
        <v>68</v>
      </c>
    </row>
    <row r="354" spans="1:44" x14ac:dyDescent="0.2">
      <c r="A354" s="370">
        <v>335</v>
      </c>
      <c r="B354" s="380">
        <v>183</v>
      </c>
      <c r="C354" s="371" t="s">
        <v>2275</v>
      </c>
      <c r="D354" s="371" t="s">
        <v>2235</v>
      </c>
      <c r="E354" s="206"/>
      <c r="F354" s="206" t="s">
        <v>73</v>
      </c>
      <c r="G354" s="206" t="s">
        <v>73</v>
      </c>
      <c r="H354" s="371" t="s">
        <v>2271</v>
      </c>
      <c r="I354" s="206"/>
      <c r="J354" s="206" t="s">
        <v>1345</v>
      </c>
      <c r="K354" s="371" t="s">
        <v>2276</v>
      </c>
      <c r="L354" s="206" t="s">
        <v>2151</v>
      </c>
      <c r="M354" s="206" t="s">
        <v>1344</v>
      </c>
      <c r="N354" s="206" t="s">
        <v>40</v>
      </c>
      <c r="O354" s="372">
        <v>45993</v>
      </c>
      <c r="P354" s="372">
        <v>45993</v>
      </c>
      <c r="Q354" s="371" t="s">
        <v>2271</v>
      </c>
      <c r="R354" s="373">
        <v>13410</v>
      </c>
      <c r="S354" s="373">
        <v>13410</v>
      </c>
      <c r="T354" s="371" t="s">
        <v>2271</v>
      </c>
      <c r="U354" s="373">
        <v>4010</v>
      </c>
      <c r="V354" s="373">
        <v>4010</v>
      </c>
      <c r="W354" s="371" t="s">
        <v>2271</v>
      </c>
      <c r="X354" s="373">
        <v>9400</v>
      </c>
      <c r="Y354" s="373">
        <v>9400</v>
      </c>
      <c r="Z354" s="371" t="s">
        <v>2271</v>
      </c>
      <c r="AA354" s="373">
        <v>0</v>
      </c>
      <c r="AB354" s="373">
        <v>9380</v>
      </c>
      <c r="AC354" s="373">
        <v>9380</v>
      </c>
      <c r="AD354" s="371" t="s">
        <v>2271</v>
      </c>
      <c r="AE354" s="373">
        <v>0</v>
      </c>
      <c r="AF354" s="382">
        <v>5.1388888888888901E-2</v>
      </c>
      <c r="AG354" s="382">
        <v>5.1388888888888901E-2</v>
      </c>
      <c r="AH354" s="371" t="s">
        <v>2271</v>
      </c>
      <c r="AI354" s="382">
        <v>8.8888888888888906E-2</v>
      </c>
      <c r="AJ354" s="382">
        <v>8.8888888888888906E-2</v>
      </c>
      <c r="AK354" s="371" t="s">
        <v>2271</v>
      </c>
      <c r="AL354" s="206" t="s">
        <v>42</v>
      </c>
      <c r="AM354" s="206" t="s">
        <v>42</v>
      </c>
      <c r="AN354" s="371" t="s">
        <v>2271</v>
      </c>
      <c r="AO354" s="206" t="s">
        <v>2544</v>
      </c>
      <c r="AP354" s="206"/>
      <c r="AQ354" s="206" t="s">
        <v>1131</v>
      </c>
      <c r="AR354" s="207" t="s">
        <v>82</v>
      </c>
    </row>
    <row r="355" spans="1:44" x14ac:dyDescent="0.2">
      <c r="A355" s="370">
        <v>336</v>
      </c>
      <c r="B355" s="380">
        <v>183</v>
      </c>
      <c r="C355" s="371" t="s">
        <v>2337</v>
      </c>
      <c r="D355" s="371" t="s">
        <v>2235</v>
      </c>
      <c r="E355" s="206"/>
      <c r="F355" s="206" t="s">
        <v>39</v>
      </c>
      <c r="G355" s="206" t="s">
        <v>39</v>
      </c>
      <c r="H355" s="371" t="s">
        <v>2271</v>
      </c>
      <c r="I355" s="206"/>
      <c r="J355" s="206" t="s">
        <v>1726</v>
      </c>
      <c r="K355" s="371" t="s">
        <v>2276</v>
      </c>
      <c r="L355" s="206" t="s">
        <v>2221</v>
      </c>
      <c r="M355" s="206" t="s">
        <v>1594</v>
      </c>
      <c r="N355" s="206" t="s">
        <v>49</v>
      </c>
      <c r="O355" s="372" t="s">
        <v>2223</v>
      </c>
      <c r="P355" s="372">
        <v>46141</v>
      </c>
      <c r="Q355" s="371" t="s">
        <v>2276</v>
      </c>
      <c r="R355" s="373">
        <v>13580</v>
      </c>
      <c r="S355" s="373">
        <v>13580</v>
      </c>
      <c r="T355" s="371" t="s">
        <v>2271</v>
      </c>
      <c r="U355" s="373">
        <v>4020</v>
      </c>
      <c r="V355" s="373">
        <v>4020</v>
      </c>
      <c r="W355" s="371" t="s">
        <v>2271</v>
      </c>
      <c r="X355" s="373">
        <v>9560</v>
      </c>
      <c r="Y355" s="373">
        <v>9560</v>
      </c>
      <c r="Z355" s="371" t="s">
        <v>2271</v>
      </c>
      <c r="AA355" s="373">
        <v>0</v>
      </c>
      <c r="AB355" s="373">
        <v>9530</v>
      </c>
      <c r="AC355" s="373">
        <v>9530</v>
      </c>
      <c r="AD355" s="371" t="s">
        <v>2271</v>
      </c>
      <c r="AE355" s="373">
        <v>0</v>
      </c>
      <c r="AF355" s="382">
        <v>0.56736111111111098</v>
      </c>
      <c r="AG355" s="382">
        <v>0.56736111111111098</v>
      </c>
      <c r="AH355" s="371" t="s">
        <v>2271</v>
      </c>
      <c r="AI355" s="382">
        <v>0.58680555555555602</v>
      </c>
      <c r="AJ355" s="382">
        <v>0.58680555555555602</v>
      </c>
      <c r="AK355" s="371" t="s">
        <v>2271</v>
      </c>
      <c r="AL355" s="206" t="s">
        <v>137</v>
      </c>
      <c r="AM355" s="206" t="s">
        <v>137</v>
      </c>
      <c r="AN355" s="371" t="s">
        <v>2271</v>
      </c>
      <c r="AO355" s="206" t="s">
        <v>2545</v>
      </c>
      <c r="AP355" s="206"/>
      <c r="AQ355" s="206" t="s">
        <v>1131</v>
      </c>
      <c r="AR355" s="207" t="s">
        <v>68</v>
      </c>
    </row>
    <row r="356" spans="1:44" x14ac:dyDescent="0.2">
      <c r="A356" s="370">
        <v>337</v>
      </c>
      <c r="B356" s="380">
        <v>184</v>
      </c>
      <c r="C356" s="371" t="s">
        <v>2275</v>
      </c>
      <c r="D356" s="371" t="s">
        <v>2235</v>
      </c>
      <c r="E356" s="206"/>
      <c r="F356" s="206" t="s">
        <v>53</v>
      </c>
      <c r="G356" s="206" t="s">
        <v>53</v>
      </c>
      <c r="H356" s="371" t="s">
        <v>2271</v>
      </c>
      <c r="I356" s="206"/>
      <c r="J356" s="206" t="s">
        <v>1345</v>
      </c>
      <c r="K356" s="371" t="s">
        <v>2276</v>
      </c>
      <c r="L356" s="206" t="s">
        <v>2151</v>
      </c>
      <c r="M356" s="206" t="s">
        <v>1344</v>
      </c>
      <c r="N356" s="206" t="s">
        <v>40</v>
      </c>
      <c r="O356" s="372">
        <v>45993</v>
      </c>
      <c r="P356" s="372">
        <v>45993</v>
      </c>
      <c r="Q356" s="371" t="s">
        <v>2271</v>
      </c>
      <c r="R356" s="373">
        <v>13360</v>
      </c>
      <c r="S356" s="373">
        <v>13360</v>
      </c>
      <c r="T356" s="371" t="s">
        <v>2271</v>
      </c>
      <c r="U356" s="373">
        <v>3740</v>
      </c>
      <c r="V356" s="373">
        <v>3740</v>
      </c>
      <c r="W356" s="371" t="s">
        <v>2271</v>
      </c>
      <c r="X356" s="373">
        <v>9620</v>
      </c>
      <c r="Y356" s="373">
        <v>9620</v>
      </c>
      <c r="Z356" s="371" t="s">
        <v>2271</v>
      </c>
      <c r="AA356" s="373">
        <v>0</v>
      </c>
      <c r="AB356" s="373">
        <v>9520</v>
      </c>
      <c r="AC356" s="373">
        <v>9520</v>
      </c>
      <c r="AD356" s="371" t="s">
        <v>2271</v>
      </c>
      <c r="AE356" s="373">
        <v>0</v>
      </c>
      <c r="AF356" s="382">
        <v>7.8472222222222193E-2</v>
      </c>
      <c r="AG356" s="382">
        <v>7.8472222222222193E-2</v>
      </c>
      <c r="AH356" s="371" t="s">
        <v>2271</v>
      </c>
      <c r="AI356" s="382">
        <v>0.104861111111111</v>
      </c>
      <c r="AJ356" s="382">
        <v>0.104861111111111</v>
      </c>
      <c r="AK356" s="371" t="s">
        <v>2271</v>
      </c>
      <c r="AL356" s="206" t="s">
        <v>42</v>
      </c>
      <c r="AM356" s="206" t="s">
        <v>42</v>
      </c>
      <c r="AN356" s="371" t="s">
        <v>2271</v>
      </c>
      <c r="AO356" s="206" t="s">
        <v>2546</v>
      </c>
      <c r="AP356" s="206"/>
      <c r="AQ356" s="206" t="s">
        <v>1131</v>
      </c>
      <c r="AR356" s="207" t="s">
        <v>82</v>
      </c>
    </row>
    <row r="357" spans="1:44" x14ac:dyDescent="0.2">
      <c r="A357" s="370">
        <v>338</v>
      </c>
      <c r="B357" s="380">
        <v>184</v>
      </c>
      <c r="C357" s="371" t="s">
        <v>2337</v>
      </c>
      <c r="D357" s="371" t="s">
        <v>2235</v>
      </c>
      <c r="E357" s="206"/>
      <c r="F357" s="206" t="s">
        <v>1593</v>
      </c>
      <c r="G357" s="206" t="s">
        <v>1593</v>
      </c>
      <c r="H357" s="371" t="s">
        <v>2271</v>
      </c>
      <c r="I357" s="206"/>
      <c r="J357" s="206" t="s">
        <v>1726</v>
      </c>
      <c r="K357" s="371" t="s">
        <v>2276</v>
      </c>
      <c r="L357" s="206" t="s">
        <v>2221</v>
      </c>
      <c r="M357" s="206" t="s">
        <v>1594</v>
      </c>
      <c r="N357" s="206" t="s">
        <v>49</v>
      </c>
      <c r="O357" s="372" t="s">
        <v>2223</v>
      </c>
      <c r="P357" s="372">
        <v>46141</v>
      </c>
      <c r="Q357" s="371" t="s">
        <v>2276</v>
      </c>
      <c r="R357" s="373">
        <v>13880</v>
      </c>
      <c r="S357" s="373">
        <v>13880</v>
      </c>
      <c r="T357" s="371" t="s">
        <v>2271</v>
      </c>
      <c r="U357" s="373">
        <v>4170</v>
      </c>
      <c r="V357" s="373">
        <v>4170</v>
      </c>
      <c r="W357" s="371" t="s">
        <v>2271</v>
      </c>
      <c r="X357" s="373">
        <v>9710</v>
      </c>
      <c r="Y357" s="373">
        <v>9710</v>
      </c>
      <c r="Z357" s="371" t="s">
        <v>2271</v>
      </c>
      <c r="AA357" s="373">
        <v>0</v>
      </c>
      <c r="AB357" s="373">
        <v>9730</v>
      </c>
      <c r="AC357" s="373">
        <v>9730</v>
      </c>
      <c r="AD357" s="371" t="s">
        <v>2271</v>
      </c>
      <c r="AE357" s="373">
        <v>0</v>
      </c>
      <c r="AF357" s="382">
        <v>0.59027777777777801</v>
      </c>
      <c r="AG357" s="382">
        <v>0.59027777777777801</v>
      </c>
      <c r="AH357" s="371" t="s">
        <v>2271</v>
      </c>
      <c r="AI357" s="382">
        <v>0.61250000000000004</v>
      </c>
      <c r="AJ357" s="382">
        <v>0.61250000000000004</v>
      </c>
      <c r="AK357" s="371" t="s">
        <v>2271</v>
      </c>
      <c r="AL357" s="206" t="s">
        <v>137</v>
      </c>
      <c r="AM357" s="206" t="s">
        <v>137</v>
      </c>
      <c r="AN357" s="371" t="s">
        <v>2271</v>
      </c>
      <c r="AO357" s="206" t="s">
        <v>2547</v>
      </c>
      <c r="AP357" s="206"/>
      <c r="AQ357" s="206" t="s">
        <v>1131</v>
      </c>
      <c r="AR357" s="207" t="s">
        <v>68</v>
      </c>
    </row>
    <row r="358" spans="1:44" x14ac:dyDescent="0.2">
      <c r="A358" s="370">
        <v>339</v>
      </c>
      <c r="B358" s="380">
        <v>185</v>
      </c>
      <c r="C358" s="371" t="s">
        <v>2275</v>
      </c>
      <c r="D358" s="371" t="s">
        <v>2235</v>
      </c>
      <c r="E358" s="206"/>
      <c r="F358" s="206" t="s">
        <v>171</v>
      </c>
      <c r="G358" s="206" t="s">
        <v>171</v>
      </c>
      <c r="H358" s="371" t="s">
        <v>2271</v>
      </c>
      <c r="I358" s="206"/>
      <c r="J358" s="206" t="s">
        <v>1345</v>
      </c>
      <c r="K358" s="371" t="s">
        <v>2276</v>
      </c>
      <c r="L358" s="206" t="s">
        <v>2151</v>
      </c>
      <c r="M358" s="206" t="s">
        <v>1344</v>
      </c>
      <c r="N358" s="206" t="s">
        <v>40</v>
      </c>
      <c r="O358" s="372">
        <v>45993</v>
      </c>
      <c r="P358" s="372">
        <v>45993</v>
      </c>
      <c r="Q358" s="371" t="s">
        <v>2271</v>
      </c>
      <c r="R358" s="373">
        <v>13220</v>
      </c>
      <c r="S358" s="373">
        <v>13220</v>
      </c>
      <c r="T358" s="371" t="s">
        <v>2271</v>
      </c>
      <c r="U358" s="373">
        <v>3630</v>
      </c>
      <c r="V358" s="373">
        <v>3630</v>
      </c>
      <c r="W358" s="371" t="s">
        <v>2271</v>
      </c>
      <c r="X358" s="373">
        <v>9590</v>
      </c>
      <c r="Y358" s="373">
        <v>9590</v>
      </c>
      <c r="Z358" s="371" t="s">
        <v>2271</v>
      </c>
      <c r="AA358" s="373">
        <v>0</v>
      </c>
      <c r="AB358" s="373">
        <v>9560</v>
      </c>
      <c r="AC358" s="373">
        <v>9560</v>
      </c>
      <c r="AD358" s="371" t="s">
        <v>2271</v>
      </c>
      <c r="AE358" s="373">
        <v>0</v>
      </c>
      <c r="AF358" s="382">
        <v>7.9861111111111105E-2</v>
      </c>
      <c r="AG358" s="382">
        <v>7.9861111111111105E-2</v>
      </c>
      <c r="AH358" s="371" t="s">
        <v>2271</v>
      </c>
      <c r="AI358" s="382">
        <v>0.109722222222222</v>
      </c>
      <c r="AJ358" s="382">
        <v>0.109722222222222</v>
      </c>
      <c r="AK358" s="371" t="s">
        <v>2271</v>
      </c>
      <c r="AL358" s="206" t="s">
        <v>42</v>
      </c>
      <c r="AM358" s="206" t="s">
        <v>42</v>
      </c>
      <c r="AN358" s="371" t="s">
        <v>2271</v>
      </c>
      <c r="AO358" s="206" t="s">
        <v>2548</v>
      </c>
      <c r="AP358" s="206"/>
      <c r="AQ358" s="206" t="s">
        <v>1131</v>
      </c>
      <c r="AR358" s="207" t="s">
        <v>82</v>
      </c>
    </row>
    <row r="359" spans="1:44" x14ac:dyDescent="0.2">
      <c r="A359" s="370">
        <v>340</v>
      </c>
      <c r="B359" s="380">
        <v>185</v>
      </c>
      <c r="C359" s="371" t="s">
        <v>2337</v>
      </c>
      <c r="D359" s="371" t="s">
        <v>2235</v>
      </c>
      <c r="E359" s="206"/>
      <c r="F359" s="206" t="s">
        <v>1592</v>
      </c>
      <c r="G359" s="206" t="s">
        <v>1592</v>
      </c>
      <c r="H359" s="371" t="s">
        <v>2271</v>
      </c>
      <c r="I359" s="206"/>
      <c r="J359" s="206" t="s">
        <v>1726</v>
      </c>
      <c r="K359" s="371" t="s">
        <v>2276</v>
      </c>
      <c r="L359" s="206" t="s">
        <v>2221</v>
      </c>
      <c r="M359" s="206" t="s">
        <v>1594</v>
      </c>
      <c r="N359" s="206" t="s">
        <v>49</v>
      </c>
      <c r="O359" s="372" t="s">
        <v>2223</v>
      </c>
      <c r="P359" s="372">
        <v>46141</v>
      </c>
      <c r="Q359" s="371" t="s">
        <v>2276</v>
      </c>
      <c r="R359" s="373">
        <v>13210</v>
      </c>
      <c r="S359" s="373">
        <v>13210</v>
      </c>
      <c r="T359" s="371" t="s">
        <v>2271</v>
      </c>
      <c r="U359" s="373">
        <v>3930</v>
      </c>
      <c r="V359" s="373">
        <v>3930</v>
      </c>
      <c r="W359" s="371" t="s">
        <v>2271</v>
      </c>
      <c r="X359" s="373">
        <v>9280</v>
      </c>
      <c r="Y359" s="373">
        <v>9280</v>
      </c>
      <c r="Z359" s="371" t="s">
        <v>2271</v>
      </c>
      <c r="AA359" s="373">
        <v>0</v>
      </c>
      <c r="AB359" s="373">
        <v>9290</v>
      </c>
      <c r="AC359" s="373">
        <v>9290</v>
      </c>
      <c r="AD359" s="371" t="s">
        <v>2271</v>
      </c>
      <c r="AE359" s="373">
        <v>0</v>
      </c>
      <c r="AF359" s="382">
        <v>0.59097222222222201</v>
      </c>
      <c r="AG359" s="382">
        <v>0.59097222222222201</v>
      </c>
      <c r="AH359" s="371" t="s">
        <v>2271</v>
      </c>
      <c r="AI359" s="382">
        <v>0.60763888888888895</v>
      </c>
      <c r="AJ359" s="382">
        <v>0.60763888888888895</v>
      </c>
      <c r="AK359" s="371" t="s">
        <v>2271</v>
      </c>
      <c r="AL359" s="206" t="s">
        <v>137</v>
      </c>
      <c r="AM359" s="206" t="s">
        <v>137</v>
      </c>
      <c r="AN359" s="371" t="s">
        <v>2271</v>
      </c>
      <c r="AO359" s="206" t="s">
        <v>2549</v>
      </c>
      <c r="AP359" s="206"/>
      <c r="AQ359" s="206" t="s">
        <v>1131</v>
      </c>
      <c r="AR359" s="207" t="s">
        <v>68</v>
      </c>
    </row>
    <row r="360" spans="1:44" x14ac:dyDescent="0.2">
      <c r="A360" s="370">
        <v>341</v>
      </c>
      <c r="B360" s="380">
        <v>186</v>
      </c>
      <c r="C360" s="371" t="s">
        <v>2275</v>
      </c>
      <c r="D360" s="371" t="s">
        <v>2235</v>
      </c>
      <c r="E360" s="206"/>
      <c r="F360" s="206" t="s">
        <v>158</v>
      </c>
      <c r="G360" s="206" t="s">
        <v>158</v>
      </c>
      <c r="H360" s="371" t="s">
        <v>2271</v>
      </c>
      <c r="I360" s="206"/>
      <c r="J360" s="206" t="s">
        <v>1345</v>
      </c>
      <c r="K360" s="371" t="s">
        <v>2276</v>
      </c>
      <c r="L360" s="206" t="s">
        <v>2151</v>
      </c>
      <c r="M360" s="206" t="s">
        <v>1344</v>
      </c>
      <c r="N360" s="206" t="s">
        <v>40</v>
      </c>
      <c r="O360" s="372">
        <v>45993</v>
      </c>
      <c r="P360" s="372">
        <v>45993</v>
      </c>
      <c r="Q360" s="371" t="s">
        <v>2271</v>
      </c>
      <c r="R360" s="373">
        <v>13930</v>
      </c>
      <c r="S360" s="373">
        <v>13930</v>
      </c>
      <c r="T360" s="371" t="s">
        <v>2271</v>
      </c>
      <c r="U360" s="373">
        <v>3890</v>
      </c>
      <c r="V360" s="373">
        <v>3890</v>
      </c>
      <c r="W360" s="371" t="s">
        <v>2271</v>
      </c>
      <c r="X360" s="373">
        <v>10040</v>
      </c>
      <c r="Y360" s="373">
        <v>10040</v>
      </c>
      <c r="Z360" s="371" t="s">
        <v>2271</v>
      </c>
      <c r="AA360" s="373">
        <v>0</v>
      </c>
      <c r="AB360" s="373">
        <v>10010</v>
      </c>
      <c r="AC360" s="373">
        <v>10010</v>
      </c>
      <c r="AD360" s="371" t="s">
        <v>2271</v>
      </c>
      <c r="AE360" s="373">
        <v>0</v>
      </c>
      <c r="AF360" s="382">
        <v>0.390277777777778</v>
      </c>
      <c r="AG360" s="382">
        <v>0.390277777777778</v>
      </c>
      <c r="AH360" s="371" t="s">
        <v>2271</v>
      </c>
      <c r="AI360" s="382">
        <v>0.41111111111111098</v>
      </c>
      <c r="AJ360" s="382">
        <v>0.41111111111111098</v>
      </c>
      <c r="AK360" s="371" t="s">
        <v>2271</v>
      </c>
      <c r="AL360" s="206" t="s">
        <v>137</v>
      </c>
      <c r="AM360" s="206" t="s">
        <v>137</v>
      </c>
      <c r="AN360" s="371" t="s">
        <v>2271</v>
      </c>
      <c r="AO360" s="206" t="s">
        <v>2550</v>
      </c>
      <c r="AP360" s="206"/>
      <c r="AQ360" s="206" t="s">
        <v>1131</v>
      </c>
      <c r="AR360" s="207" t="s">
        <v>82</v>
      </c>
    </row>
    <row r="361" spans="1:44" x14ac:dyDescent="0.2">
      <c r="A361" s="370">
        <v>342</v>
      </c>
      <c r="B361" s="380">
        <v>186</v>
      </c>
      <c r="C361" s="371" t="s">
        <v>2337</v>
      </c>
      <c r="D361" s="371" t="s">
        <v>2235</v>
      </c>
      <c r="E361" s="206"/>
      <c r="F361" s="206" t="s">
        <v>1595</v>
      </c>
      <c r="G361" s="206" t="s">
        <v>1595</v>
      </c>
      <c r="H361" s="371" t="s">
        <v>2271</v>
      </c>
      <c r="I361" s="206"/>
      <c r="J361" s="206" t="s">
        <v>1726</v>
      </c>
      <c r="K361" s="371" t="s">
        <v>2276</v>
      </c>
      <c r="L361" s="206" t="s">
        <v>2221</v>
      </c>
      <c r="M361" s="206" t="s">
        <v>1594</v>
      </c>
      <c r="N361" s="206" t="s">
        <v>49</v>
      </c>
      <c r="O361" s="372" t="s">
        <v>2223</v>
      </c>
      <c r="P361" s="372">
        <v>46141</v>
      </c>
      <c r="Q361" s="371" t="s">
        <v>2276</v>
      </c>
      <c r="R361" s="373">
        <v>26860</v>
      </c>
      <c r="S361" s="373">
        <v>26860</v>
      </c>
      <c r="T361" s="371" t="s">
        <v>2271</v>
      </c>
      <c r="U361" s="373">
        <v>8290</v>
      </c>
      <c r="V361" s="373">
        <v>8290</v>
      </c>
      <c r="W361" s="371" t="s">
        <v>2271</v>
      </c>
      <c r="X361" s="373">
        <v>18570</v>
      </c>
      <c r="Y361" s="373">
        <v>18570</v>
      </c>
      <c r="Z361" s="371" t="s">
        <v>2271</v>
      </c>
      <c r="AA361" s="373">
        <v>0</v>
      </c>
      <c r="AB361" s="373">
        <v>18570</v>
      </c>
      <c r="AC361" s="373">
        <v>18570</v>
      </c>
      <c r="AD361" s="371" t="s">
        <v>2271</v>
      </c>
      <c r="AE361" s="373">
        <v>0</v>
      </c>
      <c r="AF361" s="382">
        <v>0.65763888888888899</v>
      </c>
      <c r="AG361" s="382">
        <v>0.65763888888888899</v>
      </c>
      <c r="AH361" s="371" t="s">
        <v>2271</v>
      </c>
      <c r="AI361" s="382">
        <v>0.69166666666666698</v>
      </c>
      <c r="AJ361" s="382">
        <v>0.69166666666666698</v>
      </c>
      <c r="AK361" s="371" t="s">
        <v>2271</v>
      </c>
      <c r="AL361" s="206" t="s">
        <v>137</v>
      </c>
      <c r="AM361" s="206" t="s">
        <v>137</v>
      </c>
      <c r="AN361" s="371" t="s">
        <v>2271</v>
      </c>
      <c r="AO361" s="206" t="s">
        <v>2551</v>
      </c>
      <c r="AP361" s="206"/>
      <c r="AQ361" s="206" t="s">
        <v>1132</v>
      </c>
      <c r="AR361" s="207" t="s">
        <v>68</v>
      </c>
    </row>
    <row r="362" spans="1:44" x14ac:dyDescent="0.2">
      <c r="A362" s="370">
        <v>343</v>
      </c>
      <c r="B362" s="380">
        <v>187</v>
      </c>
      <c r="C362" s="371" t="s">
        <v>2275</v>
      </c>
      <c r="D362" s="371" t="s">
        <v>2235</v>
      </c>
      <c r="E362" s="206"/>
      <c r="F362" s="206" t="s">
        <v>169</v>
      </c>
      <c r="G362" s="206" t="s">
        <v>169</v>
      </c>
      <c r="H362" s="371" t="s">
        <v>2271</v>
      </c>
      <c r="I362" s="206"/>
      <c r="J362" s="206" t="s">
        <v>1345</v>
      </c>
      <c r="K362" s="371" t="s">
        <v>2276</v>
      </c>
      <c r="L362" s="206" t="s">
        <v>2151</v>
      </c>
      <c r="M362" s="206" t="s">
        <v>1344</v>
      </c>
      <c r="N362" s="206" t="s">
        <v>40</v>
      </c>
      <c r="O362" s="372">
        <v>45993</v>
      </c>
      <c r="P362" s="372">
        <v>45993</v>
      </c>
      <c r="Q362" s="371" t="s">
        <v>2271</v>
      </c>
      <c r="R362" s="373">
        <v>13420</v>
      </c>
      <c r="S362" s="373">
        <v>13420</v>
      </c>
      <c r="T362" s="371" t="s">
        <v>2271</v>
      </c>
      <c r="U362" s="373">
        <v>3980</v>
      </c>
      <c r="V362" s="373">
        <v>3980</v>
      </c>
      <c r="W362" s="371" t="s">
        <v>2271</v>
      </c>
      <c r="X362" s="373">
        <v>9440</v>
      </c>
      <c r="Y362" s="373">
        <v>9440</v>
      </c>
      <c r="Z362" s="371" t="s">
        <v>2271</v>
      </c>
      <c r="AA362" s="373">
        <v>0</v>
      </c>
      <c r="AB362" s="373">
        <v>9420</v>
      </c>
      <c r="AC362" s="373">
        <v>9420</v>
      </c>
      <c r="AD362" s="371" t="s">
        <v>2271</v>
      </c>
      <c r="AE362" s="373">
        <v>0</v>
      </c>
      <c r="AF362" s="382">
        <v>0.40277777777777801</v>
      </c>
      <c r="AG362" s="382">
        <v>0.40277777777777801</v>
      </c>
      <c r="AH362" s="371" t="s">
        <v>2271</v>
      </c>
      <c r="AI362" s="382">
        <v>0.420833333333333</v>
      </c>
      <c r="AJ362" s="382">
        <v>0.420833333333333</v>
      </c>
      <c r="AK362" s="371" t="s">
        <v>2271</v>
      </c>
      <c r="AL362" s="206" t="s">
        <v>137</v>
      </c>
      <c r="AM362" s="206" t="s">
        <v>137</v>
      </c>
      <c r="AN362" s="371" t="s">
        <v>2271</v>
      </c>
      <c r="AO362" s="206" t="s">
        <v>2552</v>
      </c>
      <c r="AP362" s="206"/>
      <c r="AQ362" s="206" t="s">
        <v>1131</v>
      </c>
      <c r="AR362" s="207" t="s">
        <v>82</v>
      </c>
    </row>
    <row r="363" spans="1:44" x14ac:dyDescent="0.2">
      <c r="A363" s="370">
        <v>344</v>
      </c>
      <c r="B363" s="380">
        <v>187</v>
      </c>
      <c r="C363" s="371" t="s">
        <v>2337</v>
      </c>
      <c r="D363" s="371" t="s">
        <v>2235</v>
      </c>
      <c r="E363" s="206"/>
      <c r="F363" s="206" t="s">
        <v>1272</v>
      </c>
      <c r="G363" s="206" t="s">
        <v>1272</v>
      </c>
      <c r="H363" s="371" t="s">
        <v>2271</v>
      </c>
      <c r="I363" s="206"/>
      <c r="J363" s="206" t="s">
        <v>1726</v>
      </c>
      <c r="K363" s="371" t="s">
        <v>2276</v>
      </c>
      <c r="L363" s="206" t="s">
        <v>2221</v>
      </c>
      <c r="M363" s="206" t="s">
        <v>1594</v>
      </c>
      <c r="N363" s="206" t="s">
        <v>49</v>
      </c>
      <c r="O363" s="372" t="s">
        <v>2223</v>
      </c>
      <c r="P363" s="372">
        <v>46141</v>
      </c>
      <c r="Q363" s="371" t="s">
        <v>2276</v>
      </c>
      <c r="R363" s="373">
        <v>28640</v>
      </c>
      <c r="S363" s="373">
        <v>28640</v>
      </c>
      <c r="T363" s="371" t="s">
        <v>2271</v>
      </c>
      <c r="U363" s="373">
        <v>8160</v>
      </c>
      <c r="V363" s="373">
        <v>8160</v>
      </c>
      <c r="W363" s="371" t="s">
        <v>2271</v>
      </c>
      <c r="X363" s="373">
        <v>20480</v>
      </c>
      <c r="Y363" s="373">
        <v>20480</v>
      </c>
      <c r="Z363" s="371" t="s">
        <v>2271</v>
      </c>
      <c r="AA363" s="373">
        <v>0</v>
      </c>
      <c r="AB363" s="373">
        <v>20520</v>
      </c>
      <c r="AC363" s="373">
        <v>20520</v>
      </c>
      <c r="AD363" s="371" t="s">
        <v>2271</v>
      </c>
      <c r="AE363" s="373">
        <v>0</v>
      </c>
      <c r="AF363" s="382">
        <v>0.66111111111111098</v>
      </c>
      <c r="AG363" s="382">
        <v>0.66111111111111098</v>
      </c>
      <c r="AH363" s="371" t="s">
        <v>2271</v>
      </c>
      <c r="AI363" s="382">
        <v>0.69374999999999998</v>
      </c>
      <c r="AJ363" s="382">
        <v>0.69374999999999998</v>
      </c>
      <c r="AK363" s="371" t="s">
        <v>2271</v>
      </c>
      <c r="AL363" s="206" t="s">
        <v>137</v>
      </c>
      <c r="AM363" s="206" t="s">
        <v>137</v>
      </c>
      <c r="AN363" s="371" t="s">
        <v>2271</v>
      </c>
      <c r="AO363" s="206" t="s">
        <v>2553</v>
      </c>
      <c r="AP363" s="206"/>
      <c r="AQ363" s="206" t="s">
        <v>1132</v>
      </c>
      <c r="AR363" s="207" t="s">
        <v>68</v>
      </c>
    </row>
    <row r="364" spans="1:44" x14ac:dyDescent="0.2">
      <c r="A364" s="370">
        <v>345</v>
      </c>
      <c r="B364" s="380">
        <v>188</v>
      </c>
      <c r="C364" s="371" t="s">
        <v>2275</v>
      </c>
      <c r="D364" s="371" t="s">
        <v>2235</v>
      </c>
      <c r="E364" s="206"/>
      <c r="F364" s="206" t="s">
        <v>160</v>
      </c>
      <c r="G364" s="206" t="s">
        <v>160</v>
      </c>
      <c r="H364" s="371" t="s">
        <v>2271</v>
      </c>
      <c r="I364" s="206"/>
      <c r="J364" s="206" t="s">
        <v>1345</v>
      </c>
      <c r="K364" s="371" t="s">
        <v>2276</v>
      </c>
      <c r="L364" s="206" t="s">
        <v>2151</v>
      </c>
      <c r="M364" s="206" t="s">
        <v>1344</v>
      </c>
      <c r="N364" s="206" t="s">
        <v>40</v>
      </c>
      <c r="O364" s="372">
        <v>45993</v>
      </c>
      <c r="P364" s="372">
        <v>45993</v>
      </c>
      <c r="Q364" s="371" t="s">
        <v>2271</v>
      </c>
      <c r="R364" s="373">
        <v>13470</v>
      </c>
      <c r="S364" s="373">
        <v>13470</v>
      </c>
      <c r="T364" s="371" t="s">
        <v>2271</v>
      </c>
      <c r="U364" s="373">
        <v>3630</v>
      </c>
      <c r="V364" s="373">
        <v>3630</v>
      </c>
      <c r="W364" s="371" t="s">
        <v>2271</v>
      </c>
      <c r="X364" s="373">
        <v>9840</v>
      </c>
      <c r="Y364" s="373">
        <v>9840</v>
      </c>
      <c r="Z364" s="371" t="s">
        <v>2271</v>
      </c>
      <c r="AA364" s="373">
        <v>0</v>
      </c>
      <c r="AB364" s="373">
        <v>9810</v>
      </c>
      <c r="AC364" s="373">
        <v>9810</v>
      </c>
      <c r="AD364" s="371" t="s">
        <v>2271</v>
      </c>
      <c r="AE364" s="373">
        <v>0</v>
      </c>
      <c r="AF364" s="382">
        <v>0.72222222222222199</v>
      </c>
      <c r="AG364" s="382">
        <v>0.72222222222222199</v>
      </c>
      <c r="AH364" s="371" t="s">
        <v>2271</v>
      </c>
      <c r="AI364" s="382">
        <v>0.76249999999999996</v>
      </c>
      <c r="AJ364" s="382">
        <v>0.76249999999999996</v>
      </c>
      <c r="AK364" s="371" t="s">
        <v>2271</v>
      </c>
      <c r="AL364" s="206" t="s">
        <v>137</v>
      </c>
      <c r="AM364" s="206" t="s">
        <v>137</v>
      </c>
      <c r="AN364" s="371" t="s">
        <v>2271</v>
      </c>
      <c r="AO364" s="206" t="s">
        <v>2554</v>
      </c>
      <c r="AP364" s="206"/>
      <c r="AQ364" s="206" t="s">
        <v>1131</v>
      </c>
      <c r="AR364" s="207" t="s">
        <v>82</v>
      </c>
    </row>
    <row r="365" spans="1:44" x14ac:dyDescent="0.2">
      <c r="A365" s="370">
        <v>346</v>
      </c>
      <c r="B365" s="380">
        <v>188</v>
      </c>
      <c r="C365" s="371" t="s">
        <v>2337</v>
      </c>
      <c r="D365" s="371" t="s">
        <v>2235</v>
      </c>
      <c r="E365" s="206"/>
      <c r="F365" s="206" t="s">
        <v>1047</v>
      </c>
      <c r="G365" s="206" t="s">
        <v>1047</v>
      </c>
      <c r="H365" s="371" t="s">
        <v>2271</v>
      </c>
      <c r="I365" s="206"/>
      <c r="J365" s="206" t="s">
        <v>1726</v>
      </c>
      <c r="K365" s="371" t="s">
        <v>2276</v>
      </c>
      <c r="L365" s="206" t="s">
        <v>2221</v>
      </c>
      <c r="M365" s="206" t="s">
        <v>1594</v>
      </c>
      <c r="N365" s="206" t="s">
        <v>49</v>
      </c>
      <c r="O365" s="372" t="s">
        <v>2223</v>
      </c>
      <c r="P365" s="372">
        <v>46141</v>
      </c>
      <c r="Q365" s="371" t="s">
        <v>2276</v>
      </c>
      <c r="R365" s="373">
        <v>13540</v>
      </c>
      <c r="S365" s="373">
        <v>13540</v>
      </c>
      <c r="T365" s="371" t="s">
        <v>2271</v>
      </c>
      <c r="U365" s="373">
        <v>3960</v>
      </c>
      <c r="V365" s="373">
        <v>3960</v>
      </c>
      <c r="W365" s="371" t="s">
        <v>2271</v>
      </c>
      <c r="X365" s="373">
        <v>9580</v>
      </c>
      <c r="Y365" s="373">
        <v>9580</v>
      </c>
      <c r="Z365" s="371" t="s">
        <v>2271</v>
      </c>
      <c r="AA365" s="373">
        <v>0</v>
      </c>
      <c r="AB365" s="373">
        <v>9540</v>
      </c>
      <c r="AC365" s="373">
        <v>9540</v>
      </c>
      <c r="AD365" s="371" t="s">
        <v>2271</v>
      </c>
      <c r="AE365" s="373">
        <v>0</v>
      </c>
      <c r="AF365" s="382">
        <v>0.72708333333333297</v>
      </c>
      <c r="AG365" s="382">
        <v>0.72708333333333297</v>
      </c>
      <c r="AH365" s="371" t="s">
        <v>2271</v>
      </c>
      <c r="AI365" s="382">
        <v>0.74027777777777803</v>
      </c>
      <c r="AJ365" s="382">
        <v>0.74027777777777803</v>
      </c>
      <c r="AK365" s="371" t="s">
        <v>2271</v>
      </c>
      <c r="AL365" s="206" t="s">
        <v>1221</v>
      </c>
      <c r="AM365" s="206" t="s">
        <v>1221</v>
      </c>
      <c r="AN365" s="371" t="s">
        <v>2271</v>
      </c>
      <c r="AO365" s="206" t="s">
        <v>2555</v>
      </c>
      <c r="AP365" s="206"/>
      <c r="AQ365" s="206" t="s">
        <v>1131</v>
      </c>
      <c r="AR365" s="207" t="s">
        <v>68</v>
      </c>
    </row>
    <row r="366" spans="1:44" x14ac:dyDescent="0.2">
      <c r="A366" s="370">
        <v>347</v>
      </c>
      <c r="B366" s="380">
        <v>189</v>
      </c>
      <c r="C366" s="371" t="s">
        <v>2275</v>
      </c>
      <c r="D366" s="371" t="s">
        <v>2235</v>
      </c>
      <c r="E366" s="206"/>
      <c r="F366" s="206" t="s">
        <v>173</v>
      </c>
      <c r="G366" s="206" t="s">
        <v>173</v>
      </c>
      <c r="H366" s="371" t="s">
        <v>2271</v>
      </c>
      <c r="I366" s="206"/>
      <c r="J366" s="206" t="s">
        <v>1345</v>
      </c>
      <c r="K366" s="371" t="s">
        <v>2276</v>
      </c>
      <c r="L366" s="206" t="s">
        <v>2151</v>
      </c>
      <c r="M366" s="206" t="s">
        <v>1344</v>
      </c>
      <c r="N366" s="206" t="s">
        <v>40</v>
      </c>
      <c r="O366" s="372">
        <v>45993</v>
      </c>
      <c r="P366" s="372">
        <v>45993</v>
      </c>
      <c r="Q366" s="371" t="s">
        <v>2271</v>
      </c>
      <c r="R366" s="373">
        <v>14320</v>
      </c>
      <c r="S366" s="373">
        <v>14320</v>
      </c>
      <c r="T366" s="371" t="s">
        <v>2271</v>
      </c>
      <c r="U366" s="373">
        <v>4630</v>
      </c>
      <c r="V366" s="373">
        <v>4630</v>
      </c>
      <c r="W366" s="371" t="s">
        <v>2271</v>
      </c>
      <c r="X366" s="373">
        <v>9690</v>
      </c>
      <c r="Y366" s="373">
        <v>9690</v>
      </c>
      <c r="Z366" s="371" t="s">
        <v>2271</v>
      </c>
      <c r="AA366" s="373">
        <v>0</v>
      </c>
      <c r="AB366" s="373">
        <v>9680</v>
      </c>
      <c r="AC366" s="373">
        <v>9680</v>
      </c>
      <c r="AD366" s="371" t="s">
        <v>2271</v>
      </c>
      <c r="AE366" s="373">
        <v>0</v>
      </c>
      <c r="AF366" s="382">
        <v>0.74166666666666703</v>
      </c>
      <c r="AG366" s="382">
        <v>0.74166666666666703</v>
      </c>
      <c r="AH366" s="371" t="s">
        <v>2271</v>
      </c>
      <c r="AI366" s="382">
        <v>0.77708333333333302</v>
      </c>
      <c r="AJ366" s="382">
        <v>0.77708333333333302</v>
      </c>
      <c r="AK366" s="371" t="s">
        <v>2271</v>
      </c>
      <c r="AL366" s="206" t="s">
        <v>137</v>
      </c>
      <c r="AM366" s="206" t="s">
        <v>137</v>
      </c>
      <c r="AN366" s="371" t="s">
        <v>2271</v>
      </c>
      <c r="AO366" s="206" t="s">
        <v>2556</v>
      </c>
      <c r="AP366" s="206"/>
      <c r="AQ366" s="206" t="s">
        <v>1131</v>
      </c>
      <c r="AR366" s="207" t="s">
        <v>82</v>
      </c>
    </row>
    <row r="367" spans="1:44" x14ac:dyDescent="0.2">
      <c r="A367" s="370">
        <v>348</v>
      </c>
      <c r="B367" s="380">
        <v>189</v>
      </c>
      <c r="C367" s="371" t="s">
        <v>2337</v>
      </c>
      <c r="D367" s="371" t="s">
        <v>2235</v>
      </c>
      <c r="E367" s="206"/>
      <c r="F367" s="206" t="s">
        <v>1276</v>
      </c>
      <c r="G367" s="206" t="s">
        <v>1276</v>
      </c>
      <c r="H367" s="371" t="s">
        <v>2271</v>
      </c>
      <c r="I367" s="206"/>
      <c r="J367" s="206" t="s">
        <v>1726</v>
      </c>
      <c r="K367" s="371" t="s">
        <v>2276</v>
      </c>
      <c r="L367" s="206" t="s">
        <v>2221</v>
      </c>
      <c r="M367" s="206" t="s">
        <v>1594</v>
      </c>
      <c r="N367" s="206" t="s">
        <v>49</v>
      </c>
      <c r="O367" s="372" t="s">
        <v>2223</v>
      </c>
      <c r="P367" s="372">
        <v>46141</v>
      </c>
      <c r="Q367" s="371" t="s">
        <v>2276</v>
      </c>
      <c r="R367" s="373">
        <v>13920</v>
      </c>
      <c r="S367" s="373">
        <v>13920</v>
      </c>
      <c r="T367" s="371" t="s">
        <v>2271</v>
      </c>
      <c r="U367" s="373">
        <v>4000</v>
      </c>
      <c r="V367" s="373">
        <v>4000</v>
      </c>
      <c r="W367" s="371" t="s">
        <v>2271</v>
      </c>
      <c r="X367" s="373">
        <v>9920</v>
      </c>
      <c r="Y367" s="373">
        <v>9920</v>
      </c>
      <c r="Z367" s="371" t="s">
        <v>2271</v>
      </c>
      <c r="AA367" s="373">
        <v>0</v>
      </c>
      <c r="AB367" s="373">
        <v>9870</v>
      </c>
      <c r="AC367" s="373">
        <v>9870</v>
      </c>
      <c r="AD367" s="371" t="s">
        <v>2271</v>
      </c>
      <c r="AE367" s="373">
        <v>0</v>
      </c>
      <c r="AF367" s="382">
        <v>0.74583333333333302</v>
      </c>
      <c r="AG367" s="382">
        <v>0.74583333333333302</v>
      </c>
      <c r="AH367" s="371" t="s">
        <v>2271</v>
      </c>
      <c r="AI367" s="382">
        <v>0.77083333333333304</v>
      </c>
      <c r="AJ367" s="382">
        <v>0.77083333333333304</v>
      </c>
      <c r="AK367" s="371" t="s">
        <v>2271</v>
      </c>
      <c r="AL367" s="206" t="s">
        <v>1221</v>
      </c>
      <c r="AM367" s="206" t="s">
        <v>1221</v>
      </c>
      <c r="AN367" s="371" t="s">
        <v>2271</v>
      </c>
      <c r="AO367" s="206" t="s">
        <v>2557</v>
      </c>
      <c r="AP367" s="206"/>
      <c r="AQ367" s="206" t="s">
        <v>1131</v>
      </c>
      <c r="AR367" s="207" t="s">
        <v>68</v>
      </c>
    </row>
    <row r="368" spans="1:44" x14ac:dyDescent="0.2">
      <c r="A368" s="370">
        <v>349</v>
      </c>
      <c r="B368" s="380">
        <v>190</v>
      </c>
      <c r="C368" s="371" t="s">
        <v>2275</v>
      </c>
      <c r="D368" s="371" t="s">
        <v>2235</v>
      </c>
      <c r="E368" s="206"/>
      <c r="F368" s="206" t="s">
        <v>177</v>
      </c>
      <c r="G368" s="206" t="s">
        <v>177</v>
      </c>
      <c r="H368" s="371" t="s">
        <v>2271</v>
      </c>
      <c r="I368" s="206"/>
      <c r="J368" s="206" t="s">
        <v>1345</v>
      </c>
      <c r="K368" s="371" t="s">
        <v>2276</v>
      </c>
      <c r="L368" s="206" t="s">
        <v>2151</v>
      </c>
      <c r="M368" s="206" t="s">
        <v>1344</v>
      </c>
      <c r="N368" s="206" t="s">
        <v>40</v>
      </c>
      <c r="O368" s="372">
        <v>45993</v>
      </c>
      <c r="P368" s="372">
        <v>45993</v>
      </c>
      <c r="Q368" s="371" t="s">
        <v>2271</v>
      </c>
      <c r="R368" s="373">
        <v>13800</v>
      </c>
      <c r="S368" s="373">
        <v>13800</v>
      </c>
      <c r="T368" s="371" t="s">
        <v>2271</v>
      </c>
      <c r="U368" s="373">
        <v>4050</v>
      </c>
      <c r="V368" s="373">
        <v>4050</v>
      </c>
      <c r="W368" s="371" t="s">
        <v>2271</v>
      </c>
      <c r="X368" s="373">
        <v>9750</v>
      </c>
      <c r="Y368" s="373">
        <v>9750</v>
      </c>
      <c r="Z368" s="371" t="s">
        <v>2271</v>
      </c>
      <c r="AA368" s="373">
        <v>0</v>
      </c>
      <c r="AB368" s="373">
        <v>9720</v>
      </c>
      <c r="AC368" s="373">
        <v>9720</v>
      </c>
      <c r="AD368" s="371" t="s">
        <v>2271</v>
      </c>
      <c r="AE368" s="373">
        <v>0</v>
      </c>
      <c r="AF368" s="382">
        <v>0.74236111111111103</v>
      </c>
      <c r="AG368" s="382">
        <v>0.74236111111111103</v>
      </c>
      <c r="AH368" s="371" t="s">
        <v>2271</v>
      </c>
      <c r="AI368" s="382">
        <v>0.79652777777777795</v>
      </c>
      <c r="AJ368" s="382">
        <v>0.79652777777777795</v>
      </c>
      <c r="AK368" s="371" t="s">
        <v>2271</v>
      </c>
      <c r="AL368" s="206" t="s">
        <v>137</v>
      </c>
      <c r="AM368" s="206" t="s">
        <v>137</v>
      </c>
      <c r="AN368" s="371" t="s">
        <v>2271</v>
      </c>
      <c r="AO368" s="206" t="s">
        <v>2558</v>
      </c>
      <c r="AP368" s="206"/>
      <c r="AQ368" s="206" t="s">
        <v>1131</v>
      </c>
      <c r="AR368" s="207" t="s">
        <v>82</v>
      </c>
    </row>
    <row r="369" spans="1:44" x14ac:dyDescent="0.2">
      <c r="A369" s="370">
        <v>350</v>
      </c>
      <c r="B369" s="380">
        <v>190</v>
      </c>
      <c r="C369" s="371" t="s">
        <v>2337</v>
      </c>
      <c r="D369" s="371" t="s">
        <v>2235</v>
      </c>
      <c r="E369" s="206"/>
      <c r="F369" s="206" t="s">
        <v>163</v>
      </c>
      <c r="G369" s="206" t="s">
        <v>163</v>
      </c>
      <c r="H369" s="371" t="s">
        <v>2271</v>
      </c>
      <c r="I369" s="206"/>
      <c r="J369" s="206" t="s">
        <v>1726</v>
      </c>
      <c r="K369" s="371" t="s">
        <v>2276</v>
      </c>
      <c r="L369" s="206" t="s">
        <v>2221</v>
      </c>
      <c r="M369" s="206" t="s">
        <v>1594</v>
      </c>
      <c r="N369" s="206" t="s">
        <v>49</v>
      </c>
      <c r="O369" s="372" t="s">
        <v>2223</v>
      </c>
      <c r="P369" s="372">
        <v>46141</v>
      </c>
      <c r="Q369" s="371" t="s">
        <v>2276</v>
      </c>
      <c r="R369" s="373">
        <v>13920</v>
      </c>
      <c r="S369" s="373">
        <v>13920</v>
      </c>
      <c r="T369" s="371" t="s">
        <v>2271</v>
      </c>
      <c r="U369" s="373">
        <v>3900</v>
      </c>
      <c r="V369" s="373">
        <v>3900</v>
      </c>
      <c r="W369" s="371" t="s">
        <v>2271</v>
      </c>
      <c r="X369" s="373">
        <v>10020</v>
      </c>
      <c r="Y369" s="373">
        <v>10020</v>
      </c>
      <c r="Z369" s="371" t="s">
        <v>2271</v>
      </c>
      <c r="AA369" s="373">
        <v>0</v>
      </c>
      <c r="AB369" s="373">
        <v>9990</v>
      </c>
      <c r="AC369" s="373">
        <v>9990</v>
      </c>
      <c r="AD369" s="371" t="s">
        <v>2271</v>
      </c>
      <c r="AE369" s="373">
        <v>0</v>
      </c>
      <c r="AF369" s="382">
        <v>0.77361111111111103</v>
      </c>
      <c r="AG369" s="382">
        <v>0.77361111111111103</v>
      </c>
      <c r="AH369" s="371" t="s">
        <v>2271</v>
      </c>
      <c r="AI369" s="382">
        <v>0.78888888888888897</v>
      </c>
      <c r="AJ369" s="382">
        <v>0.78888888888888897</v>
      </c>
      <c r="AK369" s="371" t="s">
        <v>2271</v>
      </c>
      <c r="AL369" s="206" t="s">
        <v>1221</v>
      </c>
      <c r="AM369" s="206" t="s">
        <v>1221</v>
      </c>
      <c r="AN369" s="371" t="s">
        <v>2271</v>
      </c>
      <c r="AO369" s="206" t="s">
        <v>2559</v>
      </c>
      <c r="AP369" s="206"/>
      <c r="AQ369" s="206" t="s">
        <v>1131</v>
      </c>
      <c r="AR369" s="207" t="s">
        <v>68</v>
      </c>
    </row>
    <row r="370" spans="1:44" x14ac:dyDescent="0.2">
      <c r="A370" s="370">
        <v>351</v>
      </c>
      <c r="B370" s="380">
        <v>191</v>
      </c>
      <c r="C370" s="371" t="s">
        <v>2269</v>
      </c>
      <c r="D370" s="371" t="s">
        <v>2270</v>
      </c>
      <c r="E370" s="206"/>
      <c r="F370" s="206" t="s">
        <v>334</v>
      </c>
      <c r="G370" s="206" t="s">
        <v>334</v>
      </c>
      <c r="H370" s="371" t="s">
        <v>2271</v>
      </c>
      <c r="I370" s="206" t="s">
        <v>1345</v>
      </c>
      <c r="J370" s="206" t="s">
        <v>1345</v>
      </c>
      <c r="K370" s="371" t="s">
        <v>2271</v>
      </c>
      <c r="L370" s="206" t="s">
        <v>2152</v>
      </c>
      <c r="M370" s="206" t="s">
        <v>1344</v>
      </c>
      <c r="N370" s="206" t="s">
        <v>40</v>
      </c>
      <c r="O370" s="372">
        <v>45994</v>
      </c>
      <c r="P370" s="372">
        <v>45994</v>
      </c>
      <c r="Q370" s="371" t="s">
        <v>2271</v>
      </c>
      <c r="R370" s="373">
        <v>13960</v>
      </c>
      <c r="S370" s="373">
        <v>13960</v>
      </c>
      <c r="T370" s="371" t="s">
        <v>2271</v>
      </c>
      <c r="U370" s="373">
        <v>3880</v>
      </c>
      <c r="V370" s="373">
        <v>3880</v>
      </c>
      <c r="W370" s="371" t="s">
        <v>2271</v>
      </c>
      <c r="X370" s="373">
        <v>10080</v>
      </c>
      <c r="Y370" s="373">
        <v>10080</v>
      </c>
      <c r="Z370" s="371" t="s">
        <v>2271</v>
      </c>
      <c r="AA370" s="373">
        <v>0</v>
      </c>
      <c r="AB370" s="373">
        <v>10070</v>
      </c>
      <c r="AC370" s="373">
        <v>10070</v>
      </c>
      <c r="AD370" s="371" t="s">
        <v>2271</v>
      </c>
      <c r="AE370" s="373">
        <v>0</v>
      </c>
      <c r="AF370" s="382">
        <v>0.34236111111111101</v>
      </c>
      <c r="AG370" s="382">
        <v>0.34236111111111101</v>
      </c>
      <c r="AH370" s="371" t="s">
        <v>2271</v>
      </c>
      <c r="AI370" s="382">
        <v>0.37291666666666701</v>
      </c>
      <c r="AJ370" s="382">
        <v>0.37291666666666701</v>
      </c>
      <c r="AK370" s="371" t="s">
        <v>2271</v>
      </c>
      <c r="AL370" s="206" t="s">
        <v>137</v>
      </c>
      <c r="AM370" s="206" t="s">
        <v>137</v>
      </c>
      <c r="AN370" s="371" t="s">
        <v>2271</v>
      </c>
      <c r="AO370" s="206" t="s">
        <v>2560</v>
      </c>
      <c r="AP370" s="206"/>
      <c r="AQ370" s="206" t="s">
        <v>1131</v>
      </c>
      <c r="AR370" s="207" t="s">
        <v>82</v>
      </c>
    </row>
    <row r="371" spans="1:44" x14ac:dyDescent="0.2">
      <c r="A371" s="370">
        <v>352</v>
      </c>
      <c r="B371" s="380">
        <v>191</v>
      </c>
      <c r="C371" s="371" t="s">
        <v>2337</v>
      </c>
      <c r="D371" s="371" t="s">
        <v>2235</v>
      </c>
      <c r="E371" s="206"/>
      <c r="F371" s="206" t="s">
        <v>194</v>
      </c>
      <c r="G371" s="206" t="s">
        <v>194</v>
      </c>
      <c r="H371" s="371" t="s">
        <v>2271</v>
      </c>
      <c r="I371" s="206"/>
      <c r="J371" s="206" t="s">
        <v>1726</v>
      </c>
      <c r="K371" s="371" t="s">
        <v>2276</v>
      </c>
      <c r="L371" s="206" t="s">
        <v>2221</v>
      </c>
      <c r="M371" s="206" t="s">
        <v>1594</v>
      </c>
      <c r="N371" s="206" t="s">
        <v>49</v>
      </c>
      <c r="O371" s="372" t="s">
        <v>2223</v>
      </c>
      <c r="P371" s="372">
        <v>46141</v>
      </c>
      <c r="Q371" s="371" t="s">
        <v>2276</v>
      </c>
      <c r="R371" s="373">
        <v>13060</v>
      </c>
      <c r="S371" s="373">
        <v>13060</v>
      </c>
      <c r="T371" s="371" t="s">
        <v>2271</v>
      </c>
      <c r="U371" s="373">
        <v>3840</v>
      </c>
      <c r="V371" s="373">
        <v>3840</v>
      </c>
      <c r="W371" s="371" t="s">
        <v>2271</v>
      </c>
      <c r="X371" s="373">
        <v>9220</v>
      </c>
      <c r="Y371" s="373">
        <v>9220</v>
      </c>
      <c r="Z371" s="371" t="s">
        <v>2271</v>
      </c>
      <c r="AA371" s="373">
        <v>0</v>
      </c>
      <c r="AB371" s="373">
        <v>9270</v>
      </c>
      <c r="AC371" s="373">
        <v>9270</v>
      </c>
      <c r="AD371" s="371" t="s">
        <v>2271</v>
      </c>
      <c r="AE371" s="373">
        <v>0</v>
      </c>
      <c r="AF371" s="382">
        <v>0.77500000000000002</v>
      </c>
      <c r="AG371" s="382">
        <v>0.77500000000000002</v>
      </c>
      <c r="AH371" s="371" t="s">
        <v>2271</v>
      </c>
      <c r="AI371" s="382">
        <v>0.79861111111111105</v>
      </c>
      <c r="AJ371" s="382">
        <v>0.79861111111111105</v>
      </c>
      <c r="AK371" s="371" t="s">
        <v>2271</v>
      </c>
      <c r="AL371" s="206" t="s">
        <v>1221</v>
      </c>
      <c r="AM371" s="206" t="s">
        <v>1221</v>
      </c>
      <c r="AN371" s="371" t="s">
        <v>2271</v>
      </c>
      <c r="AO371" s="206" t="s">
        <v>2561</v>
      </c>
      <c r="AP371" s="206"/>
      <c r="AQ371" s="206" t="s">
        <v>1131</v>
      </c>
      <c r="AR371" s="207" t="s">
        <v>68</v>
      </c>
    </row>
    <row r="372" spans="1:44" x14ac:dyDescent="0.2">
      <c r="A372" s="370">
        <v>353</v>
      </c>
      <c r="B372" s="380">
        <v>192</v>
      </c>
      <c r="C372" s="371" t="s">
        <v>2269</v>
      </c>
      <c r="D372" s="371" t="s">
        <v>2270</v>
      </c>
      <c r="E372" s="206"/>
      <c r="F372" s="206" t="s">
        <v>181</v>
      </c>
      <c r="G372" s="206" t="s">
        <v>181</v>
      </c>
      <c r="H372" s="371" t="s">
        <v>2271</v>
      </c>
      <c r="I372" s="206" t="s">
        <v>1345</v>
      </c>
      <c r="J372" s="206" t="s">
        <v>1345</v>
      </c>
      <c r="K372" s="371" t="s">
        <v>2271</v>
      </c>
      <c r="L372" s="206" t="s">
        <v>2152</v>
      </c>
      <c r="M372" s="206" t="s">
        <v>1344</v>
      </c>
      <c r="N372" s="206" t="s">
        <v>40</v>
      </c>
      <c r="O372" s="372">
        <v>45994</v>
      </c>
      <c r="P372" s="372">
        <v>45994</v>
      </c>
      <c r="Q372" s="371" t="s">
        <v>2271</v>
      </c>
      <c r="R372" s="373">
        <v>13580</v>
      </c>
      <c r="S372" s="373">
        <v>13580</v>
      </c>
      <c r="T372" s="371" t="s">
        <v>2271</v>
      </c>
      <c r="U372" s="373">
        <v>3970</v>
      </c>
      <c r="V372" s="373">
        <v>3970</v>
      </c>
      <c r="W372" s="371" t="s">
        <v>2271</v>
      </c>
      <c r="X372" s="373">
        <v>9610</v>
      </c>
      <c r="Y372" s="373">
        <v>9610</v>
      </c>
      <c r="Z372" s="371" t="s">
        <v>2271</v>
      </c>
      <c r="AA372" s="373">
        <v>0</v>
      </c>
      <c r="AB372" s="373">
        <v>9600</v>
      </c>
      <c r="AC372" s="373">
        <v>9600</v>
      </c>
      <c r="AD372" s="371" t="s">
        <v>2271</v>
      </c>
      <c r="AE372" s="373">
        <v>0</v>
      </c>
      <c r="AF372" s="382">
        <v>0.34652777777777799</v>
      </c>
      <c r="AG372" s="382">
        <v>0.34652777777777799</v>
      </c>
      <c r="AH372" s="371" t="s">
        <v>2271</v>
      </c>
      <c r="AI372" s="382">
        <v>0.38263888888888897</v>
      </c>
      <c r="AJ372" s="382">
        <v>0.38263888888888897</v>
      </c>
      <c r="AK372" s="371" t="s">
        <v>2271</v>
      </c>
      <c r="AL372" s="206" t="s">
        <v>137</v>
      </c>
      <c r="AM372" s="206" t="s">
        <v>137</v>
      </c>
      <c r="AN372" s="371" t="s">
        <v>2271</v>
      </c>
      <c r="AO372" s="206" t="s">
        <v>2562</v>
      </c>
      <c r="AP372" s="206"/>
      <c r="AQ372" s="206" t="s">
        <v>1131</v>
      </c>
      <c r="AR372" s="207" t="s">
        <v>82</v>
      </c>
    </row>
    <row r="373" spans="1:44" x14ac:dyDescent="0.2">
      <c r="A373" s="370">
        <v>354</v>
      </c>
      <c r="B373" s="380">
        <v>192</v>
      </c>
      <c r="C373" s="371" t="s">
        <v>2337</v>
      </c>
      <c r="D373" s="371" t="s">
        <v>2235</v>
      </c>
      <c r="E373" s="206"/>
      <c r="F373" s="206" t="s">
        <v>1592</v>
      </c>
      <c r="G373" s="206" t="s">
        <v>1592</v>
      </c>
      <c r="H373" s="371" t="s">
        <v>2271</v>
      </c>
      <c r="I373" s="206"/>
      <c r="J373" s="206" t="s">
        <v>1726</v>
      </c>
      <c r="K373" s="371" t="s">
        <v>2276</v>
      </c>
      <c r="L373" s="206" t="s">
        <v>2221</v>
      </c>
      <c r="M373" s="206" t="s">
        <v>1594</v>
      </c>
      <c r="N373" s="206" t="s">
        <v>49</v>
      </c>
      <c r="O373" s="372" t="s">
        <v>2223</v>
      </c>
      <c r="P373" s="372">
        <v>46141</v>
      </c>
      <c r="Q373" s="371" t="s">
        <v>2276</v>
      </c>
      <c r="R373" s="373">
        <v>13210</v>
      </c>
      <c r="S373" s="373">
        <v>13210</v>
      </c>
      <c r="T373" s="371" t="s">
        <v>2271</v>
      </c>
      <c r="U373" s="373">
        <v>3910</v>
      </c>
      <c r="V373" s="373">
        <v>3910</v>
      </c>
      <c r="W373" s="371" t="s">
        <v>2271</v>
      </c>
      <c r="X373" s="373">
        <v>9300</v>
      </c>
      <c r="Y373" s="373">
        <v>9300</v>
      </c>
      <c r="Z373" s="371" t="s">
        <v>2271</v>
      </c>
      <c r="AA373" s="373">
        <v>0</v>
      </c>
      <c r="AB373" s="373">
        <v>9220</v>
      </c>
      <c r="AC373" s="373">
        <v>9220</v>
      </c>
      <c r="AD373" s="371" t="s">
        <v>2271</v>
      </c>
      <c r="AE373" s="373">
        <v>0</v>
      </c>
      <c r="AF373" s="382">
        <v>0.81041666666666701</v>
      </c>
      <c r="AG373" s="382">
        <v>0.81041666666666701</v>
      </c>
      <c r="AH373" s="371" t="s">
        <v>2271</v>
      </c>
      <c r="AI373" s="382">
        <v>0.82916666666666705</v>
      </c>
      <c r="AJ373" s="382">
        <v>0.82916666666666705</v>
      </c>
      <c r="AK373" s="371" t="s">
        <v>2271</v>
      </c>
      <c r="AL373" s="206" t="s">
        <v>1221</v>
      </c>
      <c r="AM373" s="206" t="s">
        <v>1221</v>
      </c>
      <c r="AN373" s="371" t="s">
        <v>2271</v>
      </c>
      <c r="AO373" s="206" t="s">
        <v>2563</v>
      </c>
      <c r="AP373" s="206"/>
      <c r="AQ373" s="206" t="s">
        <v>1131</v>
      </c>
      <c r="AR373" s="207" t="s">
        <v>68</v>
      </c>
    </row>
    <row r="374" spans="1:44" x14ac:dyDescent="0.2">
      <c r="A374" s="370">
        <v>355</v>
      </c>
      <c r="B374" s="380">
        <v>193</v>
      </c>
      <c r="C374" s="371" t="s">
        <v>2269</v>
      </c>
      <c r="D374" s="371" t="s">
        <v>2270</v>
      </c>
      <c r="E374" s="206"/>
      <c r="F374" s="206" t="s">
        <v>147</v>
      </c>
      <c r="G374" s="206" t="s">
        <v>147</v>
      </c>
      <c r="H374" s="371" t="s">
        <v>2271</v>
      </c>
      <c r="I374" s="206" t="s">
        <v>1345</v>
      </c>
      <c r="J374" s="206" t="s">
        <v>1345</v>
      </c>
      <c r="K374" s="371" t="s">
        <v>2271</v>
      </c>
      <c r="L374" s="206" t="s">
        <v>2152</v>
      </c>
      <c r="M374" s="206" t="s">
        <v>1344</v>
      </c>
      <c r="N374" s="206" t="s">
        <v>40</v>
      </c>
      <c r="O374" s="372">
        <v>45994</v>
      </c>
      <c r="P374" s="372">
        <v>45994</v>
      </c>
      <c r="Q374" s="371" t="s">
        <v>2271</v>
      </c>
      <c r="R374" s="373">
        <v>13980</v>
      </c>
      <c r="S374" s="373">
        <v>13980</v>
      </c>
      <c r="T374" s="371" t="s">
        <v>2271</v>
      </c>
      <c r="U374" s="373">
        <v>3980</v>
      </c>
      <c r="V374" s="373">
        <v>3980</v>
      </c>
      <c r="W374" s="371" t="s">
        <v>2271</v>
      </c>
      <c r="X374" s="373">
        <v>10000</v>
      </c>
      <c r="Y374" s="373">
        <v>10000</v>
      </c>
      <c r="Z374" s="371" t="s">
        <v>2271</v>
      </c>
      <c r="AA374" s="373">
        <v>0</v>
      </c>
      <c r="AB374" s="373">
        <v>9990</v>
      </c>
      <c r="AC374" s="373">
        <v>9990</v>
      </c>
      <c r="AD374" s="371" t="s">
        <v>2271</v>
      </c>
      <c r="AE374" s="373">
        <v>0</v>
      </c>
      <c r="AF374" s="382">
        <v>0.34861111111111098</v>
      </c>
      <c r="AG374" s="382">
        <v>0.34861111111111098</v>
      </c>
      <c r="AH374" s="371" t="s">
        <v>2271</v>
      </c>
      <c r="AI374" s="382">
        <v>0.40416666666666701</v>
      </c>
      <c r="AJ374" s="382">
        <v>0.40416666666666701</v>
      </c>
      <c r="AK374" s="371" t="s">
        <v>2271</v>
      </c>
      <c r="AL374" s="206" t="s">
        <v>137</v>
      </c>
      <c r="AM374" s="206" t="s">
        <v>137</v>
      </c>
      <c r="AN374" s="371" t="s">
        <v>2271</v>
      </c>
      <c r="AO374" s="206" t="s">
        <v>2564</v>
      </c>
      <c r="AP374" s="206"/>
      <c r="AQ374" s="206" t="s">
        <v>1131</v>
      </c>
      <c r="AR374" s="207" t="s">
        <v>82</v>
      </c>
    </row>
    <row r="375" spans="1:44" x14ac:dyDescent="0.2">
      <c r="A375" s="370">
        <v>356</v>
      </c>
      <c r="B375" s="380">
        <v>193</v>
      </c>
      <c r="C375" s="371" t="s">
        <v>2337</v>
      </c>
      <c r="D375" s="371" t="s">
        <v>2235</v>
      </c>
      <c r="E375" s="206"/>
      <c r="F375" s="206" t="s">
        <v>149</v>
      </c>
      <c r="G375" s="206" t="s">
        <v>149</v>
      </c>
      <c r="H375" s="371" t="s">
        <v>2271</v>
      </c>
      <c r="I375" s="206"/>
      <c r="J375" s="206" t="s">
        <v>1726</v>
      </c>
      <c r="K375" s="371" t="s">
        <v>2276</v>
      </c>
      <c r="L375" s="206" t="s">
        <v>2221</v>
      </c>
      <c r="M375" s="206" t="s">
        <v>1594</v>
      </c>
      <c r="N375" s="206" t="s">
        <v>49</v>
      </c>
      <c r="O375" s="372" t="s">
        <v>2223</v>
      </c>
      <c r="P375" s="372">
        <v>46141</v>
      </c>
      <c r="Q375" s="371" t="s">
        <v>2276</v>
      </c>
      <c r="R375" s="373">
        <v>13810</v>
      </c>
      <c r="S375" s="373">
        <v>13810</v>
      </c>
      <c r="T375" s="371" t="s">
        <v>2271</v>
      </c>
      <c r="U375" s="373">
        <v>4020</v>
      </c>
      <c r="V375" s="373">
        <v>4020</v>
      </c>
      <c r="W375" s="371" t="s">
        <v>2271</v>
      </c>
      <c r="X375" s="373">
        <v>9790</v>
      </c>
      <c r="Y375" s="373">
        <v>9790</v>
      </c>
      <c r="Z375" s="371" t="s">
        <v>2271</v>
      </c>
      <c r="AA375" s="373">
        <v>0</v>
      </c>
      <c r="AB375" s="373">
        <v>9750</v>
      </c>
      <c r="AC375" s="373">
        <v>9750</v>
      </c>
      <c r="AD375" s="371" t="s">
        <v>2271</v>
      </c>
      <c r="AE375" s="373">
        <v>0</v>
      </c>
      <c r="AF375" s="382">
        <v>0.811805555555556</v>
      </c>
      <c r="AG375" s="382">
        <v>0.811805555555556</v>
      </c>
      <c r="AH375" s="371" t="s">
        <v>2271</v>
      </c>
      <c r="AI375" s="382">
        <v>0.83194444444444404</v>
      </c>
      <c r="AJ375" s="382">
        <v>0.83194444444444404</v>
      </c>
      <c r="AK375" s="371" t="s">
        <v>2271</v>
      </c>
      <c r="AL375" s="206" t="s">
        <v>1221</v>
      </c>
      <c r="AM375" s="206" t="s">
        <v>1221</v>
      </c>
      <c r="AN375" s="371" t="s">
        <v>2271</v>
      </c>
      <c r="AO375" s="206" t="s">
        <v>2565</v>
      </c>
      <c r="AP375" s="206"/>
      <c r="AQ375" s="206" t="s">
        <v>1131</v>
      </c>
      <c r="AR375" s="207" t="s">
        <v>68</v>
      </c>
    </row>
    <row r="376" spans="1:44" x14ac:dyDescent="0.2">
      <c r="A376" s="370">
        <v>357</v>
      </c>
      <c r="B376" s="380">
        <v>194</v>
      </c>
      <c r="C376" s="371" t="s">
        <v>2269</v>
      </c>
      <c r="D376" s="371" t="s">
        <v>2270</v>
      </c>
      <c r="E376" s="206"/>
      <c r="F376" s="206" t="s">
        <v>186</v>
      </c>
      <c r="G376" s="206" t="s">
        <v>186</v>
      </c>
      <c r="H376" s="371" t="s">
        <v>2271</v>
      </c>
      <c r="I376" s="206" t="s">
        <v>1345</v>
      </c>
      <c r="J376" s="206" t="s">
        <v>1345</v>
      </c>
      <c r="K376" s="371" t="s">
        <v>2271</v>
      </c>
      <c r="L376" s="206" t="s">
        <v>2152</v>
      </c>
      <c r="M376" s="206" t="s">
        <v>1344</v>
      </c>
      <c r="N376" s="206" t="s">
        <v>40</v>
      </c>
      <c r="O376" s="372">
        <v>45994</v>
      </c>
      <c r="P376" s="372">
        <v>45994</v>
      </c>
      <c r="Q376" s="371" t="s">
        <v>2271</v>
      </c>
      <c r="R376" s="373">
        <v>13490</v>
      </c>
      <c r="S376" s="373">
        <v>13490</v>
      </c>
      <c r="T376" s="371" t="s">
        <v>2271</v>
      </c>
      <c r="U376" s="373">
        <v>3940</v>
      </c>
      <c r="V376" s="373">
        <v>3940</v>
      </c>
      <c r="W376" s="371" t="s">
        <v>2271</v>
      </c>
      <c r="X376" s="373">
        <v>9550</v>
      </c>
      <c r="Y376" s="373">
        <v>9550</v>
      </c>
      <c r="Z376" s="371" t="s">
        <v>2271</v>
      </c>
      <c r="AA376" s="373">
        <v>0</v>
      </c>
      <c r="AB376" s="373">
        <v>9560</v>
      </c>
      <c r="AC376" s="373">
        <v>9560</v>
      </c>
      <c r="AD376" s="371" t="s">
        <v>2271</v>
      </c>
      <c r="AE376" s="373">
        <v>0</v>
      </c>
      <c r="AF376" s="382">
        <v>0.35069444444444398</v>
      </c>
      <c r="AG376" s="382">
        <v>0.35069444444444398</v>
      </c>
      <c r="AH376" s="371" t="s">
        <v>2271</v>
      </c>
      <c r="AI376" s="382">
        <v>0.41041666666666698</v>
      </c>
      <c r="AJ376" s="382">
        <v>0.41041666666666698</v>
      </c>
      <c r="AK376" s="371" t="s">
        <v>2271</v>
      </c>
      <c r="AL376" s="206" t="s">
        <v>137</v>
      </c>
      <c r="AM376" s="206" t="s">
        <v>137</v>
      </c>
      <c r="AN376" s="371" t="s">
        <v>2271</v>
      </c>
      <c r="AO376" s="206" t="s">
        <v>2566</v>
      </c>
      <c r="AP376" s="206"/>
      <c r="AQ376" s="206" t="s">
        <v>1131</v>
      </c>
      <c r="AR376" s="207" t="s">
        <v>82</v>
      </c>
    </row>
    <row r="377" spans="1:44" x14ac:dyDescent="0.2">
      <c r="A377" s="370">
        <v>358</v>
      </c>
      <c r="B377" s="380">
        <v>194</v>
      </c>
      <c r="C377" s="371" t="s">
        <v>2337</v>
      </c>
      <c r="D377" s="371" t="s">
        <v>2235</v>
      </c>
      <c r="E377" s="206"/>
      <c r="F377" s="206" t="s">
        <v>1595</v>
      </c>
      <c r="G377" s="206" t="s">
        <v>1595</v>
      </c>
      <c r="H377" s="371" t="s">
        <v>2271</v>
      </c>
      <c r="I377" s="206"/>
      <c r="J377" s="206" t="s">
        <v>1726</v>
      </c>
      <c r="K377" s="371" t="s">
        <v>2276</v>
      </c>
      <c r="L377" s="206" t="s">
        <v>2221</v>
      </c>
      <c r="M377" s="206" t="s">
        <v>1594</v>
      </c>
      <c r="N377" s="206" t="s">
        <v>49</v>
      </c>
      <c r="O377" s="372" t="s">
        <v>2223</v>
      </c>
      <c r="P377" s="372">
        <v>46141</v>
      </c>
      <c r="Q377" s="371" t="s">
        <v>2276</v>
      </c>
      <c r="R377" s="373">
        <v>26790</v>
      </c>
      <c r="S377" s="373">
        <v>26790</v>
      </c>
      <c r="T377" s="371" t="s">
        <v>2271</v>
      </c>
      <c r="U377" s="373">
        <v>8260</v>
      </c>
      <c r="V377" s="373">
        <v>8260</v>
      </c>
      <c r="W377" s="371" t="s">
        <v>2271</v>
      </c>
      <c r="X377" s="373">
        <v>18530</v>
      </c>
      <c r="Y377" s="373">
        <v>18530</v>
      </c>
      <c r="Z377" s="371" t="s">
        <v>2271</v>
      </c>
      <c r="AA377" s="373">
        <v>0</v>
      </c>
      <c r="AB377" s="373">
        <v>18470</v>
      </c>
      <c r="AC377" s="373">
        <v>18470</v>
      </c>
      <c r="AD377" s="371" t="s">
        <v>2271</v>
      </c>
      <c r="AE377" s="373">
        <v>0</v>
      </c>
      <c r="AF377" s="382">
        <v>0.906944444444444</v>
      </c>
      <c r="AG377" s="382">
        <v>0.906944444444444</v>
      </c>
      <c r="AH377" s="371" t="s">
        <v>2271</v>
      </c>
      <c r="AI377" s="382">
        <v>0.94097222222222199</v>
      </c>
      <c r="AJ377" s="382">
        <v>0.94097222222222199</v>
      </c>
      <c r="AK377" s="371" t="s">
        <v>2271</v>
      </c>
      <c r="AL377" s="206" t="s">
        <v>1221</v>
      </c>
      <c r="AM377" s="206" t="s">
        <v>1221</v>
      </c>
      <c r="AN377" s="371" t="s">
        <v>2271</v>
      </c>
      <c r="AO377" s="206" t="s">
        <v>2567</v>
      </c>
      <c r="AP377" s="206"/>
      <c r="AQ377" s="206" t="s">
        <v>1132</v>
      </c>
      <c r="AR377" s="207" t="s">
        <v>68</v>
      </c>
    </row>
    <row r="378" spans="1:44" x14ac:dyDescent="0.2">
      <c r="A378" s="370">
        <v>359</v>
      </c>
      <c r="B378" s="380">
        <v>195</v>
      </c>
      <c r="C378" s="371" t="s">
        <v>2269</v>
      </c>
      <c r="D378" s="371" t="s">
        <v>2270</v>
      </c>
      <c r="E378" s="206"/>
      <c r="F378" s="206" t="s">
        <v>166</v>
      </c>
      <c r="G378" s="206" t="s">
        <v>166</v>
      </c>
      <c r="H378" s="371" t="s">
        <v>2271</v>
      </c>
      <c r="I378" s="206" t="s">
        <v>1345</v>
      </c>
      <c r="J378" s="206" t="s">
        <v>1345</v>
      </c>
      <c r="K378" s="371" t="s">
        <v>2271</v>
      </c>
      <c r="L378" s="206" t="s">
        <v>2152</v>
      </c>
      <c r="M378" s="206" t="s">
        <v>1344</v>
      </c>
      <c r="N378" s="206" t="s">
        <v>40</v>
      </c>
      <c r="O378" s="372">
        <v>45994</v>
      </c>
      <c r="P378" s="372">
        <v>45994</v>
      </c>
      <c r="Q378" s="371" t="s">
        <v>2271</v>
      </c>
      <c r="R378" s="373">
        <v>13080</v>
      </c>
      <c r="S378" s="373">
        <v>13080</v>
      </c>
      <c r="T378" s="371" t="s">
        <v>2271</v>
      </c>
      <c r="U378" s="373">
        <v>3750</v>
      </c>
      <c r="V378" s="373">
        <v>3750</v>
      </c>
      <c r="W378" s="371" t="s">
        <v>2271</v>
      </c>
      <c r="X378" s="373">
        <v>9330</v>
      </c>
      <c r="Y378" s="373">
        <v>9330</v>
      </c>
      <c r="Z378" s="371" t="s">
        <v>2271</v>
      </c>
      <c r="AA378" s="373">
        <v>0</v>
      </c>
      <c r="AB378" s="373">
        <v>9330</v>
      </c>
      <c r="AC378" s="373">
        <v>9330</v>
      </c>
      <c r="AD378" s="371" t="s">
        <v>2271</v>
      </c>
      <c r="AE378" s="373">
        <v>0</v>
      </c>
      <c r="AF378" s="382">
        <v>0.38472222222222202</v>
      </c>
      <c r="AG378" s="382">
        <v>0.38472222222222202</v>
      </c>
      <c r="AH378" s="371" t="s">
        <v>2271</v>
      </c>
      <c r="AI378" s="382">
        <v>0.43888888888888899</v>
      </c>
      <c r="AJ378" s="382">
        <v>0.43888888888888899</v>
      </c>
      <c r="AK378" s="371" t="s">
        <v>2271</v>
      </c>
      <c r="AL378" s="206" t="s">
        <v>137</v>
      </c>
      <c r="AM378" s="206" t="s">
        <v>137</v>
      </c>
      <c r="AN378" s="371" t="s">
        <v>2271</v>
      </c>
      <c r="AO378" s="206" t="s">
        <v>2568</v>
      </c>
      <c r="AP378" s="206"/>
      <c r="AQ378" s="206" t="s">
        <v>1131</v>
      </c>
      <c r="AR378" s="207" t="s">
        <v>82</v>
      </c>
    </row>
    <row r="379" spans="1:44" x14ac:dyDescent="0.2">
      <c r="A379" s="370">
        <v>360</v>
      </c>
      <c r="B379" s="380">
        <v>195</v>
      </c>
      <c r="C379" s="371" t="s">
        <v>2337</v>
      </c>
      <c r="D379" s="371" t="s">
        <v>2235</v>
      </c>
      <c r="E379" s="206"/>
      <c r="F379" s="206" t="s">
        <v>1272</v>
      </c>
      <c r="G379" s="206" t="s">
        <v>1272</v>
      </c>
      <c r="H379" s="371" t="s">
        <v>2271</v>
      </c>
      <c r="I379" s="206"/>
      <c r="J379" s="206" t="s">
        <v>1726</v>
      </c>
      <c r="K379" s="371" t="s">
        <v>2276</v>
      </c>
      <c r="L379" s="206" t="s">
        <v>2221</v>
      </c>
      <c r="M379" s="206" t="s">
        <v>1594</v>
      </c>
      <c r="N379" s="206" t="s">
        <v>49</v>
      </c>
      <c r="O379" s="372" t="s">
        <v>2223</v>
      </c>
      <c r="P379" s="372">
        <v>46141</v>
      </c>
      <c r="Q379" s="371" t="s">
        <v>2276</v>
      </c>
      <c r="R379" s="373">
        <v>28600</v>
      </c>
      <c r="S379" s="373">
        <v>28600</v>
      </c>
      <c r="T379" s="371" t="s">
        <v>2271</v>
      </c>
      <c r="U379" s="373">
        <v>8140</v>
      </c>
      <c r="V379" s="373">
        <v>8140</v>
      </c>
      <c r="W379" s="371" t="s">
        <v>2271</v>
      </c>
      <c r="X379" s="373">
        <v>20460</v>
      </c>
      <c r="Y379" s="373">
        <v>20460</v>
      </c>
      <c r="Z379" s="371" t="s">
        <v>2271</v>
      </c>
      <c r="AA379" s="373">
        <v>0</v>
      </c>
      <c r="AB379" s="373">
        <v>20390</v>
      </c>
      <c r="AC379" s="373">
        <v>20390</v>
      </c>
      <c r="AD379" s="371" t="s">
        <v>2271</v>
      </c>
      <c r="AE379" s="373">
        <v>0</v>
      </c>
      <c r="AF379" s="382">
        <v>0.90833333333333299</v>
      </c>
      <c r="AG379" s="382">
        <v>0.90833333333333299</v>
      </c>
      <c r="AH379" s="371" t="s">
        <v>2271</v>
      </c>
      <c r="AI379" s="382">
        <v>0.93402777777777801</v>
      </c>
      <c r="AJ379" s="382">
        <v>0.93402777777777801</v>
      </c>
      <c r="AK379" s="371" t="s">
        <v>2271</v>
      </c>
      <c r="AL379" s="206" t="s">
        <v>1221</v>
      </c>
      <c r="AM379" s="206" t="s">
        <v>1221</v>
      </c>
      <c r="AN379" s="371" t="s">
        <v>2271</v>
      </c>
      <c r="AO379" s="206" t="s">
        <v>2569</v>
      </c>
      <c r="AP379" s="206"/>
      <c r="AQ379" s="206" t="s">
        <v>1132</v>
      </c>
      <c r="AR379" s="207" t="s">
        <v>68</v>
      </c>
    </row>
    <row r="380" spans="1:44" x14ac:dyDescent="0.2">
      <c r="A380" s="370">
        <v>361</v>
      </c>
      <c r="B380" s="380">
        <v>196</v>
      </c>
      <c r="C380" s="371" t="s">
        <v>2269</v>
      </c>
      <c r="D380" s="371" t="s">
        <v>2270</v>
      </c>
      <c r="E380" s="206"/>
      <c r="F380" s="206" t="s">
        <v>149</v>
      </c>
      <c r="G380" s="206" t="s">
        <v>149</v>
      </c>
      <c r="H380" s="371" t="s">
        <v>2271</v>
      </c>
      <c r="I380" s="206" t="s">
        <v>1345</v>
      </c>
      <c r="J380" s="206" t="s">
        <v>1345</v>
      </c>
      <c r="K380" s="371" t="s">
        <v>2271</v>
      </c>
      <c r="L380" s="206" t="s">
        <v>2152</v>
      </c>
      <c r="M380" s="206" t="s">
        <v>1344</v>
      </c>
      <c r="N380" s="206" t="s">
        <v>40</v>
      </c>
      <c r="O380" s="372">
        <v>45994</v>
      </c>
      <c r="P380" s="372">
        <v>45994</v>
      </c>
      <c r="Q380" s="371" t="s">
        <v>2271</v>
      </c>
      <c r="R380" s="373">
        <v>13870</v>
      </c>
      <c r="S380" s="373">
        <v>13870</v>
      </c>
      <c r="T380" s="371" t="s">
        <v>2271</v>
      </c>
      <c r="U380" s="373">
        <v>4040</v>
      </c>
      <c r="V380" s="373">
        <v>4040</v>
      </c>
      <c r="W380" s="371" t="s">
        <v>2271</v>
      </c>
      <c r="X380" s="373">
        <v>9830</v>
      </c>
      <c r="Y380" s="373">
        <v>9830</v>
      </c>
      <c r="Z380" s="371" t="s">
        <v>2271</v>
      </c>
      <c r="AA380" s="373">
        <v>0</v>
      </c>
      <c r="AB380" s="373">
        <v>9800</v>
      </c>
      <c r="AC380" s="373">
        <v>9800</v>
      </c>
      <c r="AD380" s="371" t="s">
        <v>2271</v>
      </c>
      <c r="AE380" s="373">
        <v>0</v>
      </c>
      <c r="AF380" s="382">
        <v>0.406944444444444</v>
      </c>
      <c r="AG380" s="382">
        <v>0.406944444444444</v>
      </c>
      <c r="AH380" s="371" t="s">
        <v>2271</v>
      </c>
      <c r="AI380" s="382">
        <v>0.44166666666666698</v>
      </c>
      <c r="AJ380" s="382">
        <v>0.44166666666666698</v>
      </c>
      <c r="AK380" s="371" t="s">
        <v>2271</v>
      </c>
      <c r="AL380" s="206" t="s">
        <v>137</v>
      </c>
      <c r="AM380" s="206" t="s">
        <v>137</v>
      </c>
      <c r="AN380" s="371" t="s">
        <v>2271</v>
      </c>
      <c r="AO380" s="206" t="s">
        <v>2570</v>
      </c>
      <c r="AP380" s="206"/>
      <c r="AQ380" s="206" t="s">
        <v>1131</v>
      </c>
      <c r="AR380" s="207" t="s">
        <v>82</v>
      </c>
    </row>
    <row r="381" spans="1:44" x14ac:dyDescent="0.2">
      <c r="A381" s="370">
        <v>362</v>
      </c>
      <c r="B381" s="380">
        <v>196</v>
      </c>
      <c r="C381" s="371" t="s">
        <v>2337</v>
      </c>
      <c r="D381" s="371" t="s">
        <v>2235</v>
      </c>
      <c r="E381" s="206"/>
      <c r="F381" s="206" t="s">
        <v>1047</v>
      </c>
      <c r="G381" s="206" t="s">
        <v>1047</v>
      </c>
      <c r="H381" s="371" t="s">
        <v>2271</v>
      </c>
      <c r="I381" s="206"/>
      <c r="J381" s="206" t="s">
        <v>1726</v>
      </c>
      <c r="K381" s="371" t="s">
        <v>2276</v>
      </c>
      <c r="L381" s="206" t="s">
        <v>2221</v>
      </c>
      <c r="M381" s="206" t="s">
        <v>1594</v>
      </c>
      <c r="N381" s="206" t="s">
        <v>49</v>
      </c>
      <c r="O381" s="372" t="s">
        <v>2223</v>
      </c>
      <c r="P381" s="372">
        <v>46141</v>
      </c>
      <c r="Q381" s="371" t="s">
        <v>2276</v>
      </c>
      <c r="R381" s="373">
        <v>13510</v>
      </c>
      <c r="S381" s="373">
        <v>13510</v>
      </c>
      <c r="T381" s="371" t="s">
        <v>2271</v>
      </c>
      <c r="U381" s="373">
        <v>3930</v>
      </c>
      <c r="V381" s="373">
        <v>3930</v>
      </c>
      <c r="W381" s="371" t="s">
        <v>2271</v>
      </c>
      <c r="X381" s="373">
        <v>9580</v>
      </c>
      <c r="Y381" s="373">
        <v>9580</v>
      </c>
      <c r="Z381" s="371" t="s">
        <v>2271</v>
      </c>
      <c r="AA381" s="373">
        <v>0</v>
      </c>
      <c r="AB381" s="373">
        <v>9540</v>
      </c>
      <c r="AC381" s="373">
        <v>9540</v>
      </c>
      <c r="AD381" s="371" t="s">
        <v>2271</v>
      </c>
      <c r="AE381" s="373">
        <v>0</v>
      </c>
      <c r="AF381" s="382">
        <v>0.936805555555556</v>
      </c>
      <c r="AG381" s="382">
        <v>0.936805555555556</v>
      </c>
      <c r="AH381" s="371" t="s">
        <v>2271</v>
      </c>
      <c r="AI381" s="382">
        <v>0.95</v>
      </c>
      <c r="AJ381" s="382">
        <v>0.95</v>
      </c>
      <c r="AK381" s="371" t="s">
        <v>2271</v>
      </c>
      <c r="AL381" s="206" t="s">
        <v>1221</v>
      </c>
      <c r="AM381" s="206" t="s">
        <v>1221</v>
      </c>
      <c r="AN381" s="371" t="s">
        <v>2271</v>
      </c>
      <c r="AO381" s="206" t="s">
        <v>2571</v>
      </c>
      <c r="AP381" s="206"/>
      <c r="AQ381" s="206" t="s">
        <v>1131</v>
      </c>
      <c r="AR381" s="207" t="s">
        <v>68</v>
      </c>
    </row>
    <row r="382" spans="1:44" x14ac:dyDescent="0.2">
      <c r="A382" s="370">
        <v>363</v>
      </c>
      <c r="B382" s="380">
        <v>197</v>
      </c>
      <c r="C382" s="371" t="s">
        <v>2269</v>
      </c>
      <c r="D382" s="371" t="s">
        <v>2270</v>
      </c>
      <c r="E382" s="206"/>
      <c r="F382" s="206" t="s">
        <v>84</v>
      </c>
      <c r="G382" s="206" t="s">
        <v>84</v>
      </c>
      <c r="H382" s="371" t="s">
        <v>2271</v>
      </c>
      <c r="I382" s="206" t="s">
        <v>1431</v>
      </c>
      <c r="J382" s="206" t="s">
        <v>1431</v>
      </c>
      <c r="K382" s="371" t="s">
        <v>2271</v>
      </c>
      <c r="L382" s="206" t="s">
        <v>2153</v>
      </c>
      <c r="M382" s="206" t="s">
        <v>1346</v>
      </c>
      <c r="N382" s="206" t="s">
        <v>49</v>
      </c>
      <c r="O382" s="372">
        <v>45994</v>
      </c>
      <c r="P382" s="372">
        <v>45994</v>
      </c>
      <c r="Q382" s="371" t="s">
        <v>2271</v>
      </c>
      <c r="R382" s="373">
        <v>26630</v>
      </c>
      <c r="S382" s="373">
        <v>26630</v>
      </c>
      <c r="T382" s="371" t="s">
        <v>2271</v>
      </c>
      <c r="U382" s="373">
        <v>12180</v>
      </c>
      <c r="V382" s="373">
        <v>12180</v>
      </c>
      <c r="W382" s="371" t="s">
        <v>2271</v>
      </c>
      <c r="X382" s="373">
        <v>14450</v>
      </c>
      <c r="Y382" s="373">
        <v>14450</v>
      </c>
      <c r="Z382" s="371" t="s">
        <v>2271</v>
      </c>
      <c r="AA382" s="373">
        <v>0</v>
      </c>
      <c r="AB382" s="373">
        <v>14400</v>
      </c>
      <c r="AC382" s="373">
        <v>14400</v>
      </c>
      <c r="AD382" s="371" t="s">
        <v>2271</v>
      </c>
      <c r="AE382" s="373">
        <v>0</v>
      </c>
      <c r="AF382" s="382">
        <v>0.80833333333333302</v>
      </c>
      <c r="AG382" s="382">
        <v>0.80833333333333302</v>
      </c>
      <c r="AH382" s="371" t="s">
        <v>2271</v>
      </c>
      <c r="AI382" s="382">
        <v>0.84583333333333299</v>
      </c>
      <c r="AJ382" s="382">
        <v>0.84583333333333299</v>
      </c>
      <c r="AK382" s="371" t="s">
        <v>2271</v>
      </c>
      <c r="AL382" s="206" t="s">
        <v>42</v>
      </c>
      <c r="AM382" s="206" t="s">
        <v>42</v>
      </c>
      <c r="AN382" s="371" t="s">
        <v>2271</v>
      </c>
      <c r="AO382" s="206" t="s">
        <v>2572</v>
      </c>
      <c r="AP382" s="206" t="s">
        <v>1782</v>
      </c>
      <c r="AQ382" s="206" t="s">
        <v>1132</v>
      </c>
      <c r="AR382" s="207" t="s">
        <v>68</v>
      </c>
    </row>
    <row r="383" spans="1:44" x14ac:dyDescent="0.2">
      <c r="A383" s="370">
        <v>364</v>
      </c>
      <c r="B383" s="380">
        <v>197</v>
      </c>
      <c r="C383" s="371" t="s">
        <v>2337</v>
      </c>
      <c r="D383" s="371" t="s">
        <v>2235</v>
      </c>
      <c r="E383" s="206"/>
      <c r="F383" s="206" t="s">
        <v>163</v>
      </c>
      <c r="G383" s="206" t="s">
        <v>163</v>
      </c>
      <c r="H383" s="371" t="s">
        <v>2271</v>
      </c>
      <c r="I383" s="206"/>
      <c r="J383" s="206" t="s">
        <v>1726</v>
      </c>
      <c r="K383" s="371" t="s">
        <v>2276</v>
      </c>
      <c r="L383" s="206" t="s">
        <v>2221</v>
      </c>
      <c r="M383" s="206" t="s">
        <v>1594</v>
      </c>
      <c r="N383" s="206" t="s">
        <v>49</v>
      </c>
      <c r="O383" s="372" t="s">
        <v>2223</v>
      </c>
      <c r="P383" s="372">
        <v>46141</v>
      </c>
      <c r="Q383" s="371" t="s">
        <v>2276</v>
      </c>
      <c r="R383" s="373">
        <v>13870</v>
      </c>
      <c r="S383" s="373">
        <v>13870</v>
      </c>
      <c r="T383" s="371" t="s">
        <v>2271</v>
      </c>
      <c r="U383" s="373">
        <v>3860</v>
      </c>
      <c r="V383" s="373">
        <v>3860</v>
      </c>
      <c r="W383" s="371" t="s">
        <v>2271</v>
      </c>
      <c r="X383" s="373">
        <v>10010</v>
      </c>
      <c r="Y383" s="373">
        <v>10010</v>
      </c>
      <c r="Z383" s="371" t="s">
        <v>2271</v>
      </c>
      <c r="AA383" s="373">
        <v>0</v>
      </c>
      <c r="AB383" s="373">
        <v>9960</v>
      </c>
      <c r="AC383" s="373">
        <v>9960</v>
      </c>
      <c r="AD383" s="371" t="s">
        <v>2271</v>
      </c>
      <c r="AE383" s="373">
        <v>0</v>
      </c>
      <c r="AF383" s="382">
        <v>0.98055555555555596</v>
      </c>
      <c r="AG383" s="382">
        <v>0.98055555555555596</v>
      </c>
      <c r="AH383" s="371" t="s">
        <v>2271</v>
      </c>
      <c r="AI383" s="382">
        <v>0.99305555555555503</v>
      </c>
      <c r="AJ383" s="382">
        <v>0.99305555555555503</v>
      </c>
      <c r="AK383" s="371" t="s">
        <v>2271</v>
      </c>
      <c r="AL383" s="206" t="s">
        <v>1221</v>
      </c>
      <c r="AM383" s="206" t="s">
        <v>1221</v>
      </c>
      <c r="AN383" s="371" t="s">
        <v>2271</v>
      </c>
      <c r="AO383" s="206" t="s">
        <v>2572</v>
      </c>
      <c r="AP383" s="206"/>
      <c r="AQ383" s="206" t="s">
        <v>1131</v>
      </c>
      <c r="AR383" s="207" t="s">
        <v>68</v>
      </c>
    </row>
    <row r="384" spans="1:44" x14ac:dyDescent="0.2">
      <c r="A384" s="370">
        <v>365</v>
      </c>
      <c r="B384" s="380">
        <v>198</v>
      </c>
      <c r="C384" s="371" t="s">
        <v>2269</v>
      </c>
      <c r="D384" s="371" t="s">
        <v>2270</v>
      </c>
      <c r="E384" s="206"/>
      <c r="F384" s="206" t="s">
        <v>76</v>
      </c>
      <c r="G384" s="206" t="s">
        <v>76</v>
      </c>
      <c r="H384" s="371" t="s">
        <v>2271</v>
      </c>
      <c r="I384" s="206" t="s">
        <v>1431</v>
      </c>
      <c r="J384" s="206" t="s">
        <v>1431</v>
      </c>
      <c r="K384" s="371" t="s">
        <v>2271</v>
      </c>
      <c r="L384" s="206" t="s">
        <v>2153</v>
      </c>
      <c r="M384" s="206" t="s">
        <v>1346</v>
      </c>
      <c r="N384" s="206" t="s">
        <v>49</v>
      </c>
      <c r="O384" s="372">
        <v>45994</v>
      </c>
      <c r="P384" s="372">
        <v>45994</v>
      </c>
      <c r="Q384" s="371" t="s">
        <v>2271</v>
      </c>
      <c r="R384" s="373">
        <v>45720</v>
      </c>
      <c r="S384" s="373">
        <v>45720</v>
      </c>
      <c r="T384" s="371" t="s">
        <v>2271</v>
      </c>
      <c r="U384" s="373">
        <v>17590</v>
      </c>
      <c r="V384" s="373">
        <v>17590</v>
      </c>
      <c r="W384" s="371" t="s">
        <v>2271</v>
      </c>
      <c r="X384" s="373">
        <v>28130</v>
      </c>
      <c r="Y384" s="373">
        <v>28130</v>
      </c>
      <c r="Z384" s="371" t="s">
        <v>2271</v>
      </c>
      <c r="AA384" s="373">
        <v>0</v>
      </c>
      <c r="AB384" s="373">
        <v>28090</v>
      </c>
      <c r="AC384" s="373">
        <v>28090</v>
      </c>
      <c r="AD384" s="371" t="s">
        <v>2271</v>
      </c>
      <c r="AE384" s="373">
        <v>0</v>
      </c>
      <c r="AF384" s="382">
        <v>0.82708333333333295</v>
      </c>
      <c r="AG384" s="382">
        <v>0.82708333333333295</v>
      </c>
      <c r="AH384" s="371" t="s">
        <v>2271</v>
      </c>
      <c r="AI384" s="382">
        <v>0.875694444444444</v>
      </c>
      <c r="AJ384" s="382">
        <v>0.875694444444444</v>
      </c>
      <c r="AK384" s="371" t="s">
        <v>2271</v>
      </c>
      <c r="AL384" s="206" t="s">
        <v>42</v>
      </c>
      <c r="AM384" s="206" t="s">
        <v>42</v>
      </c>
      <c r="AN384" s="371" t="s">
        <v>2271</v>
      </c>
      <c r="AO384" s="206" t="s">
        <v>2573</v>
      </c>
      <c r="AP384" s="206" t="s">
        <v>1372</v>
      </c>
      <c r="AQ384" s="206" t="s">
        <v>1133</v>
      </c>
      <c r="AR384" s="207" t="s">
        <v>68</v>
      </c>
    </row>
    <row r="385" spans="1:44" x14ac:dyDescent="0.2">
      <c r="A385" s="370">
        <v>366</v>
      </c>
      <c r="B385" s="380">
        <v>199</v>
      </c>
      <c r="C385" s="371" t="s">
        <v>2269</v>
      </c>
      <c r="D385" s="371" t="s">
        <v>2235</v>
      </c>
      <c r="E385" s="206"/>
      <c r="F385" s="206" t="s">
        <v>56</v>
      </c>
      <c r="G385" s="206" t="s">
        <v>56</v>
      </c>
      <c r="H385" s="371" t="s">
        <v>2271</v>
      </c>
      <c r="I385" s="206" t="s">
        <v>1431</v>
      </c>
      <c r="J385" s="206" t="s">
        <v>1431</v>
      </c>
      <c r="K385" s="371" t="s">
        <v>2271</v>
      </c>
      <c r="L385" s="206" t="s">
        <v>2153</v>
      </c>
      <c r="M385" s="206" t="s">
        <v>1346</v>
      </c>
      <c r="N385" s="206" t="s">
        <v>49</v>
      </c>
      <c r="O385" s="372">
        <v>45994</v>
      </c>
      <c r="P385" s="372">
        <v>45994</v>
      </c>
      <c r="Q385" s="371" t="s">
        <v>2271</v>
      </c>
      <c r="R385" s="373">
        <v>25040</v>
      </c>
      <c r="S385" s="373">
        <v>25040</v>
      </c>
      <c r="T385" s="371" t="s">
        <v>2271</v>
      </c>
      <c r="U385" s="373">
        <v>10830</v>
      </c>
      <c r="V385" s="373">
        <v>10830</v>
      </c>
      <c r="W385" s="371" t="s">
        <v>2271</v>
      </c>
      <c r="X385" s="373">
        <v>14210</v>
      </c>
      <c r="Y385" s="373">
        <v>14210</v>
      </c>
      <c r="Z385" s="371" t="s">
        <v>2271</v>
      </c>
      <c r="AA385" s="373">
        <v>0</v>
      </c>
      <c r="AB385" s="373">
        <v>14170</v>
      </c>
      <c r="AC385" s="373">
        <v>14170</v>
      </c>
      <c r="AD385" s="371" t="s">
        <v>2271</v>
      </c>
      <c r="AE385" s="373">
        <v>0</v>
      </c>
      <c r="AF385" s="382">
        <v>0.86805555555555503</v>
      </c>
      <c r="AG385" s="382">
        <v>0.86805555555555602</v>
      </c>
      <c r="AH385" s="371" t="s">
        <v>2276</v>
      </c>
      <c r="AI385" s="382">
        <v>0.91666666666666696</v>
      </c>
      <c r="AJ385" s="382">
        <v>0.91666666666666696</v>
      </c>
      <c r="AK385" s="371" t="s">
        <v>2271</v>
      </c>
      <c r="AL385" s="206" t="s">
        <v>42</v>
      </c>
      <c r="AM385" s="206" t="s">
        <v>42</v>
      </c>
      <c r="AN385" s="371" t="s">
        <v>2271</v>
      </c>
      <c r="AO385" s="206" t="s">
        <v>2574</v>
      </c>
      <c r="AP385" s="206" t="s">
        <v>1781</v>
      </c>
      <c r="AQ385" s="206" t="s">
        <v>1132</v>
      </c>
      <c r="AR385" s="207" t="s">
        <v>68</v>
      </c>
    </row>
    <row r="386" spans="1:44" x14ac:dyDescent="0.2">
      <c r="A386" s="370">
        <v>367</v>
      </c>
      <c r="B386" s="380">
        <v>199</v>
      </c>
      <c r="C386" s="371" t="s">
        <v>2337</v>
      </c>
      <c r="D386" s="371" t="s">
        <v>2235</v>
      </c>
      <c r="E386" s="206"/>
      <c r="F386" s="206" t="s">
        <v>1047</v>
      </c>
      <c r="G386" s="206" t="s">
        <v>1047</v>
      </c>
      <c r="H386" s="371" t="s">
        <v>2271</v>
      </c>
      <c r="I386" s="206"/>
      <c r="J386" s="206" t="s">
        <v>1726</v>
      </c>
      <c r="K386" s="371" t="s">
        <v>2276</v>
      </c>
      <c r="L386" s="206" t="s">
        <v>2221</v>
      </c>
      <c r="M386" s="206" t="s">
        <v>1594</v>
      </c>
      <c r="N386" s="206" t="s">
        <v>49</v>
      </c>
      <c r="O386" s="372" t="s">
        <v>2224</v>
      </c>
      <c r="P386" s="372">
        <v>46142</v>
      </c>
      <c r="Q386" s="371" t="s">
        <v>2276</v>
      </c>
      <c r="R386" s="373">
        <v>13490</v>
      </c>
      <c r="S386" s="373">
        <v>13490</v>
      </c>
      <c r="T386" s="371" t="s">
        <v>2271</v>
      </c>
      <c r="U386" s="373">
        <v>3920</v>
      </c>
      <c r="V386" s="373">
        <v>3920</v>
      </c>
      <c r="W386" s="371" t="s">
        <v>2271</v>
      </c>
      <c r="X386" s="373">
        <v>9570</v>
      </c>
      <c r="Y386" s="373">
        <v>9570</v>
      </c>
      <c r="Z386" s="371" t="s">
        <v>2271</v>
      </c>
      <c r="AA386" s="373">
        <v>0</v>
      </c>
      <c r="AB386" s="373">
        <v>9560</v>
      </c>
      <c r="AC386" s="373">
        <v>9560</v>
      </c>
      <c r="AD386" s="371" t="s">
        <v>2271</v>
      </c>
      <c r="AE386" s="373">
        <v>0</v>
      </c>
      <c r="AF386" s="382">
        <v>0.46250000000000002</v>
      </c>
      <c r="AG386" s="382">
        <v>0.46250000000000002</v>
      </c>
      <c r="AH386" s="371" t="s">
        <v>2271</v>
      </c>
      <c r="AI386" s="382">
        <v>0.49444444444444402</v>
      </c>
      <c r="AJ386" s="382">
        <v>0.49444444444444402</v>
      </c>
      <c r="AK386" s="371" t="s">
        <v>2271</v>
      </c>
      <c r="AL386" s="206" t="s">
        <v>137</v>
      </c>
      <c r="AM386" s="206" t="s">
        <v>137</v>
      </c>
      <c r="AN386" s="371" t="s">
        <v>2271</v>
      </c>
      <c r="AO386" s="206" t="s">
        <v>2574</v>
      </c>
      <c r="AP386" s="206"/>
      <c r="AQ386" s="206" t="s">
        <v>1131</v>
      </c>
      <c r="AR386" s="207" t="s">
        <v>68</v>
      </c>
    </row>
    <row r="387" spans="1:44" x14ac:dyDescent="0.2">
      <c r="A387" s="370">
        <v>368</v>
      </c>
      <c r="B387" s="380">
        <v>200</v>
      </c>
      <c r="C387" s="371" t="s">
        <v>2269</v>
      </c>
      <c r="D387" s="371" t="s">
        <v>2270</v>
      </c>
      <c r="E387" s="206"/>
      <c r="F387" s="206" t="s">
        <v>39</v>
      </c>
      <c r="G387" s="206" t="s">
        <v>39</v>
      </c>
      <c r="H387" s="371" t="s">
        <v>2271</v>
      </c>
      <c r="I387" s="206" t="s">
        <v>1345</v>
      </c>
      <c r="J387" s="206" t="s">
        <v>1345</v>
      </c>
      <c r="K387" s="371" t="s">
        <v>2271</v>
      </c>
      <c r="L387" s="206" t="s">
        <v>2152</v>
      </c>
      <c r="M387" s="206" t="s">
        <v>1344</v>
      </c>
      <c r="N387" s="206" t="s">
        <v>40</v>
      </c>
      <c r="O387" s="372">
        <v>45994</v>
      </c>
      <c r="P387" s="372">
        <v>45994</v>
      </c>
      <c r="Q387" s="371" t="s">
        <v>2271</v>
      </c>
      <c r="R387" s="373">
        <v>13650</v>
      </c>
      <c r="S387" s="373">
        <v>13650</v>
      </c>
      <c r="T387" s="371" t="s">
        <v>2271</v>
      </c>
      <c r="U387" s="373">
        <v>4090</v>
      </c>
      <c r="V387" s="373">
        <v>4090</v>
      </c>
      <c r="W387" s="371" t="s">
        <v>2271</v>
      </c>
      <c r="X387" s="373">
        <v>9560</v>
      </c>
      <c r="Y387" s="373">
        <v>9560</v>
      </c>
      <c r="Z387" s="371" t="s">
        <v>2271</v>
      </c>
      <c r="AA387" s="373">
        <v>0</v>
      </c>
      <c r="AB387" s="373">
        <v>9550</v>
      </c>
      <c r="AC387" s="373">
        <v>9550</v>
      </c>
      <c r="AD387" s="371" t="s">
        <v>2271</v>
      </c>
      <c r="AE387" s="373">
        <v>0</v>
      </c>
      <c r="AF387" s="382">
        <v>0.91180555555555598</v>
      </c>
      <c r="AG387" s="382">
        <v>0.91180555555555598</v>
      </c>
      <c r="AH387" s="371" t="s">
        <v>2271</v>
      </c>
      <c r="AI387" s="382">
        <v>0.94374999999999998</v>
      </c>
      <c r="AJ387" s="382">
        <v>0.94374999999999998</v>
      </c>
      <c r="AK387" s="371" t="s">
        <v>2271</v>
      </c>
      <c r="AL387" s="206" t="s">
        <v>42</v>
      </c>
      <c r="AM387" s="206" t="s">
        <v>42</v>
      </c>
      <c r="AN387" s="371" t="s">
        <v>2271</v>
      </c>
      <c r="AO387" s="206" t="s">
        <v>2575</v>
      </c>
      <c r="AP387" s="206"/>
      <c r="AQ387" s="206" t="s">
        <v>1131</v>
      </c>
      <c r="AR387" s="207" t="s">
        <v>82</v>
      </c>
    </row>
    <row r="388" spans="1:44" x14ac:dyDescent="0.2">
      <c r="A388" s="370">
        <v>369</v>
      </c>
      <c r="B388" s="380">
        <v>200</v>
      </c>
      <c r="C388" s="371" t="s">
        <v>2337</v>
      </c>
      <c r="D388" s="371" t="s">
        <v>2235</v>
      </c>
      <c r="E388" s="206"/>
      <c r="F388" s="206" t="s">
        <v>1276</v>
      </c>
      <c r="G388" s="206" t="s">
        <v>1276</v>
      </c>
      <c r="H388" s="371" t="s">
        <v>2271</v>
      </c>
      <c r="I388" s="206"/>
      <c r="J388" s="206" t="s">
        <v>1726</v>
      </c>
      <c r="K388" s="371" t="s">
        <v>2276</v>
      </c>
      <c r="L388" s="206" t="s">
        <v>2221</v>
      </c>
      <c r="M388" s="206" t="s">
        <v>1594</v>
      </c>
      <c r="N388" s="206" t="s">
        <v>49</v>
      </c>
      <c r="O388" s="372" t="s">
        <v>2224</v>
      </c>
      <c r="P388" s="372">
        <v>46142</v>
      </c>
      <c r="Q388" s="371" t="s">
        <v>2276</v>
      </c>
      <c r="R388" s="373">
        <v>13870</v>
      </c>
      <c r="S388" s="373">
        <v>13870</v>
      </c>
      <c r="T388" s="371" t="s">
        <v>2271</v>
      </c>
      <c r="U388" s="373">
        <v>3940</v>
      </c>
      <c r="V388" s="373">
        <v>3940</v>
      </c>
      <c r="W388" s="371" t="s">
        <v>2271</v>
      </c>
      <c r="X388" s="373">
        <v>9930</v>
      </c>
      <c r="Y388" s="373">
        <v>9930</v>
      </c>
      <c r="Z388" s="371" t="s">
        <v>2271</v>
      </c>
      <c r="AA388" s="373">
        <v>0</v>
      </c>
      <c r="AB388" s="373">
        <v>9860</v>
      </c>
      <c r="AC388" s="373">
        <v>9860</v>
      </c>
      <c r="AD388" s="371" t="s">
        <v>2271</v>
      </c>
      <c r="AE388" s="373">
        <v>0</v>
      </c>
      <c r="AF388" s="382">
        <v>0.49861111111111101</v>
      </c>
      <c r="AG388" s="382">
        <v>0.49861111111111101</v>
      </c>
      <c r="AH388" s="371" t="s">
        <v>2271</v>
      </c>
      <c r="AI388" s="382">
        <v>0.55763888888888902</v>
      </c>
      <c r="AJ388" s="382">
        <v>0.55763888888888902</v>
      </c>
      <c r="AK388" s="371" t="s">
        <v>2271</v>
      </c>
      <c r="AL388" s="206" t="s">
        <v>137</v>
      </c>
      <c r="AM388" s="206" t="s">
        <v>137</v>
      </c>
      <c r="AN388" s="371" t="s">
        <v>2271</v>
      </c>
      <c r="AO388" s="206" t="s">
        <v>2576</v>
      </c>
      <c r="AP388" s="206"/>
      <c r="AQ388" s="206" t="s">
        <v>1131</v>
      </c>
      <c r="AR388" s="207" t="s">
        <v>68</v>
      </c>
    </row>
    <row r="389" spans="1:44" x14ac:dyDescent="0.2">
      <c r="A389" s="370">
        <v>370</v>
      </c>
      <c r="B389" s="380">
        <v>201</v>
      </c>
      <c r="C389" s="371" t="s">
        <v>2269</v>
      </c>
      <c r="D389" s="371" t="s">
        <v>2235</v>
      </c>
      <c r="E389" s="206"/>
      <c r="F389" s="206" t="s">
        <v>184</v>
      </c>
      <c r="G389" s="206" t="s">
        <v>184</v>
      </c>
      <c r="H389" s="371" t="s">
        <v>2271</v>
      </c>
      <c r="I389" s="206" t="s">
        <v>1345</v>
      </c>
      <c r="J389" s="206" t="s">
        <v>1345</v>
      </c>
      <c r="K389" s="371" t="s">
        <v>2271</v>
      </c>
      <c r="L389" s="206" t="s">
        <v>2152</v>
      </c>
      <c r="M389" s="206" t="s">
        <v>1344</v>
      </c>
      <c r="N389" s="206" t="s">
        <v>40</v>
      </c>
      <c r="O389" s="372">
        <v>45994</v>
      </c>
      <c r="P389" s="372">
        <v>45994</v>
      </c>
      <c r="Q389" s="371" t="s">
        <v>2271</v>
      </c>
      <c r="R389" s="373">
        <v>13780</v>
      </c>
      <c r="S389" s="373">
        <v>13780</v>
      </c>
      <c r="T389" s="371" t="s">
        <v>2271</v>
      </c>
      <c r="U389" s="373">
        <v>3910</v>
      </c>
      <c r="V389" s="373">
        <v>3910</v>
      </c>
      <c r="W389" s="371" t="s">
        <v>2271</v>
      </c>
      <c r="X389" s="373">
        <v>9870</v>
      </c>
      <c r="Y389" s="373">
        <v>9870</v>
      </c>
      <c r="Z389" s="371" t="s">
        <v>2271</v>
      </c>
      <c r="AA389" s="373">
        <v>0</v>
      </c>
      <c r="AB389" s="373">
        <v>9820</v>
      </c>
      <c r="AC389" s="373">
        <v>9820</v>
      </c>
      <c r="AD389" s="371" t="s">
        <v>2271</v>
      </c>
      <c r="AE389" s="373">
        <v>0</v>
      </c>
      <c r="AF389" s="382">
        <v>0.91319444444444497</v>
      </c>
      <c r="AG389" s="382">
        <v>0.91319444444444398</v>
      </c>
      <c r="AH389" s="371" t="s">
        <v>2276</v>
      </c>
      <c r="AI389" s="382">
        <v>0.94861111111111096</v>
      </c>
      <c r="AJ389" s="382">
        <v>0.94861111111111096</v>
      </c>
      <c r="AK389" s="371" t="s">
        <v>2271</v>
      </c>
      <c r="AL389" s="206" t="s">
        <v>42</v>
      </c>
      <c r="AM389" s="206" t="s">
        <v>42</v>
      </c>
      <c r="AN389" s="371" t="s">
        <v>2271</v>
      </c>
      <c r="AO389" s="206" t="s">
        <v>2577</v>
      </c>
      <c r="AP389" s="206"/>
      <c r="AQ389" s="206" t="s">
        <v>1131</v>
      </c>
      <c r="AR389" s="207" t="s">
        <v>82</v>
      </c>
    </row>
    <row r="390" spans="1:44" x14ac:dyDescent="0.2">
      <c r="A390" s="370">
        <v>371</v>
      </c>
      <c r="B390" s="380">
        <v>201</v>
      </c>
      <c r="C390" s="371" t="s">
        <v>2337</v>
      </c>
      <c r="D390" s="371" t="s">
        <v>2235</v>
      </c>
      <c r="E390" s="206"/>
      <c r="F390" s="206" t="s">
        <v>149</v>
      </c>
      <c r="G390" s="206" t="s">
        <v>149</v>
      </c>
      <c r="H390" s="371" t="s">
        <v>2271</v>
      </c>
      <c r="I390" s="206"/>
      <c r="J390" s="206" t="s">
        <v>1726</v>
      </c>
      <c r="K390" s="371" t="s">
        <v>2276</v>
      </c>
      <c r="L390" s="206" t="s">
        <v>2221</v>
      </c>
      <c r="M390" s="206" t="s">
        <v>1594</v>
      </c>
      <c r="N390" s="206" t="s">
        <v>49</v>
      </c>
      <c r="O390" s="372" t="s">
        <v>2224</v>
      </c>
      <c r="P390" s="372">
        <v>46142</v>
      </c>
      <c r="Q390" s="371" t="s">
        <v>2276</v>
      </c>
      <c r="R390" s="373">
        <v>13770</v>
      </c>
      <c r="S390" s="373">
        <v>13770</v>
      </c>
      <c r="T390" s="371" t="s">
        <v>2271</v>
      </c>
      <c r="U390" s="373">
        <v>3980</v>
      </c>
      <c r="V390" s="373">
        <v>3980</v>
      </c>
      <c r="W390" s="371" t="s">
        <v>2271</v>
      </c>
      <c r="X390" s="373">
        <v>9790</v>
      </c>
      <c r="Y390" s="373">
        <v>9790</v>
      </c>
      <c r="Z390" s="371" t="s">
        <v>2271</v>
      </c>
      <c r="AA390" s="373">
        <v>0</v>
      </c>
      <c r="AB390" s="373">
        <v>9740</v>
      </c>
      <c r="AC390" s="373">
        <v>9740</v>
      </c>
      <c r="AD390" s="371" t="s">
        <v>2271</v>
      </c>
      <c r="AE390" s="373">
        <v>0</v>
      </c>
      <c r="AF390" s="382">
        <v>0.499305555555556</v>
      </c>
      <c r="AG390" s="382">
        <v>0.499305555555556</v>
      </c>
      <c r="AH390" s="371" t="s">
        <v>2271</v>
      </c>
      <c r="AI390" s="382">
        <v>0.55347222222222203</v>
      </c>
      <c r="AJ390" s="382">
        <v>0.55347222222222203</v>
      </c>
      <c r="AK390" s="371" t="s">
        <v>2271</v>
      </c>
      <c r="AL390" s="206" t="s">
        <v>137</v>
      </c>
      <c r="AM390" s="206" t="s">
        <v>137</v>
      </c>
      <c r="AN390" s="371" t="s">
        <v>2271</v>
      </c>
      <c r="AO390" s="206" t="s">
        <v>2578</v>
      </c>
      <c r="AP390" s="206"/>
      <c r="AQ390" s="206" t="s">
        <v>1131</v>
      </c>
      <c r="AR390" s="207" t="s">
        <v>68</v>
      </c>
    </row>
    <row r="391" spans="1:44" x14ac:dyDescent="0.2">
      <c r="A391" s="370">
        <v>372</v>
      </c>
      <c r="B391" s="380">
        <v>202</v>
      </c>
      <c r="C391" s="371" t="s">
        <v>2269</v>
      </c>
      <c r="D391" s="371" t="s">
        <v>2270</v>
      </c>
      <c r="E391" s="206"/>
      <c r="F391" s="206" t="s">
        <v>73</v>
      </c>
      <c r="G391" s="206" t="s">
        <v>73</v>
      </c>
      <c r="H391" s="371" t="s">
        <v>2271</v>
      </c>
      <c r="I391" s="206" t="s">
        <v>1345</v>
      </c>
      <c r="J391" s="206" t="s">
        <v>1345</v>
      </c>
      <c r="K391" s="371" t="s">
        <v>2271</v>
      </c>
      <c r="L391" s="206" t="s">
        <v>2152</v>
      </c>
      <c r="M391" s="206" t="s">
        <v>1344</v>
      </c>
      <c r="N391" s="206" t="s">
        <v>40</v>
      </c>
      <c r="O391" s="372">
        <v>45994</v>
      </c>
      <c r="P391" s="372">
        <v>45994</v>
      </c>
      <c r="Q391" s="371" t="s">
        <v>2271</v>
      </c>
      <c r="R391" s="373">
        <v>13400</v>
      </c>
      <c r="S391" s="373">
        <v>13400</v>
      </c>
      <c r="T391" s="371" t="s">
        <v>2271</v>
      </c>
      <c r="U391" s="373">
        <v>3990</v>
      </c>
      <c r="V391" s="373">
        <v>3990</v>
      </c>
      <c r="W391" s="371" t="s">
        <v>2271</v>
      </c>
      <c r="X391" s="373">
        <v>9410</v>
      </c>
      <c r="Y391" s="373">
        <v>9410</v>
      </c>
      <c r="Z391" s="371" t="s">
        <v>2271</v>
      </c>
      <c r="AA391" s="373">
        <v>0</v>
      </c>
      <c r="AB391" s="373">
        <v>9350</v>
      </c>
      <c r="AC391" s="373">
        <v>9350</v>
      </c>
      <c r="AD391" s="371" t="s">
        <v>2271</v>
      </c>
      <c r="AE391" s="373">
        <v>0</v>
      </c>
      <c r="AF391" s="382">
        <v>0.91527777777777797</v>
      </c>
      <c r="AG391" s="382">
        <v>0.91527777777777797</v>
      </c>
      <c r="AH391" s="371" t="s">
        <v>2271</v>
      </c>
      <c r="AI391" s="382">
        <v>0.97083333333333299</v>
      </c>
      <c r="AJ391" s="382">
        <v>0.97083333333333299</v>
      </c>
      <c r="AK391" s="371" t="s">
        <v>2271</v>
      </c>
      <c r="AL391" s="206" t="s">
        <v>42</v>
      </c>
      <c r="AM391" s="206" t="s">
        <v>42</v>
      </c>
      <c r="AN391" s="371" t="s">
        <v>2271</v>
      </c>
      <c r="AO391" s="206" t="s">
        <v>2579</v>
      </c>
      <c r="AP391" s="206"/>
      <c r="AQ391" s="206" t="s">
        <v>1131</v>
      </c>
      <c r="AR391" s="207" t="s">
        <v>82</v>
      </c>
    </row>
    <row r="392" spans="1:44" x14ac:dyDescent="0.2">
      <c r="A392" s="370">
        <v>373</v>
      </c>
      <c r="B392" s="380">
        <v>202</v>
      </c>
      <c r="C392" s="371" t="s">
        <v>2337</v>
      </c>
      <c r="D392" s="371" t="s">
        <v>2235</v>
      </c>
      <c r="E392" s="206"/>
      <c r="F392" s="206" t="s">
        <v>194</v>
      </c>
      <c r="G392" s="206" t="s">
        <v>194</v>
      </c>
      <c r="H392" s="371" t="s">
        <v>2271</v>
      </c>
      <c r="I392" s="206"/>
      <c r="J392" s="206" t="s">
        <v>1726</v>
      </c>
      <c r="K392" s="371" t="s">
        <v>2276</v>
      </c>
      <c r="L392" s="206" t="s">
        <v>2221</v>
      </c>
      <c r="M392" s="206" t="s">
        <v>1594</v>
      </c>
      <c r="N392" s="206" t="s">
        <v>49</v>
      </c>
      <c r="O392" s="372" t="s">
        <v>2224</v>
      </c>
      <c r="P392" s="372">
        <v>46142</v>
      </c>
      <c r="Q392" s="371" t="s">
        <v>2276</v>
      </c>
      <c r="R392" s="373">
        <v>13040</v>
      </c>
      <c r="S392" s="373">
        <v>13040</v>
      </c>
      <c r="T392" s="371" t="s">
        <v>2271</v>
      </c>
      <c r="U392" s="373">
        <v>3770</v>
      </c>
      <c r="V392" s="373">
        <v>3770</v>
      </c>
      <c r="W392" s="371" t="s">
        <v>2271</v>
      </c>
      <c r="X392" s="373">
        <v>9270</v>
      </c>
      <c r="Y392" s="373">
        <v>9270</v>
      </c>
      <c r="Z392" s="371" t="s">
        <v>2271</v>
      </c>
      <c r="AA392" s="373">
        <v>0</v>
      </c>
      <c r="AB392" s="373">
        <v>9130</v>
      </c>
      <c r="AC392" s="373">
        <v>9130</v>
      </c>
      <c r="AD392" s="371" t="s">
        <v>2271</v>
      </c>
      <c r="AE392" s="373">
        <v>0</v>
      </c>
      <c r="AF392" s="382">
        <v>0.500694444444444</v>
      </c>
      <c r="AG392" s="382">
        <v>0.500694444444444</v>
      </c>
      <c r="AH392" s="371" t="s">
        <v>2271</v>
      </c>
      <c r="AI392" s="382">
        <v>0.55694444444444402</v>
      </c>
      <c r="AJ392" s="382">
        <v>0.55694444444444402</v>
      </c>
      <c r="AK392" s="371" t="s">
        <v>2271</v>
      </c>
      <c r="AL392" s="206" t="s">
        <v>137</v>
      </c>
      <c r="AM392" s="206" t="s">
        <v>137</v>
      </c>
      <c r="AN392" s="371" t="s">
        <v>2271</v>
      </c>
      <c r="AO392" s="206" t="s">
        <v>2580</v>
      </c>
      <c r="AP392" s="206"/>
      <c r="AQ392" s="206" t="s">
        <v>1131</v>
      </c>
      <c r="AR392" s="207" t="s">
        <v>68</v>
      </c>
    </row>
    <row r="393" spans="1:44" x14ac:dyDescent="0.2">
      <c r="A393" s="370">
        <v>374</v>
      </c>
      <c r="B393" s="380">
        <v>203</v>
      </c>
      <c r="C393" s="371" t="s">
        <v>2269</v>
      </c>
      <c r="D393" s="371" t="s">
        <v>2270</v>
      </c>
      <c r="E393" s="206"/>
      <c r="F393" s="206" t="s">
        <v>46</v>
      </c>
      <c r="G393" s="206" t="s">
        <v>46</v>
      </c>
      <c r="H393" s="371" t="s">
        <v>2271</v>
      </c>
      <c r="I393" s="206" t="s">
        <v>1431</v>
      </c>
      <c r="J393" s="206" t="s">
        <v>1431</v>
      </c>
      <c r="K393" s="371" t="s">
        <v>2271</v>
      </c>
      <c r="L393" s="206" t="s">
        <v>2153</v>
      </c>
      <c r="M393" s="206" t="s">
        <v>1346</v>
      </c>
      <c r="N393" s="206" t="s">
        <v>49</v>
      </c>
      <c r="O393" s="372">
        <v>45994</v>
      </c>
      <c r="P393" s="372">
        <v>45994</v>
      </c>
      <c r="Q393" s="371" t="s">
        <v>2271</v>
      </c>
      <c r="R393" s="373">
        <v>26640</v>
      </c>
      <c r="S393" s="373">
        <v>26640</v>
      </c>
      <c r="T393" s="371" t="s">
        <v>2271</v>
      </c>
      <c r="U393" s="373">
        <v>11810</v>
      </c>
      <c r="V393" s="373">
        <v>11810</v>
      </c>
      <c r="W393" s="371" t="s">
        <v>2271</v>
      </c>
      <c r="X393" s="373">
        <v>14830</v>
      </c>
      <c r="Y393" s="373">
        <v>14830</v>
      </c>
      <c r="Z393" s="371" t="s">
        <v>2271</v>
      </c>
      <c r="AA393" s="373">
        <v>0</v>
      </c>
      <c r="AB393" s="373">
        <v>14760</v>
      </c>
      <c r="AC393" s="373">
        <v>14760</v>
      </c>
      <c r="AD393" s="371" t="s">
        <v>2271</v>
      </c>
      <c r="AE393" s="373">
        <v>0</v>
      </c>
      <c r="AF393" s="382">
        <v>0.91874999999999996</v>
      </c>
      <c r="AG393" s="382">
        <v>0.91874999999999996</v>
      </c>
      <c r="AH393" s="371" t="s">
        <v>2271</v>
      </c>
      <c r="AI393" s="382">
        <v>0.96875</v>
      </c>
      <c r="AJ393" s="382">
        <v>0.96875</v>
      </c>
      <c r="AK393" s="371" t="s">
        <v>2271</v>
      </c>
      <c r="AL393" s="206" t="s">
        <v>42</v>
      </c>
      <c r="AM393" s="206" t="s">
        <v>42</v>
      </c>
      <c r="AN393" s="371" t="s">
        <v>2271</v>
      </c>
      <c r="AO393" s="206" t="s">
        <v>2581</v>
      </c>
      <c r="AP393" s="206" t="s">
        <v>1393</v>
      </c>
      <c r="AQ393" s="206" t="s">
        <v>1132</v>
      </c>
      <c r="AR393" s="207" t="s">
        <v>68</v>
      </c>
    </row>
    <row r="394" spans="1:44" x14ac:dyDescent="0.2">
      <c r="A394" s="370">
        <v>375</v>
      </c>
      <c r="B394" s="380">
        <v>203</v>
      </c>
      <c r="C394" s="371" t="s">
        <v>2337</v>
      </c>
      <c r="D394" s="371" t="s">
        <v>2235</v>
      </c>
      <c r="E394" s="206"/>
      <c r="F394" s="206" t="s">
        <v>1637</v>
      </c>
      <c r="G394" s="206" t="s">
        <v>1637</v>
      </c>
      <c r="H394" s="371" t="s">
        <v>2271</v>
      </c>
      <c r="I394" s="206"/>
      <c r="J394" s="206" t="s">
        <v>1726</v>
      </c>
      <c r="K394" s="371" t="s">
        <v>2276</v>
      </c>
      <c r="L394" s="206" t="s">
        <v>2221</v>
      </c>
      <c r="M394" s="206" t="s">
        <v>1594</v>
      </c>
      <c r="N394" s="206" t="s">
        <v>49</v>
      </c>
      <c r="O394" s="372" t="s">
        <v>2224</v>
      </c>
      <c r="P394" s="372">
        <v>46142</v>
      </c>
      <c r="Q394" s="371" t="s">
        <v>2276</v>
      </c>
      <c r="R394" s="373">
        <v>13190</v>
      </c>
      <c r="S394" s="373">
        <v>13190</v>
      </c>
      <c r="T394" s="371" t="s">
        <v>2271</v>
      </c>
      <c r="U394" s="373">
        <v>3880</v>
      </c>
      <c r="V394" s="373">
        <v>3880</v>
      </c>
      <c r="W394" s="371" t="s">
        <v>2271</v>
      </c>
      <c r="X394" s="373">
        <v>9310</v>
      </c>
      <c r="Y394" s="373">
        <v>9310</v>
      </c>
      <c r="Z394" s="371" t="s">
        <v>2271</v>
      </c>
      <c r="AA394" s="373">
        <v>0</v>
      </c>
      <c r="AB394" s="373">
        <v>9240</v>
      </c>
      <c r="AC394" s="373">
        <v>9240</v>
      </c>
      <c r="AD394" s="371" t="s">
        <v>2271</v>
      </c>
      <c r="AE394" s="373">
        <v>0</v>
      </c>
      <c r="AF394" s="382">
        <v>0.55972222222222201</v>
      </c>
      <c r="AG394" s="382">
        <v>0.55972222222222201</v>
      </c>
      <c r="AH394" s="371" t="s">
        <v>2271</v>
      </c>
      <c r="AI394" s="382">
        <v>0.57638888888888895</v>
      </c>
      <c r="AJ394" s="382">
        <v>0.57638888888888895</v>
      </c>
      <c r="AK394" s="371" t="s">
        <v>2271</v>
      </c>
      <c r="AL394" s="206" t="s">
        <v>137</v>
      </c>
      <c r="AM394" s="206" t="s">
        <v>137</v>
      </c>
      <c r="AN394" s="371" t="s">
        <v>2271</v>
      </c>
      <c r="AO394" s="206" t="s">
        <v>2581</v>
      </c>
      <c r="AP394" s="206"/>
      <c r="AQ394" s="206" t="s">
        <v>1131</v>
      </c>
      <c r="AR394" s="207" t="s">
        <v>68</v>
      </c>
    </row>
    <row r="395" spans="1:44" x14ac:dyDescent="0.2">
      <c r="A395" s="370">
        <v>376</v>
      </c>
      <c r="B395" s="380">
        <v>204</v>
      </c>
      <c r="C395" s="371" t="s">
        <v>2269</v>
      </c>
      <c r="D395" s="371" t="s">
        <v>2270</v>
      </c>
      <c r="E395" s="206"/>
      <c r="F395" s="206" t="s">
        <v>70</v>
      </c>
      <c r="G395" s="206" t="s">
        <v>70</v>
      </c>
      <c r="H395" s="371" t="s">
        <v>2271</v>
      </c>
      <c r="I395" s="206" t="s">
        <v>1431</v>
      </c>
      <c r="J395" s="206" t="s">
        <v>1431</v>
      </c>
      <c r="K395" s="371" t="s">
        <v>2271</v>
      </c>
      <c r="L395" s="206" t="s">
        <v>2153</v>
      </c>
      <c r="M395" s="206" t="s">
        <v>1346</v>
      </c>
      <c r="N395" s="206" t="s">
        <v>49</v>
      </c>
      <c r="O395" s="372">
        <v>45994</v>
      </c>
      <c r="P395" s="372">
        <v>45994</v>
      </c>
      <c r="Q395" s="371" t="s">
        <v>2271</v>
      </c>
      <c r="R395" s="373">
        <v>45810</v>
      </c>
      <c r="S395" s="373">
        <v>45810</v>
      </c>
      <c r="T395" s="371" t="s">
        <v>2271</v>
      </c>
      <c r="U395" s="373">
        <v>17640</v>
      </c>
      <c r="V395" s="373">
        <v>17640</v>
      </c>
      <c r="W395" s="371" t="s">
        <v>2271</v>
      </c>
      <c r="X395" s="373">
        <v>28170</v>
      </c>
      <c r="Y395" s="373">
        <v>28170</v>
      </c>
      <c r="Z395" s="371" t="s">
        <v>2271</v>
      </c>
      <c r="AA395" s="373">
        <v>0</v>
      </c>
      <c r="AB395" s="373">
        <v>28140</v>
      </c>
      <c r="AC395" s="373">
        <v>28140</v>
      </c>
      <c r="AD395" s="371" t="s">
        <v>2271</v>
      </c>
      <c r="AE395" s="373">
        <v>0</v>
      </c>
      <c r="AF395" s="382">
        <v>0.92013888888888895</v>
      </c>
      <c r="AG395" s="382">
        <v>0.92013888888888895</v>
      </c>
      <c r="AH395" s="371" t="s">
        <v>2271</v>
      </c>
      <c r="AI395" s="382">
        <v>0.98750000000000004</v>
      </c>
      <c r="AJ395" s="382">
        <v>0.98750000000000004</v>
      </c>
      <c r="AK395" s="371" t="s">
        <v>2271</v>
      </c>
      <c r="AL395" s="206" t="s">
        <v>42</v>
      </c>
      <c r="AM395" s="206" t="s">
        <v>42</v>
      </c>
      <c r="AN395" s="371" t="s">
        <v>2271</v>
      </c>
      <c r="AO395" s="206" t="s">
        <v>2582</v>
      </c>
      <c r="AP395" s="206" t="s">
        <v>1499</v>
      </c>
      <c r="AQ395" s="206" t="s">
        <v>1133</v>
      </c>
      <c r="AR395" s="207" t="s">
        <v>68</v>
      </c>
    </row>
    <row r="396" spans="1:44" x14ac:dyDescent="0.2">
      <c r="A396" s="370">
        <v>377</v>
      </c>
      <c r="B396" s="380">
        <v>204</v>
      </c>
      <c r="C396" s="371" t="s">
        <v>2337</v>
      </c>
      <c r="D396" s="371" t="s">
        <v>2235</v>
      </c>
      <c r="E396" s="206"/>
      <c r="F396" s="206" t="s">
        <v>163</v>
      </c>
      <c r="G396" s="206" t="s">
        <v>163</v>
      </c>
      <c r="H396" s="371" t="s">
        <v>2271</v>
      </c>
      <c r="I396" s="206"/>
      <c r="J396" s="206" t="s">
        <v>1726</v>
      </c>
      <c r="K396" s="371" t="s">
        <v>2276</v>
      </c>
      <c r="L396" s="206" t="s">
        <v>2221</v>
      </c>
      <c r="M396" s="206" t="s">
        <v>1594</v>
      </c>
      <c r="N396" s="206" t="s">
        <v>49</v>
      </c>
      <c r="O396" s="372" t="s">
        <v>2224</v>
      </c>
      <c r="P396" s="372">
        <v>46142</v>
      </c>
      <c r="Q396" s="371" t="s">
        <v>2276</v>
      </c>
      <c r="R396" s="373">
        <v>13900</v>
      </c>
      <c r="S396" s="373">
        <v>13900</v>
      </c>
      <c r="T396" s="371" t="s">
        <v>2271</v>
      </c>
      <c r="U396" s="373">
        <v>3910</v>
      </c>
      <c r="V396" s="373">
        <v>3910</v>
      </c>
      <c r="W396" s="371" t="s">
        <v>2271</v>
      </c>
      <c r="X396" s="373">
        <v>9990</v>
      </c>
      <c r="Y396" s="373">
        <v>9990</v>
      </c>
      <c r="Z396" s="371" t="s">
        <v>2271</v>
      </c>
      <c r="AA396" s="373">
        <v>0</v>
      </c>
      <c r="AB396" s="373">
        <v>9940</v>
      </c>
      <c r="AC396" s="373">
        <v>9940</v>
      </c>
      <c r="AD396" s="371" t="s">
        <v>2271</v>
      </c>
      <c r="AE396" s="373">
        <v>0</v>
      </c>
      <c r="AF396" s="382">
        <v>0.56111111111111101</v>
      </c>
      <c r="AG396" s="382">
        <v>0.56111111111111101</v>
      </c>
      <c r="AH396" s="371" t="s">
        <v>2271</v>
      </c>
      <c r="AI396" s="382">
        <v>0.57430555555555596</v>
      </c>
      <c r="AJ396" s="382">
        <v>0.57430555555555596</v>
      </c>
      <c r="AK396" s="371" t="s">
        <v>2271</v>
      </c>
      <c r="AL396" s="206" t="s">
        <v>137</v>
      </c>
      <c r="AM396" s="206" t="s">
        <v>137</v>
      </c>
      <c r="AN396" s="371" t="s">
        <v>2271</v>
      </c>
      <c r="AO396" s="206" t="s">
        <v>2582</v>
      </c>
      <c r="AP396" s="206"/>
      <c r="AQ396" s="206" t="s">
        <v>1131</v>
      </c>
      <c r="AR396" s="207" t="s">
        <v>68</v>
      </c>
    </row>
    <row r="397" spans="1:44" x14ac:dyDescent="0.2">
      <c r="A397" s="370">
        <v>378</v>
      </c>
      <c r="B397" s="380">
        <v>205</v>
      </c>
      <c r="C397" s="371" t="s">
        <v>2269</v>
      </c>
      <c r="D397" s="371" t="s">
        <v>2270</v>
      </c>
      <c r="E397" s="206"/>
      <c r="F397" s="206" t="s">
        <v>155</v>
      </c>
      <c r="G397" s="206" t="s">
        <v>155</v>
      </c>
      <c r="H397" s="371" t="s">
        <v>2271</v>
      </c>
      <c r="I397" s="206" t="s">
        <v>1345</v>
      </c>
      <c r="J397" s="206" t="s">
        <v>1345</v>
      </c>
      <c r="K397" s="371" t="s">
        <v>2271</v>
      </c>
      <c r="L397" s="206" t="s">
        <v>2152</v>
      </c>
      <c r="M397" s="206" t="s">
        <v>1344</v>
      </c>
      <c r="N397" s="206" t="s">
        <v>40</v>
      </c>
      <c r="O397" s="372">
        <v>45995</v>
      </c>
      <c r="P397" s="372">
        <v>45995</v>
      </c>
      <c r="Q397" s="371" t="s">
        <v>2271</v>
      </c>
      <c r="R397" s="373">
        <v>13550</v>
      </c>
      <c r="S397" s="373">
        <v>13550</v>
      </c>
      <c r="T397" s="371" t="s">
        <v>2271</v>
      </c>
      <c r="U397" s="373">
        <v>3970</v>
      </c>
      <c r="V397" s="373">
        <v>3970</v>
      </c>
      <c r="W397" s="371" t="s">
        <v>2271</v>
      </c>
      <c r="X397" s="373">
        <v>9580</v>
      </c>
      <c r="Y397" s="373">
        <v>9580</v>
      </c>
      <c r="Z397" s="371" t="s">
        <v>2271</v>
      </c>
      <c r="AA397" s="373">
        <v>0</v>
      </c>
      <c r="AB397" s="373">
        <v>9600</v>
      </c>
      <c r="AC397" s="373">
        <v>9600</v>
      </c>
      <c r="AD397" s="371" t="s">
        <v>2271</v>
      </c>
      <c r="AE397" s="373">
        <v>0</v>
      </c>
      <c r="AF397" s="382">
        <v>0.33888888888888902</v>
      </c>
      <c r="AG397" s="382">
        <v>0.33888888888888902</v>
      </c>
      <c r="AH397" s="371" t="s">
        <v>2271</v>
      </c>
      <c r="AI397" s="382">
        <v>0.38333333333333303</v>
      </c>
      <c r="AJ397" s="382">
        <v>0.38333333333333303</v>
      </c>
      <c r="AK397" s="371" t="s">
        <v>2271</v>
      </c>
      <c r="AL397" s="206" t="s">
        <v>137</v>
      </c>
      <c r="AM397" s="206" t="s">
        <v>137</v>
      </c>
      <c r="AN397" s="371" t="s">
        <v>2271</v>
      </c>
      <c r="AO397" s="206" t="s">
        <v>2583</v>
      </c>
      <c r="AP397" s="206"/>
      <c r="AQ397" s="206" t="s">
        <v>1131</v>
      </c>
      <c r="AR397" s="207" t="s">
        <v>82</v>
      </c>
    </row>
    <row r="398" spans="1:44" x14ac:dyDescent="0.2">
      <c r="A398" s="370">
        <v>379</v>
      </c>
      <c r="B398" s="380">
        <v>205</v>
      </c>
      <c r="C398" s="371" t="s">
        <v>2337</v>
      </c>
      <c r="D398" s="371" t="s">
        <v>2235</v>
      </c>
      <c r="E398" s="206"/>
      <c r="F398" s="206" t="s">
        <v>1047</v>
      </c>
      <c r="G398" s="206" t="s">
        <v>1047</v>
      </c>
      <c r="H398" s="371" t="s">
        <v>2271</v>
      </c>
      <c r="I398" s="206"/>
      <c r="J398" s="206" t="s">
        <v>1726</v>
      </c>
      <c r="K398" s="371" t="s">
        <v>2276</v>
      </c>
      <c r="L398" s="206" t="s">
        <v>2221</v>
      </c>
      <c r="M398" s="206" t="s">
        <v>1594</v>
      </c>
      <c r="N398" s="206" t="s">
        <v>49</v>
      </c>
      <c r="O398" s="372" t="s">
        <v>2224</v>
      </c>
      <c r="P398" s="372">
        <v>46142</v>
      </c>
      <c r="Q398" s="371" t="s">
        <v>2276</v>
      </c>
      <c r="R398" s="373">
        <v>13450</v>
      </c>
      <c r="S398" s="373">
        <v>13450</v>
      </c>
      <c r="T398" s="371" t="s">
        <v>2271</v>
      </c>
      <c r="U398" s="373">
        <v>3890</v>
      </c>
      <c r="V398" s="373">
        <v>3890</v>
      </c>
      <c r="W398" s="371" t="s">
        <v>2271</v>
      </c>
      <c r="X398" s="373">
        <v>9560</v>
      </c>
      <c r="Y398" s="373">
        <v>9560</v>
      </c>
      <c r="Z398" s="371" t="s">
        <v>2271</v>
      </c>
      <c r="AA398" s="373">
        <v>0</v>
      </c>
      <c r="AB398" s="373">
        <v>9520</v>
      </c>
      <c r="AC398" s="373">
        <v>9520</v>
      </c>
      <c r="AD398" s="371" t="s">
        <v>2271</v>
      </c>
      <c r="AE398" s="373">
        <v>0</v>
      </c>
      <c r="AF398" s="382">
        <v>0.6875</v>
      </c>
      <c r="AG398" s="382">
        <v>0.6875</v>
      </c>
      <c r="AH398" s="371" t="s">
        <v>2271</v>
      </c>
      <c r="AI398" s="382">
        <v>0.70069444444444395</v>
      </c>
      <c r="AJ398" s="382">
        <v>0.70069444444444395</v>
      </c>
      <c r="AK398" s="371" t="s">
        <v>2271</v>
      </c>
      <c r="AL398" s="206" t="s">
        <v>1221</v>
      </c>
      <c r="AM398" s="206" t="s">
        <v>1221</v>
      </c>
      <c r="AN398" s="371" t="s">
        <v>2271</v>
      </c>
      <c r="AO398" s="206" t="s">
        <v>2584</v>
      </c>
      <c r="AP398" s="206"/>
      <c r="AQ398" s="206" t="s">
        <v>1131</v>
      </c>
      <c r="AR398" s="207" t="s">
        <v>68</v>
      </c>
    </row>
    <row r="399" spans="1:44" x14ac:dyDescent="0.2">
      <c r="A399" s="370">
        <v>380</v>
      </c>
      <c r="B399" s="380">
        <v>206</v>
      </c>
      <c r="C399" s="371" t="s">
        <v>2269</v>
      </c>
      <c r="D399" s="371" t="s">
        <v>2270</v>
      </c>
      <c r="E399" s="206"/>
      <c r="F399" s="206" t="s">
        <v>151</v>
      </c>
      <c r="G399" s="206" t="s">
        <v>151</v>
      </c>
      <c r="H399" s="371" t="s">
        <v>2271</v>
      </c>
      <c r="I399" s="206" t="s">
        <v>1345</v>
      </c>
      <c r="J399" s="206" t="s">
        <v>1345</v>
      </c>
      <c r="K399" s="371" t="s">
        <v>2271</v>
      </c>
      <c r="L399" s="206" t="s">
        <v>2152</v>
      </c>
      <c r="M399" s="206" t="s">
        <v>1344</v>
      </c>
      <c r="N399" s="206" t="s">
        <v>40</v>
      </c>
      <c r="O399" s="372">
        <v>45995</v>
      </c>
      <c r="P399" s="372">
        <v>45995</v>
      </c>
      <c r="Q399" s="371" t="s">
        <v>2271</v>
      </c>
      <c r="R399" s="373">
        <v>13470</v>
      </c>
      <c r="S399" s="373">
        <v>13470</v>
      </c>
      <c r="T399" s="371" t="s">
        <v>2271</v>
      </c>
      <c r="U399" s="373">
        <v>4130</v>
      </c>
      <c r="V399" s="373">
        <v>4130</v>
      </c>
      <c r="W399" s="371" t="s">
        <v>2271</v>
      </c>
      <c r="X399" s="373">
        <v>9340</v>
      </c>
      <c r="Y399" s="373">
        <v>9340</v>
      </c>
      <c r="Z399" s="371" t="s">
        <v>2271</v>
      </c>
      <c r="AA399" s="373">
        <v>0</v>
      </c>
      <c r="AB399" s="373">
        <v>9360</v>
      </c>
      <c r="AC399" s="373">
        <v>9360</v>
      </c>
      <c r="AD399" s="371" t="s">
        <v>2271</v>
      </c>
      <c r="AE399" s="373">
        <v>0</v>
      </c>
      <c r="AF399" s="382">
        <v>0.34027777777777801</v>
      </c>
      <c r="AG399" s="382">
        <v>0.34027777777777801</v>
      </c>
      <c r="AH399" s="371" t="s">
        <v>2271</v>
      </c>
      <c r="AI399" s="382">
        <v>0.40902777777777799</v>
      </c>
      <c r="AJ399" s="382">
        <v>0.40902777777777799</v>
      </c>
      <c r="AK399" s="371" t="s">
        <v>2271</v>
      </c>
      <c r="AL399" s="206" t="s">
        <v>137</v>
      </c>
      <c r="AM399" s="206" t="s">
        <v>137</v>
      </c>
      <c r="AN399" s="371" t="s">
        <v>2271</v>
      </c>
      <c r="AO399" s="206" t="s">
        <v>2585</v>
      </c>
      <c r="AP399" s="206"/>
      <c r="AQ399" s="206" t="s">
        <v>1131</v>
      </c>
      <c r="AR399" s="207" t="s">
        <v>82</v>
      </c>
    </row>
    <row r="400" spans="1:44" x14ac:dyDescent="0.2">
      <c r="A400" s="370">
        <v>381</v>
      </c>
      <c r="B400" s="380">
        <v>206</v>
      </c>
      <c r="C400" s="371" t="s">
        <v>2337</v>
      </c>
      <c r="D400" s="371" t="s">
        <v>2235</v>
      </c>
      <c r="E400" s="206"/>
      <c r="F400" s="206" t="s">
        <v>1276</v>
      </c>
      <c r="G400" s="206" t="s">
        <v>1276</v>
      </c>
      <c r="H400" s="371" t="s">
        <v>2271</v>
      </c>
      <c r="I400" s="206"/>
      <c r="J400" s="206" t="s">
        <v>1726</v>
      </c>
      <c r="K400" s="371" t="s">
        <v>2276</v>
      </c>
      <c r="L400" s="206" t="s">
        <v>2221</v>
      </c>
      <c r="M400" s="206" t="s">
        <v>1594</v>
      </c>
      <c r="N400" s="206" t="s">
        <v>49</v>
      </c>
      <c r="O400" s="372" t="s">
        <v>2224</v>
      </c>
      <c r="P400" s="372">
        <v>46142</v>
      </c>
      <c r="Q400" s="371" t="s">
        <v>2276</v>
      </c>
      <c r="R400" s="373">
        <v>13830</v>
      </c>
      <c r="S400" s="373">
        <v>13830</v>
      </c>
      <c r="T400" s="371" t="s">
        <v>2271</v>
      </c>
      <c r="U400" s="373">
        <v>3920</v>
      </c>
      <c r="V400" s="373">
        <v>3920</v>
      </c>
      <c r="W400" s="371" t="s">
        <v>2271</v>
      </c>
      <c r="X400" s="373">
        <v>9910</v>
      </c>
      <c r="Y400" s="373">
        <v>9910</v>
      </c>
      <c r="Z400" s="371" t="s">
        <v>2271</v>
      </c>
      <c r="AA400" s="373">
        <v>0</v>
      </c>
      <c r="AB400" s="373">
        <v>9890</v>
      </c>
      <c r="AC400" s="373">
        <v>9890</v>
      </c>
      <c r="AD400" s="371" t="s">
        <v>2271</v>
      </c>
      <c r="AE400" s="373">
        <v>0</v>
      </c>
      <c r="AF400" s="382">
        <v>0.73541666666666705</v>
      </c>
      <c r="AG400" s="382">
        <v>0.73541666666666705</v>
      </c>
      <c r="AH400" s="371" t="s">
        <v>2271</v>
      </c>
      <c r="AI400" s="382">
        <v>0.75902777777777797</v>
      </c>
      <c r="AJ400" s="382">
        <v>0.75902777777777797</v>
      </c>
      <c r="AK400" s="371" t="s">
        <v>2271</v>
      </c>
      <c r="AL400" s="206" t="s">
        <v>1221</v>
      </c>
      <c r="AM400" s="206" t="s">
        <v>1221</v>
      </c>
      <c r="AN400" s="371" t="s">
        <v>2271</v>
      </c>
      <c r="AO400" s="206" t="s">
        <v>2586</v>
      </c>
      <c r="AP400" s="206"/>
      <c r="AQ400" s="206" t="s">
        <v>1131</v>
      </c>
      <c r="AR400" s="207" t="s">
        <v>68</v>
      </c>
    </row>
    <row r="401" spans="1:44" x14ac:dyDescent="0.2">
      <c r="A401" s="370">
        <v>382</v>
      </c>
      <c r="B401" s="380">
        <v>207</v>
      </c>
      <c r="C401" s="371" t="s">
        <v>2269</v>
      </c>
      <c r="D401" s="371" t="s">
        <v>2270</v>
      </c>
      <c r="E401" s="206"/>
      <c r="F401" s="206" t="s">
        <v>183</v>
      </c>
      <c r="G401" s="206" t="s">
        <v>183</v>
      </c>
      <c r="H401" s="371" t="s">
        <v>2271</v>
      </c>
      <c r="I401" s="206" t="s">
        <v>1345</v>
      </c>
      <c r="J401" s="206" t="s">
        <v>1345</v>
      </c>
      <c r="K401" s="371" t="s">
        <v>2271</v>
      </c>
      <c r="L401" s="206" t="s">
        <v>2152</v>
      </c>
      <c r="M401" s="206" t="s">
        <v>1344</v>
      </c>
      <c r="N401" s="206" t="s">
        <v>40</v>
      </c>
      <c r="O401" s="372">
        <v>45995</v>
      </c>
      <c r="P401" s="372">
        <v>45995</v>
      </c>
      <c r="Q401" s="371" t="s">
        <v>2271</v>
      </c>
      <c r="R401" s="373">
        <v>14190</v>
      </c>
      <c r="S401" s="373">
        <v>14190</v>
      </c>
      <c r="T401" s="371" t="s">
        <v>2271</v>
      </c>
      <c r="U401" s="373">
        <v>4250</v>
      </c>
      <c r="V401" s="373">
        <v>4250</v>
      </c>
      <c r="W401" s="371" t="s">
        <v>2271</v>
      </c>
      <c r="X401" s="373">
        <v>9940</v>
      </c>
      <c r="Y401" s="373">
        <v>9940</v>
      </c>
      <c r="Z401" s="371" t="s">
        <v>2271</v>
      </c>
      <c r="AA401" s="373">
        <v>0</v>
      </c>
      <c r="AB401" s="373">
        <v>9960</v>
      </c>
      <c r="AC401" s="373">
        <v>9960</v>
      </c>
      <c r="AD401" s="371" t="s">
        <v>2271</v>
      </c>
      <c r="AE401" s="373">
        <v>0</v>
      </c>
      <c r="AF401" s="382">
        <v>0.343055555555556</v>
      </c>
      <c r="AG401" s="382">
        <v>0.343055555555556</v>
      </c>
      <c r="AH401" s="371" t="s">
        <v>2271</v>
      </c>
      <c r="AI401" s="382">
        <v>0.375694444444444</v>
      </c>
      <c r="AJ401" s="382">
        <v>0.375694444444444</v>
      </c>
      <c r="AK401" s="371" t="s">
        <v>2271</v>
      </c>
      <c r="AL401" s="206" t="s">
        <v>137</v>
      </c>
      <c r="AM401" s="206" t="s">
        <v>137</v>
      </c>
      <c r="AN401" s="371" t="s">
        <v>2271</v>
      </c>
      <c r="AO401" s="206" t="s">
        <v>2587</v>
      </c>
      <c r="AP401" s="206"/>
      <c r="AQ401" s="206" t="s">
        <v>1131</v>
      </c>
      <c r="AR401" s="207" t="s">
        <v>82</v>
      </c>
    </row>
    <row r="402" spans="1:44" x14ac:dyDescent="0.2">
      <c r="A402" s="370">
        <v>383</v>
      </c>
      <c r="B402" s="380">
        <v>207</v>
      </c>
      <c r="C402" s="371" t="s">
        <v>2337</v>
      </c>
      <c r="D402" s="371" t="s">
        <v>2235</v>
      </c>
      <c r="E402" s="206"/>
      <c r="F402" s="206" t="s">
        <v>149</v>
      </c>
      <c r="G402" s="206" t="s">
        <v>149</v>
      </c>
      <c r="H402" s="371" t="s">
        <v>2271</v>
      </c>
      <c r="I402" s="206"/>
      <c r="J402" s="206" t="s">
        <v>1726</v>
      </c>
      <c r="K402" s="371" t="s">
        <v>2276</v>
      </c>
      <c r="L402" s="206" t="s">
        <v>2221</v>
      </c>
      <c r="M402" s="206" t="s">
        <v>1594</v>
      </c>
      <c r="N402" s="206" t="s">
        <v>49</v>
      </c>
      <c r="O402" s="372" t="s">
        <v>2224</v>
      </c>
      <c r="P402" s="372">
        <v>46142</v>
      </c>
      <c r="Q402" s="371" t="s">
        <v>2276</v>
      </c>
      <c r="R402" s="373">
        <v>13780</v>
      </c>
      <c r="S402" s="373">
        <v>13780</v>
      </c>
      <c r="T402" s="371" t="s">
        <v>2271</v>
      </c>
      <c r="U402" s="373">
        <v>3990</v>
      </c>
      <c r="V402" s="373">
        <v>3990</v>
      </c>
      <c r="W402" s="371" t="s">
        <v>2271</v>
      </c>
      <c r="X402" s="373">
        <v>9790</v>
      </c>
      <c r="Y402" s="373">
        <v>9790</v>
      </c>
      <c r="Z402" s="371" t="s">
        <v>2271</v>
      </c>
      <c r="AA402" s="373">
        <v>0</v>
      </c>
      <c r="AB402" s="373">
        <v>9760</v>
      </c>
      <c r="AC402" s="373">
        <v>9760</v>
      </c>
      <c r="AD402" s="371" t="s">
        <v>2271</v>
      </c>
      <c r="AE402" s="373">
        <v>0</v>
      </c>
      <c r="AF402" s="382">
        <v>0.77430555555555503</v>
      </c>
      <c r="AG402" s="382">
        <v>0.77430555555555503</v>
      </c>
      <c r="AH402" s="371" t="s">
        <v>2271</v>
      </c>
      <c r="AI402" s="382">
        <v>0.79305555555555596</v>
      </c>
      <c r="AJ402" s="382">
        <v>0.79305555555555596</v>
      </c>
      <c r="AK402" s="371" t="s">
        <v>2271</v>
      </c>
      <c r="AL402" s="206" t="s">
        <v>1221</v>
      </c>
      <c r="AM402" s="206" t="s">
        <v>1221</v>
      </c>
      <c r="AN402" s="371" t="s">
        <v>2271</v>
      </c>
      <c r="AO402" s="206" t="s">
        <v>2588</v>
      </c>
      <c r="AP402" s="206"/>
      <c r="AQ402" s="206" t="s">
        <v>1131</v>
      </c>
      <c r="AR402" s="207" t="s">
        <v>68</v>
      </c>
    </row>
    <row r="403" spans="1:44" x14ac:dyDescent="0.2">
      <c r="A403" s="370">
        <v>384</v>
      </c>
      <c r="B403" s="380">
        <v>208</v>
      </c>
      <c r="C403" s="371" t="s">
        <v>2269</v>
      </c>
      <c r="D403" s="371" t="s">
        <v>2235</v>
      </c>
      <c r="E403" s="206"/>
      <c r="F403" s="206" t="s">
        <v>76</v>
      </c>
      <c r="G403" s="206" t="s">
        <v>76</v>
      </c>
      <c r="H403" s="371" t="s">
        <v>2271</v>
      </c>
      <c r="I403" s="206" t="s">
        <v>1431</v>
      </c>
      <c r="J403" s="206" t="s">
        <v>1431</v>
      </c>
      <c r="K403" s="371" t="s">
        <v>2271</v>
      </c>
      <c r="L403" s="206" t="s">
        <v>2153</v>
      </c>
      <c r="M403" s="206" t="s">
        <v>1346</v>
      </c>
      <c r="N403" s="206" t="s">
        <v>49</v>
      </c>
      <c r="O403" s="372">
        <v>45995</v>
      </c>
      <c r="P403" s="372">
        <v>45995</v>
      </c>
      <c r="Q403" s="371" t="s">
        <v>2271</v>
      </c>
      <c r="R403" s="373">
        <v>45790</v>
      </c>
      <c r="S403" s="373">
        <v>45790</v>
      </c>
      <c r="T403" s="371" t="s">
        <v>2271</v>
      </c>
      <c r="U403" s="373">
        <v>17560</v>
      </c>
      <c r="V403" s="373">
        <v>17560</v>
      </c>
      <c r="W403" s="371" t="s">
        <v>2271</v>
      </c>
      <c r="X403" s="373">
        <v>28230</v>
      </c>
      <c r="Y403" s="373">
        <v>28230</v>
      </c>
      <c r="Z403" s="371" t="s">
        <v>2271</v>
      </c>
      <c r="AA403" s="373">
        <v>0</v>
      </c>
      <c r="AB403" s="373">
        <v>28200</v>
      </c>
      <c r="AC403" s="373">
        <v>28200</v>
      </c>
      <c r="AD403" s="371" t="s">
        <v>2271</v>
      </c>
      <c r="AE403" s="373">
        <v>0</v>
      </c>
      <c r="AF403" s="382">
        <v>0.49444444444444402</v>
      </c>
      <c r="AG403" s="382">
        <v>0.49444444444444502</v>
      </c>
      <c r="AH403" s="371" t="s">
        <v>2276</v>
      </c>
      <c r="AI403" s="382">
        <v>0.60416666666666696</v>
      </c>
      <c r="AJ403" s="382">
        <v>0.60416666666666696</v>
      </c>
      <c r="AK403" s="371" t="s">
        <v>2271</v>
      </c>
      <c r="AL403" s="206" t="s">
        <v>137</v>
      </c>
      <c r="AM403" s="206" t="s">
        <v>137</v>
      </c>
      <c r="AN403" s="371" t="s">
        <v>2271</v>
      </c>
      <c r="AO403" s="206" t="s">
        <v>2589</v>
      </c>
      <c r="AP403" s="206" t="s">
        <v>1372</v>
      </c>
      <c r="AQ403" s="206" t="s">
        <v>1133</v>
      </c>
      <c r="AR403" s="207" t="s">
        <v>68</v>
      </c>
    </row>
    <row r="404" spans="1:44" x14ac:dyDescent="0.2">
      <c r="A404" s="370">
        <v>385</v>
      </c>
      <c r="B404" s="380">
        <v>208</v>
      </c>
      <c r="C404" s="371" t="s">
        <v>2337</v>
      </c>
      <c r="D404" s="371" t="s">
        <v>2235</v>
      </c>
      <c r="E404" s="206"/>
      <c r="F404" s="206" t="s">
        <v>194</v>
      </c>
      <c r="G404" s="206" t="s">
        <v>194</v>
      </c>
      <c r="H404" s="371" t="s">
        <v>2271</v>
      </c>
      <c r="I404" s="206"/>
      <c r="J404" s="206" t="s">
        <v>1726</v>
      </c>
      <c r="K404" s="371" t="s">
        <v>2276</v>
      </c>
      <c r="L404" s="206" t="s">
        <v>2221</v>
      </c>
      <c r="M404" s="206" t="s">
        <v>1594</v>
      </c>
      <c r="N404" s="206" t="s">
        <v>49</v>
      </c>
      <c r="O404" s="372" t="s">
        <v>2224</v>
      </c>
      <c r="P404" s="372">
        <v>46142</v>
      </c>
      <c r="Q404" s="371" t="s">
        <v>2276</v>
      </c>
      <c r="R404" s="373">
        <v>13000</v>
      </c>
      <c r="S404" s="373">
        <v>13000</v>
      </c>
      <c r="T404" s="371" t="s">
        <v>2271</v>
      </c>
      <c r="U404" s="373">
        <v>3750</v>
      </c>
      <c r="V404" s="373">
        <v>3750</v>
      </c>
      <c r="W404" s="371" t="s">
        <v>2271</v>
      </c>
      <c r="X404" s="373">
        <v>9250</v>
      </c>
      <c r="Y404" s="373">
        <v>9250</v>
      </c>
      <c r="Z404" s="371" t="s">
        <v>2271</v>
      </c>
      <c r="AA404" s="373">
        <v>0</v>
      </c>
      <c r="AB404" s="373">
        <v>9230</v>
      </c>
      <c r="AC404" s="373">
        <v>9230</v>
      </c>
      <c r="AD404" s="371" t="s">
        <v>2271</v>
      </c>
      <c r="AE404" s="373">
        <v>0</v>
      </c>
      <c r="AF404" s="382">
        <v>0.78125</v>
      </c>
      <c r="AG404" s="382">
        <v>0.78125</v>
      </c>
      <c r="AH404" s="371" t="s">
        <v>2271</v>
      </c>
      <c r="AI404" s="382">
        <v>0.79722222222222205</v>
      </c>
      <c r="AJ404" s="382">
        <v>0.79722222222222205</v>
      </c>
      <c r="AK404" s="371" t="s">
        <v>2271</v>
      </c>
      <c r="AL404" s="206" t="s">
        <v>1221</v>
      </c>
      <c r="AM404" s="206" t="s">
        <v>1221</v>
      </c>
      <c r="AN404" s="371" t="s">
        <v>2271</v>
      </c>
      <c r="AO404" s="206" t="s">
        <v>2589</v>
      </c>
      <c r="AP404" s="206"/>
      <c r="AQ404" s="206" t="s">
        <v>1131</v>
      </c>
      <c r="AR404" s="207" t="s">
        <v>68</v>
      </c>
    </row>
    <row r="405" spans="1:44" x14ac:dyDescent="0.2">
      <c r="A405" s="370">
        <v>386</v>
      </c>
      <c r="B405" s="380">
        <v>209</v>
      </c>
      <c r="C405" s="371" t="s">
        <v>2269</v>
      </c>
      <c r="D405" s="371" t="s">
        <v>2270</v>
      </c>
      <c r="E405" s="206"/>
      <c r="F405" s="206" t="s">
        <v>46</v>
      </c>
      <c r="G405" s="206" t="s">
        <v>46</v>
      </c>
      <c r="H405" s="371" t="s">
        <v>2271</v>
      </c>
      <c r="I405" s="206" t="s">
        <v>1431</v>
      </c>
      <c r="J405" s="206" t="s">
        <v>1431</v>
      </c>
      <c r="K405" s="371" t="s">
        <v>2271</v>
      </c>
      <c r="L405" s="206" t="s">
        <v>2153</v>
      </c>
      <c r="M405" s="206" t="s">
        <v>1346</v>
      </c>
      <c r="N405" s="206" t="s">
        <v>49</v>
      </c>
      <c r="O405" s="372">
        <v>45995</v>
      </c>
      <c r="P405" s="372">
        <v>45995</v>
      </c>
      <c r="Q405" s="371" t="s">
        <v>2271</v>
      </c>
      <c r="R405" s="373">
        <v>26570</v>
      </c>
      <c r="S405" s="373">
        <v>26570</v>
      </c>
      <c r="T405" s="371" t="s">
        <v>2271</v>
      </c>
      <c r="U405" s="373">
        <v>11750</v>
      </c>
      <c r="V405" s="373">
        <v>11750</v>
      </c>
      <c r="W405" s="371" t="s">
        <v>2271</v>
      </c>
      <c r="X405" s="373">
        <v>14820</v>
      </c>
      <c r="Y405" s="373">
        <v>14820</v>
      </c>
      <c r="Z405" s="371" t="s">
        <v>2271</v>
      </c>
      <c r="AA405" s="373">
        <v>0</v>
      </c>
      <c r="AB405" s="373">
        <v>14770</v>
      </c>
      <c r="AC405" s="373">
        <v>14770</v>
      </c>
      <c r="AD405" s="371" t="s">
        <v>2271</v>
      </c>
      <c r="AE405" s="373">
        <v>0</v>
      </c>
      <c r="AF405" s="382">
        <v>0.55347222222222203</v>
      </c>
      <c r="AG405" s="382">
        <v>0.55347222222222203</v>
      </c>
      <c r="AH405" s="371" t="s">
        <v>2271</v>
      </c>
      <c r="AI405" s="382">
        <v>0.61180555555555605</v>
      </c>
      <c r="AJ405" s="382">
        <v>0.61180555555555605</v>
      </c>
      <c r="AK405" s="371" t="s">
        <v>2271</v>
      </c>
      <c r="AL405" s="206" t="s">
        <v>137</v>
      </c>
      <c r="AM405" s="206" t="s">
        <v>137</v>
      </c>
      <c r="AN405" s="371" t="s">
        <v>2271</v>
      </c>
      <c r="AO405" s="206" t="s">
        <v>2590</v>
      </c>
      <c r="AP405" s="206" t="s">
        <v>1393</v>
      </c>
      <c r="AQ405" s="206" t="s">
        <v>1132</v>
      </c>
      <c r="AR405" s="207" t="s">
        <v>68</v>
      </c>
    </row>
    <row r="406" spans="1:44" x14ac:dyDescent="0.2">
      <c r="A406" s="370">
        <v>387</v>
      </c>
      <c r="B406" s="380">
        <v>209</v>
      </c>
      <c r="C406" s="371" t="s">
        <v>2337</v>
      </c>
      <c r="D406" s="371" t="s">
        <v>2235</v>
      </c>
      <c r="E406" s="206"/>
      <c r="F406" s="206" t="s">
        <v>163</v>
      </c>
      <c r="G406" s="206" t="s">
        <v>163</v>
      </c>
      <c r="H406" s="371" t="s">
        <v>2271</v>
      </c>
      <c r="I406" s="206"/>
      <c r="J406" s="206" t="s">
        <v>1726</v>
      </c>
      <c r="K406" s="371" t="s">
        <v>2276</v>
      </c>
      <c r="L406" s="206" t="s">
        <v>2221</v>
      </c>
      <c r="M406" s="206" t="s">
        <v>1594</v>
      </c>
      <c r="N406" s="206" t="s">
        <v>49</v>
      </c>
      <c r="O406" s="372" t="s">
        <v>2224</v>
      </c>
      <c r="P406" s="372">
        <v>46142</v>
      </c>
      <c r="Q406" s="371" t="s">
        <v>2276</v>
      </c>
      <c r="R406" s="373">
        <v>13920</v>
      </c>
      <c r="S406" s="373">
        <v>13920</v>
      </c>
      <c r="T406" s="371" t="s">
        <v>2271</v>
      </c>
      <c r="U406" s="373">
        <v>3920</v>
      </c>
      <c r="V406" s="373">
        <v>3920</v>
      </c>
      <c r="W406" s="371" t="s">
        <v>2271</v>
      </c>
      <c r="X406" s="373">
        <v>10000</v>
      </c>
      <c r="Y406" s="373">
        <v>10000</v>
      </c>
      <c r="Z406" s="371" t="s">
        <v>2271</v>
      </c>
      <c r="AA406" s="373">
        <v>0</v>
      </c>
      <c r="AB406" s="373">
        <v>9970</v>
      </c>
      <c r="AC406" s="373">
        <v>9970</v>
      </c>
      <c r="AD406" s="371" t="s">
        <v>2271</v>
      </c>
      <c r="AE406" s="373">
        <v>0</v>
      </c>
      <c r="AF406" s="382">
        <v>0.81111111111111101</v>
      </c>
      <c r="AG406" s="382">
        <v>0.81111111111111101</v>
      </c>
      <c r="AH406" s="371" t="s">
        <v>2271</v>
      </c>
      <c r="AI406" s="382">
        <v>0.82291666666666696</v>
      </c>
      <c r="AJ406" s="382">
        <v>0.82291666666666696</v>
      </c>
      <c r="AK406" s="371" t="s">
        <v>2271</v>
      </c>
      <c r="AL406" s="206" t="s">
        <v>1221</v>
      </c>
      <c r="AM406" s="206" t="s">
        <v>1221</v>
      </c>
      <c r="AN406" s="371" t="s">
        <v>2271</v>
      </c>
      <c r="AO406" s="206" t="s">
        <v>2590</v>
      </c>
      <c r="AP406" s="206"/>
      <c r="AQ406" s="206" t="s">
        <v>1131</v>
      </c>
      <c r="AR406" s="207" t="s">
        <v>68</v>
      </c>
    </row>
    <row r="407" spans="1:44" x14ac:dyDescent="0.2">
      <c r="A407" s="370">
        <v>388</v>
      </c>
      <c r="B407" s="380">
        <v>210</v>
      </c>
      <c r="C407" s="371" t="s">
        <v>2269</v>
      </c>
      <c r="D407" s="371" t="s">
        <v>2270</v>
      </c>
      <c r="E407" s="206"/>
      <c r="F407" s="206" t="s">
        <v>56</v>
      </c>
      <c r="G407" s="206" t="s">
        <v>56</v>
      </c>
      <c r="H407" s="371" t="s">
        <v>2271</v>
      </c>
      <c r="I407" s="206" t="s">
        <v>1431</v>
      </c>
      <c r="J407" s="206" t="s">
        <v>1431</v>
      </c>
      <c r="K407" s="371" t="s">
        <v>2271</v>
      </c>
      <c r="L407" s="206" t="s">
        <v>2153</v>
      </c>
      <c r="M407" s="206" t="s">
        <v>1346</v>
      </c>
      <c r="N407" s="206" t="s">
        <v>49</v>
      </c>
      <c r="O407" s="372">
        <v>45995</v>
      </c>
      <c r="P407" s="372">
        <v>45995</v>
      </c>
      <c r="Q407" s="371" t="s">
        <v>2271</v>
      </c>
      <c r="R407" s="373">
        <v>25110</v>
      </c>
      <c r="S407" s="373">
        <v>25110</v>
      </c>
      <c r="T407" s="371" t="s">
        <v>2271</v>
      </c>
      <c r="U407" s="373">
        <v>10890</v>
      </c>
      <c r="V407" s="373">
        <v>10890</v>
      </c>
      <c r="W407" s="371" t="s">
        <v>2271</v>
      </c>
      <c r="X407" s="373">
        <v>14220</v>
      </c>
      <c r="Y407" s="373">
        <v>14220</v>
      </c>
      <c r="Z407" s="371" t="s">
        <v>2271</v>
      </c>
      <c r="AA407" s="373">
        <v>0</v>
      </c>
      <c r="AB407" s="373">
        <v>14140</v>
      </c>
      <c r="AC407" s="373">
        <v>14140</v>
      </c>
      <c r="AD407" s="371" t="s">
        <v>2271</v>
      </c>
      <c r="AE407" s="373">
        <v>0</v>
      </c>
      <c r="AF407" s="382">
        <v>0.55486111111111103</v>
      </c>
      <c r="AG407" s="382">
        <v>0.55486111111111103</v>
      </c>
      <c r="AH407" s="371" t="s">
        <v>2271</v>
      </c>
      <c r="AI407" s="382">
        <v>0.61041666666666705</v>
      </c>
      <c r="AJ407" s="382">
        <v>0.61041666666666705</v>
      </c>
      <c r="AK407" s="371" t="s">
        <v>2271</v>
      </c>
      <c r="AL407" s="206" t="s">
        <v>137</v>
      </c>
      <c r="AM407" s="206" t="s">
        <v>137</v>
      </c>
      <c r="AN407" s="371" t="s">
        <v>2271</v>
      </c>
      <c r="AO407" s="206" t="s">
        <v>2591</v>
      </c>
      <c r="AP407" s="206" t="s">
        <v>1781</v>
      </c>
      <c r="AQ407" s="206" t="s">
        <v>1132</v>
      </c>
      <c r="AR407" s="207" t="s">
        <v>68</v>
      </c>
    </row>
    <row r="408" spans="1:44" x14ac:dyDescent="0.2">
      <c r="A408" s="370">
        <v>389</v>
      </c>
      <c r="B408" s="380">
        <v>210</v>
      </c>
      <c r="C408" s="371" t="s">
        <v>2337</v>
      </c>
      <c r="D408" s="371" t="s">
        <v>2235</v>
      </c>
      <c r="E408" s="206"/>
      <c r="F408" s="206" t="s">
        <v>1276</v>
      </c>
      <c r="G408" s="206" t="s">
        <v>1276</v>
      </c>
      <c r="H408" s="371" t="s">
        <v>2271</v>
      </c>
      <c r="I408" s="206"/>
      <c r="J408" s="206" t="s">
        <v>1726</v>
      </c>
      <c r="K408" s="371" t="s">
        <v>2276</v>
      </c>
      <c r="L408" s="206" t="s">
        <v>2221</v>
      </c>
      <c r="M408" s="206" t="s">
        <v>1594</v>
      </c>
      <c r="N408" s="206" t="s">
        <v>49</v>
      </c>
      <c r="O408" s="372" t="s">
        <v>2224</v>
      </c>
      <c r="P408" s="372">
        <v>46142</v>
      </c>
      <c r="Q408" s="371" t="s">
        <v>2276</v>
      </c>
      <c r="R408" s="373">
        <v>13840</v>
      </c>
      <c r="S408" s="373">
        <v>13840</v>
      </c>
      <c r="T408" s="371" t="s">
        <v>2271</v>
      </c>
      <c r="U408" s="373">
        <v>3930</v>
      </c>
      <c r="V408" s="373">
        <v>3930</v>
      </c>
      <c r="W408" s="371" t="s">
        <v>2271</v>
      </c>
      <c r="X408" s="373">
        <v>9910</v>
      </c>
      <c r="Y408" s="373">
        <v>9910</v>
      </c>
      <c r="Z408" s="371" t="s">
        <v>2271</v>
      </c>
      <c r="AA408" s="373">
        <v>0</v>
      </c>
      <c r="AB408" s="373">
        <v>9890</v>
      </c>
      <c r="AC408" s="373">
        <v>9890</v>
      </c>
      <c r="AD408" s="371" t="s">
        <v>2271</v>
      </c>
      <c r="AE408" s="373">
        <v>0</v>
      </c>
      <c r="AF408" s="382">
        <v>0.95347222222222205</v>
      </c>
      <c r="AG408" s="382">
        <v>0.95347222222222205</v>
      </c>
      <c r="AH408" s="371" t="s">
        <v>2271</v>
      </c>
      <c r="AI408" s="382">
        <v>0.97638888888888897</v>
      </c>
      <c r="AJ408" s="382">
        <v>0.97638888888888897</v>
      </c>
      <c r="AK408" s="371" t="s">
        <v>2271</v>
      </c>
      <c r="AL408" s="206" t="s">
        <v>1221</v>
      </c>
      <c r="AM408" s="206" t="s">
        <v>1221</v>
      </c>
      <c r="AN408" s="371" t="s">
        <v>2271</v>
      </c>
      <c r="AO408" s="206" t="s">
        <v>2591</v>
      </c>
      <c r="AP408" s="206"/>
      <c r="AQ408" s="206" t="s">
        <v>1131</v>
      </c>
      <c r="AR408" s="207" t="s">
        <v>68</v>
      </c>
    </row>
    <row r="409" spans="1:44" x14ac:dyDescent="0.2">
      <c r="A409" s="370">
        <v>390</v>
      </c>
      <c r="B409" s="380">
        <v>211</v>
      </c>
      <c r="C409" s="371" t="s">
        <v>2269</v>
      </c>
      <c r="D409" s="371" t="s">
        <v>2270</v>
      </c>
      <c r="E409" s="206"/>
      <c r="F409" s="206" t="s">
        <v>84</v>
      </c>
      <c r="G409" s="206" t="s">
        <v>84</v>
      </c>
      <c r="H409" s="371" t="s">
        <v>2271</v>
      </c>
      <c r="I409" s="206" t="s">
        <v>1431</v>
      </c>
      <c r="J409" s="206" t="s">
        <v>1431</v>
      </c>
      <c r="K409" s="371" t="s">
        <v>2271</v>
      </c>
      <c r="L409" s="206" t="s">
        <v>2153</v>
      </c>
      <c r="M409" s="206" t="s">
        <v>1346</v>
      </c>
      <c r="N409" s="206" t="s">
        <v>49</v>
      </c>
      <c r="O409" s="372">
        <v>45995</v>
      </c>
      <c r="P409" s="372">
        <v>45995</v>
      </c>
      <c r="Q409" s="371" t="s">
        <v>2271</v>
      </c>
      <c r="R409" s="373">
        <v>26710</v>
      </c>
      <c r="S409" s="373">
        <v>26710</v>
      </c>
      <c r="T409" s="371" t="s">
        <v>2271</v>
      </c>
      <c r="U409" s="373">
        <v>12240</v>
      </c>
      <c r="V409" s="373">
        <v>12240</v>
      </c>
      <c r="W409" s="371" t="s">
        <v>2271</v>
      </c>
      <c r="X409" s="373">
        <v>14470</v>
      </c>
      <c r="Y409" s="373">
        <v>14470</v>
      </c>
      <c r="Z409" s="371" t="s">
        <v>2271</v>
      </c>
      <c r="AA409" s="373">
        <v>0</v>
      </c>
      <c r="AB409" s="373">
        <v>14400</v>
      </c>
      <c r="AC409" s="373">
        <v>14400</v>
      </c>
      <c r="AD409" s="371" t="s">
        <v>2271</v>
      </c>
      <c r="AE409" s="373">
        <v>0</v>
      </c>
      <c r="AF409" s="382">
        <v>0.55625000000000002</v>
      </c>
      <c r="AG409" s="382">
        <v>0.55625000000000002</v>
      </c>
      <c r="AH409" s="371" t="s">
        <v>2271</v>
      </c>
      <c r="AI409" s="382">
        <v>0.64375000000000004</v>
      </c>
      <c r="AJ409" s="382">
        <v>0.64375000000000004</v>
      </c>
      <c r="AK409" s="371" t="s">
        <v>2271</v>
      </c>
      <c r="AL409" s="206" t="s">
        <v>137</v>
      </c>
      <c r="AM409" s="206" t="s">
        <v>137</v>
      </c>
      <c r="AN409" s="371" t="s">
        <v>2271</v>
      </c>
      <c r="AO409" s="206" t="s">
        <v>2592</v>
      </c>
      <c r="AP409" s="206" t="s">
        <v>1782</v>
      </c>
      <c r="AQ409" s="206" t="s">
        <v>1132</v>
      </c>
      <c r="AR409" s="207" t="s">
        <v>68</v>
      </c>
    </row>
    <row r="410" spans="1:44" x14ac:dyDescent="0.2">
      <c r="A410" s="370">
        <v>391</v>
      </c>
      <c r="B410" s="380">
        <v>212</v>
      </c>
      <c r="C410" s="371" t="s">
        <v>2269</v>
      </c>
      <c r="D410" s="371" t="s">
        <v>2270</v>
      </c>
      <c r="E410" s="206"/>
      <c r="F410" s="206" t="s">
        <v>70</v>
      </c>
      <c r="G410" s="206" t="s">
        <v>70</v>
      </c>
      <c r="H410" s="371" t="s">
        <v>2271</v>
      </c>
      <c r="I410" s="206" t="s">
        <v>1431</v>
      </c>
      <c r="J410" s="206" t="s">
        <v>1431</v>
      </c>
      <c r="K410" s="371" t="s">
        <v>2271</v>
      </c>
      <c r="L410" s="206" t="s">
        <v>2153</v>
      </c>
      <c r="M410" s="206" t="s">
        <v>1346</v>
      </c>
      <c r="N410" s="206" t="s">
        <v>49</v>
      </c>
      <c r="O410" s="372">
        <v>45995</v>
      </c>
      <c r="P410" s="372">
        <v>45995</v>
      </c>
      <c r="Q410" s="371" t="s">
        <v>2271</v>
      </c>
      <c r="R410" s="373">
        <v>45790</v>
      </c>
      <c r="S410" s="373">
        <v>45790</v>
      </c>
      <c r="T410" s="371" t="s">
        <v>2271</v>
      </c>
      <c r="U410" s="373">
        <v>17560</v>
      </c>
      <c r="V410" s="373">
        <v>17560</v>
      </c>
      <c r="W410" s="371" t="s">
        <v>2271</v>
      </c>
      <c r="X410" s="373">
        <v>28230</v>
      </c>
      <c r="Y410" s="373">
        <v>28230</v>
      </c>
      <c r="Z410" s="371" t="s">
        <v>2271</v>
      </c>
      <c r="AA410" s="373">
        <v>0</v>
      </c>
      <c r="AB410" s="373">
        <v>28140</v>
      </c>
      <c r="AC410" s="373">
        <v>28140</v>
      </c>
      <c r="AD410" s="371" t="s">
        <v>2271</v>
      </c>
      <c r="AE410" s="373">
        <v>0</v>
      </c>
      <c r="AF410" s="382">
        <v>0.55763888888888902</v>
      </c>
      <c r="AG410" s="382">
        <v>0.55763888888888902</v>
      </c>
      <c r="AH410" s="371" t="s">
        <v>2271</v>
      </c>
      <c r="AI410" s="382">
        <v>0.60902777777777795</v>
      </c>
      <c r="AJ410" s="382">
        <v>0.60902777777777795</v>
      </c>
      <c r="AK410" s="371" t="s">
        <v>2271</v>
      </c>
      <c r="AL410" s="206" t="s">
        <v>137</v>
      </c>
      <c r="AM410" s="206" t="s">
        <v>137</v>
      </c>
      <c r="AN410" s="371" t="s">
        <v>2271</v>
      </c>
      <c r="AO410" s="206" t="s">
        <v>2593</v>
      </c>
      <c r="AP410" s="206" t="s">
        <v>1499</v>
      </c>
      <c r="AQ410" s="206" t="s">
        <v>1133</v>
      </c>
      <c r="AR410" s="207" t="s">
        <v>68</v>
      </c>
    </row>
    <row r="411" spans="1:44" x14ac:dyDescent="0.2">
      <c r="A411" s="370">
        <v>392</v>
      </c>
      <c r="B411" s="380">
        <v>212</v>
      </c>
      <c r="C411" s="371" t="s">
        <v>2275</v>
      </c>
      <c r="D411" s="371" t="s">
        <v>2235</v>
      </c>
      <c r="E411" s="206"/>
      <c r="F411" s="206" t="s">
        <v>151</v>
      </c>
      <c r="G411" s="206" t="s">
        <v>151</v>
      </c>
      <c r="H411" s="371" t="s">
        <v>2271</v>
      </c>
      <c r="I411" s="206"/>
      <c r="J411" s="206" t="s">
        <v>2106</v>
      </c>
      <c r="K411" s="371" t="s">
        <v>2276</v>
      </c>
      <c r="L411" s="206" t="s">
        <v>2225</v>
      </c>
      <c r="M411" s="206" t="s">
        <v>2105</v>
      </c>
      <c r="N411" s="206" t="s">
        <v>49</v>
      </c>
      <c r="O411" s="372">
        <v>46147</v>
      </c>
      <c r="P411" s="372">
        <v>46147</v>
      </c>
      <c r="Q411" s="371" t="s">
        <v>2271</v>
      </c>
      <c r="R411" s="373">
        <v>13560</v>
      </c>
      <c r="S411" s="373">
        <v>13560</v>
      </c>
      <c r="T411" s="371" t="s">
        <v>2271</v>
      </c>
      <c r="U411" s="373">
        <v>4200</v>
      </c>
      <c r="V411" s="373">
        <v>4200</v>
      </c>
      <c r="W411" s="371" t="s">
        <v>2271</v>
      </c>
      <c r="X411" s="373">
        <v>9360</v>
      </c>
      <c r="Y411" s="373">
        <v>9360</v>
      </c>
      <c r="Z411" s="371" t="s">
        <v>2271</v>
      </c>
      <c r="AA411" s="373">
        <v>0</v>
      </c>
      <c r="AB411" s="373">
        <v>9340</v>
      </c>
      <c r="AC411" s="373">
        <v>9340</v>
      </c>
      <c r="AD411" s="371" t="s">
        <v>2271</v>
      </c>
      <c r="AE411" s="373">
        <v>0</v>
      </c>
      <c r="AF411" s="382">
        <v>0.63263888888888897</v>
      </c>
      <c r="AG411" s="382">
        <v>0.63263888888888897</v>
      </c>
      <c r="AH411" s="371" t="s">
        <v>2271</v>
      </c>
      <c r="AI411" s="382">
        <v>0.68263888888888902</v>
      </c>
      <c r="AJ411" s="382">
        <v>0.68263888888888902</v>
      </c>
      <c r="AK411" s="371" t="s">
        <v>2271</v>
      </c>
      <c r="AL411" s="206" t="s">
        <v>137</v>
      </c>
      <c r="AM411" s="206" t="s">
        <v>137</v>
      </c>
      <c r="AN411" s="371" t="s">
        <v>2271</v>
      </c>
      <c r="AO411" s="206" t="s">
        <v>2593</v>
      </c>
      <c r="AP411" s="206"/>
      <c r="AQ411" s="206" t="s">
        <v>1131</v>
      </c>
      <c r="AR411" s="207" t="s">
        <v>68</v>
      </c>
    </row>
    <row r="412" spans="1:44" x14ac:dyDescent="0.2">
      <c r="A412" s="370">
        <v>393</v>
      </c>
      <c r="B412" s="380">
        <v>213</v>
      </c>
      <c r="C412" s="371" t="s">
        <v>2269</v>
      </c>
      <c r="D412" s="371" t="s">
        <v>2270</v>
      </c>
      <c r="E412" s="206"/>
      <c r="F412" s="206" t="s">
        <v>169</v>
      </c>
      <c r="G412" s="206" t="s">
        <v>169</v>
      </c>
      <c r="H412" s="371" t="s">
        <v>2271</v>
      </c>
      <c r="I412" s="206" t="s">
        <v>1345</v>
      </c>
      <c r="J412" s="206" t="s">
        <v>1345</v>
      </c>
      <c r="K412" s="371" t="s">
        <v>2271</v>
      </c>
      <c r="L412" s="206" t="s">
        <v>2152</v>
      </c>
      <c r="M412" s="206" t="s">
        <v>1344</v>
      </c>
      <c r="N412" s="206" t="s">
        <v>40</v>
      </c>
      <c r="O412" s="372">
        <v>45995</v>
      </c>
      <c r="P412" s="372">
        <v>45995</v>
      </c>
      <c r="Q412" s="371" t="s">
        <v>2271</v>
      </c>
      <c r="R412" s="373">
        <v>13490</v>
      </c>
      <c r="S412" s="373">
        <v>13490</v>
      </c>
      <c r="T412" s="371" t="s">
        <v>2271</v>
      </c>
      <c r="U412" s="373">
        <v>4050</v>
      </c>
      <c r="V412" s="373">
        <v>4050</v>
      </c>
      <c r="W412" s="371" t="s">
        <v>2271</v>
      </c>
      <c r="X412" s="373">
        <v>9440</v>
      </c>
      <c r="Y412" s="373">
        <v>9440</v>
      </c>
      <c r="Z412" s="371" t="s">
        <v>2271</v>
      </c>
      <c r="AA412" s="373">
        <v>0</v>
      </c>
      <c r="AB412" s="373">
        <v>9420</v>
      </c>
      <c r="AC412" s="373">
        <v>9420</v>
      </c>
      <c r="AD412" s="371" t="s">
        <v>2271</v>
      </c>
      <c r="AE412" s="373">
        <v>0</v>
      </c>
      <c r="AF412" s="382">
        <v>0.77361111111111103</v>
      </c>
      <c r="AG412" s="382">
        <v>0.77361111111111103</v>
      </c>
      <c r="AH412" s="371" t="s">
        <v>2271</v>
      </c>
      <c r="AI412" s="382">
        <v>0.80208333333333304</v>
      </c>
      <c r="AJ412" s="382">
        <v>0.80208333333333304</v>
      </c>
      <c r="AK412" s="371" t="s">
        <v>2271</v>
      </c>
      <c r="AL412" s="206" t="s">
        <v>42</v>
      </c>
      <c r="AM412" s="206" t="s">
        <v>42</v>
      </c>
      <c r="AN412" s="371" t="s">
        <v>2271</v>
      </c>
      <c r="AO412" s="206" t="s">
        <v>2594</v>
      </c>
      <c r="AP412" s="206"/>
      <c r="AQ412" s="206" t="s">
        <v>1131</v>
      </c>
      <c r="AR412" s="207" t="s">
        <v>82</v>
      </c>
    </row>
    <row r="413" spans="1:44" x14ac:dyDescent="0.2">
      <c r="A413" s="370">
        <v>394</v>
      </c>
      <c r="B413" s="380">
        <v>213</v>
      </c>
      <c r="C413" s="371" t="s">
        <v>2275</v>
      </c>
      <c r="D413" s="371" t="s">
        <v>2235</v>
      </c>
      <c r="E413" s="206"/>
      <c r="F413" s="206" t="s">
        <v>220</v>
      </c>
      <c r="G413" s="206" t="s">
        <v>220</v>
      </c>
      <c r="H413" s="371" t="s">
        <v>2271</v>
      </c>
      <c r="I413" s="206"/>
      <c r="J413" s="206" t="s">
        <v>2106</v>
      </c>
      <c r="K413" s="371" t="s">
        <v>2276</v>
      </c>
      <c r="L413" s="206" t="s">
        <v>2225</v>
      </c>
      <c r="M413" s="206" t="s">
        <v>2105</v>
      </c>
      <c r="N413" s="206" t="s">
        <v>49</v>
      </c>
      <c r="O413" s="372">
        <v>46147</v>
      </c>
      <c r="P413" s="372">
        <v>46147</v>
      </c>
      <c r="Q413" s="371" t="s">
        <v>2271</v>
      </c>
      <c r="R413" s="373">
        <v>13630</v>
      </c>
      <c r="S413" s="373">
        <v>13630</v>
      </c>
      <c r="T413" s="371" t="s">
        <v>2271</v>
      </c>
      <c r="U413" s="373">
        <v>4270</v>
      </c>
      <c r="V413" s="373">
        <v>4270</v>
      </c>
      <c r="W413" s="371" t="s">
        <v>2271</v>
      </c>
      <c r="X413" s="373">
        <v>9360</v>
      </c>
      <c r="Y413" s="373">
        <v>9360</v>
      </c>
      <c r="Z413" s="371" t="s">
        <v>2271</v>
      </c>
      <c r="AA413" s="373">
        <v>0</v>
      </c>
      <c r="AB413" s="373">
        <v>9350</v>
      </c>
      <c r="AC413" s="373">
        <v>9350</v>
      </c>
      <c r="AD413" s="371" t="s">
        <v>2271</v>
      </c>
      <c r="AE413" s="373">
        <v>0</v>
      </c>
      <c r="AF413" s="382">
        <v>0.63333333333333297</v>
      </c>
      <c r="AG413" s="382">
        <v>0.63333333333333297</v>
      </c>
      <c r="AH413" s="371" t="s">
        <v>2271</v>
      </c>
      <c r="AI413" s="382">
        <v>0.67847222222222203</v>
      </c>
      <c r="AJ413" s="382">
        <v>0.67847222222222203</v>
      </c>
      <c r="AK413" s="371" t="s">
        <v>2271</v>
      </c>
      <c r="AL413" s="206" t="s">
        <v>137</v>
      </c>
      <c r="AM413" s="206" t="s">
        <v>137</v>
      </c>
      <c r="AN413" s="371" t="s">
        <v>2271</v>
      </c>
      <c r="AO413" s="206" t="s">
        <v>2595</v>
      </c>
      <c r="AP413" s="206"/>
      <c r="AQ413" s="206" t="s">
        <v>1131</v>
      </c>
      <c r="AR413" s="207" t="s">
        <v>68</v>
      </c>
    </row>
    <row r="414" spans="1:44" x14ac:dyDescent="0.2">
      <c r="A414" s="370">
        <v>395</v>
      </c>
      <c r="B414" s="380">
        <v>214</v>
      </c>
      <c r="C414" s="371" t="s">
        <v>2269</v>
      </c>
      <c r="D414" s="371" t="s">
        <v>2270</v>
      </c>
      <c r="E414" s="206"/>
      <c r="F414" s="206" t="s">
        <v>46</v>
      </c>
      <c r="G414" s="206" t="s">
        <v>46</v>
      </c>
      <c r="H414" s="371" t="s">
        <v>2271</v>
      </c>
      <c r="I414" s="206" t="s">
        <v>1431</v>
      </c>
      <c r="J414" s="206" t="s">
        <v>1431</v>
      </c>
      <c r="K414" s="371" t="s">
        <v>2271</v>
      </c>
      <c r="L414" s="206" t="s">
        <v>2153</v>
      </c>
      <c r="M414" s="206" t="s">
        <v>1346</v>
      </c>
      <c r="N414" s="206" t="s">
        <v>49</v>
      </c>
      <c r="O414" s="372">
        <v>45995</v>
      </c>
      <c r="P414" s="372">
        <v>45995</v>
      </c>
      <c r="Q414" s="371" t="s">
        <v>2271</v>
      </c>
      <c r="R414" s="373">
        <v>26540</v>
      </c>
      <c r="S414" s="373">
        <v>26540</v>
      </c>
      <c r="T414" s="371" t="s">
        <v>2271</v>
      </c>
      <c r="U414" s="373">
        <v>11700</v>
      </c>
      <c r="V414" s="373">
        <v>11700</v>
      </c>
      <c r="W414" s="371" t="s">
        <v>2271</v>
      </c>
      <c r="X414" s="373">
        <v>14840</v>
      </c>
      <c r="Y414" s="373">
        <v>14840</v>
      </c>
      <c r="Z414" s="371" t="s">
        <v>2271</v>
      </c>
      <c r="AA414" s="373">
        <v>0</v>
      </c>
      <c r="AB414" s="373">
        <v>14780</v>
      </c>
      <c r="AC414" s="373">
        <v>14780</v>
      </c>
      <c r="AD414" s="371" t="s">
        <v>2271</v>
      </c>
      <c r="AE414" s="373">
        <v>0</v>
      </c>
      <c r="AF414" s="382">
        <v>0.78402777777777799</v>
      </c>
      <c r="AG414" s="382">
        <v>0.78402777777777799</v>
      </c>
      <c r="AH414" s="371" t="s">
        <v>2271</v>
      </c>
      <c r="AI414" s="382">
        <v>0.813194444444444</v>
      </c>
      <c r="AJ414" s="382">
        <v>0.813194444444444</v>
      </c>
      <c r="AK414" s="371" t="s">
        <v>2271</v>
      </c>
      <c r="AL414" s="206" t="s">
        <v>42</v>
      </c>
      <c r="AM414" s="206" t="s">
        <v>42</v>
      </c>
      <c r="AN414" s="371" t="s">
        <v>2271</v>
      </c>
      <c r="AO414" s="206" t="s">
        <v>2596</v>
      </c>
      <c r="AP414" s="206" t="s">
        <v>1393</v>
      </c>
      <c r="AQ414" s="206" t="s">
        <v>1132</v>
      </c>
      <c r="AR414" s="207" t="s">
        <v>68</v>
      </c>
    </row>
    <row r="415" spans="1:44" x14ac:dyDescent="0.2">
      <c r="A415" s="370">
        <v>396</v>
      </c>
      <c r="B415" s="380">
        <v>214</v>
      </c>
      <c r="C415" s="371" t="s">
        <v>2275</v>
      </c>
      <c r="D415" s="371" t="s">
        <v>2235</v>
      </c>
      <c r="E415" s="206"/>
      <c r="F415" s="206" t="s">
        <v>2026</v>
      </c>
      <c r="G415" s="206" t="s">
        <v>2026</v>
      </c>
      <c r="H415" s="371" t="s">
        <v>2271</v>
      </c>
      <c r="I415" s="206"/>
      <c r="J415" s="206" t="s">
        <v>2106</v>
      </c>
      <c r="K415" s="371" t="s">
        <v>2276</v>
      </c>
      <c r="L415" s="206" t="s">
        <v>2225</v>
      </c>
      <c r="M415" s="206" t="s">
        <v>2105</v>
      </c>
      <c r="N415" s="206" t="s">
        <v>49</v>
      </c>
      <c r="O415" s="372">
        <v>46147</v>
      </c>
      <c r="P415" s="372">
        <v>46147</v>
      </c>
      <c r="Q415" s="371" t="s">
        <v>2271</v>
      </c>
      <c r="R415" s="373">
        <v>13230</v>
      </c>
      <c r="S415" s="373">
        <v>13230</v>
      </c>
      <c r="T415" s="371" t="s">
        <v>2271</v>
      </c>
      <c r="U415" s="373">
        <v>4120</v>
      </c>
      <c r="V415" s="373">
        <v>4120</v>
      </c>
      <c r="W415" s="371" t="s">
        <v>2271</v>
      </c>
      <c r="X415" s="373">
        <v>9110</v>
      </c>
      <c r="Y415" s="373">
        <v>9110</v>
      </c>
      <c r="Z415" s="371" t="s">
        <v>2271</v>
      </c>
      <c r="AA415" s="373">
        <v>0</v>
      </c>
      <c r="AB415" s="373">
        <v>9080</v>
      </c>
      <c r="AC415" s="373">
        <v>9080</v>
      </c>
      <c r="AD415" s="371" t="s">
        <v>2271</v>
      </c>
      <c r="AE415" s="373">
        <v>0</v>
      </c>
      <c r="AF415" s="382">
        <v>0.67569444444444404</v>
      </c>
      <c r="AG415" s="382">
        <v>0.67569444444444404</v>
      </c>
      <c r="AH415" s="371" t="s">
        <v>2271</v>
      </c>
      <c r="AI415" s="382">
        <v>0.7</v>
      </c>
      <c r="AJ415" s="382">
        <v>0.7</v>
      </c>
      <c r="AK415" s="371" t="s">
        <v>2271</v>
      </c>
      <c r="AL415" s="206" t="s">
        <v>137</v>
      </c>
      <c r="AM415" s="206" t="s">
        <v>137</v>
      </c>
      <c r="AN415" s="371" t="s">
        <v>2271</v>
      </c>
      <c r="AO415" s="206" t="s">
        <v>2596</v>
      </c>
      <c r="AP415" s="206"/>
      <c r="AQ415" s="206" t="s">
        <v>1131</v>
      </c>
      <c r="AR415" s="207" t="s">
        <v>68</v>
      </c>
    </row>
    <row r="416" spans="1:44" x14ac:dyDescent="0.2">
      <c r="A416" s="370">
        <v>397</v>
      </c>
      <c r="B416" s="380">
        <v>215</v>
      </c>
      <c r="C416" s="371" t="s">
        <v>2269</v>
      </c>
      <c r="D416" s="371" t="s">
        <v>2270</v>
      </c>
      <c r="E416" s="206"/>
      <c r="F416" s="206" t="s">
        <v>56</v>
      </c>
      <c r="G416" s="206" t="s">
        <v>56</v>
      </c>
      <c r="H416" s="371" t="s">
        <v>2271</v>
      </c>
      <c r="I416" s="206" t="s">
        <v>1431</v>
      </c>
      <c r="J416" s="206" t="s">
        <v>1431</v>
      </c>
      <c r="K416" s="371" t="s">
        <v>2271</v>
      </c>
      <c r="L416" s="206" t="s">
        <v>2153</v>
      </c>
      <c r="M416" s="206" t="s">
        <v>1346</v>
      </c>
      <c r="N416" s="206" t="s">
        <v>49</v>
      </c>
      <c r="O416" s="372">
        <v>45995</v>
      </c>
      <c r="P416" s="372">
        <v>45995</v>
      </c>
      <c r="Q416" s="371" t="s">
        <v>2271</v>
      </c>
      <c r="R416" s="373">
        <v>25090</v>
      </c>
      <c r="S416" s="373">
        <v>25090</v>
      </c>
      <c r="T416" s="371" t="s">
        <v>2271</v>
      </c>
      <c r="U416" s="373">
        <v>10850</v>
      </c>
      <c r="V416" s="373">
        <v>10850</v>
      </c>
      <c r="W416" s="371" t="s">
        <v>2271</v>
      </c>
      <c r="X416" s="373">
        <v>14240</v>
      </c>
      <c r="Y416" s="373">
        <v>14240</v>
      </c>
      <c r="Z416" s="371" t="s">
        <v>2271</v>
      </c>
      <c r="AA416" s="373">
        <v>0</v>
      </c>
      <c r="AB416" s="373">
        <v>14210</v>
      </c>
      <c r="AC416" s="373">
        <v>14210</v>
      </c>
      <c r="AD416" s="371" t="s">
        <v>2271</v>
      </c>
      <c r="AE416" s="373">
        <v>0</v>
      </c>
      <c r="AF416" s="382">
        <v>0.79930555555555605</v>
      </c>
      <c r="AG416" s="382">
        <v>0.79930555555555605</v>
      </c>
      <c r="AH416" s="371" t="s">
        <v>2271</v>
      </c>
      <c r="AI416" s="382">
        <v>0.85208333333333297</v>
      </c>
      <c r="AJ416" s="382">
        <v>0.85208333333333297</v>
      </c>
      <c r="AK416" s="371" t="s">
        <v>2271</v>
      </c>
      <c r="AL416" s="206" t="s">
        <v>42</v>
      </c>
      <c r="AM416" s="206" t="s">
        <v>42</v>
      </c>
      <c r="AN416" s="371" t="s">
        <v>2271</v>
      </c>
      <c r="AO416" s="206" t="s">
        <v>2597</v>
      </c>
      <c r="AP416" s="206" t="s">
        <v>1781</v>
      </c>
      <c r="AQ416" s="206" t="s">
        <v>1132</v>
      </c>
      <c r="AR416" s="207" t="s">
        <v>68</v>
      </c>
    </row>
    <row r="417" spans="1:44" x14ac:dyDescent="0.2">
      <c r="A417" s="370">
        <v>398</v>
      </c>
      <c r="B417" s="380">
        <v>215</v>
      </c>
      <c r="C417" s="371" t="s">
        <v>2275</v>
      </c>
      <c r="D417" s="371" t="s">
        <v>2235</v>
      </c>
      <c r="E417" s="206"/>
      <c r="F417" s="206" t="s">
        <v>1268</v>
      </c>
      <c r="G417" s="206" t="s">
        <v>1268</v>
      </c>
      <c r="H417" s="371" t="s">
        <v>2271</v>
      </c>
      <c r="I417" s="206"/>
      <c r="J417" s="206" t="s">
        <v>2106</v>
      </c>
      <c r="K417" s="371" t="s">
        <v>2276</v>
      </c>
      <c r="L417" s="206" t="s">
        <v>2225</v>
      </c>
      <c r="M417" s="206" t="s">
        <v>2105</v>
      </c>
      <c r="N417" s="206" t="s">
        <v>49</v>
      </c>
      <c r="O417" s="372">
        <v>46147</v>
      </c>
      <c r="P417" s="372">
        <v>46147</v>
      </c>
      <c r="Q417" s="371" t="s">
        <v>2271</v>
      </c>
      <c r="R417" s="373">
        <v>13620</v>
      </c>
      <c r="S417" s="373">
        <v>13620</v>
      </c>
      <c r="T417" s="371" t="s">
        <v>2271</v>
      </c>
      <c r="U417" s="373">
        <v>3940</v>
      </c>
      <c r="V417" s="373">
        <v>3940</v>
      </c>
      <c r="W417" s="371" t="s">
        <v>2271</v>
      </c>
      <c r="X417" s="373">
        <v>9680</v>
      </c>
      <c r="Y417" s="373">
        <v>9680</v>
      </c>
      <c r="Z417" s="371" t="s">
        <v>2271</v>
      </c>
      <c r="AA417" s="373">
        <v>0</v>
      </c>
      <c r="AB417" s="373">
        <v>9640</v>
      </c>
      <c r="AC417" s="373">
        <v>9640</v>
      </c>
      <c r="AD417" s="371" t="s">
        <v>2271</v>
      </c>
      <c r="AE417" s="373">
        <v>0</v>
      </c>
      <c r="AF417" s="382">
        <v>0.67708333333333304</v>
      </c>
      <c r="AG417" s="382">
        <v>0.67708333333333304</v>
      </c>
      <c r="AH417" s="371" t="s">
        <v>2271</v>
      </c>
      <c r="AI417" s="382">
        <v>0.69166666666666698</v>
      </c>
      <c r="AJ417" s="382">
        <v>0.69166666666666698</v>
      </c>
      <c r="AK417" s="371" t="s">
        <v>2271</v>
      </c>
      <c r="AL417" s="206" t="s">
        <v>137</v>
      </c>
      <c r="AM417" s="206" t="s">
        <v>137</v>
      </c>
      <c r="AN417" s="371" t="s">
        <v>2271</v>
      </c>
      <c r="AO417" s="206" t="s">
        <v>2597</v>
      </c>
      <c r="AP417" s="206"/>
      <c r="AQ417" s="206" t="s">
        <v>1131</v>
      </c>
      <c r="AR417" s="207" t="s">
        <v>68</v>
      </c>
    </row>
    <row r="418" spans="1:44" x14ac:dyDescent="0.2">
      <c r="A418" s="370">
        <v>399</v>
      </c>
      <c r="B418" s="380">
        <v>216</v>
      </c>
      <c r="C418" s="371" t="s">
        <v>2269</v>
      </c>
      <c r="D418" s="371" t="s">
        <v>2270</v>
      </c>
      <c r="E418" s="206"/>
      <c r="F418" s="206" t="s">
        <v>76</v>
      </c>
      <c r="G418" s="206" t="s">
        <v>76</v>
      </c>
      <c r="H418" s="371" t="s">
        <v>2271</v>
      </c>
      <c r="I418" s="206" t="s">
        <v>1431</v>
      </c>
      <c r="J418" s="206" t="s">
        <v>1431</v>
      </c>
      <c r="K418" s="371" t="s">
        <v>2271</v>
      </c>
      <c r="L418" s="206" t="s">
        <v>2153</v>
      </c>
      <c r="M418" s="206" t="s">
        <v>1346</v>
      </c>
      <c r="N418" s="206" t="s">
        <v>49</v>
      </c>
      <c r="O418" s="372">
        <v>45995</v>
      </c>
      <c r="P418" s="372">
        <v>45995</v>
      </c>
      <c r="Q418" s="371" t="s">
        <v>2271</v>
      </c>
      <c r="R418" s="373">
        <v>45990</v>
      </c>
      <c r="S418" s="373">
        <v>45990</v>
      </c>
      <c r="T418" s="371" t="s">
        <v>2271</v>
      </c>
      <c r="U418" s="373">
        <v>17750</v>
      </c>
      <c r="V418" s="373">
        <v>17750</v>
      </c>
      <c r="W418" s="371" t="s">
        <v>2271</v>
      </c>
      <c r="X418" s="373">
        <v>28240</v>
      </c>
      <c r="Y418" s="373">
        <v>28240</v>
      </c>
      <c r="Z418" s="371" t="s">
        <v>2271</v>
      </c>
      <c r="AA418" s="373">
        <v>0</v>
      </c>
      <c r="AB418" s="373">
        <v>28120</v>
      </c>
      <c r="AC418" s="373">
        <v>28120</v>
      </c>
      <c r="AD418" s="371" t="s">
        <v>2271</v>
      </c>
      <c r="AE418" s="373">
        <v>0</v>
      </c>
      <c r="AF418" s="382">
        <v>0.83472222222222203</v>
      </c>
      <c r="AG418" s="382">
        <v>0.83472222222222203</v>
      </c>
      <c r="AH418" s="371" t="s">
        <v>2271</v>
      </c>
      <c r="AI418" s="382">
        <v>0.87361111111111101</v>
      </c>
      <c r="AJ418" s="382">
        <v>0.87361111111111101</v>
      </c>
      <c r="AK418" s="371" t="s">
        <v>2271</v>
      </c>
      <c r="AL418" s="206" t="s">
        <v>42</v>
      </c>
      <c r="AM418" s="206" t="s">
        <v>42</v>
      </c>
      <c r="AN418" s="371" t="s">
        <v>2271</v>
      </c>
      <c r="AO418" s="206" t="s">
        <v>2598</v>
      </c>
      <c r="AP418" s="206" t="s">
        <v>1372</v>
      </c>
      <c r="AQ418" s="206" t="s">
        <v>1133</v>
      </c>
      <c r="AR418" s="207" t="s">
        <v>68</v>
      </c>
    </row>
    <row r="419" spans="1:44" x14ac:dyDescent="0.2">
      <c r="A419" s="370">
        <v>400</v>
      </c>
      <c r="B419" s="380">
        <v>216</v>
      </c>
      <c r="C419" s="371" t="s">
        <v>2275</v>
      </c>
      <c r="D419" s="371" t="s">
        <v>2235</v>
      </c>
      <c r="E419" s="206"/>
      <c r="F419" s="206" t="s">
        <v>153</v>
      </c>
      <c r="G419" s="206" t="s">
        <v>153</v>
      </c>
      <c r="H419" s="371" t="s">
        <v>2271</v>
      </c>
      <c r="I419" s="206"/>
      <c r="J419" s="206" t="s">
        <v>2106</v>
      </c>
      <c r="K419" s="371" t="s">
        <v>2276</v>
      </c>
      <c r="L419" s="206" t="s">
        <v>2225</v>
      </c>
      <c r="M419" s="206" t="s">
        <v>2105</v>
      </c>
      <c r="N419" s="206" t="s">
        <v>49</v>
      </c>
      <c r="O419" s="372">
        <v>46147</v>
      </c>
      <c r="P419" s="372">
        <v>46147</v>
      </c>
      <c r="Q419" s="371" t="s">
        <v>2271</v>
      </c>
      <c r="R419" s="373">
        <v>13540</v>
      </c>
      <c r="S419" s="373">
        <v>13540</v>
      </c>
      <c r="T419" s="371" t="s">
        <v>2271</v>
      </c>
      <c r="U419" s="373">
        <v>3980</v>
      </c>
      <c r="V419" s="373">
        <v>3980</v>
      </c>
      <c r="W419" s="371" t="s">
        <v>2271</v>
      </c>
      <c r="X419" s="373">
        <v>9560</v>
      </c>
      <c r="Y419" s="373">
        <v>9560</v>
      </c>
      <c r="Z419" s="371" t="s">
        <v>2271</v>
      </c>
      <c r="AA419" s="373">
        <v>0</v>
      </c>
      <c r="AB419" s="373">
        <v>9540</v>
      </c>
      <c r="AC419" s="373">
        <v>9540</v>
      </c>
      <c r="AD419" s="371" t="s">
        <v>2271</v>
      </c>
      <c r="AE419" s="373">
        <v>0</v>
      </c>
      <c r="AF419" s="382">
        <v>0.68541666666666701</v>
      </c>
      <c r="AG419" s="382">
        <v>0.68541666666666701</v>
      </c>
      <c r="AH419" s="371" t="s">
        <v>2271</v>
      </c>
      <c r="AI419" s="382">
        <v>0.70277777777777795</v>
      </c>
      <c r="AJ419" s="382">
        <v>0.70277777777777795</v>
      </c>
      <c r="AK419" s="371" t="s">
        <v>2271</v>
      </c>
      <c r="AL419" s="206" t="s">
        <v>137</v>
      </c>
      <c r="AM419" s="206" t="s">
        <v>137</v>
      </c>
      <c r="AN419" s="371" t="s">
        <v>2271</v>
      </c>
      <c r="AO419" s="206" t="s">
        <v>2598</v>
      </c>
      <c r="AP419" s="206"/>
      <c r="AQ419" s="206" t="s">
        <v>1131</v>
      </c>
      <c r="AR419" s="207" t="s">
        <v>68</v>
      </c>
    </row>
    <row r="420" spans="1:44" x14ac:dyDescent="0.2">
      <c r="A420" s="370">
        <v>401</v>
      </c>
      <c r="B420" s="380">
        <v>217</v>
      </c>
      <c r="C420" s="371" t="s">
        <v>2269</v>
      </c>
      <c r="D420" s="371" t="s">
        <v>2270</v>
      </c>
      <c r="E420" s="206"/>
      <c r="F420" s="206" t="s">
        <v>70</v>
      </c>
      <c r="G420" s="206" t="s">
        <v>70</v>
      </c>
      <c r="H420" s="371" t="s">
        <v>2271</v>
      </c>
      <c r="I420" s="206" t="s">
        <v>1431</v>
      </c>
      <c r="J420" s="206" t="s">
        <v>1431</v>
      </c>
      <c r="K420" s="371" t="s">
        <v>2271</v>
      </c>
      <c r="L420" s="206" t="s">
        <v>2153</v>
      </c>
      <c r="M420" s="206" t="s">
        <v>1346</v>
      </c>
      <c r="N420" s="206" t="s">
        <v>49</v>
      </c>
      <c r="O420" s="372">
        <v>45995</v>
      </c>
      <c r="P420" s="372">
        <v>45995</v>
      </c>
      <c r="Q420" s="371" t="s">
        <v>2271</v>
      </c>
      <c r="R420" s="373">
        <v>45750</v>
      </c>
      <c r="S420" s="373">
        <v>45750</v>
      </c>
      <c r="T420" s="371" t="s">
        <v>2271</v>
      </c>
      <c r="U420" s="373">
        <v>17520</v>
      </c>
      <c r="V420" s="373">
        <v>17520</v>
      </c>
      <c r="W420" s="371" t="s">
        <v>2271</v>
      </c>
      <c r="X420" s="373">
        <v>28230</v>
      </c>
      <c r="Y420" s="373">
        <v>28230</v>
      </c>
      <c r="Z420" s="371" t="s">
        <v>2271</v>
      </c>
      <c r="AA420" s="373">
        <v>0</v>
      </c>
      <c r="AB420" s="373">
        <v>28170</v>
      </c>
      <c r="AC420" s="373">
        <v>28170</v>
      </c>
      <c r="AD420" s="371" t="s">
        <v>2271</v>
      </c>
      <c r="AE420" s="373">
        <v>0</v>
      </c>
      <c r="AF420" s="382">
        <v>0.85</v>
      </c>
      <c r="AG420" s="382">
        <v>0.85</v>
      </c>
      <c r="AH420" s="371" t="s">
        <v>2271</v>
      </c>
      <c r="AI420" s="382">
        <v>0.88819444444444395</v>
      </c>
      <c r="AJ420" s="382">
        <v>0.88819444444444395</v>
      </c>
      <c r="AK420" s="371" t="s">
        <v>2271</v>
      </c>
      <c r="AL420" s="206" t="s">
        <v>42</v>
      </c>
      <c r="AM420" s="206" t="s">
        <v>42</v>
      </c>
      <c r="AN420" s="371" t="s">
        <v>2271</v>
      </c>
      <c r="AO420" s="206" t="s">
        <v>2599</v>
      </c>
      <c r="AP420" s="206" t="s">
        <v>1499</v>
      </c>
      <c r="AQ420" s="206" t="s">
        <v>1133</v>
      </c>
      <c r="AR420" s="207" t="s">
        <v>68</v>
      </c>
    </row>
    <row r="421" spans="1:44" x14ac:dyDescent="0.2">
      <c r="A421" s="370">
        <v>402</v>
      </c>
      <c r="B421" s="380">
        <v>217</v>
      </c>
      <c r="C421" s="371" t="s">
        <v>2275</v>
      </c>
      <c r="D421" s="371" t="s">
        <v>2235</v>
      </c>
      <c r="E421" s="206"/>
      <c r="F421" s="206" t="s">
        <v>39</v>
      </c>
      <c r="G421" s="206" t="s">
        <v>39</v>
      </c>
      <c r="H421" s="371" t="s">
        <v>2271</v>
      </c>
      <c r="I421" s="206"/>
      <c r="J421" s="206" t="s">
        <v>2106</v>
      </c>
      <c r="K421" s="371" t="s">
        <v>2276</v>
      </c>
      <c r="L421" s="206" t="s">
        <v>2225</v>
      </c>
      <c r="M421" s="206" t="s">
        <v>2105</v>
      </c>
      <c r="N421" s="206" t="s">
        <v>49</v>
      </c>
      <c r="O421" s="372">
        <v>46147</v>
      </c>
      <c r="P421" s="372">
        <v>46147</v>
      </c>
      <c r="Q421" s="371" t="s">
        <v>2271</v>
      </c>
      <c r="R421" s="373">
        <v>13600</v>
      </c>
      <c r="S421" s="373">
        <v>13600</v>
      </c>
      <c r="T421" s="371" t="s">
        <v>2271</v>
      </c>
      <c r="U421" s="373">
        <v>4050</v>
      </c>
      <c r="V421" s="373">
        <v>4050</v>
      </c>
      <c r="W421" s="371" t="s">
        <v>2271</v>
      </c>
      <c r="X421" s="373">
        <v>9550</v>
      </c>
      <c r="Y421" s="373">
        <v>9550</v>
      </c>
      <c r="Z421" s="371" t="s">
        <v>2271</v>
      </c>
      <c r="AA421" s="373">
        <v>0</v>
      </c>
      <c r="AB421" s="373">
        <v>9530</v>
      </c>
      <c r="AC421" s="373">
        <v>9530</v>
      </c>
      <c r="AD421" s="371" t="s">
        <v>2271</v>
      </c>
      <c r="AE421" s="373">
        <v>0</v>
      </c>
      <c r="AF421" s="382">
        <v>0.75347222222222199</v>
      </c>
      <c r="AG421" s="382">
        <v>0.75347222222222199</v>
      </c>
      <c r="AH421" s="371" t="s">
        <v>2271</v>
      </c>
      <c r="AI421" s="382">
        <v>0.77152777777777803</v>
      </c>
      <c r="AJ421" s="382">
        <v>0.77152777777777803</v>
      </c>
      <c r="AK421" s="371" t="s">
        <v>2271</v>
      </c>
      <c r="AL421" s="206" t="s">
        <v>137</v>
      </c>
      <c r="AM421" s="206" t="s">
        <v>137</v>
      </c>
      <c r="AN421" s="371" t="s">
        <v>2271</v>
      </c>
      <c r="AO421" s="206" t="s">
        <v>2599</v>
      </c>
      <c r="AP421" s="206"/>
      <c r="AQ421" s="206" t="s">
        <v>1131</v>
      </c>
      <c r="AR421" s="207" t="s">
        <v>68</v>
      </c>
    </row>
    <row r="422" spans="1:44" x14ac:dyDescent="0.2">
      <c r="A422" s="370">
        <v>403</v>
      </c>
      <c r="B422" s="380">
        <v>218</v>
      </c>
      <c r="C422" s="371" t="s">
        <v>2269</v>
      </c>
      <c r="D422" s="371" t="s">
        <v>2270</v>
      </c>
      <c r="E422" s="206"/>
      <c r="F422" s="206" t="s">
        <v>84</v>
      </c>
      <c r="G422" s="206" t="s">
        <v>84</v>
      </c>
      <c r="H422" s="371" t="s">
        <v>2271</v>
      </c>
      <c r="I422" s="206" t="s">
        <v>1431</v>
      </c>
      <c r="J422" s="206" t="s">
        <v>1431</v>
      </c>
      <c r="K422" s="371" t="s">
        <v>2271</v>
      </c>
      <c r="L422" s="206" t="s">
        <v>2153</v>
      </c>
      <c r="M422" s="206" t="s">
        <v>1346</v>
      </c>
      <c r="N422" s="206" t="s">
        <v>49</v>
      </c>
      <c r="O422" s="372">
        <v>45995</v>
      </c>
      <c r="P422" s="372">
        <v>45995</v>
      </c>
      <c r="Q422" s="371" t="s">
        <v>2271</v>
      </c>
      <c r="R422" s="373">
        <v>26660</v>
      </c>
      <c r="S422" s="373">
        <v>26660</v>
      </c>
      <c r="T422" s="371" t="s">
        <v>2271</v>
      </c>
      <c r="U422" s="373">
        <v>12200</v>
      </c>
      <c r="V422" s="373">
        <v>12200</v>
      </c>
      <c r="W422" s="371" t="s">
        <v>2271</v>
      </c>
      <c r="X422" s="373">
        <v>14460</v>
      </c>
      <c r="Y422" s="373">
        <v>14460</v>
      </c>
      <c r="Z422" s="371" t="s">
        <v>2271</v>
      </c>
      <c r="AA422" s="373">
        <v>0</v>
      </c>
      <c r="AB422" s="373">
        <v>14420</v>
      </c>
      <c r="AC422" s="373">
        <v>14420</v>
      </c>
      <c r="AD422" s="371" t="s">
        <v>2271</v>
      </c>
      <c r="AE422" s="373">
        <v>0</v>
      </c>
      <c r="AF422" s="382">
        <v>0.85486111111111096</v>
      </c>
      <c r="AG422" s="382">
        <v>0.85486111111111096</v>
      </c>
      <c r="AH422" s="371" t="s">
        <v>2271</v>
      </c>
      <c r="AI422" s="382">
        <v>0.89375000000000004</v>
      </c>
      <c r="AJ422" s="382">
        <v>0.89375000000000004</v>
      </c>
      <c r="AK422" s="371" t="s">
        <v>2271</v>
      </c>
      <c r="AL422" s="206" t="s">
        <v>42</v>
      </c>
      <c r="AM422" s="206" t="s">
        <v>42</v>
      </c>
      <c r="AN422" s="371" t="s">
        <v>2271</v>
      </c>
      <c r="AO422" s="206" t="s">
        <v>2600</v>
      </c>
      <c r="AP422" s="206" t="s">
        <v>1782</v>
      </c>
      <c r="AQ422" s="206" t="s">
        <v>1132</v>
      </c>
      <c r="AR422" s="207" t="s">
        <v>68</v>
      </c>
    </row>
    <row r="423" spans="1:44" x14ac:dyDescent="0.2">
      <c r="A423" s="370">
        <v>404</v>
      </c>
      <c r="B423" s="380">
        <v>218</v>
      </c>
      <c r="C423" s="371" t="s">
        <v>2275</v>
      </c>
      <c r="D423" s="371" t="s">
        <v>2235</v>
      </c>
      <c r="E423" s="206"/>
      <c r="F423" s="206" t="s">
        <v>1593</v>
      </c>
      <c r="G423" s="206" t="s">
        <v>1593</v>
      </c>
      <c r="H423" s="371" t="s">
        <v>2271</v>
      </c>
      <c r="I423" s="206"/>
      <c r="J423" s="206" t="s">
        <v>2106</v>
      </c>
      <c r="K423" s="371" t="s">
        <v>2276</v>
      </c>
      <c r="L423" s="206" t="s">
        <v>2225</v>
      </c>
      <c r="M423" s="206" t="s">
        <v>2105</v>
      </c>
      <c r="N423" s="206" t="s">
        <v>49</v>
      </c>
      <c r="O423" s="372">
        <v>46147</v>
      </c>
      <c r="P423" s="372">
        <v>46147</v>
      </c>
      <c r="Q423" s="371" t="s">
        <v>2271</v>
      </c>
      <c r="R423" s="373">
        <v>13900</v>
      </c>
      <c r="S423" s="373">
        <v>13900</v>
      </c>
      <c r="T423" s="371" t="s">
        <v>2271</v>
      </c>
      <c r="U423" s="373">
        <v>4140</v>
      </c>
      <c r="V423" s="373">
        <v>4140</v>
      </c>
      <c r="W423" s="371" t="s">
        <v>2271</v>
      </c>
      <c r="X423" s="373">
        <v>9760</v>
      </c>
      <c r="Y423" s="373">
        <v>9760</v>
      </c>
      <c r="Z423" s="371" t="s">
        <v>2271</v>
      </c>
      <c r="AA423" s="373">
        <v>0</v>
      </c>
      <c r="AB423" s="373">
        <v>9710</v>
      </c>
      <c r="AC423" s="373">
        <v>9710</v>
      </c>
      <c r="AD423" s="371" t="s">
        <v>2271</v>
      </c>
      <c r="AE423" s="373">
        <v>0</v>
      </c>
      <c r="AF423" s="382">
        <v>0.75555555555555598</v>
      </c>
      <c r="AG423" s="382">
        <v>0.75555555555555598</v>
      </c>
      <c r="AH423" s="371" t="s">
        <v>2271</v>
      </c>
      <c r="AI423" s="382">
        <v>0.77013888888888904</v>
      </c>
      <c r="AJ423" s="382">
        <v>0.77013888888888904</v>
      </c>
      <c r="AK423" s="371" t="s">
        <v>2271</v>
      </c>
      <c r="AL423" s="206" t="s">
        <v>137</v>
      </c>
      <c r="AM423" s="206" t="s">
        <v>137</v>
      </c>
      <c r="AN423" s="371" t="s">
        <v>2271</v>
      </c>
      <c r="AO423" s="206" t="s">
        <v>2600</v>
      </c>
      <c r="AP423" s="206"/>
      <c r="AQ423" s="206" t="s">
        <v>1131</v>
      </c>
      <c r="AR423" s="207" t="s">
        <v>68</v>
      </c>
    </row>
    <row r="424" spans="1:44" x14ac:dyDescent="0.2">
      <c r="A424" s="370">
        <v>405</v>
      </c>
      <c r="B424" s="380">
        <v>219</v>
      </c>
      <c r="C424" s="371" t="s">
        <v>2269</v>
      </c>
      <c r="D424" s="371" t="s">
        <v>2270</v>
      </c>
      <c r="E424" s="206"/>
      <c r="F424" s="206" t="s">
        <v>53</v>
      </c>
      <c r="G424" s="206" t="s">
        <v>53</v>
      </c>
      <c r="H424" s="371" t="s">
        <v>2271</v>
      </c>
      <c r="I424" s="206" t="s">
        <v>1345</v>
      </c>
      <c r="J424" s="206" t="s">
        <v>1345</v>
      </c>
      <c r="K424" s="371" t="s">
        <v>2271</v>
      </c>
      <c r="L424" s="206" t="s">
        <v>2152</v>
      </c>
      <c r="M424" s="206" t="s">
        <v>1344</v>
      </c>
      <c r="N424" s="206" t="s">
        <v>40</v>
      </c>
      <c r="O424" s="372">
        <v>45995</v>
      </c>
      <c r="P424" s="372">
        <v>45995</v>
      </c>
      <c r="Q424" s="371" t="s">
        <v>2271</v>
      </c>
      <c r="R424" s="373">
        <v>13290</v>
      </c>
      <c r="S424" s="373">
        <v>13290</v>
      </c>
      <c r="T424" s="371" t="s">
        <v>2271</v>
      </c>
      <c r="U424" s="373">
        <v>3720</v>
      </c>
      <c r="V424" s="373">
        <v>3720</v>
      </c>
      <c r="W424" s="371" t="s">
        <v>2271</v>
      </c>
      <c r="X424" s="373">
        <v>9570</v>
      </c>
      <c r="Y424" s="373">
        <v>9570</v>
      </c>
      <c r="Z424" s="371" t="s">
        <v>2271</v>
      </c>
      <c r="AA424" s="373">
        <v>0</v>
      </c>
      <c r="AB424" s="373">
        <v>9540</v>
      </c>
      <c r="AC424" s="373">
        <v>9540</v>
      </c>
      <c r="AD424" s="371" t="s">
        <v>2271</v>
      </c>
      <c r="AE424" s="373">
        <v>0</v>
      </c>
      <c r="AF424" s="382">
        <v>0.969444444444444</v>
      </c>
      <c r="AG424" s="382">
        <v>0.969444444444444</v>
      </c>
      <c r="AH424" s="371" t="s">
        <v>2271</v>
      </c>
      <c r="AI424" s="382">
        <v>0.99652777777777801</v>
      </c>
      <c r="AJ424" s="382">
        <v>0.99652777777777801</v>
      </c>
      <c r="AK424" s="371" t="s">
        <v>2271</v>
      </c>
      <c r="AL424" s="206" t="s">
        <v>42</v>
      </c>
      <c r="AM424" s="206" t="s">
        <v>42</v>
      </c>
      <c r="AN424" s="371" t="s">
        <v>2271</v>
      </c>
      <c r="AO424" s="206" t="s">
        <v>2601</v>
      </c>
      <c r="AP424" s="206"/>
      <c r="AQ424" s="206" t="s">
        <v>1131</v>
      </c>
      <c r="AR424" s="207" t="s">
        <v>82</v>
      </c>
    </row>
    <row r="425" spans="1:44" x14ac:dyDescent="0.2">
      <c r="A425" s="370">
        <v>406</v>
      </c>
      <c r="B425" s="380">
        <v>219</v>
      </c>
      <c r="C425" s="371" t="s">
        <v>2275</v>
      </c>
      <c r="D425" s="371" t="s">
        <v>2235</v>
      </c>
      <c r="E425" s="206"/>
      <c r="F425" s="206" t="s">
        <v>1060</v>
      </c>
      <c r="G425" s="206" t="s">
        <v>1060</v>
      </c>
      <c r="H425" s="371" t="s">
        <v>2271</v>
      </c>
      <c r="I425" s="206"/>
      <c r="J425" s="206" t="s">
        <v>2106</v>
      </c>
      <c r="K425" s="371" t="s">
        <v>2276</v>
      </c>
      <c r="L425" s="206" t="s">
        <v>2225</v>
      </c>
      <c r="M425" s="206" t="s">
        <v>2105</v>
      </c>
      <c r="N425" s="206" t="s">
        <v>49</v>
      </c>
      <c r="O425" s="372">
        <v>46147</v>
      </c>
      <c r="P425" s="372">
        <v>46147</v>
      </c>
      <c r="Q425" s="371" t="s">
        <v>2271</v>
      </c>
      <c r="R425" s="373">
        <v>12880</v>
      </c>
      <c r="S425" s="373">
        <v>12880</v>
      </c>
      <c r="T425" s="371" t="s">
        <v>2271</v>
      </c>
      <c r="U425" s="373">
        <v>3960</v>
      </c>
      <c r="V425" s="373">
        <v>3960</v>
      </c>
      <c r="W425" s="371" t="s">
        <v>2271</v>
      </c>
      <c r="X425" s="373">
        <v>8920</v>
      </c>
      <c r="Y425" s="373">
        <v>8920</v>
      </c>
      <c r="Z425" s="371" t="s">
        <v>2271</v>
      </c>
      <c r="AA425" s="373">
        <v>0</v>
      </c>
      <c r="AB425" s="373">
        <v>8920</v>
      </c>
      <c r="AC425" s="373">
        <v>8920</v>
      </c>
      <c r="AD425" s="371" t="s">
        <v>2271</v>
      </c>
      <c r="AE425" s="373">
        <v>0</v>
      </c>
      <c r="AF425" s="382">
        <v>0.86736111111111103</v>
      </c>
      <c r="AG425" s="382">
        <v>0.86736111111111103</v>
      </c>
      <c r="AH425" s="371" t="s">
        <v>2271</v>
      </c>
      <c r="AI425" s="382">
        <v>0.91736111111111096</v>
      </c>
      <c r="AJ425" s="382">
        <v>0.91736111111111096</v>
      </c>
      <c r="AK425" s="371" t="s">
        <v>2271</v>
      </c>
      <c r="AL425" s="206" t="s">
        <v>137</v>
      </c>
      <c r="AM425" s="206" t="s">
        <v>137</v>
      </c>
      <c r="AN425" s="371" t="s">
        <v>2271</v>
      </c>
      <c r="AO425" s="206" t="s">
        <v>2602</v>
      </c>
      <c r="AP425" s="206"/>
      <c r="AQ425" s="206" t="s">
        <v>1131</v>
      </c>
      <c r="AR425" s="207" t="s">
        <v>68</v>
      </c>
    </row>
    <row r="426" spans="1:44" x14ac:dyDescent="0.2">
      <c r="A426" s="370">
        <v>407</v>
      </c>
      <c r="B426" s="380">
        <v>220</v>
      </c>
      <c r="C426" s="371" t="s">
        <v>2269</v>
      </c>
      <c r="D426" s="371" t="s">
        <v>2270</v>
      </c>
      <c r="E426" s="206"/>
      <c r="F426" s="206" t="s">
        <v>171</v>
      </c>
      <c r="G426" s="206" t="s">
        <v>171</v>
      </c>
      <c r="H426" s="371" t="s">
        <v>2271</v>
      </c>
      <c r="I426" s="206" t="s">
        <v>1345</v>
      </c>
      <c r="J426" s="206" t="s">
        <v>1345</v>
      </c>
      <c r="K426" s="371" t="s">
        <v>2271</v>
      </c>
      <c r="L426" s="206" t="s">
        <v>2152</v>
      </c>
      <c r="M426" s="206" t="s">
        <v>1344</v>
      </c>
      <c r="N426" s="206" t="s">
        <v>40</v>
      </c>
      <c r="O426" s="372">
        <v>45995</v>
      </c>
      <c r="P426" s="372">
        <v>45995</v>
      </c>
      <c r="Q426" s="371" t="s">
        <v>2271</v>
      </c>
      <c r="R426" s="373">
        <v>13260</v>
      </c>
      <c r="S426" s="373">
        <v>13260</v>
      </c>
      <c r="T426" s="371" t="s">
        <v>2271</v>
      </c>
      <c r="U426" s="373">
        <v>3620</v>
      </c>
      <c r="V426" s="373">
        <v>3620</v>
      </c>
      <c r="W426" s="371" t="s">
        <v>2271</v>
      </c>
      <c r="X426" s="373">
        <v>9640</v>
      </c>
      <c r="Y426" s="373">
        <v>9640</v>
      </c>
      <c r="Z426" s="371" t="s">
        <v>2271</v>
      </c>
      <c r="AA426" s="373">
        <v>0</v>
      </c>
      <c r="AB426" s="373">
        <v>9590</v>
      </c>
      <c r="AC426" s="373">
        <v>9590</v>
      </c>
      <c r="AD426" s="371" t="s">
        <v>2271</v>
      </c>
      <c r="AE426" s="373">
        <v>0</v>
      </c>
      <c r="AF426" s="382">
        <v>0.97083333333333299</v>
      </c>
      <c r="AG426" s="382">
        <v>0.97083333333333299</v>
      </c>
      <c r="AH426" s="371" t="s">
        <v>2271</v>
      </c>
      <c r="AI426" s="382">
        <v>0.999305555555556</v>
      </c>
      <c r="AJ426" s="382">
        <v>0.999305555555556</v>
      </c>
      <c r="AK426" s="371" t="s">
        <v>2271</v>
      </c>
      <c r="AL426" s="206" t="s">
        <v>42</v>
      </c>
      <c r="AM426" s="206" t="s">
        <v>42</v>
      </c>
      <c r="AN426" s="371" t="s">
        <v>2271</v>
      </c>
      <c r="AO426" s="206" t="s">
        <v>2603</v>
      </c>
      <c r="AP426" s="206"/>
      <c r="AQ426" s="206" t="s">
        <v>1131</v>
      </c>
      <c r="AR426" s="207" t="s">
        <v>82</v>
      </c>
    </row>
    <row r="427" spans="1:44" x14ac:dyDescent="0.2">
      <c r="A427" s="370">
        <v>408</v>
      </c>
      <c r="B427" s="380">
        <v>220</v>
      </c>
      <c r="C427" s="371" t="s">
        <v>2275</v>
      </c>
      <c r="D427" s="371" t="s">
        <v>2235</v>
      </c>
      <c r="E427" s="206"/>
      <c r="F427" s="206" t="s">
        <v>220</v>
      </c>
      <c r="G427" s="206" t="s">
        <v>220</v>
      </c>
      <c r="H427" s="371" t="s">
        <v>2271</v>
      </c>
      <c r="I427" s="206"/>
      <c r="J427" s="206" t="s">
        <v>2106</v>
      </c>
      <c r="K427" s="371" t="s">
        <v>2276</v>
      </c>
      <c r="L427" s="206" t="s">
        <v>2225</v>
      </c>
      <c r="M427" s="206" t="s">
        <v>2105</v>
      </c>
      <c r="N427" s="206" t="s">
        <v>49</v>
      </c>
      <c r="O427" s="372">
        <v>46147</v>
      </c>
      <c r="P427" s="372">
        <v>46147</v>
      </c>
      <c r="Q427" s="371" t="s">
        <v>2271</v>
      </c>
      <c r="R427" s="373">
        <v>13610</v>
      </c>
      <c r="S427" s="373">
        <v>13610</v>
      </c>
      <c r="T427" s="371" t="s">
        <v>2271</v>
      </c>
      <c r="U427" s="373">
        <v>4260</v>
      </c>
      <c r="V427" s="373">
        <v>4260</v>
      </c>
      <c r="W427" s="371" t="s">
        <v>2271</v>
      </c>
      <c r="X427" s="373">
        <v>9350</v>
      </c>
      <c r="Y427" s="373">
        <v>9350</v>
      </c>
      <c r="Z427" s="371" t="s">
        <v>2271</v>
      </c>
      <c r="AA427" s="373">
        <v>0</v>
      </c>
      <c r="AB427" s="373">
        <v>9340</v>
      </c>
      <c r="AC427" s="373">
        <v>9340</v>
      </c>
      <c r="AD427" s="371" t="s">
        <v>2271</v>
      </c>
      <c r="AE427" s="373">
        <v>0</v>
      </c>
      <c r="AF427" s="382">
        <v>0.87847222222222199</v>
      </c>
      <c r="AG427" s="382">
        <v>0.87847222222222199</v>
      </c>
      <c r="AH427" s="371" t="s">
        <v>2271</v>
      </c>
      <c r="AI427" s="382">
        <v>0.91597222222222197</v>
      </c>
      <c r="AJ427" s="382">
        <v>0.91597222222222197</v>
      </c>
      <c r="AK427" s="371" t="s">
        <v>2271</v>
      </c>
      <c r="AL427" s="206" t="s">
        <v>137</v>
      </c>
      <c r="AM427" s="206" t="s">
        <v>137</v>
      </c>
      <c r="AN427" s="371" t="s">
        <v>2271</v>
      </c>
      <c r="AO427" s="206" t="s">
        <v>2604</v>
      </c>
      <c r="AP427" s="206"/>
      <c r="AQ427" s="206" t="s">
        <v>1131</v>
      </c>
      <c r="AR427" s="207" t="s">
        <v>68</v>
      </c>
    </row>
    <row r="428" spans="1:44" x14ac:dyDescent="0.2">
      <c r="A428" s="370">
        <v>409</v>
      </c>
      <c r="B428" s="380">
        <v>221</v>
      </c>
      <c r="C428" s="371" t="s">
        <v>2269</v>
      </c>
      <c r="D428" s="371" t="s">
        <v>2270</v>
      </c>
      <c r="E428" s="206"/>
      <c r="F428" s="206" t="s">
        <v>160</v>
      </c>
      <c r="G428" s="206" t="s">
        <v>160</v>
      </c>
      <c r="H428" s="371" t="s">
        <v>2271</v>
      </c>
      <c r="I428" s="206" t="s">
        <v>1345</v>
      </c>
      <c r="J428" s="206" t="s">
        <v>1345</v>
      </c>
      <c r="K428" s="371" t="s">
        <v>2271</v>
      </c>
      <c r="L428" s="206" t="s">
        <v>2152</v>
      </c>
      <c r="M428" s="206" t="s">
        <v>1344</v>
      </c>
      <c r="N428" s="206" t="s">
        <v>40</v>
      </c>
      <c r="O428" s="372">
        <v>45996</v>
      </c>
      <c r="P428" s="372">
        <v>45996</v>
      </c>
      <c r="Q428" s="371" t="s">
        <v>2271</v>
      </c>
      <c r="R428" s="373">
        <v>13440</v>
      </c>
      <c r="S428" s="373">
        <v>13440</v>
      </c>
      <c r="T428" s="371" t="s">
        <v>2271</v>
      </c>
      <c r="U428" s="373">
        <v>3600</v>
      </c>
      <c r="V428" s="373">
        <v>3600</v>
      </c>
      <c r="W428" s="371" t="s">
        <v>2271</v>
      </c>
      <c r="X428" s="373">
        <v>9840</v>
      </c>
      <c r="Y428" s="373">
        <v>9840</v>
      </c>
      <c r="Z428" s="371" t="s">
        <v>2271</v>
      </c>
      <c r="AA428" s="373">
        <v>0</v>
      </c>
      <c r="AB428" s="373">
        <v>9800</v>
      </c>
      <c r="AC428" s="373">
        <v>9800</v>
      </c>
      <c r="AD428" s="371" t="s">
        <v>2271</v>
      </c>
      <c r="AE428" s="373">
        <v>0</v>
      </c>
      <c r="AF428" s="382">
        <v>0.97222222222222199</v>
      </c>
      <c r="AG428" s="382">
        <v>0.97222222222222199</v>
      </c>
      <c r="AH428" s="371" t="s">
        <v>2271</v>
      </c>
      <c r="AI428" s="382">
        <v>2.29166666666667E-2</v>
      </c>
      <c r="AJ428" s="382">
        <v>2.29166666666667E-2</v>
      </c>
      <c r="AK428" s="371" t="s">
        <v>2271</v>
      </c>
      <c r="AL428" s="206" t="s">
        <v>42</v>
      </c>
      <c r="AM428" s="206" t="s">
        <v>42</v>
      </c>
      <c r="AN428" s="371" t="s">
        <v>2271</v>
      </c>
      <c r="AO428" s="206" t="s">
        <v>2605</v>
      </c>
      <c r="AP428" s="206"/>
      <c r="AQ428" s="206" t="s">
        <v>1131</v>
      </c>
      <c r="AR428" s="207" t="s">
        <v>82</v>
      </c>
    </row>
    <row r="429" spans="1:44" x14ac:dyDescent="0.2">
      <c r="A429" s="370">
        <v>410</v>
      </c>
      <c r="B429" s="380">
        <v>221</v>
      </c>
      <c r="C429" s="371" t="s">
        <v>2275</v>
      </c>
      <c r="D429" s="371" t="s">
        <v>2235</v>
      </c>
      <c r="E429" s="206"/>
      <c r="F429" s="206" t="s">
        <v>39</v>
      </c>
      <c r="G429" s="206" t="s">
        <v>39</v>
      </c>
      <c r="H429" s="371" t="s">
        <v>2271</v>
      </c>
      <c r="I429" s="206"/>
      <c r="J429" s="206" t="s">
        <v>2106</v>
      </c>
      <c r="K429" s="371" t="s">
        <v>2276</v>
      </c>
      <c r="L429" s="206" t="s">
        <v>2225</v>
      </c>
      <c r="M429" s="206" t="s">
        <v>2105</v>
      </c>
      <c r="N429" s="206" t="s">
        <v>49</v>
      </c>
      <c r="O429" s="372">
        <v>46147</v>
      </c>
      <c r="P429" s="372">
        <v>46147</v>
      </c>
      <c r="Q429" s="371" t="s">
        <v>2271</v>
      </c>
      <c r="R429" s="373">
        <v>13580</v>
      </c>
      <c r="S429" s="373">
        <v>13580</v>
      </c>
      <c r="T429" s="371" t="s">
        <v>2271</v>
      </c>
      <c r="U429" s="373">
        <v>4030</v>
      </c>
      <c r="V429" s="373">
        <v>4030</v>
      </c>
      <c r="W429" s="371" t="s">
        <v>2271</v>
      </c>
      <c r="X429" s="373">
        <v>9550</v>
      </c>
      <c r="Y429" s="373">
        <v>9550</v>
      </c>
      <c r="Z429" s="371" t="s">
        <v>2271</v>
      </c>
      <c r="AA429" s="373">
        <v>0</v>
      </c>
      <c r="AB429" s="373">
        <v>9530</v>
      </c>
      <c r="AC429" s="373">
        <v>9530</v>
      </c>
      <c r="AD429" s="371" t="s">
        <v>2271</v>
      </c>
      <c r="AE429" s="373">
        <v>0</v>
      </c>
      <c r="AF429" s="382">
        <v>0.94583333333333297</v>
      </c>
      <c r="AG429" s="382">
        <v>0.94583333333333297</v>
      </c>
      <c r="AH429" s="371" t="s">
        <v>2271</v>
      </c>
      <c r="AI429" s="382">
        <v>0.96458333333333302</v>
      </c>
      <c r="AJ429" s="382">
        <v>0.96458333333333302</v>
      </c>
      <c r="AK429" s="371" t="s">
        <v>2271</v>
      </c>
      <c r="AL429" s="206" t="s">
        <v>137</v>
      </c>
      <c r="AM429" s="206" t="s">
        <v>137</v>
      </c>
      <c r="AN429" s="371" t="s">
        <v>2271</v>
      </c>
      <c r="AO429" s="206" t="s">
        <v>2606</v>
      </c>
      <c r="AP429" s="206"/>
      <c r="AQ429" s="206" t="s">
        <v>1131</v>
      </c>
      <c r="AR429" s="207" t="s">
        <v>68</v>
      </c>
    </row>
    <row r="430" spans="1:44" x14ac:dyDescent="0.2">
      <c r="A430" s="370">
        <v>411</v>
      </c>
      <c r="B430" s="380">
        <v>222</v>
      </c>
      <c r="C430" s="371" t="s">
        <v>2269</v>
      </c>
      <c r="D430" s="371" t="s">
        <v>2270</v>
      </c>
      <c r="E430" s="206"/>
      <c r="F430" s="206" t="s">
        <v>158</v>
      </c>
      <c r="G430" s="206" t="s">
        <v>158</v>
      </c>
      <c r="H430" s="371" t="s">
        <v>2271</v>
      </c>
      <c r="I430" s="206" t="s">
        <v>1345</v>
      </c>
      <c r="J430" s="206" t="s">
        <v>1345</v>
      </c>
      <c r="K430" s="371" t="s">
        <v>2271</v>
      </c>
      <c r="L430" s="206" t="s">
        <v>2152</v>
      </c>
      <c r="M430" s="206" t="s">
        <v>1344</v>
      </c>
      <c r="N430" s="206" t="s">
        <v>40</v>
      </c>
      <c r="O430" s="372">
        <v>45996</v>
      </c>
      <c r="P430" s="372">
        <v>45996</v>
      </c>
      <c r="Q430" s="371" t="s">
        <v>2271</v>
      </c>
      <c r="R430" s="373">
        <v>13880</v>
      </c>
      <c r="S430" s="373">
        <v>13880</v>
      </c>
      <c r="T430" s="371" t="s">
        <v>2271</v>
      </c>
      <c r="U430" s="373">
        <v>3790</v>
      </c>
      <c r="V430" s="373">
        <v>3790</v>
      </c>
      <c r="W430" s="371" t="s">
        <v>2271</v>
      </c>
      <c r="X430" s="373">
        <v>10090</v>
      </c>
      <c r="Y430" s="373">
        <v>10090</v>
      </c>
      <c r="Z430" s="371" t="s">
        <v>2271</v>
      </c>
      <c r="AA430" s="373">
        <v>0</v>
      </c>
      <c r="AB430" s="373">
        <v>10050</v>
      </c>
      <c r="AC430" s="373">
        <v>10050</v>
      </c>
      <c r="AD430" s="371" t="s">
        <v>2271</v>
      </c>
      <c r="AE430" s="373">
        <v>0</v>
      </c>
      <c r="AF430" s="382">
        <v>0.98472222222222205</v>
      </c>
      <c r="AG430" s="382">
        <v>0.98472222222222205</v>
      </c>
      <c r="AH430" s="371" t="s">
        <v>2271</v>
      </c>
      <c r="AI430" s="382">
        <v>2.4305555555555601E-2</v>
      </c>
      <c r="AJ430" s="382">
        <v>2.4305555555555601E-2</v>
      </c>
      <c r="AK430" s="371" t="s">
        <v>2271</v>
      </c>
      <c r="AL430" s="206" t="s">
        <v>42</v>
      </c>
      <c r="AM430" s="206" t="s">
        <v>42</v>
      </c>
      <c r="AN430" s="371" t="s">
        <v>2271</v>
      </c>
      <c r="AO430" s="206" t="s">
        <v>2607</v>
      </c>
      <c r="AP430" s="206"/>
      <c r="AQ430" s="206" t="s">
        <v>1131</v>
      </c>
      <c r="AR430" s="207" t="s">
        <v>82</v>
      </c>
    </row>
    <row r="431" spans="1:44" x14ac:dyDescent="0.2">
      <c r="A431" s="370">
        <v>412</v>
      </c>
      <c r="B431" s="380">
        <v>222</v>
      </c>
      <c r="C431" s="371" t="s">
        <v>2275</v>
      </c>
      <c r="D431" s="371" t="s">
        <v>2235</v>
      </c>
      <c r="E431" s="206"/>
      <c r="F431" s="206" t="s">
        <v>1593</v>
      </c>
      <c r="G431" s="206" t="s">
        <v>1593</v>
      </c>
      <c r="H431" s="371" t="s">
        <v>2271</v>
      </c>
      <c r="I431" s="206"/>
      <c r="J431" s="206" t="s">
        <v>2106</v>
      </c>
      <c r="K431" s="371" t="s">
        <v>2276</v>
      </c>
      <c r="L431" s="206" t="s">
        <v>2225</v>
      </c>
      <c r="M431" s="206" t="s">
        <v>2105</v>
      </c>
      <c r="N431" s="206" t="s">
        <v>49</v>
      </c>
      <c r="O431" s="372">
        <v>46147</v>
      </c>
      <c r="P431" s="372">
        <v>46147</v>
      </c>
      <c r="Q431" s="371" t="s">
        <v>2271</v>
      </c>
      <c r="R431" s="373">
        <v>13880</v>
      </c>
      <c r="S431" s="373">
        <v>13880</v>
      </c>
      <c r="T431" s="371" t="s">
        <v>2271</v>
      </c>
      <c r="U431" s="373">
        <v>4130</v>
      </c>
      <c r="V431" s="373">
        <v>4130</v>
      </c>
      <c r="W431" s="371" t="s">
        <v>2271</v>
      </c>
      <c r="X431" s="373">
        <v>9750</v>
      </c>
      <c r="Y431" s="373">
        <v>9750</v>
      </c>
      <c r="Z431" s="371" t="s">
        <v>2271</v>
      </c>
      <c r="AA431" s="373">
        <v>0</v>
      </c>
      <c r="AB431" s="373">
        <v>9730</v>
      </c>
      <c r="AC431" s="373">
        <v>9730</v>
      </c>
      <c r="AD431" s="371" t="s">
        <v>2271</v>
      </c>
      <c r="AE431" s="373">
        <v>0</v>
      </c>
      <c r="AF431" s="382">
        <v>0.94652777777777797</v>
      </c>
      <c r="AG431" s="382">
        <v>0.94652777777777797</v>
      </c>
      <c r="AH431" s="371" t="s">
        <v>2271</v>
      </c>
      <c r="AI431" s="382">
        <v>0.96388888888888902</v>
      </c>
      <c r="AJ431" s="382">
        <v>0.96388888888888902</v>
      </c>
      <c r="AK431" s="371" t="s">
        <v>2271</v>
      </c>
      <c r="AL431" s="206" t="s">
        <v>137</v>
      </c>
      <c r="AM431" s="206" t="s">
        <v>137</v>
      </c>
      <c r="AN431" s="371" t="s">
        <v>2271</v>
      </c>
      <c r="AO431" s="206" t="s">
        <v>2608</v>
      </c>
      <c r="AP431" s="206"/>
      <c r="AQ431" s="206" t="s">
        <v>1131</v>
      </c>
      <c r="AR431" s="207" t="s">
        <v>68</v>
      </c>
    </row>
    <row r="432" spans="1:44" x14ac:dyDescent="0.2">
      <c r="A432" s="370">
        <v>413</v>
      </c>
      <c r="B432" s="380">
        <v>223</v>
      </c>
      <c r="C432" s="371" t="s">
        <v>2269</v>
      </c>
      <c r="D432" s="371" t="s">
        <v>2270</v>
      </c>
      <c r="E432" s="206"/>
      <c r="F432" s="206" t="s">
        <v>76</v>
      </c>
      <c r="G432" s="206" t="s">
        <v>76</v>
      </c>
      <c r="H432" s="371" t="s">
        <v>2271</v>
      </c>
      <c r="I432" s="206" t="s">
        <v>1431</v>
      </c>
      <c r="J432" s="206" t="s">
        <v>1431</v>
      </c>
      <c r="K432" s="371" t="s">
        <v>2271</v>
      </c>
      <c r="L432" s="206" t="s">
        <v>2153</v>
      </c>
      <c r="M432" s="206" t="s">
        <v>1346</v>
      </c>
      <c r="N432" s="206" t="s">
        <v>49</v>
      </c>
      <c r="O432" s="372">
        <v>45996</v>
      </c>
      <c r="P432" s="372">
        <v>45996</v>
      </c>
      <c r="Q432" s="371" t="s">
        <v>2271</v>
      </c>
      <c r="R432" s="373">
        <v>45960</v>
      </c>
      <c r="S432" s="373">
        <v>45960</v>
      </c>
      <c r="T432" s="371" t="s">
        <v>2271</v>
      </c>
      <c r="U432" s="373">
        <v>17710</v>
      </c>
      <c r="V432" s="373">
        <v>17710</v>
      </c>
      <c r="W432" s="371" t="s">
        <v>2271</v>
      </c>
      <c r="X432" s="373">
        <v>28250</v>
      </c>
      <c r="Y432" s="373">
        <v>28250</v>
      </c>
      <c r="Z432" s="371" t="s">
        <v>2271</v>
      </c>
      <c r="AA432" s="373">
        <v>0</v>
      </c>
      <c r="AB432" s="373">
        <v>28190</v>
      </c>
      <c r="AC432" s="373">
        <v>28190</v>
      </c>
      <c r="AD432" s="371" t="s">
        <v>2271</v>
      </c>
      <c r="AE432" s="373">
        <v>0</v>
      </c>
      <c r="AF432" s="382">
        <v>0.593055555555556</v>
      </c>
      <c r="AG432" s="382">
        <v>0.593055555555556</v>
      </c>
      <c r="AH432" s="371" t="s">
        <v>2271</v>
      </c>
      <c r="AI432" s="382">
        <v>0.64166666666666705</v>
      </c>
      <c r="AJ432" s="382">
        <v>0.64166666666666705</v>
      </c>
      <c r="AK432" s="371" t="s">
        <v>2271</v>
      </c>
      <c r="AL432" s="206" t="s">
        <v>137</v>
      </c>
      <c r="AM432" s="206" t="s">
        <v>137</v>
      </c>
      <c r="AN432" s="371" t="s">
        <v>2271</v>
      </c>
      <c r="AO432" s="206" t="s">
        <v>2609</v>
      </c>
      <c r="AP432" s="206" t="s">
        <v>1372</v>
      </c>
      <c r="AQ432" s="206" t="s">
        <v>1133</v>
      </c>
      <c r="AR432" s="207" t="s">
        <v>68</v>
      </c>
    </row>
    <row r="433" spans="1:44" x14ac:dyDescent="0.2">
      <c r="A433" s="370">
        <v>414</v>
      </c>
      <c r="B433" s="380">
        <v>223</v>
      </c>
      <c r="C433" s="371" t="s">
        <v>2275</v>
      </c>
      <c r="D433" s="371" t="s">
        <v>2235</v>
      </c>
      <c r="E433" s="206"/>
      <c r="F433" s="206" t="s">
        <v>153</v>
      </c>
      <c r="G433" s="206" t="s">
        <v>153</v>
      </c>
      <c r="H433" s="371" t="s">
        <v>2271</v>
      </c>
      <c r="I433" s="206"/>
      <c r="J433" s="206" t="s">
        <v>2106</v>
      </c>
      <c r="K433" s="371" t="s">
        <v>2276</v>
      </c>
      <c r="L433" s="206" t="s">
        <v>2225</v>
      </c>
      <c r="M433" s="206" t="s">
        <v>2105</v>
      </c>
      <c r="N433" s="206" t="s">
        <v>49</v>
      </c>
      <c r="O433" s="372">
        <v>46147</v>
      </c>
      <c r="P433" s="372">
        <v>46147</v>
      </c>
      <c r="Q433" s="371" t="s">
        <v>2271</v>
      </c>
      <c r="R433" s="373">
        <v>13550</v>
      </c>
      <c r="S433" s="373">
        <v>13550</v>
      </c>
      <c r="T433" s="371" t="s">
        <v>2271</v>
      </c>
      <c r="U433" s="373">
        <v>3990</v>
      </c>
      <c r="V433" s="373">
        <v>3990</v>
      </c>
      <c r="W433" s="371" t="s">
        <v>2271</v>
      </c>
      <c r="X433" s="373">
        <v>9560</v>
      </c>
      <c r="Y433" s="373">
        <v>9560</v>
      </c>
      <c r="Z433" s="371" t="s">
        <v>2271</v>
      </c>
      <c r="AA433" s="373">
        <v>0</v>
      </c>
      <c r="AB433" s="373">
        <v>9530</v>
      </c>
      <c r="AC433" s="373">
        <v>9530</v>
      </c>
      <c r="AD433" s="371" t="s">
        <v>2271</v>
      </c>
      <c r="AE433" s="373">
        <v>0</v>
      </c>
      <c r="AF433" s="382">
        <v>0.95347222222222205</v>
      </c>
      <c r="AG433" s="382">
        <v>0.95347222222222205</v>
      </c>
      <c r="AH433" s="371" t="s">
        <v>2271</v>
      </c>
      <c r="AI433" s="382">
        <v>0.97222222222222199</v>
      </c>
      <c r="AJ433" s="382">
        <v>0.97222222222222199</v>
      </c>
      <c r="AK433" s="371" t="s">
        <v>2271</v>
      </c>
      <c r="AL433" s="206" t="s">
        <v>137</v>
      </c>
      <c r="AM433" s="206" t="s">
        <v>137</v>
      </c>
      <c r="AN433" s="371" t="s">
        <v>2271</v>
      </c>
      <c r="AO433" s="206" t="s">
        <v>2609</v>
      </c>
      <c r="AP433" s="206"/>
      <c r="AQ433" s="206" t="s">
        <v>1131</v>
      </c>
      <c r="AR433" s="207" t="s">
        <v>68</v>
      </c>
    </row>
    <row r="434" spans="1:44" x14ac:dyDescent="0.2">
      <c r="A434" s="370">
        <v>415</v>
      </c>
      <c r="B434" s="380">
        <v>224</v>
      </c>
      <c r="C434" s="371" t="s">
        <v>2269</v>
      </c>
      <c r="D434" s="371" t="s">
        <v>2270</v>
      </c>
      <c r="E434" s="206"/>
      <c r="F434" s="206" t="s">
        <v>56</v>
      </c>
      <c r="G434" s="206" t="s">
        <v>56</v>
      </c>
      <c r="H434" s="371" t="s">
        <v>2271</v>
      </c>
      <c r="I434" s="206" t="s">
        <v>1431</v>
      </c>
      <c r="J434" s="206" t="s">
        <v>1431</v>
      </c>
      <c r="K434" s="371" t="s">
        <v>2271</v>
      </c>
      <c r="L434" s="206" t="s">
        <v>2153</v>
      </c>
      <c r="M434" s="206" t="s">
        <v>1346</v>
      </c>
      <c r="N434" s="206" t="s">
        <v>49</v>
      </c>
      <c r="O434" s="372">
        <v>45996</v>
      </c>
      <c r="P434" s="372">
        <v>45996</v>
      </c>
      <c r="Q434" s="371" t="s">
        <v>2271</v>
      </c>
      <c r="R434" s="373">
        <v>25030</v>
      </c>
      <c r="S434" s="373">
        <v>25030</v>
      </c>
      <c r="T434" s="371" t="s">
        <v>2271</v>
      </c>
      <c r="U434" s="373">
        <v>10780</v>
      </c>
      <c r="V434" s="373">
        <v>10780</v>
      </c>
      <c r="W434" s="371" t="s">
        <v>2271</v>
      </c>
      <c r="X434" s="373">
        <v>14250</v>
      </c>
      <c r="Y434" s="373">
        <v>14250</v>
      </c>
      <c r="Z434" s="371" t="s">
        <v>2271</v>
      </c>
      <c r="AA434" s="373">
        <v>0</v>
      </c>
      <c r="AB434" s="373">
        <v>14190</v>
      </c>
      <c r="AC434" s="373">
        <v>14190</v>
      </c>
      <c r="AD434" s="371" t="s">
        <v>2271</v>
      </c>
      <c r="AE434" s="373">
        <v>0</v>
      </c>
      <c r="AF434" s="382">
        <v>0.594444444444444</v>
      </c>
      <c r="AG434" s="382">
        <v>0.594444444444444</v>
      </c>
      <c r="AH434" s="371" t="s">
        <v>2271</v>
      </c>
      <c r="AI434" s="382">
        <v>0.64305555555555605</v>
      </c>
      <c r="AJ434" s="382">
        <v>0.64305555555555605</v>
      </c>
      <c r="AK434" s="371" t="s">
        <v>2271</v>
      </c>
      <c r="AL434" s="206" t="s">
        <v>137</v>
      </c>
      <c r="AM434" s="206" t="s">
        <v>137</v>
      </c>
      <c r="AN434" s="371" t="s">
        <v>2271</v>
      </c>
      <c r="AO434" s="206" t="s">
        <v>2610</v>
      </c>
      <c r="AP434" s="206" t="s">
        <v>1781</v>
      </c>
      <c r="AQ434" s="206" t="s">
        <v>1132</v>
      </c>
      <c r="AR434" s="207" t="s">
        <v>68</v>
      </c>
    </row>
    <row r="435" spans="1:44" x14ac:dyDescent="0.2">
      <c r="A435" s="370">
        <v>416</v>
      </c>
      <c r="B435" s="380">
        <v>224</v>
      </c>
      <c r="C435" s="371" t="s">
        <v>2275</v>
      </c>
      <c r="D435" s="371" t="s">
        <v>2235</v>
      </c>
      <c r="E435" s="206"/>
      <c r="F435" s="206" t="s">
        <v>2026</v>
      </c>
      <c r="G435" s="206" t="s">
        <v>2026</v>
      </c>
      <c r="H435" s="371" t="s">
        <v>2271</v>
      </c>
      <c r="I435" s="206"/>
      <c r="J435" s="206" t="s">
        <v>2106</v>
      </c>
      <c r="K435" s="371" t="s">
        <v>2276</v>
      </c>
      <c r="L435" s="206" t="s">
        <v>2225</v>
      </c>
      <c r="M435" s="206" t="s">
        <v>2105</v>
      </c>
      <c r="N435" s="206" t="s">
        <v>49</v>
      </c>
      <c r="O435" s="372">
        <v>46147</v>
      </c>
      <c r="P435" s="372">
        <v>46147</v>
      </c>
      <c r="Q435" s="371" t="s">
        <v>2271</v>
      </c>
      <c r="R435" s="373">
        <v>13260</v>
      </c>
      <c r="S435" s="373">
        <v>13260</v>
      </c>
      <c r="T435" s="371" t="s">
        <v>2271</v>
      </c>
      <c r="U435" s="373">
        <v>4160</v>
      </c>
      <c r="V435" s="373">
        <v>4160</v>
      </c>
      <c r="W435" s="371" t="s">
        <v>2271</v>
      </c>
      <c r="X435" s="373">
        <v>9100</v>
      </c>
      <c r="Y435" s="373">
        <v>9100</v>
      </c>
      <c r="Z435" s="371" t="s">
        <v>2271</v>
      </c>
      <c r="AA435" s="373">
        <v>0</v>
      </c>
      <c r="AB435" s="373">
        <v>9070</v>
      </c>
      <c r="AC435" s="373">
        <v>9070</v>
      </c>
      <c r="AD435" s="371" t="s">
        <v>2271</v>
      </c>
      <c r="AE435" s="373">
        <v>0</v>
      </c>
      <c r="AF435" s="382">
        <v>0.96666666666666701</v>
      </c>
      <c r="AG435" s="382">
        <v>0.96666666666666701</v>
      </c>
      <c r="AH435" s="371" t="s">
        <v>2271</v>
      </c>
      <c r="AI435" s="382">
        <v>0.98402777777777795</v>
      </c>
      <c r="AJ435" s="382">
        <v>0.98402777777777795</v>
      </c>
      <c r="AK435" s="371" t="s">
        <v>2271</v>
      </c>
      <c r="AL435" s="206" t="s">
        <v>137</v>
      </c>
      <c r="AM435" s="206" t="s">
        <v>137</v>
      </c>
      <c r="AN435" s="371" t="s">
        <v>2271</v>
      </c>
      <c r="AO435" s="206" t="s">
        <v>2610</v>
      </c>
      <c r="AP435" s="206"/>
      <c r="AQ435" s="206" t="s">
        <v>1131</v>
      </c>
      <c r="AR435" s="207" t="s">
        <v>68</v>
      </c>
    </row>
    <row r="436" spans="1:44" x14ac:dyDescent="0.2">
      <c r="A436" s="370">
        <v>417</v>
      </c>
      <c r="B436" s="380">
        <v>225</v>
      </c>
      <c r="C436" s="371" t="s">
        <v>2269</v>
      </c>
      <c r="D436" s="371" t="s">
        <v>2270</v>
      </c>
      <c r="E436" s="206"/>
      <c r="F436" s="206" t="s">
        <v>84</v>
      </c>
      <c r="G436" s="206" t="s">
        <v>84</v>
      </c>
      <c r="H436" s="371" t="s">
        <v>2271</v>
      </c>
      <c r="I436" s="206" t="s">
        <v>1431</v>
      </c>
      <c r="J436" s="206" t="s">
        <v>1431</v>
      </c>
      <c r="K436" s="371" t="s">
        <v>2271</v>
      </c>
      <c r="L436" s="206" t="s">
        <v>2153</v>
      </c>
      <c r="M436" s="206" t="s">
        <v>1346</v>
      </c>
      <c r="N436" s="206" t="s">
        <v>49</v>
      </c>
      <c r="O436" s="372">
        <v>45996</v>
      </c>
      <c r="P436" s="372">
        <v>45996</v>
      </c>
      <c r="Q436" s="371" t="s">
        <v>2271</v>
      </c>
      <c r="R436" s="373">
        <v>26610</v>
      </c>
      <c r="S436" s="373">
        <v>26610</v>
      </c>
      <c r="T436" s="371" t="s">
        <v>2271</v>
      </c>
      <c r="U436" s="373">
        <v>12150</v>
      </c>
      <c r="V436" s="373">
        <v>12150</v>
      </c>
      <c r="W436" s="371" t="s">
        <v>2271</v>
      </c>
      <c r="X436" s="373">
        <v>14460</v>
      </c>
      <c r="Y436" s="373">
        <v>14460</v>
      </c>
      <c r="Z436" s="371" t="s">
        <v>2271</v>
      </c>
      <c r="AA436" s="373">
        <v>0</v>
      </c>
      <c r="AB436" s="373">
        <v>14410</v>
      </c>
      <c r="AC436" s="373">
        <v>14410</v>
      </c>
      <c r="AD436" s="371" t="s">
        <v>2271</v>
      </c>
      <c r="AE436" s="373">
        <v>0</v>
      </c>
      <c r="AF436" s="382">
        <v>0.59583333333333299</v>
      </c>
      <c r="AG436" s="382">
        <v>0.59583333333333299</v>
      </c>
      <c r="AH436" s="371" t="s">
        <v>2271</v>
      </c>
      <c r="AI436" s="382">
        <v>0.67500000000000004</v>
      </c>
      <c r="AJ436" s="382">
        <v>0.67500000000000004</v>
      </c>
      <c r="AK436" s="371" t="s">
        <v>2271</v>
      </c>
      <c r="AL436" s="206" t="s">
        <v>137</v>
      </c>
      <c r="AM436" s="206" t="s">
        <v>137</v>
      </c>
      <c r="AN436" s="371" t="s">
        <v>2271</v>
      </c>
      <c r="AO436" s="206" t="s">
        <v>2611</v>
      </c>
      <c r="AP436" s="206" t="s">
        <v>1782</v>
      </c>
      <c r="AQ436" s="206" t="s">
        <v>1132</v>
      </c>
      <c r="AR436" s="207" t="s">
        <v>68</v>
      </c>
    </row>
    <row r="437" spans="1:44" x14ac:dyDescent="0.2">
      <c r="A437" s="370">
        <v>418</v>
      </c>
      <c r="B437" s="380">
        <v>225</v>
      </c>
      <c r="C437" s="371" t="s">
        <v>2275</v>
      </c>
      <c r="D437" s="371" t="s">
        <v>2235</v>
      </c>
      <c r="E437" s="206"/>
      <c r="F437" s="206" t="s">
        <v>151</v>
      </c>
      <c r="G437" s="206" t="s">
        <v>151</v>
      </c>
      <c r="H437" s="371" t="s">
        <v>2271</v>
      </c>
      <c r="I437" s="206"/>
      <c r="J437" s="206" t="s">
        <v>2106</v>
      </c>
      <c r="K437" s="371" t="s">
        <v>2276</v>
      </c>
      <c r="L437" s="206" t="s">
        <v>2225</v>
      </c>
      <c r="M437" s="206" t="s">
        <v>2105</v>
      </c>
      <c r="N437" s="206" t="s">
        <v>49</v>
      </c>
      <c r="O437" s="372">
        <v>46147</v>
      </c>
      <c r="P437" s="372">
        <v>46147</v>
      </c>
      <c r="Q437" s="371" t="s">
        <v>2271</v>
      </c>
      <c r="R437" s="373">
        <v>13540</v>
      </c>
      <c r="S437" s="373">
        <v>13540</v>
      </c>
      <c r="T437" s="371" t="s">
        <v>2271</v>
      </c>
      <c r="U437" s="373">
        <v>4250</v>
      </c>
      <c r="V437" s="373">
        <v>4250</v>
      </c>
      <c r="W437" s="371" t="s">
        <v>2271</v>
      </c>
      <c r="X437" s="373">
        <v>9290</v>
      </c>
      <c r="Y437" s="373">
        <v>9290</v>
      </c>
      <c r="Z437" s="371" t="s">
        <v>2271</v>
      </c>
      <c r="AA437" s="373">
        <v>0</v>
      </c>
      <c r="AB437" s="373">
        <v>9340</v>
      </c>
      <c r="AC437" s="373">
        <v>9340</v>
      </c>
      <c r="AD437" s="371" t="s">
        <v>2271</v>
      </c>
      <c r="AE437" s="373">
        <v>0</v>
      </c>
      <c r="AF437" s="382">
        <v>0.96736111111111101</v>
      </c>
      <c r="AG437" s="382">
        <v>0.96736111111111101</v>
      </c>
      <c r="AH437" s="371" t="s">
        <v>2271</v>
      </c>
      <c r="AI437" s="382">
        <v>0.98750000000000004</v>
      </c>
      <c r="AJ437" s="382">
        <v>0.98750000000000004</v>
      </c>
      <c r="AK437" s="371" t="s">
        <v>2271</v>
      </c>
      <c r="AL437" s="206" t="s">
        <v>137</v>
      </c>
      <c r="AM437" s="206" t="s">
        <v>137</v>
      </c>
      <c r="AN437" s="371" t="s">
        <v>2271</v>
      </c>
      <c r="AO437" s="206" t="s">
        <v>2611</v>
      </c>
      <c r="AP437" s="206"/>
      <c r="AQ437" s="206" t="s">
        <v>1131</v>
      </c>
      <c r="AR437" s="207" t="s">
        <v>68</v>
      </c>
    </row>
    <row r="438" spans="1:44" x14ac:dyDescent="0.2">
      <c r="A438" s="370">
        <v>419</v>
      </c>
      <c r="B438" s="380">
        <v>226</v>
      </c>
      <c r="C438" s="371" t="s">
        <v>2269</v>
      </c>
      <c r="D438" s="371" t="s">
        <v>2235</v>
      </c>
      <c r="E438" s="206"/>
      <c r="F438" s="206" t="s">
        <v>70</v>
      </c>
      <c r="G438" s="206" t="s">
        <v>70</v>
      </c>
      <c r="H438" s="371" t="s">
        <v>2271</v>
      </c>
      <c r="I438" s="206" t="s">
        <v>1431</v>
      </c>
      <c r="J438" s="206" t="s">
        <v>1431</v>
      </c>
      <c r="K438" s="371" t="s">
        <v>2271</v>
      </c>
      <c r="L438" s="206" t="s">
        <v>2153</v>
      </c>
      <c r="M438" s="206" t="s">
        <v>1346</v>
      </c>
      <c r="N438" s="206" t="s">
        <v>49</v>
      </c>
      <c r="O438" s="372">
        <v>45996</v>
      </c>
      <c r="P438" s="372">
        <v>45996</v>
      </c>
      <c r="Q438" s="371" t="s">
        <v>2271</v>
      </c>
      <c r="R438" s="373">
        <v>45640</v>
      </c>
      <c r="S438" s="373">
        <v>45640</v>
      </c>
      <c r="T438" s="371" t="s">
        <v>2271</v>
      </c>
      <c r="U438" s="373">
        <v>17450</v>
      </c>
      <c r="V438" s="373">
        <v>17450</v>
      </c>
      <c r="W438" s="371" t="s">
        <v>2271</v>
      </c>
      <c r="X438" s="373">
        <v>28190</v>
      </c>
      <c r="Y438" s="373">
        <v>28190</v>
      </c>
      <c r="Z438" s="371" t="s">
        <v>2271</v>
      </c>
      <c r="AA438" s="373">
        <v>0</v>
      </c>
      <c r="AB438" s="373">
        <v>28080</v>
      </c>
      <c r="AC438" s="373">
        <v>28080</v>
      </c>
      <c r="AD438" s="371" t="s">
        <v>2271</v>
      </c>
      <c r="AE438" s="373">
        <v>0</v>
      </c>
      <c r="AF438" s="382">
        <v>0.59652777777777799</v>
      </c>
      <c r="AG438" s="382">
        <v>0.59652777777777799</v>
      </c>
      <c r="AH438" s="371" t="s">
        <v>2271</v>
      </c>
      <c r="AI438" s="382">
        <v>0.64444444444444404</v>
      </c>
      <c r="AJ438" s="382">
        <v>0.64444444444444504</v>
      </c>
      <c r="AK438" s="371" t="s">
        <v>2276</v>
      </c>
      <c r="AL438" s="206" t="s">
        <v>137</v>
      </c>
      <c r="AM438" s="206" t="s">
        <v>137</v>
      </c>
      <c r="AN438" s="371" t="s">
        <v>2271</v>
      </c>
      <c r="AO438" s="206" t="s">
        <v>2612</v>
      </c>
      <c r="AP438" s="206" t="s">
        <v>1499</v>
      </c>
      <c r="AQ438" s="206" t="s">
        <v>1133</v>
      </c>
      <c r="AR438" s="207" t="s">
        <v>68</v>
      </c>
    </row>
    <row r="439" spans="1:44" x14ac:dyDescent="0.2">
      <c r="A439" s="370">
        <v>420</v>
      </c>
      <c r="B439" s="380">
        <v>226</v>
      </c>
      <c r="C439" s="371" t="s">
        <v>2275</v>
      </c>
      <c r="D439" s="371" t="s">
        <v>2235</v>
      </c>
      <c r="E439" s="206"/>
      <c r="F439" s="206" t="s">
        <v>1268</v>
      </c>
      <c r="G439" s="206" t="s">
        <v>1268</v>
      </c>
      <c r="H439" s="371" t="s">
        <v>2271</v>
      </c>
      <c r="I439" s="206"/>
      <c r="J439" s="206" t="s">
        <v>2106</v>
      </c>
      <c r="K439" s="371" t="s">
        <v>2276</v>
      </c>
      <c r="L439" s="206" t="s">
        <v>2225</v>
      </c>
      <c r="M439" s="206" t="s">
        <v>2105</v>
      </c>
      <c r="N439" s="206" t="s">
        <v>49</v>
      </c>
      <c r="O439" s="372">
        <v>46147</v>
      </c>
      <c r="P439" s="372">
        <v>46147</v>
      </c>
      <c r="Q439" s="371" t="s">
        <v>2271</v>
      </c>
      <c r="R439" s="373">
        <v>13590</v>
      </c>
      <c r="S439" s="373">
        <v>13590</v>
      </c>
      <c r="T439" s="371" t="s">
        <v>2271</v>
      </c>
      <c r="U439" s="373">
        <v>3940</v>
      </c>
      <c r="V439" s="373">
        <v>3940</v>
      </c>
      <c r="W439" s="371" t="s">
        <v>2271</v>
      </c>
      <c r="X439" s="373">
        <v>9650</v>
      </c>
      <c r="Y439" s="373">
        <v>9650</v>
      </c>
      <c r="Z439" s="371" t="s">
        <v>2271</v>
      </c>
      <c r="AA439" s="373">
        <v>0</v>
      </c>
      <c r="AB439" s="373">
        <v>9630</v>
      </c>
      <c r="AC439" s="373">
        <v>9630</v>
      </c>
      <c r="AD439" s="371" t="s">
        <v>2271</v>
      </c>
      <c r="AE439" s="373">
        <v>0</v>
      </c>
      <c r="AF439" s="382">
        <v>0.97152777777777799</v>
      </c>
      <c r="AG439" s="382">
        <v>0.97152777777777799</v>
      </c>
      <c r="AH439" s="371" t="s">
        <v>2271</v>
      </c>
      <c r="AI439" s="382">
        <v>0.98611111111111105</v>
      </c>
      <c r="AJ439" s="382">
        <v>0.98611111111111105</v>
      </c>
      <c r="AK439" s="371" t="s">
        <v>2271</v>
      </c>
      <c r="AL439" s="206" t="s">
        <v>137</v>
      </c>
      <c r="AM439" s="206" t="s">
        <v>137</v>
      </c>
      <c r="AN439" s="371" t="s">
        <v>2271</v>
      </c>
      <c r="AO439" s="206" t="s">
        <v>2612</v>
      </c>
      <c r="AP439" s="206"/>
      <c r="AQ439" s="206" t="s">
        <v>1131</v>
      </c>
      <c r="AR439" s="207" t="s">
        <v>68</v>
      </c>
    </row>
    <row r="440" spans="1:44" x14ac:dyDescent="0.2">
      <c r="A440" s="370">
        <v>421</v>
      </c>
      <c r="B440" s="380">
        <v>227</v>
      </c>
      <c r="C440" s="371" t="s">
        <v>2269</v>
      </c>
      <c r="D440" s="371" t="s">
        <v>2270</v>
      </c>
      <c r="E440" s="206"/>
      <c r="F440" s="206" t="s">
        <v>46</v>
      </c>
      <c r="G440" s="206" t="s">
        <v>46</v>
      </c>
      <c r="H440" s="371" t="s">
        <v>2271</v>
      </c>
      <c r="I440" s="206" t="s">
        <v>1431</v>
      </c>
      <c r="J440" s="206" t="s">
        <v>1431</v>
      </c>
      <c r="K440" s="371" t="s">
        <v>2271</v>
      </c>
      <c r="L440" s="206" t="s">
        <v>2153</v>
      </c>
      <c r="M440" s="206" t="s">
        <v>1346</v>
      </c>
      <c r="N440" s="206" t="s">
        <v>49</v>
      </c>
      <c r="O440" s="372">
        <v>45996</v>
      </c>
      <c r="P440" s="372">
        <v>45996</v>
      </c>
      <c r="Q440" s="371" t="s">
        <v>2271</v>
      </c>
      <c r="R440" s="373">
        <v>26580</v>
      </c>
      <c r="S440" s="373">
        <v>26580</v>
      </c>
      <c r="T440" s="371" t="s">
        <v>2271</v>
      </c>
      <c r="U440" s="373">
        <v>11760</v>
      </c>
      <c r="V440" s="373">
        <v>11760</v>
      </c>
      <c r="W440" s="371" t="s">
        <v>2271</v>
      </c>
      <c r="X440" s="373">
        <v>14820</v>
      </c>
      <c r="Y440" s="373">
        <v>14820</v>
      </c>
      <c r="Z440" s="371" t="s">
        <v>2271</v>
      </c>
      <c r="AA440" s="373">
        <v>0</v>
      </c>
      <c r="AB440" s="373">
        <v>14730</v>
      </c>
      <c r="AC440" s="373">
        <v>14730</v>
      </c>
      <c r="AD440" s="371" t="s">
        <v>2271</v>
      </c>
      <c r="AE440" s="373">
        <v>0</v>
      </c>
      <c r="AF440" s="382">
        <v>0.62708333333333299</v>
      </c>
      <c r="AG440" s="382">
        <v>0.62708333333333299</v>
      </c>
      <c r="AH440" s="371" t="s">
        <v>2271</v>
      </c>
      <c r="AI440" s="382">
        <v>0.67847222222222203</v>
      </c>
      <c r="AJ440" s="382">
        <v>0.67847222222222203</v>
      </c>
      <c r="AK440" s="371" t="s">
        <v>2271</v>
      </c>
      <c r="AL440" s="206" t="s">
        <v>137</v>
      </c>
      <c r="AM440" s="206" t="s">
        <v>137</v>
      </c>
      <c r="AN440" s="371" t="s">
        <v>2271</v>
      </c>
      <c r="AO440" s="206" t="s">
        <v>2613</v>
      </c>
      <c r="AP440" s="206" t="s">
        <v>1393</v>
      </c>
      <c r="AQ440" s="206" t="s">
        <v>1132</v>
      </c>
      <c r="AR440" s="207" t="s">
        <v>68</v>
      </c>
    </row>
    <row r="441" spans="1:44" x14ac:dyDescent="0.2">
      <c r="A441" s="370">
        <v>422</v>
      </c>
      <c r="B441" s="380">
        <v>227</v>
      </c>
      <c r="C441" s="371" t="s">
        <v>2337</v>
      </c>
      <c r="D441" s="371" t="s">
        <v>2235</v>
      </c>
      <c r="E441" s="206"/>
      <c r="F441" s="206" t="s">
        <v>39</v>
      </c>
      <c r="G441" s="206" t="s">
        <v>39</v>
      </c>
      <c r="H441" s="371" t="s">
        <v>2271</v>
      </c>
      <c r="I441" s="206"/>
      <c r="J441" s="206" t="s">
        <v>2106</v>
      </c>
      <c r="K441" s="371" t="s">
        <v>2276</v>
      </c>
      <c r="L441" s="206" t="s">
        <v>2225</v>
      </c>
      <c r="M441" s="206" t="s">
        <v>2105</v>
      </c>
      <c r="N441" s="206" t="s">
        <v>49</v>
      </c>
      <c r="O441" s="372">
        <v>46178</v>
      </c>
      <c r="P441" s="372">
        <v>46148</v>
      </c>
      <c r="Q441" s="371" t="s">
        <v>2276</v>
      </c>
      <c r="R441" s="373">
        <v>13590</v>
      </c>
      <c r="S441" s="373">
        <v>13590</v>
      </c>
      <c r="T441" s="371" t="s">
        <v>2271</v>
      </c>
      <c r="U441" s="373">
        <v>4040</v>
      </c>
      <c r="V441" s="373">
        <v>4040</v>
      </c>
      <c r="W441" s="371" t="s">
        <v>2271</v>
      </c>
      <c r="X441" s="373">
        <v>9550</v>
      </c>
      <c r="Y441" s="373">
        <v>9550</v>
      </c>
      <c r="Z441" s="371" t="s">
        <v>2271</v>
      </c>
      <c r="AA441" s="373">
        <v>0</v>
      </c>
      <c r="AB441" s="373">
        <v>9530</v>
      </c>
      <c r="AC441" s="373">
        <v>9530</v>
      </c>
      <c r="AD441" s="371" t="s">
        <v>2271</v>
      </c>
      <c r="AE441" s="373">
        <v>0</v>
      </c>
      <c r="AF441" s="382">
        <v>0.50555555555555598</v>
      </c>
      <c r="AG441" s="382">
        <v>0.50555555555555598</v>
      </c>
      <c r="AH441" s="371" t="s">
        <v>2271</v>
      </c>
      <c r="AI441" s="382">
        <v>0.57013888888888897</v>
      </c>
      <c r="AJ441" s="382">
        <v>0.57013888888888897</v>
      </c>
      <c r="AK441" s="371" t="s">
        <v>2271</v>
      </c>
      <c r="AL441" s="206" t="s">
        <v>137</v>
      </c>
      <c r="AM441" s="206" t="s">
        <v>137</v>
      </c>
      <c r="AN441" s="371" t="s">
        <v>2271</v>
      </c>
      <c r="AO441" s="206" t="s">
        <v>2613</v>
      </c>
      <c r="AP441" s="206"/>
      <c r="AQ441" s="206" t="s">
        <v>1131</v>
      </c>
      <c r="AR441" s="207" t="s">
        <v>68</v>
      </c>
    </row>
    <row r="442" spans="1:44" x14ac:dyDescent="0.2">
      <c r="A442" s="370">
        <v>423</v>
      </c>
      <c r="B442" s="380">
        <v>228</v>
      </c>
      <c r="C442" s="371" t="s">
        <v>2269</v>
      </c>
      <c r="D442" s="371" t="s">
        <v>2270</v>
      </c>
      <c r="E442" s="206"/>
      <c r="F442" s="206" t="s">
        <v>76</v>
      </c>
      <c r="G442" s="206" t="s">
        <v>76</v>
      </c>
      <c r="H442" s="371" t="s">
        <v>2271</v>
      </c>
      <c r="I442" s="206" t="s">
        <v>1431</v>
      </c>
      <c r="J442" s="206" t="s">
        <v>1431</v>
      </c>
      <c r="K442" s="371" t="s">
        <v>2271</v>
      </c>
      <c r="L442" s="206" t="s">
        <v>2153</v>
      </c>
      <c r="M442" s="206" t="s">
        <v>1346</v>
      </c>
      <c r="N442" s="206" t="s">
        <v>49</v>
      </c>
      <c r="O442" s="372">
        <v>45996</v>
      </c>
      <c r="P442" s="372">
        <v>45996</v>
      </c>
      <c r="Q442" s="371" t="s">
        <v>2271</v>
      </c>
      <c r="R442" s="373">
        <v>45800</v>
      </c>
      <c r="S442" s="373">
        <v>45800</v>
      </c>
      <c r="T442" s="371" t="s">
        <v>2271</v>
      </c>
      <c r="U442" s="373">
        <v>17650</v>
      </c>
      <c r="V442" s="373">
        <v>17650</v>
      </c>
      <c r="W442" s="371" t="s">
        <v>2271</v>
      </c>
      <c r="X442" s="373">
        <v>28150</v>
      </c>
      <c r="Y442" s="373">
        <v>28150</v>
      </c>
      <c r="Z442" s="371" t="s">
        <v>2271</v>
      </c>
      <c r="AA442" s="373">
        <v>0</v>
      </c>
      <c r="AB442" s="373">
        <v>28030</v>
      </c>
      <c r="AC442" s="373">
        <v>28030</v>
      </c>
      <c r="AD442" s="371" t="s">
        <v>2271</v>
      </c>
      <c r="AE442" s="373">
        <v>0</v>
      </c>
      <c r="AF442" s="382">
        <v>0.87916666666666698</v>
      </c>
      <c r="AG442" s="382">
        <v>0.87916666666666698</v>
      </c>
      <c r="AH442" s="371" t="s">
        <v>2271</v>
      </c>
      <c r="AI442" s="382">
        <v>0.91736111111111096</v>
      </c>
      <c r="AJ442" s="382">
        <v>0.91736111111111096</v>
      </c>
      <c r="AK442" s="371" t="s">
        <v>2271</v>
      </c>
      <c r="AL442" s="206" t="s">
        <v>42</v>
      </c>
      <c r="AM442" s="206" t="s">
        <v>42</v>
      </c>
      <c r="AN442" s="371" t="s">
        <v>2271</v>
      </c>
      <c r="AO442" s="206" t="s">
        <v>2614</v>
      </c>
      <c r="AP442" s="206" t="s">
        <v>1372</v>
      </c>
      <c r="AQ442" s="206" t="s">
        <v>1133</v>
      </c>
      <c r="AR442" s="207" t="s">
        <v>68</v>
      </c>
    </row>
    <row r="443" spans="1:44" x14ac:dyDescent="0.2">
      <c r="A443" s="370">
        <v>424</v>
      </c>
      <c r="B443" s="380">
        <v>228</v>
      </c>
      <c r="C443" s="371" t="s">
        <v>2337</v>
      </c>
      <c r="D443" s="371" t="s">
        <v>2235</v>
      </c>
      <c r="E443" s="206"/>
      <c r="F443" s="206" t="s">
        <v>1593</v>
      </c>
      <c r="G443" s="206" t="s">
        <v>1593</v>
      </c>
      <c r="H443" s="371" t="s">
        <v>2271</v>
      </c>
      <c r="I443" s="206"/>
      <c r="J443" s="206" t="s">
        <v>2106</v>
      </c>
      <c r="K443" s="371" t="s">
        <v>2276</v>
      </c>
      <c r="L443" s="206" t="s">
        <v>2225</v>
      </c>
      <c r="M443" s="206" t="s">
        <v>2105</v>
      </c>
      <c r="N443" s="206" t="s">
        <v>49</v>
      </c>
      <c r="O443" s="372">
        <v>46178</v>
      </c>
      <c r="P443" s="372">
        <v>46148</v>
      </c>
      <c r="Q443" s="371" t="s">
        <v>2276</v>
      </c>
      <c r="R443" s="373">
        <v>13940</v>
      </c>
      <c r="S443" s="373">
        <v>13940</v>
      </c>
      <c r="T443" s="371" t="s">
        <v>2271</v>
      </c>
      <c r="U443" s="373">
        <v>4180</v>
      </c>
      <c r="V443" s="373">
        <v>4180</v>
      </c>
      <c r="W443" s="371" t="s">
        <v>2271</v>
      </c>
      <c r="X443" s="373">
        <v>9760</v>
      </c>
      <c r="Y443" s="373">
        <v>9760</v>
      </c>
      <c r="Z443" s="371" t="s">
        <v>2271</v>
      </c>
      <c r="AA443" s="373">
        <v>0</v>
      </c>
      <c r="AB443" s="373">
        <v>9730</v>
      </c>
      <c r="AC443" s="373">
        <v>9730</v>
      </c>
      <c r="AD443" s="371" t="s">
        <v>2271</v>
      </c>
      <c r="AE443" s="373">
        <v>0</v>
      </c>
      <c r="AF443" s="382">
        <v>0.50694444444444398</v>
      </c>
      <c r="AG443" s="382">
        <v>0.50694444444444398</v>
      </c>
      <c r="AH443" s="371" t="s">
        <v>2271</v>
      </c>
      <c r="AI443" s="382">
        <v>0.57430555555555596</v>
      </c>
      <c r="AJ443" s="382">
        <v>0.57430555555555596</v>
      </c>
      <c r="AK443" s="371" t="s">
        <v>2271</v>
      </c>
      <c r="AL443" s="206" t="s">
        <v>137</v>
      </c>
      <c r="AM443" s="206" t="s">
        <v>137</v>
      </c>
      <c r="AN443" s="371" t="s">
        <v>2271</v>
      </c>
      <c r="AO443" s="206" t="s">
        <v>2614</v>
      </c>
      <c r="AP443" s="206"/>
      <c r="AQ443" s="206" t="s">
        <v>1131</v>
      </c>
      <c r="AR443" s="207" t="s">
        <v>68</v>
      </c>
    </row>
    <row r="444" spans="1:44" x14ac:dyDescent="0.2">
      <c r="A444" s="370">
        <v>425</v>
      </c>
      <c r="B444" s="380">
        <v>229</v>
      </c>
      <c r="C444" s="371" t="s">
        <v>2269</v>
      </c>
      <c r="D444" s="371" t="s">
        <v>2235</v>
      </c>
      <c r="E444" s="206"/>
      <c r="F444" s="206" t="s">
        <v>56</v>
      </c>
      <c r="G444" s="206" t="s">
        <v>56</v>
      </c>
      <c r="H444" s="371" t="s">
        <v>2271</v>
      </c>
      <c r="I444" s="206" t="s">
        <v>1431</v>
      </c>
      <c r="J444" s="206" t="s">
        <v>1431</v>
      </c>
      <c r="K444" s="371" t="s">
        <v>2271</v>
      </c>
      <c r="L444" s="206" t="s">
        <v>2153</v>
      </c>
      <c r="M444" s="206" t="s">
        <v>1346</v>
      </c>
      <c r="N444" s="206" t="s">
        <v>49</v>
      </c>
      <c r="O444" s="372">
        <v>45996</v>
      </c>
      <c r="P444" s="372">
        <v>45996</v>
      </c>
      <c r="Q444" s="371" t="s">
        <v>2271</v>
      </c>
      <c r="R444" s="373">
        <v>25110</v>
      </c>
      <c r="S444" s="373">
        <v>25110</v>
      </c>
      <c r="T444" s="371" t="s">
        <v>2271</v>
      </c>
      <c r="U444" s="373">
        <v>10870</v>
      </c>
      <c r="V444" s="373">
        <v>10870</v>
      </c>
      <c r="W444" s="371" t="s">
        <v>2271</v>
      </c>
      <c r="X444" s="373">
        <v>14240</v>
      </c>
      <c r="Y444" s="373">
        <v>14240</v>
      </c>
      <c r="Z444" s="371" t="s">
        <v>2271</v>
      </c>
      <c r="AA444" s="373">
        <v>0</v>
      </c>
      <c r="AB444" s="373">
        <v>14190</v>
      </c>
      <c r="AC444" s="373">
        <v>14190</v>
      </c>
      <c r="AD444" s="371" t="s">
        <v>2271</v>
      </c>
      <c r="AE444" s="373">
        <v>0</v>
      </c>
      <c r="AF444" s="382">
        <v>0.89444444444444404</v>
      </c>
      <c r="AG444" s="382">
        <v>0.89444444444444504</v>
      </c>
      <c r="AH444" s="371" t="s">
        <v>2276</v>
      </c>
      <c r="AI444" s="382">
        <v>0.9375</v>
      </c>
      <c r="AJ444" s="382">
        <v>0.9375</v>
      </c>
      <c r="AK444" s="371" t="s">
        <v>2271</v>
      </c>
      <c r="AL444" s="206" t="s">
        <v>42</v>
      </c>
      <c r="AM444" s="206" t="s">
        <v>42</v>
      </c>
      <c r="AN444" s="371" t="s">
        <v>2271</v>
      </c>
      <c r="AO444" s="206" t="s">
        <v>2615</v>
      </c>
      <c r="AP444" s="206" t="s">
        <v>1781</v>
      </c>
      <c r="AQ444" s="206" t="s">
        <v>1132</v>
      </c>
      <c r="AR444" s="207" t="s">
        <v>68</v>
      </c>
    </row>
    <row r="445" spans="1:44" x14ac:dyDescent="0.2">
      <c r="A445" s="370">
        <v>426</v>
      </c>
      <c r="B445" s="380">
        <v>229</v>
      </c>
      <c r="C445" s="371" t="s">
        <v>2337</v>
      </c>
      <c r="D445" s="371" t="s">
        <v>2235</v>
      </c>
      <c r="E445" s="206"/>
      <c r="F445" s="206" t="s">
        <v>220</v>
      </c>
      <c r="G445" s="206" t="s">
        <v>220</v>
      </c>
      <c r="H445" s="371" t="s">
        <v>2271</v>
      </c>
      <c r="I445" s="206"/>
      <c r="J445" s="206" t="s">
        <v>2106</v>
      </c>
      <c r="K445" s="371" t="s">
        <v>2276</v>
      </c>
      <c r="L445" s="206" t="s">
        <v>2225</v>
      </c>
      <c r="M445" s="206" t="s">
        <v>2105</v>
      </c>
      <c r="N445" s="206" t="s">
        <v>49</v>
      </c>
      <c r="O445" s="372">
        <v>46178</v>
      </c>
      <c r="P445" s="372">
        <v>46148</v>
      </c>
      <c r="Q445" s="371" t="s">
        <v>2276</v>
      </c>
      <c r="R445" s="373">
        <v>13560</v>
      </c>
      <c r="S445" s="373">
        <v>13560</v>
      </c>
      <c r="T445" s="371" t="s">
        <v>2271</v>
      </c>
      <c r="U445" s="373">
        <v>4240</v>
      </c>
      <c r="V445" s="373">
        <v>4240</v>
      </c>
      <c r="W445" s="371" t="s">
        <v>2271</v>
      </c>
      <c r="X445" s="373">
        <v>9320</v>
      </c>
      <c r="Y445" s="373">
        <v>9320</v>
      </c>
      <c r="Z445" s="371" t="s">
        <v>2271</v>
      </c>
      <c r="AA445" s="373">
        <v>0</v>
      </c>
      <c r="AB445" s="373">
        <v>9300</v>
      </c>
      <c r="AC445" s="373">
        <v>9300</v>
      </c>
      <c r="AD445" s="371" t="s">
        <v>2271</v>
      </c>
      <c r="AE445" s="373">
        <v>0</v>
      </c>
      <c r="AF445" s="382">
        <v>0.50833333333333297</v>
      </c>
      <c r="AG445" s="382">
        <v>0.50833333333333297</v>
      </c>
      <c r="AH445" s="371" t="s">
        <v>2271</v>
      </c>
      <c r="AI445" s="382">
        <v>0.57361111111111096</v>
      </c>
      <c r="AJ445" s="382">
        <v>0.57361111111111096</v>
      </c>
      <c r="AK445" s="371" t="s">
        <v>2271</v>
      </c>
      <c r="AL445" s="206" t="s">
        <v>137</v>
      </c>
      <c r="AM445" s="206" t="s">
        <v>137</v>
      </c>
      <c r="AN445" s="371" t="s">
        <v>2271</v>
      </c>
      <c r="AO445" s="206" t="s">
        <v>2615</v>
      </c>
      <c r="AP445" s="206"/>
      <c r="AQ445" s="206" t="s">
        <v>1131</v>
      </c>
      <c r="AR445" s="207" t="s">
        <v>68</v>
      </c>
    </row>
    <row r="446" spans="1:44" x14ac:dyDescent="0.2">
      <c r="A446" s="370">
        <v>427</v>
      </c>
      <c r="B446" s="380">
        <v>230</v>
      </c>
      <c r="C446" s="371" t="s">
        <v>2269</v>
      </c>
      <c r="D446" s="371" t="s">
        <v>2270</v>
      </c>
      <c r="E446" s="206"/>
      <c r="F446" s="206" t="s">
        <v>163</v>
      </c>
      <c r="G446" s="206" t="s">
        <v>163</v>
      </c>
      <c r="H446" s="371" t="s">
        <v>2271</v>
      </c>
      <c r="I446" s="206" t="s">
        <v>1345</v>
      </c>
      <c r="J446" s="206" t="s">
        <v>1345</v>
      </c>
      <c r="K446" s="371" t="s">
        <v>2271</v>
      </c>
      <c r="L446" s="206" t="s">
        <v>2152</v>
      </c>
      <c r="M446" s="206" t="s">
        <v>1344</v>
      </c>
      <c r="N446" s="206" t="s">
        <v>40</v>
      </c>
      <c r="O446" s="372">
        <v>45996</v>
      </c>
      <c r="P446" s="372">
        <v>45996</v>
      </c>
      <c r="Q446" s="371" t="s">
        <v>2271</v>
      </c>
      <c r="R446" s="373">
        <v>13940</v>
      </c>
      <c r="S446" s="373">
        <v>13940</v>
      </c>
      <c r="T446" s="371" t="s">
        <v>2271</v>
      </c>
      <c r="U446" s="373">
        <v>3910</v>
      </c>
      <c r="V446" s="373">
        <v>3910</v>
      </c>
      <c r="W446" s="371" t="s">
        <v>2271</v>
      </c>
      <c r="X446" s="373">
        <v>10030</v>
      </c>
      <c r="Y446" s="373">
        <v>10030</v>
      </c>
      <c r="Z446" s="371" t="s">
        <v>2271</v>
      </c>
      <c r="AA446" s="373">
        <v>0</v>
      </c>
      <c r="AB446" s="373">
        <v>10050</v>
      </c>
      <c r="AC446" s="373">
        <v>10050</v>
      </c>
      <c r="AD446" s="371" t="s">
        <v>2271</v>
      </c>
      <c r="AE446" s="373">
        <v>0</v>
      </c>
      <c r="AF446" s="382">
        <v>0.90208333333333302</v>
      </c>
      <c r="AG446" s="382">
        <v>0.90208333333333302</v>
      </c>
      <c r="AH446" s="371" t="s">
        <v>2271</v>
      </c>
      <c r="AI446" s="382">
        <v>0.94791666666666696</v>
      </c>
      <c r="AJ446" s="382">
        <v>0.94791666666666696</v>
      </c>
      <c r="AK446" s="371" t="s">
        <v>2271</v>
      </c>
      <c r="AL446" s="206" t="s">
        <v>42</v>
      </c>
      <c r="AM446" s="206" t="s">
        <v>42</v>
      </c>
      <c r="AN446" s="371" t="s">
        <v>2271</v>
      </c>
      <c r="AO446" s="206" t="s">
        <v>2616</v>
      </c>
      <c r="AP446" s="206"/>
      <c r="AQ446" s="206" t="s">
        <v>1131</v>
      </c>
      <c r="AR446" s="207" t="s">
        <v>82</v>
      </c>
    </row>
    <row r="447" spans="1:44" x14ac:dyDescent="0.2">
      <c r="A447" s="370">
        <v>428</v>
      </c>
      <c r="B447" s="380">
        <v>230</v>
      </c>
      <c r="C447" s="371" t="s">
        <v>2337</v>
      </c>
      <c r="D447" s="371" t="s">
        <v>2235</v>
      </c>
      <c r="E447" s="206"/>
      <c r="F447" s="206" t="s">
        <v>151</v>
      </c>
      <c r="G447" s="206" t="s">
        <v>151</v>
      </c>
      <c r="H447" s="371" t="s">
        <v>2271</v>
      </c>
      <c r="I447" s="206"/>
      <c r="J447" s="206" t="s">
        <v>2106</v>
      </c>
      <c r="K447" s="371" t="s">
        <v>2276</v>
      </c>
      <c r="L447" s="206" t="s">
        <v>2225</v>
      </c>
      <c r="M447" s="206" t="s">
        <v>2105</v>
      </c>
      <c r="N447" s="206" t="s">
        <v>49</v>
      </c>
      <c r="O447" s="372">
        <v>46178</v>
      </c>
      <c r="P447" s="372">
        <v>46148</v>
      </c>
      <c r="Q447" s="371" t="s">
        <v>2276</v>
      </c>
      <c r="R447" s="373">
        <v>13520</v>
      </c>
      <c r="S447" s="373">
        <v>13520</v>
      </c>
      <c r="T447" s="371" t="s">
        <v>2271</v>
      </c>
      <c r="U447" s="373">
        <v>4170</v>
      </c>
      <c r="V447" s="373">
        <v>4170</v>
      </c>
      <c r="W447" s="371" t="s">
        <v>2271</v>
      </c>
      <c r="X447" s="373">
        <v>9350</v>
      </c>
      <c r="Y447" s="373">
        <v>9350</v>
      </c>
      <c r="Z447" s="371" t="s">
        <v>2271</v>
      </c>
      <c r="AA447" s="373">
        <v>0</v>
      </c>
      <c r="AB447" s="373">
        <v>9360</v>
      </c>
      <c r="AC447" s="373">
        <v>9360</v>
      </c>
      <c r="AD447" s="371" t="s">
        <v>2271</v>
      </c>
      <c r="AE447" s="373">
        <v>0</v>
      </c>
      <c r="AF447" s="382">
        <v>0.57222222222222197</v>
      </c>
      <c r="AG447" s="382">
        <v>0.57222222222222197</v>
      </c>
      <c r="AH447" s="371" t="s">
        <v>2271</v>
      </c>
      <c r="AI447" s="382">
        <v>0.59375</v>
      </c>
      <c r="AJ447" s="382">
        <v>0.59375</v>
      </c>
      <c r="AK447" s="371" t="s">
        <v>2271</v>
      </c>
      <c r="AL447" s="206" t="s">
        <v>137</v>
      </c>
      <c r="AM447" s="206" t="s">
        <v>137</v>
      </c>
      <c r="AN447" s="371" t="s">
        <v>2271</v>
      </c>
      <c r="AO447" s="206" t="s">
        <v>2617</v>
      </c>
      <c r="AP447" s="206"/>
      <c r="AQ447" s="206" t="s">
        <v>1131</v>
      </c>
      <c r="AR447" s="207" t="s">
        <v>68</v>
      </c>
    </row>
    <row r="448" spans="1:44" x14ac:dyDescent="0.2">
      <c r="A448" s="370">
        <v>429</v>
      </c>
      <c r="B448" s="380">
        <v>231</v>
      </c>
      <c r="C448" s="371" t="s">
        <v>2269</v>
      </c>
      <c r="D448" s="371" t="s">
        <v>2270</v>
      </c>
      <c r="E448" s="206"/>
      <c r="F448" s="206" t="s">
        <v>186</v>
      </c>
      <c r="G448" s="206" t="s">
        <v>186</v>
      </c>
      <c r="H448" s="371" t="s">
        <v>2271</v>
      </c>
      <c r="I448" s="206" t="s">
        <v>1345</v>
      </c>
      <c r="J448" s="206" t="s">
        <v>1345</v>
      </c>
      <c r="K448" s="371" t="s">
        <v>2271</v>
      </c>
      <c r="L448" s="206" t="s">
        <v>2152</v>
      </c>
      <c r="M448" s="206" t="s">
        <v>1344</v>
      </c>
      <c r="N448" s="206" t="s">
        <v>40</v>
      </c>
      <c r="O448" s="372">
        <v>45996</v>
      </c>
      <c r="P448" s="372">
        <v>45996</v>
      </c>
      <c r="Q448" s="371" t="s">
        <v>2271</v>
      </c>
      <c r="R448" s="373">
        <v>13520</v>
      </c>
      <c r="S448" s="373">
        <v>13520</v>
      </c>
      <c r="T448" s="371" t="s">
        <v>2271</v>
      </c>
      <c r="U448" s="373">
        <v>3940</v>
      </c>
      <c r="V448" s="373">
        <v>3940</v>
      </c>
      <c r="W448" s="371" t="s">
        <v>2271</v>
      </c>
      <c r="X448" s="373">
        <v>9580</v>
      </c>
      <c r="Y448" s="373">
        <v>9580</v>
      </c>
      <c r="Z448" s="371" t="s">
        <v>2271</v>
      </c>
      <c r="AA448" s="373">
        <v>0</v>
      </c>
      <c r="AB448" s="373">
        <v>9500</v>
      </c>
      <c r="AC448" s="373">
        <v>9500</v>
      </c>
      <c r="AD448" s="371" t="s">
        <v>2271</v>
      </c>
      <c r="AE448" s="373">
        <v>0</v>
      </c>
      <c r="AF448" s="382">
        <v>0.90277777777777801</v>
      </c>
      <c r="AG448" s="382">
        <v>0.90277777777777801</v>
      </c>
      <c r="AH448" s="371" t="s">
        <v>2271</v>
      </c>
      <c r="AI448" s="382">
        <v>0.95277777777777795</v>
      </c>
      <c r="AJ448" s="382">
        <v>0.95277777777777795</v>
      </c>
      <c r="AK448" s="371" t="s">
        <v>2271</v>
      </c>
      <c r="AL448" s="206" t="s">
        <v>42</v>
      </c>
      <c r="AM448" s="206" t="s">
        <v>42</v>
      </c>
      <c r="AN448" s="371" t="s">
        <v>2271</v>
      </c>
      <c r="AO448" s="206" t="s">
        <v>2618</v>
      </c>
      <c r="AP448" s="206"/>
      <c r="AQ448" s="206" t="s">
        <v>1131</v>
      </c>
      <c r="AR448" s="207" t="s">
        <v>82</v>
      </c>
    </row>
    <row r="449" spans="1:44" x14ac:dyDescent="0.2">
      <c r="A449" s="370">
        <v>430</v>
      </c>
      <c r="B449" s="380">
        <v>231</v>
      </c>
      <c r="C449" s="371" t="s">
        <v>2337</v>
      </c>
      <c r="D449" s="371" t="s">
        <v>2235</v>
      </c>
      <c r="E449" s="206"/>
      <c r="F449" s="206" t="s">
        <v>2026</v>
      </c>
      <c r="G449" s="206" t="s">
        <v>2026</v>
      </c>
      <c r="H449" s="371" t="s">
        <v>2271</v>
      </c>
      <c r="I449" s="206"/>
      <c r="J449" s="206" t="s">
        <v>2106</v>
      </c>
      <c r="K449" s="371" t="s">
        <v>2276</v>
      </c>
      <c r="L449" s="206" t="s">
        <v>2225</v>
      </c>
      <c r="M449" s="206" t="s">
        <v>2105</v>
      </c>
      <c r="N449" s="206" t="s">
        <v>49</v>
      </c>
      <c r="O449" s="372">
        <v>46178</v>
      </c>
      <c r="P449" s="372">
        <v>46148</v>
      </c>
      <c r="Q449" s="371" t="s">
        <v>2276</v>
      </c>
      <c r="R449" s="373">
        <v>13220</v>
      </c>
      <c r="S449" s="373">
        <v>13220</v>
      </c>
      <c r="T449" s="371" t="s">
        <v>2271</v>
      </c>
      <c r="U449" s="373">
        <v>4140</v>
      </c>
      <c r="V449" s="373">
        <v>4140</v>
      </c>
      <c r="W449" s="371" t="s">
        <v>2271</v>
      </c>
      <c r="X449" s="373">
        <v>9080</v>
      </c>
      <c r="Y449" s="373">
        <v>9080</v>
      </c>
      <c r="Z449" s="371" t="s">
        <v>2271</v>
      </c>
      <c r="AA449" s="373">
        <v>0</v>
      </c>
      <c r="AB449" s="373">
        <v>9060</v>
      </c>
      <c r="AC449" s="373">
        <v>9060</v>
      </c>
      <c r="AD449" s="371" t="s">
        <v>2271</v>
      </c>
      <c r="AE449" s="373">
        <v>0</v>
      </c>
      <c r="AF449" s="382">
        <v>0.57638888888888895</v>
      </c>
      <c r="AG449" s="382">
        <v>0.57638888888888895</v>
      </c>
      <c r="AH449" s="371" t="s">
        <v>2271</v>
      </c>
      <c r="AI449" s="382">
        <v>0.59861111111111098</v>
      </c>
      <c r="AJ449" s="382">
        <v>0.59861111111111098</v>
      </c>
      <c r="AK449" s="371" t="s">
        <v>2271</v>
      </c>
      <c r="AL449" s="206" t="s">
        <v>137</v>
      </c>
      <c r="AM449" s="206" t="s">
        <v>137</v>
      </c>
      <c r="AN449" s="371" t="s">
        <v>2271</v>
      </c>
      <c r="AO449" s="206" t="s">
        <v>2619</v>
      </c>
      <c r="AP449" s="206"/>
      <c r="AQ449" s="206" t="s">
        <v>1131</v>
      </c>
      <c r="AR449" s="207" t="s">
        <v>68</v>
      </c>
    </row>
    <row r="450" spans="1:44" x14ac:dyDescent="0.2">
      <c r="A450" s="370">
        <v>431</v>
      </c>
      <c r="B450" s="380">
        <v>232</v>
      </c>
      <c r="C450" s="371" t="s">
        <v>2269</v>
      </c>
      <c r="D450" s="371" t="s">
        <v>2270</v>
      </c>
      <c r="E450" s="206"/>
      <c r="F450" s="206" t="s">
        <v>173</v>
      </c>
      <c r="G450" s="206" t="s">
        <v>173</v>
      </c>
      <c r="H450" s="371" t="s">
        <v>2271</v>
      </c>
      <c r="I450" s="206" t="s">
        <v>1345</v>
      </c>
      <c r="J450" s="206" t="s">
        <v>1345</v>
      </c>
      <c r="K450" s="371" t="s">
        <v>2271</v>
      </c>
      <c r="L450" s="206" t="s">
        <v>2152</v>
      </c>
      <c r="M450" s="206" t="s">
        <v>1344</v>
      </c>
      <c r="N450" s="206" t="s">
        <v>40</v>
      </c>
      <c r="O450" s="372">
        <v>45996</v>
      </c>
      <c r="P450" s="372">
        <v>45996</v>
      </c>
      <c r="Q450" s="371" t="s">
        <v>2271</v>
      </c>
      <c r="R450" s="373">
        <v>14340</v>
      </c>
      <c r="S450" s="373">
        <v>14340</v>
      </c>
      <c r="T450" s="371" t="s">
        <v>2271</v>
      </c>
      <c r="U450" s="373">
        <v>4620</v>
      </c>
      <c r="V450" s="373">
        <v>4620</v>
      </c>
      <c r="W450" s="371" t="s">
        <v>2271</v>
      </c>
      <c r="X450" s="373">
        <v>9720</v>
      </c>
      <c r="Y450" s="373">
        <v>9720</v>
      </c>
      <c r="Z450" s="371" t="s">
        <v>2271</v>
      </c>
      <c r="AA450" s="373">
        <v>0</v>
      </c>
      <c r="AB450" s="373">
        <v>9680</v>
      </c>
      <c r="AC450" s="373">
        <v>9680</v>
      </c>
      <c r="AD450" s="371" t="s">
        <v>2271</v>
      </c>
      <c r="AE450" s="373">
        <v>0</v>
      </c>
      <c r="AF450" s="382">
        <v>0.90416666666666701</v>
      </c>
      <c r="AG450" s="382">
        <v>0.90416666666666701</v>
      </c>
      <c r="AH450" s="371" t="s">
        <v>2271</v>
      </c>
      <c r="AI450" s="382">
        <v>0.969444444444444</v>
      </c>
      <c r="AJ450" s="382">
        <v>0.969444444444444</v>
      </c>
      <c r="AK450" s="371" t="s">
        <v>2271</v>
      </c>
      <c r="AL450" s="206" t="s">
        <v>42</v>
      </c>
      <c r="AM450" s="206" t="s">
        <v>42</v>
      </c>
      <c r="AN450" s="371" t="s">
        <v>2271</v>
      </c>
      <c r="AO450" s="206" t="s">
        <v>2620</v>
      </c>
      <c r="AP450" s="206"/>
      <c r="AQ450" s="206" t="s">
        <v>1131</v>
      </c>
      <c r="AR450" s="207" t="s">
        <v>82</v>
      </c>
    </row>
    <row r="451" spans="1:44" x14ac:dyDescent="0.2">
      <c r="A451" s="370">
        <v>432</v>
      </c>
      <c r="B451" s="380">
        <v>232</v>
      </c>
      <c r="C451" s="371" t="s">
        <v>2337</v>
      </c>
      <c r="D451" s="371" t="s">
        <v>2235</v>
      </c>
      <c r="E451" s="206"/>
      <c r="F451" s="206" t="s">
        <v>2103</v>
      </c>
      <c r="G451" s="206" t="s">
        <v>2103</v>
      </c>
      <c r="H451" s="371" t="s">
        <v>2271</v>
      </c>
      <c r="I451" s="206"/>
      <c r="J451" s="206" t="s">
        <v>2106</v>
      </c>
      <c r="K451" s="371" t="s">
        <v>2276</v>
      </c>
      <c r="L451" s="206" t="s">
        <v>2225</v>
      </c>
      <c r="M451" s="206" t="s">
        <v>2105</v>
      </c>
      <c r="N451" s="206" t="s">
        <v>49</v>
      </c>
      <c r="O451" s="372">
        <v>46178</v>
      </c>
      <c r="P451" s="372">
        <v>46148</v>
      </c>
      <c r="Q451" s="371" t="s">
        <v>2276</v>
      </c>
      <c r="R451" s="373">
        <v>13530</v>
      </c>
      <c r="S451" s="373">
        <v>13530</v>
      </c>
      <c r="T451" s="371" t="s">
        <v>2271</v>
      </c>
      <c r="U451" s="373">
        <v>3980</v>
      </c>
      <c r="V451" s="373">
        <v>3980</v>
      </c>
      <c r="W451" s="371" t="s">
        <v>2271</v>
      </c>
      <c r="X451" s="373">
        <v>9550</v>
      </c>
      <c r="Y451" s="373">
        <v>9550</v>
      </c>
      <c r="Z451" s="371" t="s">
        <v>2271</v>
      </c>
      <c r="AA451" s="373">
        <v>0</v>
      </c>
      <c r="AB451" s="373">
        <v>9530</v>
      </c>
      <c r="AC451" s="373">
        <v>9530</v>
      </c>
      <c r="AD451" s="371" t="s">
        <v>2271</v>
      </c>
      <c r="AE451" s="373">
        <v>0</v>
      </c>
      <c r="AF451" s="382">
        <v>0.57777777777777795</v>
      </c>
      <c r="AG451" s="382">
        <v>0.57777777777777795</v>
      </c>
      <c r="AH451" s="371" t="s">
        <v>2271</v>
      </c>
      <c r="AI451" s="382">
        <v>0.60138888888888897</v>
      </c>
      <c r="AJ451" s="382">
        <v>0.60138888888888897</v>
      </c>
      <c r="AK451" s="371" t="s">
        <v>2271</v>
      </c>
      <c r="AL451" s="206" t="s">
        <v>137</v>
      </c>
      <c r="AM451" s="206" t="s">
        <v>137</v>
      </c>
      <c r="AN451" s="371" t="s">
        <v>2271</v>
      </c>
      <c r="AO451" s="206" t="s">
        <v>2621</v>
      </c>
      <c r="AP451" s="206"/>
      <c r="AQ451" s="206" t="s">
        <v>1131</v>
      </c>
      <c r="AR451" s="207" t="s">
        <v>68</v>
      </c>
    </row>
    <row r="452" spans="1:44" x14ac:dyDescent="0.2">
      <c r="A452" s="370">
        <v>433</v>
      </c>
      <c r="B452" s="380">
        <v>233</v>
      </c>
      <c r="C452" s="371" t="s">
        <v>2269</v>
      </c>
      <c r="D452" s="371" t="s">
        <v>2270</v>
      </c>
      <c r="E452" s="206"/>
      <c r="F452" s="206" t="s">
        <v>39</v>
      </c>
      <c r="G452" s="206" t="s">
        <v>39</v>
      </c>
      <c r="H452" s="371" t="s">
        <v>2271</v>
      </c>
      <c r="I452" s="206" t="s">
        <v>1345</v>
      </c>
      <c r="J452" s="206" t="s">
        <v>1345</v>
      </c>
      <c r="K452" s="371" t="s">
        <v>2271</v>
      </c>
      <c r="L452" s="206" t="s">
        <v>2152</v>
      </c>
      <c r="M452" s="206" t="s">
        <v>1344</v>
      </c>
      <c r="N452" s="206" t="s">
        <v>40</v>
      </c>
      <c r="O452" s="372">
        <v>45996</v>
      </c>
      <c r="P452" s="372">
        <v>45996</v>
      </c>
      <c r="Q452" s="371" t="s">
        <v>2271</v>
      </c>
      <c r="R452" s="373">
        <v>13710</v>
      </c>
      <c r="S452" s="373">
        <v>13710</v>
      </c>
      <c r="T452" s="371" t="s">
        <v>2271</v>
      </c>
      <c r="U452" s="373">
        <v>4130</v>
      </c>
      <c r="V452" s="373">
        <v>4130</v>
      </c>
      <c r="W452" s="371" t="s">
        <v>2271</v>
      </c>
      <c r="X452" s="373">
        <v>9580</v>
      </c>
      <c r="Y452" s="373">
        <v>9580</v>
      </c>
      <c r="Z452" s="371" t="s">
        <v>2271</v>
      </c>
      <c r="AA452" s="373">
        <v>0</v>
      </c>
      <c r="AB452" s="373">
        <v>9550</v>
      </c>
      <c r="AC452" s="373">
        <v>9550</v>
      </c>
      <c r="AD452" s="371" t="s">
        <v>2271</v>
      </c>
      <c r="AE452" s="373">
        <v>0</v>
      </c>
      <c r="AF452" s="382">
        <v>0.92013888888888895</v>
      </c>
      <c r="AG452" s="382">
        <v>0.92013888888888895</v>
      </c>
      <c r="AH452" s="371" t="s">
        <v>2271</v>
      </c>
      <c r="AI452" s="382">
        <v>0.97291666666666698</v>
      </c>
      <c r="AJ452" s="382">
        <v>0.97291666666666698</v>
      </c>
      <c r="AK452" s="371" t="s">
        <v>2271</v>
      </c>
      <c r="AL452" s="206" t="s">
        <v>42</v>
      </c>
      <c r="AM452" s="206" t="s">
        <v>42</v>
      </c>
      <c r="AN452" s="371" t="s">
        <v>2271</v>
      </c>
      <c r="AO452" s="206" t="s">
        <v>2622</v>
      </c>
      <c r="AP452" s="206"/>
      <c r="AQ452" s="206" t="s">
        <v>1131</v>
      </c>
      <c r="AR452" s="207" t="s">
        <v>82</v>
      </c>
    </row>
    <row r="453" spans="1:44" x14ac:dyDescent="0.2">
      <c r="A453" s="370">
        <v>434</v>
      </c>
      <c r="B453" s="380">
        <v>233</v>
      </c>
      <c r="C453" s="371" t="s">
        <v>2337</v>
      </c>
      <c r="D453" s="371" t="s">
        <v>2235</v>
      </c>
      <c r="E453" s="206"/>
      <c r="F453" s="206" t="s">
        <v>2104</v>
      </c>
      <c r="G453" s="206" t="s">
        <v>2104</v>
      </c>
      <c r="H453" s="371" t="s">
        <v>2271</v>
      </c>
      <c r="I453" s="206"/>
      <c r="J453" s="206" t="s">
        <v>2106</v>
      </c>
      <c r="K453" s="371" t="s">
        <v>2276</v>
      </c>
      <c r="L453" s="206" t="s">
        <v>2225</v>
      </c>
      <c r="M453" s="206" t="s">
        <v>2105</v>
      </c>
      <c r="N453" s="206" t="s">
        <v>49</v>
      </c>
      <c r="O453" s="372">
        <v>46178</v>
      </c>
      <c r="P453" s="372">
        <v>46148</v>
      </c>
      <c r="Q453" s="371" t="s">
        <v>2276</v>
      </c>
      <c r="R453" s="373">
        <v>12850</v>
      </c>
      <c r="S453" s="373">
        <v>12850</v>
      </c>
      <c r="T453" s="371" t="s">
        <v>2271</v>
      </c>
      <c r="U453" s="373">
        <v>3920</v>
      </c>
      <c r="V453" s="373">
        <v>3920</v>
      </c>
      <c r="W453" s="371" t="s">
        <v>2271</v>
      </c>
      <c r="X453" s="373">
        <v>8930</v>
      </c>
      <c r="Y453" s="373">
        <v>8930</v>
      </c>
      <c r="Z453" s="371" t="s">
        <v>2271</v>
      </c>
      <c r="AA453" s="373">
        <v>0</v>
      </c>
      <c r="AB453" s="373">
        <v>8880</v>
      </c>
      <c r="AC453" s="373">
        <v>8880</v>
      </c>
      <c r="AD453" s="371" t="s">
        <v>2271</v>
      </c>
      <c r="AE453" s="373">
        <v>0</v>
      </c>
      <c r="AF453" s="382">
        <v>0.59652777777777799</v>
      </c>
      <c r="AG453" s="382">
        <v>0.59652777777777799</v>
      </c>
      <c r="AH453" s="371" t="s">
        <v>2271</v>
      </c>
      <c r="AI453" s="382">
        <v>0.62847222222222199</v>
      </c>
      <c r="AJ453" s="382">
        <v>0.62847222222222199</v>
      </c>
      <c r="AK453" s="371" t="s">
        <v>2271</v>
      </c>
      <c r="AL453" s="206" t="s">
        <v>137</v>
      </c>
      <c r="AM453" s="206" t="s">
        <v>137</v>
      </c>
      <c r="AN453" s="371" t="s">
        <v>2271</v>
      </c>
      <c r="AO453" s="206" t="s">
        <v>2623</v>
      </c>
      <c r="AP453" s="206"/>
      <c r="AQ453" s="206" t="s">
        <v>1131</v>
      </c>
      <c r="AR453" s="207" t="s">
        <v>68</v>
      </c>
    </row>
    <row r="454" spans="1:44" x14ac:dyDescent="0.2">
      <c r="A454" s="370">
        <v>435</v>
      </c>
      <c r="B454" s="380">
        <v>234</v>
      </c>
      <c r="C454" s="371" t="s">
        <v>2269</v>
      </c>
      <c r="D454" s="371" t="s">
        <v>2235</v>
      </c>
      <c r="E454" s="206"/>
      <c r="F454" s="206" t="s">
        <v>149</v>
      </c>
      <c r="G454" s="206" t="s">
        <v>149</v>
      </c>
      <c r="H454" s="371" t="s">
        <v>2271</v>
      </c>
      <c r="I454" s="206" t="s">
        <v>1345</v>
      </c>
      <c r="J454" s="206" t="s">
        <v>1345</v>
      </c>
      <c r="K454" s="371" t="s">
        <v>2271</v>
      </c>
      <c r="L454" s="206" t="s">
        <v>2152</v>
      </c>
      <c r="M454" s="206" t="s">
        <v>1344</v>
      </c>
      <c r="N454" s="206" t="s">
        <v>40</v>
      </c>
      <c r="O454" s="372">
        <v>45996</v>
      </c>
      <c r="P454" s="372">
        <v>45996</v>
      </c>
      <c r="Q454" s="371" t="s">
        <v>2271</v>
      </c>
      <c r="R454" s="373">
        <v>13910</v>
      </c>
      <c r="S454" s="373">
        <v>13910</v>
      </c>
      <c r="T454" s="371" t="s">
        <v>2271</v>
      </c>
      <c r="U454" s="373">
        <v>4030</v>
      </c>
      <c r="V454" s="373">
        <v>4030</v>
      </c>
      <c r="W454" s="371" t="s">
        <v>2271</v>
      </c>
      <c r="X454" s="373">
        <v>9880</v>
      </c>
      <c r="Y454" s="373">
        <v>9880</v>
      </c>
      <c r="Z454" s="371" t="s">
        <v>2271</v>
      </c>
      <c r="AA454" s="373">
        <v>0</v>
      </c>
      <c r="AB454" s="373">
        <v>9850</v>
      </c>
      <c r="AC454" s="373">
        <v>9850</v>
      </c>
      <c r="AD454" s="371" t="s">
        <v>2271</v>
      </c>
      <c r="AE454" s="373">
        <v>0</v>
      </c>
      <c r="AF454" s="382">
        <v>0.92291666666666705</v>
      </c>
      <c r="AG454" s="382">
        <v>0.92291666666666705</v>
      </c>
      <c r="AH454" s="371" t="s">
        <v>2271</v>
      </c>
      <c r="AI454" s="382">
        <v>0.98819444444444404</v>
      </c>
      <c r="AJ454" s="382">
        <v>0.98819444444444504</v>
      </c>
      <c r="AK454" s="371" t="s">
        <v>2276</v>
      </c>
      <c r="AL454" s="206" t="s">
        <v>42</v>
      </c>
      <c r="AM454" s="206" t="s">
        <v>42</v>
      </c>
      <c r="AN454" s="371" t="s">
        <v>2271</v>
      </c>
      <c r="AO454" s="206" t="s">
        <v>2624</v>
      </c>
      <c r="AP454" s="206"/>
      <c r="AQ454" s="206" t="s">
        <v>1131</v>
      </c>
      <c r="AR454" s="207" t="s">
        <v>82</v>
      </c>
    </row>
    <row r="455" spans="1:44" x14ac:dyDescent="0.2">
      <c r="A455" s="370">
        <v>436</v>
      </c>
      <c r="B455" s="380">
        <v>234</v>
      </c>
      <c r="C455" s="371" t="s">
        <v>2337</v>
      </c>
      <c r="D455" s="371" t="s">
        <v>2235</v>
      </c>
      <c r="E455" s="206"/>
      <c r="F455" s="206" t="s">
        <v>1268</v>
      </c>
      <c r="G455" s="206" t="s">
        <v>1268</v>
      </c>
      <c r="H455" s="371" t="s">
        <v>2271</v>
      </c>
      <c r="I455" s="206"/>
      <c r="J455" s="206" t="s">
        <v>2106</v>
      </c>
      <c r="K455" s="371" t="s">
        <v>2276</v>
      </c>
      <c r="L455" s="206" t="s">
        <v>2225</v>
      </c>
      <c r="M455" s="206" t="s">
        <v>2105</v>
      </c>
      <c r="N455" s="206" t="s">
        <v>49</v>
      </c>
      <c r="O455" s="372">
        <v>46178</v>
      </c>
      <c r="P455" s="372">
        <v>46148</v>
      </c>
      <c r="Q455" s="371" t="s">
        <v>2276</v>
      </c>
      <c r="R455" s="373">
        <v>13560</v>
      </c>
      <c r="S455" s="373">
        <v>13560</v>
      </c>
      <c r="T455" s="371" t="s">
        <v>2271</v>
      </c>
      <c r="U455" s="373">
        <v>3920</v>
      </c>
      <c r="V455" s="373">
        <v>3920</v>
      </c>
      <c r="W455" s="371" t="s">
        <v>2271</v>
      </c>
      <c r="X455" s="373">
        <v>9640</v>
      </c>
      <c r="Y455" s="373">
        <v>9640</v>
      </c>
      <c r="Z455" s="371" t="s">
        <v>2271</v>
      </c>
      <c r="AA455" s="373">
        <v>0</v>
      </c>
      <c r="AB455" s="373">
        <v>9620</v>
      </c>
      <c r="AC455" s="373">
        <v>9620</v>
      </c>
      <c r="AD455" s="371" t="s">
        <v>2271</v>
      </c>
      <c r="AE455" s="373">
        <v>0</v>
      </c>
      <c r="AF455" s="382">
        <v>0.6</v>
      </c>
      <c r="AG455" s="382">
        <v>0.6</v>
      </c>
      <c r="AH455" s="371" t="s">
        <v>2271</v>
      </c>
      <c r="AI455" s="382">
        <v>0.62986111111111098</v>
      </c>
      <c r="AJ455" s="382">
        <v>0.62986111111111098</v>
      </c>
      <c r="AK455" s="371" t="s">
        <v>2271</v>
      </c>
      <c r="AL455" s="206" t="s">
        <v>137</v>
      </c>
      <c r="AM455" s="206" t="s">
        <v>137</v>
      </c>
      <c r="AN455" s="371" t="s">
        <v>2271</v>
      </c>
      <c r="AO455" s="206" t="s">
        <v>2625</v>
      </c>
      <c r="AP455" s="206"/>
      <c r="AQ455" s="206" t="s">
        <v>1131</v>
      </c>
      <c r="AR455" s="207" t="s">
        <v>68</v>
      </c>
    </row>
    <row r="456" spans="1:44" x14ac:dyDescent="0.2">
      <c r="A456" s="370">
        <v>437</v>
      </c>
      <c r="B456" s="380">
        <v>235</v>
      </c>
      <c r="C456" s="371" t="s">
        <v>2269</v>
      </c>
      <c r="D456" s="371" t="s">
        <v>2270</v>
      </c>
      <c r="E456" s="206"/>
      <c r="F456" s="206" t="s">
        <v>73</v>
      </c>
      <c r="G456" s="206" t="s">
        <v>73</v>
      </c>
      <c r="H456" s="371" t="s">
        <v>2271</v>
      </c>
      <c r="I456" s="206" t="s">
        <v>1345</v>
      </c>
      <c r="J456" s="206" t="s">
        <v>1345</v>
      </c>
      <c r="K456" s="371" t="s">
        <v>2271</v>
      </c>
      <c r="L456" s="206" t="s">
        <v>2152</v>
      </c>
      <c r="M456" s="206" t="s">
        <v>1344</v>
      </c>
      <c r="N456" s="206" t="s">
        <v>40</v>
      </c>
      <c r="O456" s="372">
        <v>45997</v>
      </c>
      <c r="P456" s="372">
        <v>45997</v>
      </c>
      <c r="Q456" s="371" t="s">
        <v>2271</v>
      </c>
      <c r="R456" s="373">
        <v>13440</v>
      </c>
      <c r="S456" s="373">
        <v>13440</v>
      </c>
      <c r="T456" s="371" t="s">
        <v>2271</v>
      </c>
      <c r="U456" s="373">
        <v>3990</v>
      </c>
      <c r="V456" s="373">
        <v>3990</v>
      </c>
      <c r="W456" s="371" t="s">
        <v>2271</v>
      </c>
      <c r="X456" s="373">
        <v>9450</v>
      </c>
      <c r="Y456" s="373">
        <v>9450</v>
      </c>
      <c r="Z456" s="371" t="s">
        <v>2271</v>
      </c>
      <c r="AA456" s="373">
        <v>0</v>
      </c>
      <c r="AB456" s="373">
        <v>9410</v>
      </c>
      <c r="AC456" s="373">
        <v>9410</v>
      </c>
      <c r="AD456" s="371" t="s">
        <v>2271</v>
      </c>
      <c r="AE456" s="373">
        <v>0</v>
      </c>
      <c r="AF456" s="382">
        <v>0.92430555555555605</v>
      </c>
      <c r="AG456" s="382">
        <v>0.92430555555555605</v>
      </c>
      <c r="AH456" s="371" t="s">
        <v>2271</v>
      </c>
      <c r="AI456" s="382">
        <v>1.2500000000000001E-2</v>
      </c>
      <c r="AJ456" s="382">
        <v>1.2500000000000001E-2</v>
      </c>
      <c r="AK456" s="371" t="s">
        <v>2271</v>
      </c>
      <c r="AL456" s="206" t="s">
        <v>42</v>
      </c>
      <c r="AM456" s="206" t="s">
        <v>42</v>
      </c>
      <c r="AN456" s="371" t="s">
        <v>2271</v>
      </c>
      <c r="AO456" s="206" t="s">
        <v>2626</v>
      </c>
      <c r="AP456" s="206"/>
      <c r="AQ456" s="206" t="s">
        <v>1131</v>
      </c>
      <c r="AR456" s="207" t="s">
        <v>82</v>
      </c>
    </row>
    <row r="457" spans="1:44" x14ac:dyDescent="0.2">
      <c r="A457" s="370">
        <v>438</v>
      </c>
      <c r="B457" s="380">
        <v>236</v>
      </c>
      <c r="C457" s="371" t="s">
        <v>2269</v>
      </c>
      <c r="D457" s="371" t="s">
        <v>2270</v>
      </c>
      <c r="E457" s="206"/>
      <c r="F457" s="206" t="s">
        <v>46</v>
      </c>
      <c r="G457" s="206" t="s">
        <v>46</v>
      </c>
      <c r="H457" s="371" t="s">
        <v>2271</v>
      </c>
      <c r="I457" s="206" t="s">
        <v>1431</v>
      </c>
      <c r="J457" s="206" t="s">
        <v>1431</v>
      </c>
      <c r="K457" s="371" t="s">
        <v>2271</v>
      </c>
      <c r="L457" s="206" t="s">
        <v>2153</v>
      </c>
      <c r="M457" s="206" t="s">
        <v>1346</v>
      </c>
      <c r="N457" s="206" t="s">
        <v>49</v>
      </c>
      <c r="O457" s="372">
        <v>45996</v>
      </c>
      <c r="P457" s="372">
        <v>45996</v>
      </c>
      <c r="Q457" s="371" t="s">
        <v>2271</v>
      </c>
      <c r="R457" s="373">
        <v>26550</v>
      </c>
      <c r="S457" s="373">
        <v>26550</v>
      </c>
      <c r="T457" s="371" t="s">
        <v>2271</v>
      </c>
      <c r="U457" s="373">
        <v>11730</v>
      </c>
      <c r="V457" s="373">
        <v>11730</v>
      </c>
      <c r="W457" s="371" t="s">
        <v>2271</v>
      </c>
      <c r="X457" s="373">
        <v>14820</v>
      </c>
      <c r="Y457" s="373">
        <v>14820</v>
      </c>
      <c r="Z457" s="371" t="s">
        <v>2271</v>
      </c>
      <c r="AA457" s="373">
        <v>0</v>
      </c>
      <c r="AB457" s="373">
        <v>14760</v>
      </c>
      <c r="AC457" s="373">
        <v>14760</v>
      </c>
      <c r="AD457" s="371" t="s">
        <v>2271</v>
      </c>
      <c r="AE457" s="373">
        <v>0</v>
      </c>
      <c r="AF457" s="382">
        <v>0.92986111111111103</v>
      </c>
      <c r="AG457" s="382">
        <v>0.92986111111111103</v>
      </c>
      <c r="AH457" s="371" t="s">
        <v>2271</v>
      </c>
      <c r="AI457" s="382">
        <v>0.968055555555556</v>
      </c>
      <c r="AJ457" s="382">
        <v>0.968055555555556</v>
      </c>
      <c r="AK457" s="371" t="s">
        <v>2271</v>
      </c>
      <c r="AL457" s="206" t="s">
        <v>42</v>
      </c>
      <c r="AM457" s="206" t="s">
        <v>42</v>
      </c>
      <c r="AN457" s="371" t="s">
        <v>2271</v>
      </c>
      <c r="AO457" s="206" t="s">
        <v>2627</v>
      </c>
      <c r="AP457" s="206" t="s">
        <v>1393</v>
      </c>
      <c r="AQ457" s="206" t="s">
        <v>1132</v>
      </c>
      <c r="AR457" s="207" t="s">
        <v>68</v>
      </c>
    </row>
    <row r="458" spans="1:44" x14ac:dyDescent="0.2">
      <c r="A458" s="370">
        <v>439</v>
      </c>
      <c r="B458" s="380">
        <v>237</v>
      </c>
      <c r="C458" s="371" t="s">
        <v>2269</v>
      </c>
      <c r="D458" s="371" t="s">
        <v>2270</v>
      </c>
      <c r="E458" s="206"/>
      <c r="F458" s="206" t="s">
        <v>70</v>
      </c>
      <c r="G458" s="206" t="s">
        <v>70</v>
      </c>
      <c r="H458" s="371" t="s">
        <v>2271</v>
      </c>
      <c r="I458" s="206" t="s">
        <v>1431</v>
      </c>
      <c r="J458" s="206" t="s">
        <v>1431</v>
      </c>
      <c r="K458" s="371" t="s">
        <v>2271</v>
      </c>
      <c r="L458" s="206" t="s">
        <v>2153</v>
      </c>
      <c r="M458" s="206" t="s">
        <v>1346</v>
      </c>
      <c r="N458" s="206" t="s">
        <v>49</v>
      </c>
      <c r="O458" s="372">
        <v>45997</v>
      </c>
      <c r="P458" s="372">
        <v>45997</v>
      </c>
      <c r="Q458" s="371" t="s">
        <v>2271</v>
      </c>
      <c r="R458" s="373">
        <v>45860</v>
      </c>
      <c r="S458" s="373">
        <v>45860</v>
      </c>
      <c r="T458" s="371" t="s">
        <v>2271</v>
      </c>
      <c r="U458" s="373">
        <v>17680</v>
      </c>
      <c r="V458" s="373">
        <v>17680</v>
      </c>
      <c r="W458" s="371" t="s">
        <v>2271</v>
      </c>
      <c r="X458" s="373">
        <v>28180</v>
      </c>
      <c r="Y458" s="373">
        <v>28180</v>
      </c>
      <c r="Z458" s="371" t="s">
        <v>2271</v>
      </c>
      <c r="AA458" s="373">
        <v>0</v>
      </c>
      <c r="AB458" s="373">
        <v>28090</v>
      </c>
      <c r="AC458" s="373">
        <v>28090</v>
      </c>
      <c r="AD458" s="371" t="s">
        <v>2271</v>
      </c>
      <c r="AE458" s="373">
        <v>0</v>
      </c>
      <c r="AF458" s="382">
        <v>0.93611111111111101</v>
      </c>
      <c r="AG458" s="382">
        <v>0.93611111111111101</v>
      </c>
      <c r="AH458" s="371" t="s">
        <v>2271</v>
      </c>
      <c r="AI458" s="382">
        <v>8.3333333333333297E-3</v>
      </c>
      <c r="AJ458" s="382">
        <v>8.3333333333333297E-3</v>
      </c>
      <c r="AK458" s="371" t="s">
        <v>2271</v>
      </c>
      <c r="AL458" s="206" t="s">
        <v>42</v>
      </c>
      <c r="AM458" s="206" t="s">
        <v>42</v>
      </c>
      <c r="AN458" s="371" t="s">
        <v>2271</v>
      </c>
      <c r="AO458" s="206" t="s">
        <v>2628</v>
      </c>
      <c r="AP458" s="206" t="s">
        <v>1499</v>
      </c>
      <c r="AQ458" s="206" t="s">
        <v>1133</v>
      </c>
      <c r="AR458" s="207" t="s">
        <v>68</v>
      </c>
    </row>
    <row r="459" spans="1:44" x14ac:dyDescent="0.2">
      <c r="A459" s="370">
        <v>440</v>
      </c>
      <c r="B459" s="380">
        <v>238</v>
      </c>
      <c r="C459" s="371" t="s">
        <v>2269</v>
      </c>
      <c r="D459" s="371" t="s">
        <v>2270</v>
      </c>
      <c r="E459" s="206"/>
      <c r="F459" s="206" t="s">
        <v>181</v>
      </c>
      <c r="G459" s="206" t="s">
        <v>181</v>
      </c>
      <c r="H459" s="371" t="s">
        <v>2271</v>
      </c>
      <c r="I459" s="206" t="s">
        <v>1345</v>
      </c>
      <c r="J459" s="206" t="s">
        <v>1345</v>
      </c>
      <c r="K459" s="371" t="s">
        <v>2271</v>
      </c>
      <c r="L459" s="206" t="s">
        <v>2152</v>
      </c>
      <c r="M459" s="206" t="s">
        <v>1344</v>
      </c>
      <c r="N459" s="206" t="s">
        <v>40</v>
      </c>
      <c r="O459" s="372">
        <v>45997</v>
      </c>
      <c r="P459" s="372">
        <v>45997</v>
      </c>
      <c r="Q459" s="371" t="s">
        <v>2271</v>
      </c>
      <c r="R459" s="373">
        <v>13540</v>
      </c>
      <c r="S459" s="373">
        <v>13540</v>
      </c>
      <c r="T459" s="371" t="s">
        <v>2271</v>
      </c>
      <c r="U459" s="373">
        <v>3960</v>
      </c>
      <c r="V459" s="373">
        <v>3960</v>
      </c>
      <c r="W459" s="371" t="s">
        <v>2271</v>
      </c>
      <c r="X459" s="373">
        <v>9580</v>
      </c>
      <c r="Y459" s="373">
        <v>9580</v>
      </c>
      <c r="Z459" s="371" t="s">
        <v>2271</v>
      </c>
      <c r="AA459" s="373">
        <v>0</v>
      </c>
      <c r="AB459" s="373">
        <v>9550</v>
      </c>
      <c r="AC459" s="373">
        <v>9550</v>
      </c>
      <c r="AD459" s="371" t="s">
        <v>2271</v>
      </c>
      <c r="AE459" s="373">
        <v>0</v>
      </c>
      <c r="AF459" s="382">
        <v>0.94027777777777799</v>
      </c>
      <c r="AG459" s="382">
        <v>0.94027777777777799</v>
      </c>
      <c r="AH459" s="371" t="s">
        <v>2271</v>
      </c>
      <c r="AI459" s="382">
        <v>3.8888888888888903E-2</v>
      </c>
      <c r="AJ459" s="382">
        <v>3.8888888888888903E-2</v>
      </c>
      <c r="AK459" s="371" t="s">
        <v>2271</v>
      </c>
      <c r="AL459" s="206" t="s">
        <v>42</v>
      </c>
      <c r="AM459" s="206" t="s">
        <v>42</v>
      </c>
      <c r="AN459" s="371" t="s">
        <v>2271</v>
      </c>
      <c r="AO459" s="206" t="s">
        <v>2629</v>
      </c>
      <c r="AP459" s="206"/>
      <c r="AQ459" s="206" t="s">
        <v>1131</v>
      </c>
      <c r="AR459" s="207" t="s">
        <v>82</v>
      </c>
    </row>
    <row r="460" spans="1:44" x14ac:dyDescent="0.2">
      <c r="A460" s="370">
        <v>441</v>
      </c>
      <c r="B460" s="380">
        <v>238</v>
      </c>
      <c r="C460" s="371" t="s">
        <v>2337</v>
      </c>
      <c r="D460" s="371" t="s">
        <v>2235</v>
      </c>
      <c r="E460" s="206"/>
      <c r="F460" s="206" t="s">
        <v>1268</v>
      </c>
      <c r="G460" s="206" t="s">
        <v>1268</v>
      </c>
      <c r="H460" s="371" t="s">
        <v>2271</v>
      </c>
      <c r="I460" s="206"/>
      <c r="J460" s="206" t="s">
        <v>2106</v>
      </c>
      <c r="K460" s="371" t="s">
        <v>2276</v>
      </c>
      <c r="L460" s="206" t="s">
        <v>2225</v>
      </c>
      <c r="M460" s="206" t="s">
        <v>2105</v>
      </c>
      <c r="N460" s="206" t="s">
        <v>49</v>
      </c>
      <c r="O460" s="372">
        <v>46239</v>
      </c>
      <c r="P460" s="372">
        <v>46150</v>
      </c>
      <c r="Q460" s="371" t="s">
        <v>2276</v>
      </c>
      <c r="R460" s="373">
        <v>13550</v>
      </c>
      <c r="S460" s="373">
        <v>13550</v>
      </c>
      <c r="T460" s="371" t="s">
        <v>2271</v>
      </c>
      <c r="U460" s="373">
        <v>3910</v>
      </c>
      <c r="V460" s="373">
        <v>3910</v>
      </c>
      <c r="W460" s="371" t="s">
        <v>2271</v>
      </c>
      <c r="X460" s="373">
        <v>9640</v>
      </c>
      <c r="Y460" s="373">
        <v>9640</v>
      </c>
      <c r="Z460" s="371" t="s">
        <v>2271</v>
      </c>
      <c r="AA460" s="373">
        <v>0</v>
      </c>
      <c r="AB460" s="373">
        <v>9600</v>
      </c>
      <c r="AC460" s="373">
        <v>9600</v>
      </c>
      <c r="AD460" s="371" t="s">
        <v>2271</v>
      </c>
      <c r="AE460" s="373">
        <v>0</v>
      </c>
      <c r="AF460" s="382">
        <v>0.72361111111111098</v>
      </c>
      <c r="AG460" s="382">
        <v>0.72361111111111098</v>
      </c>
      <c r="AH460" s="371" t="s">
        <v>2271</v>
      </c>
      <c r="AI460" s="382">
        <v>0.74791666666666701</v>
      </c>
      <c r="AJ460" s="382">
        <v>0.74791666666666701</v>
      </c>
      <c r="AK460" s="371" t="s">
        <v>2271</v>
      </c>
      <c r="AL460" s="206" t="s">
        <v>137</v>
      </c>
      <c r="AM460" s="206" t="s">
        <v>137</v>
      </c>
      <c r="AN460" s="371" t="s">
        <v>2271</v>
      </c>
      <c r="AO460" s="206" t="s">
        <v>2630</v>
      </c>
      <c r="AP460" s="206"/>
      <c r="AQ460" s="206" t="s">
        <v>1131</v>
      </c>
      <c r="AR460" s="207" t="s">
        <v>68</v>
      </c>
    </row>
    <row r="461" spans="1:44" x14ac:dyDescent="0.2">
      <c r="A461" s="370">
        <v>442</v>
      </c>
      <c r="B461" s="380">
        <v>239</v>
      </c>
      <c r="C461" s="371" t="s">
        <v>2269</v>
      </c>
      <c r="D461" s="371" t="s">
        <v>2270</v>
      </c>
      <c r="E461" s="206"/>
      <c r="F461" s="206" t="s">
        <v>166</v>
      </c>
      <c r="G461" s="206" t="s">
        <v>166</v>
      </c>
      <c r="H461" s="371" t="s">
        <v>2271</v>
      </c>
      <c r="I461" s="206" t="s">
        <v>1345</v>
      </c>
      <c r="J461" s="206" t="s">
        <v>1345</v>
      </c>
      <c r="K461" s="371" t="s">
        <v>2271</v>
      </c>
      <c r="L461" s="206" t="s">
        <v>2152</v>
      </c>
      <c r="M461" s="206" t="s">
        <v>1344</v>
      </c>
      <c r="N461" s="206" t="s">
        <v>40</v>
      </c>
      <c r="O461" s="372">
        <v>45997</v>
      </c>
      <c r="P461" s="372">
        <v>45997</v>
      </c>
      <c r="Q461" s="371" t="s">
        <v>2271</v>
      </c>
      <c r="R461" s="373">
        <v>13090</v>
      </c>
      <c r="S461" s="373">
        <v>13090</v>
      </c>
      <c r="T461" s="371" t="s">
        <v>2271</v>
      </c>
      <c r="U461" s="373">
        <v>3770</v>
      </c>
      <c r="V461" s="373">
        <v>3770</v>
      </c>
      <c r="W461" s="371" t="s">
        <v>2271</v>
      </c>
      <c r="X461" s="373">
        <v>9320</v>
      </c>
      <c r="Y461" s="373">
        <v>9320</v>
      </c>
      <c r="Z461" s="371" t="s">
        <v>2271</v>
      </c>
      <c r="AA461" s="373">
        <v>0</v>
      </c>
      <c r="AB461" s="373">
        <v>9320</v>
      </c>
      <c r="AC461" s="373">
        <v>9320</v>
      </c>
      <c r="AD461" s="371" t="s">
        <v>2271</v>
      </c>
      <c r="AE461" s="373">
        <v>0</v>
      </c>
      <c r="AF461" s="382">
        <v>0.94583333333333297</v>
      </c>
      <c r="AG461" s="382">
        <v>0.94583333333333297</v>
      </c>
      <c r="AH461" s="371" t="s">
        <v>2271</v>
      </c>
      <c r="AI461" s="382">
        <v>4.2361111111111099E-2</v>
      </c>
      <c r="AJ461" s="382">
        <v>4.2361111111111099E-2</v>
      </c>
      <c r="AK461" s="371" t="s">
        <v>2271</v>
      </c>
      <c r="AL461" s="206" t="s">
        <v>42</v>
      </c>
      <c r="AM461" s="206" t="s">
        <v>42</v>
      </c>
      <c r="AN461" s="371" t="s">
        <v>2271</v>
      </c>
      <c r="AO461" s="206" t="s">
        <v>2631</v>
      </c>
      <c r="AP461" s="206"/>
      <c r="AQ461" s="206" t="s">
        <v>1131</v>
      </c>
      <c r="AR461" s="207" t="s">
        <v>82</v>
      </c>
    </row>
    <row r="462" spans="1:44" x14ac:dyDescent="0.2">
      <c r="A462" s="370">
        <v>443</v>
      </c>
      <c r="B462" s="380">
        <v>239</v>
      </c>
      <c r="C462" s="371" t="s">
        <v>2337</v>
      </c>
      <c r="D462" s="371" t="s">
        <v>2235</v>
      </c>
      <c r="E462" s="206"/>
      <c r="F462" s="206" t="s">
        <v>1060</v>
      </c>
      <c r="G462" s="206" t="s">
        <v>1060</v>
      </c>
      <c r="H462" s="371" t="s">
        <v>2271</v>
      </c>
      <c r="I462" s="206"/>
      <c r="J462" s="206" t="s">
        <v>2106</v>
      </c>
      <c r="K462" s="371" t="s">
        <v>2276</v>
      </c>
      <c r="L462" s="206" t="s">
        <v>2225</v>
      </c>
      <c r="M462" s="206" t="s">
        <v>2105</v>
      </c>
      <c r="N462" s="206" t="s">
        <v>49</v>
      </c>
      <c r="O462" s="372">
        <v>46239</v>
      </c>
      <c r="P462" s="372">
        <v>46150</v>
      </c>
      <c r="Q462" s="371" t="s">
        <v>2276</v>
      </c>
      <c r="R462" s="373">
        <v>12840</v>
      </c>
      <c r="S462" s="373">
        <v>12840</v>
      </c>
      <c r="T462" s="371" t="s">
        <v>2271</v>
      </c>
      <c r="U462" s="373">
        <v>3920</v>
      </c>
      <c r="V462" s="373">
        <v>3920</v>
      </c>
      <c r="W462" s="371" t="s">
        <v>2271</v>
      </c>
      <c r="X462" s="373">
        <v>8920</v>
      </c>
      <c r="Y462" s="373">
        <v>8920</v>
      </c>
      <c r="Z462" s="371" t="s">
        <v>2271</v>
      </c>
      <c r="AA462" s="373">
        <v>0</v>
      </c>
      <c r="AB462" s="373">
        <v>8880</v>
      </c>
      <c r="AC462" s="373">
        <v>8880</v>
      </c>
      <c r="AD462" s="371" t="s">
        <v>2271</v>
      </c>
      <c r="AE462" s="373">
        <v>0</v>
      </c>
      <c r="AF462" s="382">
        <v>0.72499999999999998</v>
      </c>
      <c r="AG462" s="382">
        <v>0.72499999999999998</v>
      </c>
      <c r="AH462" s="371" t="s">
        <v>2271</v>
      </c>
      <c r="AI462" s="382">
        <v>0.75138888888888899</v>
      </c>
      <c r="AJ462" s="382">
        <v>0.75138888888888899</v>
      </c>
      <c r="AK462" s="371" t="s">
        <v>2271</v>
      </c>
      <c r="AL462" s="206" t="s">
        <v>137</v>
      </c>
      <c r="AM462" s="206" t="s">
        <v>137</v>
      </c>
      <c r="AN462" s="371" t="s">
        <v>2271</v>
      </c>
      <c r="AO462" s="206" t="s">
        <v>2632</v>
      </c>
      <c r="AP462" s="206"/>
      <c r="AQ462" s="206" t="s">
        <v>1131</v>
      </c>
      <c r="AR462" s="207" t="s">
        <v>68</v>
      </c>
    </row>
    <row r="463" spans="1:44" x14ac:dyDescent="0.2">
      <c r="A463" s="370">
        <v>444</v>
      </c>
      <c r="B463" s="380">
        <v>240</v>
      </c>
      <c r="C463" s="371" t="s">
        <v>2275</v>
      </c>
      <c r="D463" s="371" t="s">
        <v>2235</v>
      </c>
      <c r="E463" s="206"/>
      <c r="F463" s="206" t="s">
        <v>147</v>
      </c>
      <c r="G463" s="206" t="s">
        <v>147</v>
      </c>
      <c r="H463" s="371" t="s">
        <v>2271</v>
      </c>
      <c r="I463" s="206" t="s">
        <v>1431</v>
      </c>
      <c r="J463" s="206" t="s">
        <v>1345</v>
      </c>
      <c r="K463" s="371" t="s">
        <v>2276</v>
      </c>
      <c r="L463" s="206" t="s">
        <v>2152</v>
      </c>
      <c r="M463" s="206" t="s">
        <v>1344</v>
      </c>
      <c r="N463" s="206" t="s">
        <v>40</v>
      </c>
      <c r="O463" s="372">
        <v>45997</v>
      </c>
      <c r="P463" s="372">
        <v>45997</v>
      </c>
      <c r="Q463" s="371" t="s">
        <v>2271</v>
      </c>
      <c r="R463" s="373">
        <v>13970</v>
      </c>
      <c r="S463" s="373">
        <v>13970</v>
      </c>
      <c r="T463" s="371" t="s">
        <v>2271</v>
      </c>
      <c r="U463" s="373">
        <v>4050</v>
      </c>
      <c r="V463" s="373">
        <v>4050</v>
      </c>
      <c r="W463" s="371" t="s">
        <v>2271</v>
      </c>
      <c r="X463" s="373">
        <v>9920</v>
      </c>
      <c r="Y463" s="373">
        <v>9920</v>
      </c>
      <c r="Z463" s="371" t="s">
        <v>2271</v>
      </c>
      <c r="AA463" s="373">
        <v>0</v>
      </c>
      <c r="AB463" s="373">
        <v>10000</v>
      </c>
      <c r="AC463" s="373">
        <v>10000</v>
      </c>
      <c r="AD463" s="371" t="s">
        <v>2271</v>
      </c>
      <c r="AE463" s="373">
        <v>0</v>
      </c>
      <c r="AF463" s="382">
        <v>0.94652777777777797</v>
      </c>
      <c r="AG463" s="382">
        <v>0.94652777777777797</v>
      </c>
      <c r="AH463" s="371" t="s">
        <v>2271</v>
      </c>
      <c r="AI463" s="382">
        <v>5.7638888888888899E-2</v>
      </c>
      <c r="AJ463" s="382">
        <v>5.7638888888888899E-2</v>
      </c>
      <c r="AK463" s="371" t="s">
        <v>2271</v>
      </c>
      <c r="AL463" s="206" t="s">
        <v>42</v>
      </c>
      <c r="AM463" s="206" t="s">
        <v>42</v>
      </c>
      <c r="AN463" s="371" t="s">
        <v>2271</v>
      </c>
      <c r="AO463" s="206" t="s">
        <v>2633</v>
      </c>
      <c r="AP463" s="206"/>
      <c r="AQ463" s="206" t="s">
        <v>1131</v>
      </c>
      <c r="AR463" s="207" t="s">
        <v>82</v>
      </c>
    </row>
    <row r="464" spans="1:44" x14ac:dyDescent="0.2">
      <c r="A464" s="370">
        <v>445</v>
      </c>
      <c r="B464" s="380">
        <v>240</v>
      </c>
      <c r="C464" s="371" t="s">
        <v>2337</v>
      </c>
      <c r="D464" s="371" t="s">
        <v>2235</v>
      </c>
      <c r="E464" s="206"/>
      <c r="F464" s="206" t="s">
        <v>39</v>
      </c>
      <c r="G464" s="206" t="s">
        <v>39</v>
      </c>
      <c r="H464" s="371" t="s">
        <v>2271</v>
      </c>
      <c r="I464" s="206"/>
      <c r="J464" s="206" t="s">
        <v>2106</v>
      </c>
      <c r="K464" s="371" t="s">
        <v>2276</v>
      </c>
      <c r="L464" s="206" t="s">
        <v>2225</v>
      </c>
      <c r="M464" s="206" t="s">
        <v>2105</v>
      </c>
      <c r="N464" s="206" t="s">
        <v>49</v>
      </c>
      <c r="O464" s="372">
        <v>46239</v>
      </c>
      <c r="P464" s="372">
        <v>46150</v>
      </c>
      <c r="Q464" s="371" t="s">
        <v>2276</v>
      </c>
      <c r="R464" s="373">
        <v>13580</v>
      </c>
      <c r="S464" s="373">
        <v>13580</v>
      </c>
      <c r="T464" s="371" t="s">
        <v>2271</v>
      </c>
      <c r="U464" s="373">
        <v>4040</v>
      </c>
      <c r="V464" s="373">
        <v>4040</v>
      </c>
      <c r="W464" s="371" t="s">
        <v>2271</v>
      </c>
      <c r="X464" s="373">
        <v>9540</v>
      </c>
      <c r="Y464" s="373">
        <v>9540</v>
      </c>
      <c r="Z464" s="371" t="s">
        <v>2271</v>
      </c>
      <c r="AA464" s="373">
        <v>0</v>
      </c>
      <c r="AB464" s="373">
        <v>9510</v>
      </c>
      <c r="AC464" s="373">
        <v>9510</v>
      </c>
      <c r="AD464" s="371" t="s">
        <v>2271</v>
      </c>
      <c r="AE464" s="373">
        <v>0</v>
      </c>
      <c r="AF464" s="382">
        <v>0.78125</v>
      </c>
      <c r="AG464" s="382">
        <v>0.78125</v>
      </c>
      <c r="AH464" s="371" t="s">
        <v>2271</v>
      </c>
      <c r="AI464" s="382">
        <v>0.79583333333333295</v>
      </c>
      <c r="AJ464" s="382">
        <v>0.79583333333333295</v>
      </c>
      <c r="AK464" s="371" t="s">
        <v>2271</v>
      </c>
      <c r="AL464" s="206" t="s">
        <v>137</v>
      </c>
      <c r="AM464" s="206" t="s">
        <v>137</v>
      </c>
      <c r="AN464" s="371" t="s">
        <v>2271</v>
      </c>
      <c r="AO464" s="206" t="s">
        <v>2634</v>
      </c>
      <c r="AP464" s="206"/>
      <c r="AQ464" s="206" t="s">
        <v>1131</v>
      </c>
      <c r="AR464" s="207" t="s">
        <v>68</v>
      </c>
    </row>
    <row r="465" spans="1:44" x14ac:dyDescent="0.2">
      <c r="A465" s="370">
        <v>446</v>
      </c>
      <c r="B465" s="380">
        <v>241</v>
      </c>
      <c r="C465" s="371" t="s">
        <v>2269</v>
      </c>
      <c r="D465" s="371" t="s">
        <v>2270</v>
      </c>
      <c r="E465" s="206"/>
      <c r="F465" s="206" t="s">
        <v>84</v>
      </c>
      <c r="G465" s="206" t="s">
        <v>84</v>
      </c>
      <c r="H465" s="371" t="s">
        <v>2271</v>
      </c>
      <c r="I465" s="206" t="s">
        <v>1431</v>
      </c>
      <c r="J465" s="206" t="s">
        <v>1431</v>
      </c>
      <c r="K465" s="371" t="s">
        <v>2271</v>
      </c>
      <c r="L465" s="206" t="s">
        <v>2153</v>
      </c>
      <c r="M465" s="206" t="s">
        <v>1346</v>
      </c>
      <c r="N465" s="206" t="s">
        <v>49</v>
      </c>
      <c r="O465" s="372">
        <v>45997</v>
      </c>
      <c r="P465" s="372">
        <v>45997</v>
      </c>
      <c r="Q465" s="371" t="s">
        <v>2271</v>
      </c>
      <c r="R465" s="373">
        <v>26690</v>
      </c>
      <c r="S465" s="373">
        <v>26690</v>
      </c>
      <c r="T465" s="371" t="s">
        <v>2271</v>
      </c>
      <c r="U465" s="373">
        <v>12260</v>
      </c>
      <c r="V465" s="373">
        <v>12260</v>
      </c>
      <c r="W465" s="371" t="s">
        <v>2271</v>
      </c>
      <c r="X465" s="373">
        <v>14430</v>
      </c>
      <c r="Y465" s="373">
        <v>14430</v>
      </c>
      <c r="Z465" s="371" t="s">
        <v>2271</v>
      </c>
      <c r="AA465" s="373">
        <v>0</v>
      </c>
      <c r="AB465" s="373">
        <v>14400</v>
      </c>
      <c r="AC465" s="373">
        <v>14400</v>
      </c>
      <c r="AD465" s="371" t="s">
        <v>2271</v>
      </c>
      <c r="AE465" s="373">
        <v>0</v>
      </c>
      <c r="AF465" s="382">
        <v>0.97222222222222199</v>
      </c>
      <c r="AG465" s="382">
        <v>0.97222222222222199</v>
      </c>
      <c r="AH465" s="371" t="s">
        <v>2271</v>
      </c>
      <c r="AI465" s="382">
        <v>6.9444444444444397E-3</v>
      </c>
      <c r="AJ465" s="382">
        <v>6.9444444444444397E-3</v>
      </c>
      <c r="AK465" s="371" t="s">
        <v>2271</v>
      </c>
      <c r="AL465" s="206" t="s">
        <v>42</v>
      </c>
      <c r="AM465" s="206" t="s">
        <v>42</v>
      </c>
      <c r="AN465" s="371" t="s">
        <v>2271</v>
      </c>
      <c r="AO465" s="206" t="s">
        <v>2635</v>
      </c>
      <c r="AP465" s="206" t="s">
        <v>1782</v>
      </c>
      <c r="AQ465" s="206" t="s">
        <v>1132</v>
      </c>
      <c r="AR465" s="207" t="s">
        <v>68</v>
      </c>
    </row>
    <row r="466" spans="1:44" x14ac:dyDescent="0.2">
      <c r="A466" s="370">
        <v>447</v>
      </c>
      <c r="B466" s="380">
        <v>241</v>
      </c>
      <c r="C466" s="371" t="s">
        <v>2337</v>
      </c>
      <c r="D466" s="371" t="s">
        <v>2235</v>
      </c>
      <c r="E466" s="206"/>
      <c r="F466" s="206" t="s">
        <v>1593</v>
      </c>
      <c r="G466" s="206" t="s">
        <v>1593</v>
      </c>
      <c r="H466" s="371" t="s">
        <v>2271</v>
      </c>
      <c r="I466" s="206"/>
      <c r="J466" s="206" t="s">
        <v>2106</v>
      </c>
      <c r="K466" s="371" t="s">
        <v>2276</v>
      </c>
      <c r="L466" s="206" t="s">
        <v>2225</v>
      </c>
      <c r="M466" s="206" t="s">
        <v>2105</v>
      </c>
      <c r="N466" s="206" t="s">
        <v>49</v>
      </c>
      <c r="O466" s="372">
        <v>46239</v>
      </c>
      <c r="P466" s="372">
        <v>46150</v>
      </c>
      <c r="Q466" s="371" t="s">
        <v>2276</v>
      </c>
      <c r="R466" s="373">
        <v>13880</v>
      </c>
      <c r="S466" s="373">
        <v>13880</v>
      </c>
      <c r="T466" s="371" t="s">
        <v>2271</v>
      </c>
      <c r="U466" s="373">
        <v>4230</v>
      </c>
      <c r="V466" s="373">
        <v>4230</v>
      </c>
      <c r="W466" s="371" t="s">
        <v>2271</v>
      </c>
      <c r="X466" s="373">
        <v>9650</v>
      </c>
      <c r="Y466" s="373">
        <v>9650</v>
      </c>
      <c r="Z466" s="371" t="s">
        <v>2271</v>
      </c>
      <c r="AA466" s="373">
        <v>0</v>
      </c>
      <c r="AB466" s="373">
        <v>9700</v>
      </c>
      <c r="AC466" s="373">
        <v>9700</v>
      </c>
      <c r="AD466" s="371" t="s">
        <v>2271</v>
      </c>
      <c r="AE466" s="373">
        <v>0</v>
      </c>
      <c r="AF466" s="382">
        <v>0.78263888888888899</v>
      </c>
      <c r="AG466" s="382">
        <v>0.78263888888888899</v>
      </c>
      <c r="AH466" s="371" t="s">
        <v>2271</v>
      </c>
      <c r="AI466" s="382">
        <v>0.79652777777777795</v>
      </c>
      <c r="AJ466" s="382">
        <v>0.79652777777777795</v>
      </c>
      <c r="AK466" s="371" t="s">
        <v>2271</v>
      </c>
      <c r="AL466" s="206" t="s">
        <v>137</v>
      </c>
      <c r="AM466" s="206" t="s">
        <v>137</v>
      </c>
      <c r="AN466" s="371" t="s">
        <v>2271</v>
      </c>
      <c r="AO466" s="206" t="s">
        <v>2635</v>
      </c>
      <c r="AP466" s="206"/>
      <c r="AQ466" s="206" t="s">
        <v>1131</v>
      </c>
      <c r="AR466" s="207" t="s">
        <v>68</v>
      </c>
    </row>
    <row r="467" spans="1:44" x14ac:dyDescent="0.2">
      <c r="A467" s="370">
        <v>448</v>
      </c>
      <c r="B467" s="380">
        <v>242</v>
      </c>
      <c r="C467" s="371" t="s">
        <v>2269</v>
      </c>
      <c r="D467" s="371" t="s">
        <v>2270</v>
      </c>
      <c r="E467" s="206"/>
      <c r="F467" s="206" t="s">
        <v>183</v>
      </c>
      <c r="G467" s="206" t="s">
        <v>183</v>
      </c>
      <c r="H467" s="371" t="s">
        <v>2271</v>
      </c>
      <c r="I467" s="206" t="s">
        <v>1345</v>
      </c>
      <c r="J467" s="206" t="s">
        <v>1345</v>
      </c>
      <c r="K467" s="371" t="s">
        <v>2271</v>
      </c>
      <c r="L467" s="206" t="s">
        <v>2152</v>
      </c>
      <c r="M467" s="206" t="s">
        <v>1344</v>
      </c>
      <c r="N467" s="206" t="s">
        <v>40</v>
      </c>
      <c r="O467" s="372">
        <v>45997</v>
      </c>
      <c r="P467" s="372">
        <v>45997</v>
      </c>
      <c r="Q467" s="371" t="s">
        <v>2271</v>
      </c>
      <c r="R467" s="373">
        <v>14260</v>
      </c>
      <c r="S467" s="373">
        <v>14260</v>
      </c>
      <c r="T467" s="371" t="s">
        <v>2271</v>
      </c>
      <c r="U467" s="373">
        <v>4190</v>
      </c>
      <c r="V467" s="373">
        <v>4190</v>
      </c>
      <c r="W467" s="371" t="s">
        <v>2271</v>
      </c>
      <c r="X467" s="373">
        <v>10070</v>
      </c>
      <c r="Y467" s="373">
        <v>10070</v>
      </c>
      <c r="Z467" s="371" t="s">
        <v>2271</v>
      </c>
      <c r="AA467" s="373">
        <v>0</v>
      </c>
      <c r="AB467" s="373">
        <v>10060</v>
      </c>
      <c r="AC467" s="373">
        <v>10060</v>
      </c>
      <c r="AD467" s="371" t="s">
        <v>2271</v>
      </c>
      <c r="AE467" s="373">
        <v>0</v>
      </c>
      <c r="AF467" s="382">
        <v>0.70972222222222203</v>
      </c>
      <c r="AG467" s="382">
        <v>0.70972222222222203</v>
      </c>
      <c r="AH467" s="371" t="s">
        <v>2271</v>
      </c>
      <c r="AI467" s="382">
        <v>0.749305555555556</v>
      </c>
      <c r="AJ467" s="382">
        <v>0.749305555555556</v>
      </c>
      <c r="AK467" s="371" t="s">
        <v>2271</v>
      </c>
      <c r="AL467" s="206" t="s">
        <v>42</v>
      </c>
      <c r="AM467" s="206" t="s">
        <v>42</v>
      </c>
      <c r="AN467" s="371" t="s">
        <v>2271</v>
      </c>
      <c r="AO467" s="206" t="s">
        <v>2636</v>
      </c>
      <c r="AP467" s="206"/>
      <c r="AQ467" s="206" t="s">
        <v>1131</v>
      </c>
      <c r="AR467" s="207" t="s">
        <v>82</v>
      </c>
    </row>
    <row r="468" spans="1:44" x14ac:dyDescent="0.2">
      <c r="A468" s="370">
        <v>449</v>
      </c>
      <c r="B468" s="380">
        <v>243</v>
      </c>
      <c r="C468" s="371" t="s">
        <v>2269</v>
      </c>
      <c r="D468" s="371" t="s">
        <v>2270</v>
      </c>
      <c r="E468" s="206"/>
      <c r="F468" s="206" t="s">
        <v>151</v>
      </c>
      <c r="G468" s="206" t="s">
        <v>151</v>
      </c>
      <c r="H468" s="371" t="s">
        <v>2271</v>
      </c>
      <c r="I468" s="206" t="s">
        <v>1345</v>
      </c>
      <c r="J468" s="206" t="s">
        <v>1345</v>
      </c>
      <c r="K468" s="371" t="s">
        <v>2271</v>
      </c>
      <c r="L468" s="206" t="s">
        <v>2152</v>
      </c>
      <c r="M468" s="206" t="s">
        <v>1344</v>
      </c>
      <c r="N468" s="206" t="s">
        <v>40</v>
      </c>
      <c r="O468" s="372">
        <v>45997</v>
      </c>
      <c r="P468" s="372">
        <v>45997</v>
      </c>
      <c r="Q468" s="371" t="s">
        <v>2271</v>
      </c>
      <c r="R468" s="373">
        <v>13510</v>
      </c>
      <c r="S468" s="373">
        <v>13510</v>
      </c>
      <c r="T468" s="371" t="s">
        <v>2271</v>
      </c>
      <c r="U468" s="373">
        <v>4070</v>
      </c>
      <c r="V468" s="373">
        <v>4070</v>
      </c>
      <c r="W468" s="371" t="s">
        <v>2271</v>
      </c>
      <c r="X468" s="373">
        <v>9440</v>
      </c>
      <c r="Y468" s="373">
        <v>9440</v>
      </c>
      <c r="Z468" s="371" t="s">
        <v>2271</v>
      </c>
      <c r="AA468" s="373">
        <v>0</v>
      </c>
      <c r="AB468" s="373">
        <v>9440</v>
      </c>
      <c r="AC468" s="373">
        <v>9440</v>
      </c>
      <c r="AD468" s="371" t="s">
        <v>2271</v>
      </c>
      <c r="AE468" s="373">
        <v>0</v>
      </c>
      <c r="AF468" s="382">
        <v>0.71111111111111103</v>
      </c>
      <c r="AG468" s="382">
        <v>0.71111111111111103</v>
      </c>
      <c r="AH468" s="371" t="s">
        <v>2271</v>
      </c>
      <c r="AI468" s="382">
        <v>0.75347222222222199</v>
      </c>
      <c r="AJ468" s="382">
        <v>0.75347222222222199</v>
      </c>
      <c r="AK468" s="371" t="s">
        <v>2271</v>
      </c>
      <c r="AL468" s="206" t="s">
        <v>42</v>
      </c>
      <c r="AM468" s="206" t="s">
        <v>42</v>
      </c>
      <c r="AN468" s="371" t="s">
        <v>2271</v>
      </c>
      <c r="AO468" s="206" t="s">
        <v>2637</v>
      </c>
      <c r="AP468" s="206"/>
      <c r="AQ468" s="206" t="s">
        <v>1131</v>
      </c>
      <c r="AR468" s="207" t="s">
        <v>82</v>
      </c>
    </row>
    <row r="469" spans="1:44" x14ac:dyDescent="0.2">
      <c r="A469" s="370">
        <v>450</v>
      </c>
      <c r="B469" s="380">
        <v>243</v>
      </c>
      <c r="C469" s="371" t="s">
        <v>2337</v>
      </c>
      <c r="D469" s="371" t="s">
        <v>2235</v>
      </c>
      <c r="E469" s="206"/>
      <c r="F469" s="206" t="s">
        <v>39</v>
      </c>
      <c r="G469" s="206" t="s">
        <v>39</v>
      </c>
      <c r="H469" s="371" t="s">
        <v>2271</v>
      </c>
      <c r="I469" s="206"/>
      <c r="J469" s="206" t="s">
        <v>2106</v>
      </c>
      <c r="K469" s="371" t="s">
        <v>2276</v>
      </c>
      <c r="L469" s="206" t="s">
        <v>2225</v>
      </c>
      <c r="M469" s="206" t="s">
        <v>2105</v>
      </c>
      <c r="N469" s="206" t="s">
        <v>49</v>
      </c>
      <c r="O469" s="372">
        <v>46270</v>
      </c>
      <c r="P469" s="372">
        <v>46151</v>
      </c>
      <c r="Q469" s="371" t="s">
        <v>2276</v>
      </c>
      <c r="R469" s="373">
        <v>13580</v>
      </c>
      <c r="S469" s="373">
        <v>13580</v>
      </c>
      <c r="T469" s="371" t="s">
        <v>2271</v>
      </c>
      <c r="U469" s="373">
        <v>4040</v>
      </c>
      <c r="V469" s="373">
        <v>4040</v>
      </c>
      <c r="W469" s="371" t="s">
        <v>2271</v>
      </c>
      <c r="X469" s="373">
        <v>9540</v>
      </c>
      <c r="Y469" s="373">
        <v>9540</v>
      </c>
      <c r="Z469" s="371" t="s">
        <v>2271</v>
      </c>
      <c r="AA469" s="373">
        <v>0</v>
      </c>
      <c r="AB469" s="373">
        <v>9510</v>
      </c>
      <c r="AC469" s="373">
        <v>9510</v>
      </c>
      <c r="AD469" s="371" t="s">
        <v>2271</v>
      </c>
      <c r="AE469" s="373">
        <v>0</v>
      </c>
      <c r="AF469" s="382">
        <v>0.48749999999999999</v>
      </c>
      <c r="AG469" s="382">
        <v>0.48749999999999999</v>
      </c>
      <c r="AH469" s="371" t="s">
        <v>2271</v>
      </c>
      <c r="AI469" s="382">
        <v>0.50902777777777797</v>
      </c>
      <c r="AJ469" s="382">
        <v>0.50902777777777797</v>
      </c>
      <c r="AK469" s="371" t="s">
        <v>2271</v>
      </c>
      <c r="AL469" s="206" t="s">
        <v>137</v>
      </c>
      <c r="AM469" s="206" t="s">
        <v>137</v>
      </c>
      <c r="AN469" s="371" t="s">
        <v>2271</v>
      </c>
      <c r="AO469" s="206" t="s">
        <v>2638</v>
      </c>
      <c r="AP469" s="206"/>
      <c r="AQ469" s="206" t="s">
        <v>1131</v>
      </c>
      <c r="AR469" s="207" t="s">
        <v>68</v>
      </c>
    </row>
    <row r="470" spans="1:44" x14ac:dyDescent="0.2">
      <c r="A470" s="370">
        <v>451</v>
      </c>
      <c r="B470" s="380">
        <v>244</v>
      </c>
      <c r="C470" s="371" t="s">
        <v>2269</v>
      </c>
      <c r="D470" s="371" t="s">
        <v>2270</v>
      </c>
      <c r="E470" s="206"/>
      <c r="F470" s="206" t="s">
        <v>153</v>
      </c>
      <c r="G470" s="206" t="s">
        <v>153</v>
      </c>
      <c r="H470" s="371" t="s">
        <v>2271</v>
      </c>
      <c r="I470" s="206" t="s">
        <v>1345</v>
      </c>
      <c r="J470" s="206" t="s">
        <v>1345</v>
      </c>
      <c r="K470" s="371" t="s">
        <v>2271</v>
      </c>
      <c r="L470" s="206" t="s">
        <v>2152</v>
      </c>
      <c r="M470" s="206" t="s">
        <v>1344</v>
      </c>
      <c r="N470" s="206" t="s">
        <v>40</v>
      </c>
      <c r="O470" s="372">
        <v>45997</v>
      </c>
      <c r="P470" s="372">
        <v>45997</v>
      </c>
      <c r="Q470" s="371" t="s">
        <v>2271</v>
      </c>
      <c r="R470" s="373">
        <v>13600</v>
      </c>
      <c r="S470" s="373">
        <v>13600</v>
      </c>
      <c r="T470" s="371" t="s">
        <v>2271</v>
      </c>
      <c r="U470" s="373">
        <v>3970</v>
      </c>
      <c r="V470" s="373">
        <v>3970</v>
      </c>
      <c r="W470" s="371" t="s">
        <v>2271</v>
      </c>
      <c r="X470" s="373">
        <v>9630</v>
      </c>
      <c r="Y470" s="373">
        <v>9630</v>
      </c>
      <c r="Z470" s="371" t="s">
        <v>2271</v>
      </c>
      <c r="AA470" s="373">
        <v>0</v>
      </c>
      <c r="AB470" s="373">
        <v>9620</v>
      </c>
      <c r="AC470" s="373">
        <v>9620</v>
      </c>
      <c r="AD470" s="371" t="s">
        <v>2271</v>
      </c>
      <c r="AE470" s="373">
        <v>0</v>
      </c>
      <c r="AF470" s="382">
        <v>0.71666666666666701</v>
      </c>
      <c r="AG470" s="382">
        <v>0.71666666666666701</v>
      </c>
      <c r="AH470" s="371" t="s">
        <v>2271</v>
      </c>
      <c r="AI470" s="382">
        <v>0.76875000000000004</v>
      </c>
      <c r="AJ470" s="382">
        <v>0.76875000000000004</v>
      </c>
      <c r="AK470" s="371" t="s">
        <v>2271</v>
      </c>
      <c r="AL470" s="206" t="s">
        <v>42</v>
      </c>
      <c r="AM470" s="206" t="s">
        <v>42</v>
      </c>
      <c r="AN470" s="371" t="s">
        <v>2271</v>
      </c>
      <c r="AO470" s="206" t="s">
        <v>2639</v>
      </c>
      <c r="AP470" s="206"/>
      <c r="AQ470" s="206" t="s">
        <v>1131</v>
      </c>
      <c r="AR470" s="207" t="s">
        <v>82</v>
      </c>
    </row>
    <row r="471" spans="1:44" x14ac:dyDescent="0.2">
      <c r="A471" s="370">
        <v>452</v>
      </c>
      <c r="B471" s="380">
        <v>244</v>
      </c>
      <c r="C471" s="371" t="s">
        <v>2337</v>
      </c>
      <c r="D471" s="371" t="s">
        <v>2235</v>
      </c>
      <c r="E471" s="206"/>
      <c r="F471" s="206" t="s">
        <v>1593</v>
      </c>
      <c r="G471" s="206" t="s">
        <v>1593</v>
      </c>
      <c r="H471" s="371" t="s">
        <v>2271</v>
      </c>
      <c r="I471" s="206"/>
      <c r="J471" s="206" t="s">
        <v>2106</v>
      </c>
      <c r="K471" s="371" t="s">
        <v>2276</v>
      </c>
      <c r="L471" s="206" t="s">
        <v>2225</v>
      </c>
      <c r="M471" s="206" t="s">
        <v>2105</v>
      </c>
      <c r="N471" s="206" t="s">
        <v>49</v>
      </c>
      <c r="O471" s="372">
        <v>46270</v>
      </c>
      <c r="P471" s="372">
        <v>46151</v>
      </c>
      <c r="Q471" s="371" t="s">
        <v>2276</v>
      </c>
      <c r="R471" s="373">
        <v>13860</v>
      </c>
      <c r="S471" s="373">
        <v>13860</v>
      </c>
      <c r="T471" s="371" t="s">
        <v>2271</v>
      </c>
      <c r="U471" s="373">
        <v>4140</v>
      </c>
      <c r="V471" s="373">
        <v>4140</v>
      </c>
      <c r="W471" s="371" t="s">
        <v>2271</v>
      </c>
      <c r="X471" s="373">
        <v>9720</v>
      </c>
      <c r="Y471" s="373">
        <v>9720</v>
      </c>
      <c r="Z471" s="371" t="s">
        <v>2271</v>
      </c>
      <c r="AA471" s="373">
        <v>0</v>
      </c>
      <c r="AB471" s="373">
        <v>9690</v>
      </c>
      <c r="AC471" s="373">
        <v>9690</v>
      </c>
      <c r="AD471" s="371" t="s">
        <v>2271</v>
      </c>
      <c r="AE471" s="373">
        <v>0</v>
      </c>
      <c r="AF471" s="382">
        <v>0.48819444444444399</v>
      </c>
      <c r="AG471" s="382">
        <v>0.48819444444444399</v>
      </c>
      <c r="AH471" s="371" t="s">
        <v>2271</v>
      </c>
      <c r="AI471" s="382">
        <v>0.51041666666666696</v>
      </c>
      <c r="AJ471" s="382">
        <v>0.51041666666666696</v>
      </c>
      <c r="AK471" s="371" t="s">
        <v>2271</v>
      </c>
      <c r="AL471" s="206" t="s">
        <v>137</v>
      </c>
      <c r="AM471" s="206" t="s">
        <v>137</v>
      </c>
      <c r="AN471" s="371" t="s">
        <v>2271</v>
      </c>
      <c r="AO471" s="206" t="s">
        <v>2640</v>
      </c>
      <c r="AP471" s="206"/>
      <c r="AQ471" s="206" t="s">
        <v>1131</v>
      </c>
      <c r="AR471" s="207" t="s">
        <v>68</v>
      </c>
    </row>
    <row r="472" spans="1:44" x14ac:dyDescent="0.2">
      <c r="A472" s="370">
        <v>453</v>
      </c>
      <c r="B472" s="380">
        <v>245</v>
      </c>
      <c r="C472" s="371" t="s">
        <v>2269</v>
      </c>
      <c r="D472" s="371" t="s">
        <v>2270</v>
      </c>
      <c r="E472" s="206"/>
      <c r="F472" s="206" t="s">
        <v>56</v>
      </c>
      <c r="G472" s="206" t="s">
        <v>56</v>
      </c>
      <c r="H472" s="371" t="s">
        <v>2271</v>
      </c>
      <c r="I472" s="206" t="s">
        <v>1340</v>
      </c>
      <c r="J472" s="206" t="s">
        <v>1340</v>
      </c>
      <c r="K472" s="371" t="s">
        <v>2271</v>
      </c>
      <c r="L472" s="206" t="s">
        <v>2154</v>
      </c>
      <c r="M472" s="206" t="s">
        <v>1347</v>
      </c>
      <c r="N472" s="206" t="s">
        <v>78</v>
      </c>
      <c r="O472" s="372">
        <v>45997</v>
      </c>
      <c r="P472" s="372">
        <v>45997</v>
      </c>
      <c r="Q472" s="371" t="s">
        <v>2271</v>
      </c>
      <c r="R472" s="373">
        <v>25080</v>
      </c>
      <c r="S472" s="373">
        <v>25080</v>
      </c>
      <c r="T472" s="371" t="s">
        <v>2271</v>
      </c>
      <c r="U472" s="373">
        <v>10840</v>
      </c>
      <c r="V472" s="373">
        <v>10840</v>
      </c>
      <c r="W472" s="371" t="s">
        <v>2271</v>
      </c>
      <c r="X472" s="373">
        <v>14240</v>
      </c>
      <c r="Y472" s="373">
        <v>14240</v>
      </c>
      <c r="Z472" s="371" t="s">
        <v>2271</v>
      </c>
      <c r="AA472" s="373">
        <v>0</v>
      </c>
      <c r="AB472" s="373">
        <v>14230</v>
      </c>
      <c r="AC472" s="373">
        <v>14230</v>
      </c>
      <c r="AD472" s="371" t="s">
        <v>2271</v>
      </c>
      <c r="AE472" s="373">
        <v>0</v>
      </c>
      <c r="AF472" s="382">
        <v>0.77916666666666701</v>
      </c>
      <c r="AG472" s="382">
        <v>0.77916666666666701</v>
      </c>
      <c r="AH472" s="371" t="s">
        <v>2271</v>
      </c>
      <c r="AI472" s="382">
        <v>0.86041666666666705</v>
      </c>
      <c r="AJ472" s="382">
        <v>0.86041666666666705</v>
      </c>
      <c r="AK472" s="371" t="s">
        <v>2271</v>
      </c>
      <c r="AL472" s="206" t="s">
        <v>42</v>
      </c>
      <c r="AM472" s="206" t="s">
        <v>42</v>
      </c>
      <c r="AN472" s="371" t="s">
        <v>2271</v>
      </c>
      <c r="AO472" s="206" t="s">
        <v>2641</v>
      </c>
      <c r="AP472" s="206" t="s">
        <v>1781</v>
      </c>
      <c r="AQ472" s="206" t="s">
        <v>1132</v>
      </c>
      <c r="AR472" s="207" t="s">
        <v>88</v>
      </c>
    </row>
    <row r="473" spans="1:44" x14ac:dyDescent="0.2">
      <c r="A473" s="370">
        <v>454</v>
      </c>
      <c r="B473" s="380">
        <v>246</v>
      </c>
      <c r="C473" s="371" t="s">
        <v>2269</v>
      </c>
      <c r="D473" s="371" t="s">
        <v>2270</v>
      </c>
      <c r="E473" s="206"/>
      <c r="F473" s="206" t="s">
        <v>46</v>
      </c>
      <c r="G473" s="206" t="s">
        <v>46</v>
      </c>
      <c r="H473" s="371" t="s">
        <v>2271</v>
      </c>
      <c r="I473" s="206" t="s">
        <v>1340</v>
      </c>
      <c r="J473" s="206" t="s">
        <v>1340</v>
      </c>
      <c r="K473" s="371" t="s">
        <v>2271</v>
      </c>
      <c r="L473" s="206" t="s">
        <v>2154</v>
      </c>
      <c r="M473" s="206" t="s">
        <v>1347</v>
      </c>
      <c r="N473" s="206" t="s">
        <v>78</v>
      </c>
      <c r="O473" s="372">
        <v>45997</v>
      </c>
      <c r="P473" s="372">
        <v>45997</v>
      </c>
      <c r="Q473" s="371" t="s">
        <v>2271</v>
      </c>
      <c r="R473" s="373">
        <v>26610</v>
      </c>
      <c r="S473" s="373">
        <v>26610</v>
      </c>
      <c r="T473" s="371" t="s">
        <v>2271</v>
      </c>
      <c r="U473" s="373">
        <v>11800</v>
      </c>
      <c r="V473" s="373">
        <v>11800</v>
      </c>
      <c r="W473" s="371" t="s">
        <v>2271</v>
      </c>
      <c r="X473" s="373">
        <v>14810</v>
      </c>
      <c r="Y473" s="373">
        <v>14810</v>
      </c>
      <c r="Z473" s="371" t="s">
        <v>2271</v>
      </c>
      <c r="AA473" s="373">
        <v>0</v>
      </c>
      <c r="AB473" s="373">
        <v>14800</v>
      </c>
      <c r="AC473" s="373">
        <v>14800</v>
      </c>
      <c r="AD473" s="371" t="s">
        <v>2271</v>
      </c>
      <c r="AE473" s="373">
        <v>0</v>
      </c>
      <c r="AF473" s="382">
        <v>0.780555555555556</v>
      </c>
      <c r="AG473" s="382">
        <v>0.780555555555556</v>
      </c>
      <c r="AH473" s="371" t="s">
        <v>2271</v>
      </c>
      <c r="AI473" s="382">
        <v>0.85555555555555596</v>
      </c>
      <c r="AJ473" s="382">
        <v>0.85555555555555596</v>
      </c>
      <c r="AK473" s="371" t="s">
        <v>2271</v>
      </c>
      <c r="AL473" s="206" t="s">
        <v>42</v>
      </c>
      <c r="AM473" s="206" t="s">
        <v>42</v>
      </c>
      <c r="AN473" s="371" t="s">
        <v>2271</v>
      </c>
      <c r="AO473" s="206" t="s">
        <v>2642</v>
      </c>
      <c r="AP473" s="206" t="s">
        <v>1393</v>
      </c>
      <c r="AQ473" s="206" t="s">
        <v>1132</v>
      </c>
      <c r="AR473" s="207" t="s">
        <v>88</v>
      </c>
    </row>
    <row r="474" spans="1:44" x14ac:dyDescent="0.2">
      <c r="A474" s="370">
        <v>455</v>
      </c>
      <c r="B474" s="380">
        <v>247</v>
      </c>
      <c r="C474" s="371" t="s">
        <v>2275</v>
      </c>
      <c r="D474" s="371" t="s">
        <v>2235</v>
      </c>
      <c r="E474" s="206"/>
      <c r="F474" s="206" t="s">
        <v>76</v>
      </c>
      <c r="G474" s="206" t="s">
        <v>76</v>
      </c>
      <c r="H474" s="371" t="s">
        <v>2271</v>
      </c>
      <c r="I474" s="206"/>
      <c r="J474" s="206" t="s">
        <v>1433</v>
      </c>
      <c r="K474" s="371" t="s">
        <v>2276</v>
      </c>
      <c r="L474" s="206" t="s">
        <v>2155</v>
      </c>
      <c r="M474" s="206" t="s">
        <v>1337</v>
      </c>
      <c r="N474" s="206" t="s">
        <v>49</v>
      </c>
      <c r="O474" s="372">
        <v>45997</v>
      </c>
      <c r="P474" s="372">
        <v>45997</v>
      </c>
      <c r="Q474" s="371" t="s">
        <v>2271</v>
      </c>
      <c r="R474" s="373">
        <v>45760</v>
      </c>
      <c r="S474" s="373">
        <v>45760</v>
      </c>
      <c r="T474" s="371" t="s">
        <v>2271</v>
      </c>
      <c r="U474" s="373">
        <v>17620</v>
      </c>
      <c r="V474" s="373">
        <v>17620</v>
      </c>
      <c r="W474" s="371" t="s">
        <v>2271</v>
      </c>
      <c r="X474" s="373">
        <v>28140</v>
      </c>
      <c r="Y474" s="373">
        <v>28140</v>
      </c>
      <c r="Z474" s="371" t="s">
        <v>2271</v>
      </c>
      <c r="AA474" s="373">
        <v>0</v>
      </c>
      <c r="AB474" s="373">
        <v>28120</v>
      </c>
      <c r="AC474" s="373">
        <v>28120</v>
      </c>
      <c r="AD474" s="371" t="s">
        <v>2271</v>
      </c>
      <c r="AE474" s="373">
        <v>0</v>
      </c>
      <c r="AF474" s="382">
        <v>0.82291666666666696</v>
      </c>
      <c r="AG474" s="382">
        <v>0.82291666666666696</v>
      </c>
      <c r="AH474" s="371" t="s">
        <v>2271</v>
      </c>
      <c r="AI474" s="382">
        <v>0.88263888888888897</v>
      </c>
      <c r="AJ474" s="382">
        <v>0.88263888888888897</v>
      </c>
      <c r="AK474" s="371" t="s">
        <v>2271</v>
      </c>
      <c r="AL474" s="206" t="s">
        <v>42</v>
      </c>
      <c r="AM474" s="206" t="s">
        <v>42</v>
      </c>
      <c r="AN474" s="371" t="s">
        <v>2271</v>
      </c>
      <c r="AO474" s="206" t="s">
        <v>2643</v>
      </c>
      <c r="AP474" s="206" t="s">
        <v>1372</v>
      </c>
      <c r="AQ474" s="206" t="s">
        <v>1133</v>
      </c>
      <c r="AR474" s="207" t="s">
        <v>68</v>
      </c>
    </row>
    <row r="475" spans="1:44" x14ac:dyDescent="0.2">
      <c r="A475" s="370">
        <v>456</v>
      </c>
      <c r="B475" s="380">
        <v>248</v>
      </c>
      <c r="C475" s="371" t="s">
        <v>2275</v>
      </c>
      <c r="D475" s="371" t="s">
        <v>2235</v>
      </c>
      <c r="E475" s="206"/>
      <c r="F475" s="206" t="s">
        <v>84</v>
      </c>
      <c r="G475" s="206" t="s">
        <v>84</v>
      </c>
      <c r="H475" s="371" t="s">
        <v>2271</v>
      </c>
      <c r="I475" s="206"/>
      <c r="J475" s="206" t="s">
        <v>1433</v>
      </c>
      <c r="K475" s="371" t="s">
        <v>2276</v>
      </c>
      <c r="L475" s="206" t="s">
        <v>2155</v>
      </c>
      <c r="M475" s="206" t="s">
        <v>1337</v>
      </c>
      <c r="N475" s="206" t="s">
        <v>49</v>
      </c>
      <c r="O475" s="372">
        <v>45997</v>
      </c>
      <c r="P475" s="372">
        <v>45997</v>
      </c>
      <c r="Q475" s="371" t="s">
        <v>2271</v>
      </c>
      <c r="R475" s="373">
        <v>26630</v>
      </c>
      <c r="S475" s="373">
        <v>26630</v>
      </c>
      <c r="T475" s="371" t="s">
        <v>2271</v>
      </c>
      <c r="U475" s="373">
        <v>12190</v>
      </c>
      <c r="V475" s="373">
        <v>12190</v>
      </c>
      <c r="W475" s="371" t="s">
        <v>2271</v>
      </c>
      <c r="X475" s="373">
        <v>14440</v>
      </c>
      <c r="Y475" s="373">
        <v>14440</v>
      </c>
      <c r="Z475" s="371" t="s">
        <v>2271</v>
      </c>
      <c r="AA475" s="373">
        <v>0</v>
      </c>
      <c r="AB475" s="373">
        <v>14400</v>
      </c>
      <c r="AC475" s="373">
        <v>14400</v>
      </c>
      <c r="AD475" s="371" t="s">
        <v>2271</v>
      </c>
      <c r="AE475" s="373">
        <v>0</v>
      </c>
      <c r="AF475" s="382">
        <v>0.85</v>
      </c>
      <c r="AG475" s="382">
        <v>0.85</v>
      </c>
      <c r="AH475" s="371" t="s">
        <v>2271</v>
      </c>
      <c r="AI475" s="382">
        <v>0.89652777777777803</v>
      </c>
      <c r="AJ475" s="382">
        <v>0.89652777777777803</v>
      </c>
      <c r="AK475" s="371" t="s">
        <v>2271</v>
      </c>
      <c r="AL475" s="206" t="s">
        <v>42</v>
      </c>
      <c r="AM475" s="206" t="s">
        <v>42</v>
      </c>
      <c r="AN475" s="371" t="s">
        <v>2271</v>
      </c>
      <c r="AO475" s="206" t="s">
        <v>2644</v>
      </c>
      <c r="AP475" s="206" t="s">
        <v>1782</v>
      </c>
      <c r="AQ475" s="206" t="s">
        <v>1132</v>
      </c>
      <c r="AR475" s="207" t="s">
        <v>68</v>
      </c>
    </row>
    <row r="476" spans="1:44" x14ac:dyDescent="0.2">
      <c r="A476" s="370">
        <v>457</v>
      </c>
      <c r="B476" s="380">
        <v>248</v>
      </c>
      <c r="C476" s="371" t="s">
        <v>2337</v>
      </c>
      <c r="D476" s="371" t="s">
        <v>2235</v>
      </c>
      <c r="E476" s="206"/>
      <c r="F476" s="206" t="s">
        <v>2134</v>
      </c>
      <c r="G476" s="206" t="s">
        <v>2134</v>
      </c>
      <c r="H476" s="371" t="s">
        <v>2271</v>
      </c>
      <c r="I476" s="206"/>
      <c r="J476" s="206" t="s">
        <v>2106</v>
      </c>
      <c r="K476" s="371" t="s">
        <v>2276</v>
      </c>
      <c r="L476" s="206" t="s">
        <v>2225</v>
      </c>
      <c r="M476" s="206" t="s">
        <v>2105</v>
      </c>
      <c r="N476" s="206" t="s">
        <v>49</v>
      </c>
      <c r="O476" s="372" t="s">
        <v>2226</v>
      </c>
      <c r="P476" s="372">
        <v>46160</v>
      </c>
      <c r="Q476" s="371" t="s">
        <v>2276</v>
      </c>
      <c r="R476" s="373">
        <v>12930</v>
      </c>
      <c r="S476" s="373">
        <v>12930</v>
      </c>
      <c r="T476" s="371" t="s">
        <v>2271</v>
      </c>
      <c r="U476" s="373">
        <v>4010</v>
      </c>
      <c r="V476" s="373">
        <v>4010</v>
      </c>
      <c r="W476" s="371" t="s">
        <v>2271</v>
      </c>
      <c r="X476" s="373">
        <v>8920</v>
      </c>
      <c r="Y476" s="373">
        <v>8920</v>
      </c>
      <c r="Z476" s="371" t="s">
        <v>2271</v>
      </c>
      <c r="AA476" s="373">
        <v>0</v>
      </c>
      <c r="AB476" s="373">
        <v>8890</v>
      </c>
      <c r="AC476" s="373">
        <v>8890</v>
      </c>
      <c r="AD476" s="371" t="s">
        <v>2271</v>
      </c>
      <c r="AE476" s="373">
        <v>0</v>
      </c>
      <c r="AF476" s="382">
        <v>0.73958333333333304</v>
      </c>
      <c r="AG476" s="382">
        <v>0.73958333333333304</v>
      </c>
      <c r="AH476" s="371" t="s">
        <v>2271</v>
      </c>
      <c r="AI476" s="382">
        <v>0.81736111111111098</v>
      </c>
      <c r="AJ476" s="382">
        <v>0.81736111111111098</v>
      </c>
      <c r="AK476" s="371" t="s">
        <v>2271</v>
      </c>
      <c r="AL476" s="206" t="s">
        <v>137</v>
      </c>
      <c r="AM476" s="206" t="s">
        <v>137</v>
      </c>
      <c r="AN476" s="371" t="s">
        <v>2271</v>
      </c>
      <c r="AO476" s="206" t="s">
        <v>2644</v>
      </c>
      <c r="AP476" s="206"/>
      <c r="AQ476" s="206" t="s">
        <v>1131</v>
      </c>
      <c r="AR476" s="207" t="s">
        <v>68</v>
      </c>
    </row>
    <row r="477" spans="1:44" x14ac:dyDescent="0.2">
      <c r="A477" s="370">
        <v>458</v>
      </c>
      <c r="B477" s="380">
        <v>249</v>
      </c>
      <c r="C477" s="371" t="s">
        <v>2275</v>
      </c>
      <c r="D477" s="371" t="s">
        <v>2235</v>
      </c>
      <c r="E477" s="206"/>
      <c r="F477" s="206" t="s">
        <v>70</v>
      </c>
      <c r="G477" s="206" t="s">
        <v>70</v>
      </c>
      <c r="H477" s="371" t="s">
        <v>2271</v>
      </c>
      <c r="I477" s="206"/>
      <c r="J477" s="206" t="s">
        <v>1433</v>
      </c>
      <c r="K477" s="371" t="s">
        <v>2276</v>
      </c>
      <c r="L477" s="206" t="s">
        <v>2155</v>
      </c>
      <c r="M477" s="206" t="s">
        <v>1337</v>
      </c>
      <c r="N477" s="206" t="s">
        <v>49</v>
      </c>
      <c r="O477" s="372">
        <v>45997</v>
      </c>
      <c r="P477" s="372">
        <v>45997</v>
      </c>
      <c r="Q477" s="371" t="s">
        <v>2271</v>
      </c>
      <c r="R477" s="373">
        <v>45840</v>
      </c>
      <c r="S477" s="373">
        <v>45840</v>
      </c>
      <c r="T477" s="371" t="s">
        <v>2271</v>
      </c>
      <c r="U477" s="373">
        <v>17680</v>
      </c>
      <c r="V477" s="373">
        <v>17680</v>
      </c>
      <c r="W477" s="371" t="s">
        <v>2271</v>
      </c>
      <c r="X477" s="373">
        <v>28160</v>
      </c>
      <c r="Y477" s="373">
        <v>28160</v>
      </c>
      <c r="Z477" s="371" t="s">
        <v>2271</v>
      </c>
      <c r="AA477" s="373">
        <v>0</v>
      </c>
      <c r="AB477" s="373">
        <v>28100</v>
      </c>
      <c r="AC477" s="373">
        <v>28100</v>
      </c>
      <c r="AD477" s="371" t="s">
        <v>2271</v>
      </c>
      <c r="AE477" s="373">
        <v>0</v>
      </c>
      <c r="AF477" s="382">
        <v>0.87291666666666701</v>
      </c>
      <c r="AG477" s="382">
        <v>0.87291666666666701</v>
      </c>
      <c r="AH477" s="371" t="s">
        <v>2271</v>
      </c>
      <c r="AI477" s="382">
        <v>0.92013888888888895</v>
      </c>
      <c r="AJ477" s="382">
        <v>0.92013888888888895</v>
      </c>
      <c r="AK477" s="371" t="s">
        <v>2271</v>
      </c>
      <c r="AL477" s="206" t="s">
        <v>42</v>
      </c>
      <c r="AM477" s="206" t="s">
        <v>42</v>
      </c>
      <c r="AN477" s="371" t="s">
        <v>2271</v>
      </c>
      <c r="AO477" s="206" t="s">
        <v>2645</v>
      </c>
      <c r="AP477" s="206" t="s">
        <v>1499</v>
      </c>
      <c r="AQ477" s="206" t="s">
        <v>1133</v>
      </c>
      <c r="AR477" s="207" t="s">
        <v>68</v>
      </c>
    </row>
    <row r="478" spans="1:44" x14ac:dyDescent="0.2">
      <c r="A478" s="370">
        <v>459</v>
      </c>
      <c r="B478" s="380">
        <v>249</v>
      </c>
      <c r="C478" s="371" t="s">
        <v>2337</v>
      </c>
      <c r="D478" s="371" t="s">
        <v>2235</v>
      </c>
      <c r="E478" s="206"/>
      <c r="F478" s="206" t="s">
        <v>2135</v>
      </c>
      <c r="G478" s="206" t="s">
        <v>2135</v>
      </c>
      <c r="H478" s="371" t="s">
        <v>2271</v>
      </c>
      <c r="I478" s="206"/>
      <c r="J478" s="206" t="s">
        <v>2106</v>
      </c>
      <c r="K478" s="371" t="s">
        <v>2276</v>
      </c>
      <c r="L478" s="206" t="s">
        <v>2225</v>
      </c>
      <c r="M478" s="206" t="s">
        <v>2105</v>
      </c>
      <c r="N478" s="206" t="s">
        <v>49</v>
      </c>
      <c r="O478" s="372" t="s">
        <v>2226</v>
      </c>
      <c r="P478" s="372">
        <v>46160</v>
      </c>
      <c r="Q478" s="371" t="s">
        <v>2276</v>
      </c>
      <c r="R478" s="373">
        <v>13450</v>
      </c>
      <c r="S478" s="373">
        <v>13450</v>
      </c>
      <c r="T478" s="371" t="s">
        <v>2271</v>
      </c>
      <c r="U478" s="373">
        <v>3800</v>
      </c>
      <c r="V478" s="373">
        <v>3800</v>
      </c>
      <c r="W478" s="371" t="s">
        <v>2271</v>
      </c>
      <c r="X478" s="373">
        <v>9650</v>
      </c>
      <c r="Y478" s="373">
        <v>9650</v>
      </c>
      <c r="Z478" s="371" t="s">
        <v>2271</v>
      </c>
      <c r="AA478" s="373">
        <v>0</v>
      </c>
      <c r="AB478" s="373">
        <v>9590</v>
      </c>
      <c r="AC478" s="373">
        <v>9590</v>
      </c>
      <c r="AD478" s="371" t="s">
        <v>2271</v>
      </c>
      <c r="AE478" s="373">
        <v>0</v>
      </c>
      <c r="AF478" s="382">
        <v>0.74097222222222203</v>
      </c>
      <c r="AG478" s="382">
        <v>0.74097222222222203</v>
      </c>
      <c r="AH478" s="371" t="s">
        <v>2271</v>
      </c>
      <c r="AI478" s="382">
        <v>0.81388888888888899</v>
      </c>
      <c r="AJ478" s="382">
        <v>0.81388888888888899</v>
      </c>
      <c r="AK478" s="371" t="s">
        <v>2271</v>
      </c>
      <c r="AL478" s="206" t="s">
        <v>137</v>
      </c>
      <c r="AM478" s="206" t="s">
        <v>137</v>
      </c>
      <c r="AN478" s="371" t="s">
        <v>2271</v>
      </c>
      <c r="AO478" s="206" t="s">
        <v>2645</v>
      </c>
      <c r="AP478" s="206"/>
      <c r="AQ478" s="206" t="s">
        <v>1131</v>
      </c>
      <c r="AR478" s="207" t="s">
        <v>68</v>
      </c>
    </row>
    <row r="479" spans="1:44" x14ac:dyDescent="0.2">
      <c r="A479" s="370">
        <v>460</v>
      </c>
      <c r="B479" s="380">
        <v>250</v>
      </c>
      <c r="C479" s="371" t="s">
        <v>2269</v>
      </c>
      <c r="D479" s="371" t="s">
        <v>2270</v>
      </c>
      <c r="E479" s="206"/>
      <c r="F479" s="206" t="s">
        <v>171</v>
      </c>
      <c r="G479" s="206" t="s">
        <v>171</v>
      </c>
      <c r="H479" s="371" t="s">
        <v>2271</v>
      </c>
      <c r="I479" s="206" t="s">
        <v>1345</v>
      </c>
      <c r="J479" s="206" t="s">
        <v>1345</v>
      </c>
      <c r="K479" s="371" t="s">
        <v>2271</v>
      </c>
      <c r="L479" s="206" t="s">
        <v>2152</v>
      </c>
      <c r="M479" s="206" t="s">
        <v>1344</v>
      </c>
      <c r="N479" s="206" t="s">
        <v>40</v>
      </c>
      <c r="O479" s="372">
        <v>45999</v>
      </c>
      <c r="P479" s="372">
        <v>45999</v>
      </c>
      <c r="Q479" s="371" t="s">
        <v>2271</v>
      </c>
      <c r="R479" s="373">
        <v>13240</v>
      </c>
      <c r="S479" s="373">
        <v>13240</v>
      </c>
      <c r="T479" s="371" t="s">
        <v>2271</v>
      </c>
      <c r="U479" s="373">
        <v>3630</v>
      </c>
      <c r="V479" s="373">
        <v>3630</v>
      </c>
      <c r="W479" s="371" t="s">
        <v>2271</v>
      </c>
      <c r="X479" s="373">
        <v>9610</v>
      </c>
      <c r="Y479" s="373">
        <v>9610</v>
      </c>
      <c r="Z479" s="371" t="s">
        <v>2271</v>
      </c>
      <c r="AA479" s="373">
        <v>0</v>
      </c>
      <c r="AB479" s="373">
        <v>9600</v>
      </c>
      <c r="AC479" s="373">
        <v>9600</v>
      </c>
      <c r="AD479" s="371" t="s">
        <v>2271</v>
      </c>
      <c r="AE479" s="373">
        <v>0</v>
      </c>
      <c r="AF479" s="382">
        <v>0.39513888888888898</v>
      </c>
      <c r="AG479" s="382">
        <v>0.39513888888888898</v>
      </c>
      <c r="AH479" s="371" t="s">
        <v>2271</v>
      </c>
      <c r="AI479" s="382">
        <v>0.43611111111111101</v>
      </c>
      <c r="AJ479" s="382">
        <v>0.43611111111111101</v>
      </c>
      <c r="AK479" s="371" t="s">
        <v>2271</v>
      </c>
      <c r="AL479" s="206" t="s">
        <v>42</v>
      </c>
      <c r="AM479" s="206" t="s">
        <v>42</v>
      </c>
      <c r="AN479" s="371" t="s">
        <v>2271</v>
      </c>
      <c r="AO479" s="206" t="s">
        <v>2646</v>
      </c>
      <c r="AP479" s="206"/>
      <c r="AQ479" s="206" t="s">
        <v>1131</v>
      </c>
      <c r="AR479" s="207" t="s">
        <v>82</v>
      </c>
    </row>
    <row r="480" spans="1:44" x14ac:dyDescent="0.2">
      <c r="A480" s="370">
        <v>461</v>
      </c>
      <c r="B480" s="380">
        <v>250</v>
      </c>
      <c r="C480" s="371" t="s">
        <v>2337</v>
      </c>
      <c r="D480" s="371" t="s">
        <v>2235</v>
      </c>
      <c r="E480" s="206"/>
      <c r="F480" s="206" t="s">
        <v>215</v>
      </c>
      <c r="G480" s="206" t="s">
        <v>215</v>
      </c>
      <c r="H480" s="371" t="s">
        <v>2271</v>
      </c>
      <c r="I480" s="206"/>
      <c r="J480" s="206" t="s">
        <v>2106</v>
      </c>
      <c r="K480" s="371" t="s">
        <v>2276</v>
      </c>
      <c r="L480" s="206" t="s">
        <v>2225</v>
      </c>
      <c r="M480" s="206" t="s">
        <v>2105</v>
      </c>
      <c r="N480" s="206" t="s">
        <v>49</v>
      </c>
      <c r="O480" s="372" t="s">
        <v>2226</v>
      </c>
      <c r="P480" s="372">
        <v>46160</v>
      </c>
      <c r="Q480" s="371" t="s">
        <v>2276</v>
      </c>
      <c r="R480" s="373">
        <v>12860</v>
      </c>
      <c r="S480" s="373">
        <v>12860</v>
      </c>
      <c r="T480" s="371" t="s">
        <v>2271</v>
      </c>
      <c r="U480" s="373">
        <v>3990</v>
      </c>
      <c r="V480" s="373">
        <v>3990</v>
      </c>
      <c r="W480" s="371" t="s">
        <v>2271</v>
      </c>
      <c r="X480" s="373">
        <v>8870</v>
      </c>
      <c r="Y480" s="373">
        <v>8870</v>
      </c>
      <c r="Z480" s="371" t="s">
        <v>2271</v>
      </c>
      <c r="AA480" s="373">
        <v>0</v>
      </c>
      <c r="AB480" s="373">
        <v>8820</v>
      </c>
      <c r="AC480" s="373">
        <v>8820</v>
      </c>
      <c r="AD480" s="371" t="s">
        <v>2271</v>
      </c>
      <c r="AE480" s="373">
        <v>0</v>
      </c>
      <c r="AF480" s="382">
        <v>0.87083333333333302</v>
      </c>
      <c r="AG480" s="382">
        <v>0.87083333333333302</v>
      </c>
      <c r="AH480" s="371" t="s">
        <v>2271</v>
      </c>
      <c r="AI480" s="382">
        <v>0.89861111111111103</v>
      </c>
      <c r="AJ480" s="382">
        <v>0.89861111111111103</v>
      </c>
      <c r="AK480" s="371" t="s">
        <v>2271</v>
      </c>
      <c r="AL480" s="206" t="s">
        <v>137</v>
      </c>
      <c r="AM480" s="206" t="s">
        <v>137</v>
      </c>
      <c r="AN480" s="371" t="s">
        <v>2271</v>
      </c>
      <c r="AO480" s="206" t="s">
        <v>2647</v>
      </c>
      <c r="AP480" s="206"/>
      <c r="AQ480" s="206" t="s">
        <v>1131</v>
      </c>
      <c r="AR480" s="207" t="s">
        <v>68</v>
      </c>
    </row>
    <row r="481" spans="1:44" x14ac:dyDescent="0.2">
      <c r="A481" s="370">
        <v>462</v>
      </c>
      <c r="B481" s="380">
        <v>251</v>
      </c>
      <c r="C481" s="371" t="s">
        <v>2269</v>
      </c>
      <c r="D481" s="371" t="s">
        <v>2270</v>
      </c>
      <c r="E481" s="206"/>
      <c r="F481" s="206" t="s">
        <v>53</v>
      </c>
      <c r="G481" s="206" t="s">
        <v>53</v>
      </c>
      <c r="H481" s="371" t="s">
        <v>2271</v>
      </c>
      <c r="I481" s="206" t="s">
        <v>1345</v>
      </c>
      <c r="J481" s="206" t="s">
        <v>1345</v>
      </c>
      <c r="K481" s="371" t="s">
        <v>2271</v>
      </c>
      <c r="L481" s="206" t="s">
        <v>2152</v>
      </c>
      <c r="M481" s="206" t="s">
        <v>1344</v>
      </c>
      <c r="N481" s="206" t="s">
        <v>40</v>
      </c>
      <c r="O481" s="372">
        <v>45999</v>
      </c>
      <c r="P481" s="372">
        <v>45999</v>
      </c>
      <c r="Q481" s="371" t="s">
        <v>2271</v>
      </c>
      <c r="R481" s="373">
        <v>13340</v>
      </c>
      <c r="S481" s="373">
        <v>13340</v>
      </c>
      <c r="T481" s="371" t="s">
        <v>2271</v>
      </c>
      <c r="U481" s="373">
        <v>3800</v>
      </c>
      <c r="V481" s="373">
        <v>3800</v>
      </c>
      <c r="W481" s="371" t="s">
        <v>2271</v>
      </c>
      <c r="X481" s="373">
        <v>9540</v>
      </c>
      <c r="Y481" s="373">
        <v>9540</v>
      </c>
      <c r="Z481" s="371" t="s">
        <v>2271</v>
      </c>
      <c r="AA481" s="373">
        <v>0</v>
      </c>
      <c r="AB481" s="373">
        <v>9520</v>
      </c>
      <c r="AC481" s="373">
        <v>9520</v>
      </c>
      <c r="AD481" s="371" t="s">
        <v>2271</v>
      </c>
      <c r="AE481" s="373">
        <v>0</v>
      </c>
      <c r="AF481" s="382">
        <v>0.39652777777777798</v>
      </c>
      <c r="AG481" s="382">
        <v>0.39652777777777798</v>
      </c>
      <c r="AH481" s="371" t="s">
        <v>2271</v>
      </c>
      <c r="AI481" s="382">
        <v>0.4375</v>
      </c>
      <c r="AJ481" s="382">
        <v>0.4375</v>
      </c>
      <c r="AK481" s="371" t="s">
        <v>2271</v>
      </c>
      <c r="AL481" s="206" t="s">
        <v>42</v>
      </c>
      <c r="AM481" s="206" t="s">
        <v>42</v>
      </c>
      <c r="AN481" s="371" t="s">
        <v>2271</v>
      </c>
      <c r="AO481" s="206" t="s">
        <v>2648</v>
      </c>
      <c r="AP481" s="206"/>
      <c r="AQ481" s="206" t="s">
        <v>1131</v>
      </c>
      <c r="AR481" s="207" t="s">
        <v>82</v>
      </c>
    </row>
    <row r="482" spans="1:44" x14ac:dyDescent="0.2">
      <c r="A482" s="370">
        <v>463</v>
      </c>
      <c r="B482" s="380">
        <v>252</v>
      </c>
      <c r="C482" s="371" t="s">
        <v>2269</v>
      </c>
      <c r="D482" s="371" t="s">
        <v>2235</v>
      </c>
      <c r="E482" s="206"/>
      <c r="F482" s="206" t="s">
        <v>158</v>
      </c>
      <c r="G482" s="206" t="s">
        <v>158</v>
      </c>
      <c r="H482" s="371" t="s">
        <v>2271</v>
      </c>
      <c r="I482" s="206" t="s">
        <v>1345</v>
      </c>
      <c r="J482" s="206" t="s">
        <v>1345</v>
      </c>
      <c r="K482" s="371" t="s">
        <v>2271</v>
      </c>
      <c r="L482" s="206" t="s">
        <v>2152</v>
      </c>
      <c r="M482" s="206" t="s">
        <v>1344</v>
      </c>
      <c r="N482" s="206" t="s">
        <v>40</v>
      </c>
      <c r="O482" s="372">
        <v>45999</v>
      </c>
      <c r="P482" s="372">
        <v>45999</v>
      </c>
      <c r="Q482" s="371" t="s">
        <v>2271</v>
      </c>
      <c r="R482" s="373">
        <v>14010</v>
      </c>
      <c r="S482" s="373">
        <v>14010</v>
      </c>
      <c r="T482" s="371" t="s">
        <v>2271</v>
      </c>
      <c r="U482" s="373">
        <v>3990</v>
      </c>
      <c r="V482" s="373">
        <v>3990</v>
      </c>
      <c r="W482" s="371" t="s">
        <v>2271</v>
      </c>
      <c r="X482" s="373">
        <v>10020</v>
      </c>
      <c r="Y482" s="373">
        <v>10020</v>
      </c>
      <c r="Z482" s="371" t="s">
        <v>2271</v>
      </c>
      <c r="AA482" s="373">
        <v>0</v>
      </c>
      <c r="AB482" s="373">
        <v>10000</v>
      </c>
      <c r="AC482" s="373">
        <v>10000</v>
      </c>
      <c r="AD482" s="371" t="s">
        <v>2271</v>
      </c>
      <c r="AE482" s="373">
        <v>0</v>
      </c>
      <c r="AF482" s="382">
        <v>0.40277777777777801</v>
      </c>
      <c r="AG482" s="382">
        <v>0.40277777777777801</v>
      </c>
      <c r="AH482" s="371" t="s">
        <v>2271</v>
      </c>
      <c r="AI482" s="382">
        <v>0.46319444444444402</v>
      </c>
      <c r="AJ482" s="382">
        <v>0.46319444444444502</v>
      </c>
      <c r="AK482" s="371" t="s">
        <v>2276</v>
      </c>
      <c r="AL482" s="206" t="s">
        <v>42</v>
      </c>
      <c r="AM482" s="206" t="s">
        <v>42</v>
      </c>
      <c r="AN482" s="371" t="s">
        <v>2271</v>
      </c>
      <c r="AO482" s="206" t="s">
        <v>2649</v>
      </c>
      <c r="AP482" s="206"/>
      <c r="AQ482" s="206" t="s">
        <v>1131</v>
      </c>
      <c r="AR482" s="207" t="s">
        <v>82</v>
      </c>
    </row>
    <row r="483" spans="1:44" x14ac:dyDescent="0.2">
      <c r="A483" s="370">
        <v>464</v>
      </c>
      <c r="B483" s="380">
        <v>253</v>
      </c>
      <c r="C483" s="371" t="s">
        <v>2275</v>
      </c>
      <c r="D483" s="371" t="s">
        <v>2235</v>
      </c>
      <c r="E483" s="206"/>
      <c r="F483" s="206" t="s">
        <v>76</v>
      </c>
      <c r="G483" s="206" t="s">
        <v>76</v>
      </c>
      <c r="H483" s="371" t="s">
        <v>2271</v>
      </c>
      <c r="I483" s="206"/>
      <c r="J483" s="206" t="s">
        <v>1452</v>
      </c>
      <c r="K483" s="371" t="s">
        <v>2276</v>
      </c>
      <c r="L483" s="206" t="s">
        <v>2156</v>
      </c>
      <c r="M483" s="206" t="s">
        <v>1336</v>
      </c>
      <c r="N483" s="206" t="s">
        <v>59</v>
      </c>
      <c r="O483" s="372">
        <v>45999</v>
      </c>
      <c r="P483" s="372">
        <v>45999</v>
      </c>
      <c r="Q483" s="371" t="s">
        <v>2271</v>
      </c>
      <c r="R483" s="373">
        <v>45680</v>
      </c>
      <c r="S483" s="373">
        <v>45680</v>
      </c>
      <c r="T483" s="371" t="s">
        <v>2271</v>
      </c>
      <c r="U483" s="373">
        <v>17600</v>
      </c>
      <c r="V483" s="373">
        <v>17600</v>
      </c>
      <c r="W483" s="371" t="s">
        <v>2271</v>
      </c>
      <c r="X483" s="373">
        <v>28080</v>
      </c>
      <c r="Y483" s="373">
        <v>28080</v>
      </c>
      <c r="Z483" s="371" t="s">
        <v>2271</v>
      </c>
      <c r="AA483" s="373">
        <v>0</v>
      </c>
      <c r="AB483" s="373">
        <v>28080</v>
      </c>
      <c r="AC483" s="373">
        <v>28080</v>
      </c>
      <c r="AD483" s="371" t="s">
        <v>2271</v>
      </c>
      <c r="AE483" s="373">
        <v>0</v>
      </c>
      <c r="AF483" s="382">
        <v>0.44305555555555598</v>
      </c>
      <c r="AG483" s="382">
        <v>0.44305555555555598</v>
      </c>
      <c r="AH483" s="371" t="s">
        <v>2271</v>
      </c>
      <c r="AI483" s="382">
        <v>0.55138888888888904</v>
      </c>
      <c r="AJ483" s="382">
        <v>0.55138888888888904</v>
      </c>
      <c r="AK483" s="371" t="s">
        <v>2271</v>
      </c>
      <c r="AL483" s="206" t="s">
        <v>42</v>
      </c>
      <c r="AM483" s="206" t="s">
        <v>42</v>
      </c>
      <c r="AN483" s="371" t="s">
        <v>2271</v>
      </c>
      <c r="AO483" s="206" t="s">
        <v>2650</v>
      </c>
      <c r="AP483" s="206" t="s">
        <v>1372</v>
      </c>
      <c r="AQ483" s="206" t="s">
        <v>1133</v>
      </c>
      <c r="AR483" s="207" t="s">
        <v>75</v>
      </c>
    </row>
    <row r="484" spans="1:44" x14ac:dyDescent="0.2">
      <c r="A484" s="370">
        <v>465</v>
      </c>
      <c r="B484" s="380">
        <v>254</v>
      </c>
      <c r="C484" s="371" t="s">
        <v>2275</v>
      </c>
      <c r="D484" s="371" t="s">
        <v>2235</v>
      </c>
      <c r="E484" s="206"/>
      <c r="F484" s="206" t="s">
        <v>70</v>
      </c>
      <c r="G484" s="206" t="s">
        <v>70</v>
      </c>
      <c r="H484" s="371" t="s">
        <v>2271</v>
      </c>
      <c r="I484" s="206"/>
      <c r="J484" s="206" t="s">
        <v>1452</v>
      </c>
      <c r="K484" s="371" t="s">
        <v>2276</v>
      </c>
      <c r="L484" s="206" t="s">
        <v>2156</v>
      </c>
      <c r="M484" s="206" t="s">
        <v>1336</v>
      </c>
      <c r="N484" s="206" t="s">
        <v>59</v>
      </c>
      <c r="O484" s="372">
        <v>45999</v>
      </c>
      <c r="P484" s="372">
        <v>45999</v>
      </c>
      <c r="Q484" s="371" t="s">
        <v>2271</v>
      </c>
      <c r="R484" s="373">
        <v>45710</v>
      </c>
      <c r="S484" s="373">
        <v>45710</v>
      </c>
      <c r="T484" s="371" t="s">
        <v>2271</v>
      </c>
      <c r="U484" s="373">
        <v>17620</v>
      </c>
      <c r="V484" s="373">
        <v>17620</v>
      </c>
      <c r="W484" s="371" t="s">
        <v>2271</v>
      </c>
      <c r="X484" s="373">
        <v>28090</v>
      </c>
      <c r="Y484" s="373">
        <v>28090</v>
      </c>
      <c r="Z484" s="371" t="s">
        <v>2271</v>
      </c>
      <c r="AA484" s="373">
        <v>0</v>
      </c>
      <c r="AB484" s="373">
        <v>28100</v>
      </c>
      <c r="AC484" s="373">
        <v>28100</v>
      </c>
      <c r="AD484" s="371" t="s">
        <v>2271</v>
      </c>
      <c r="AE484" s="373">
        <v>0</v>
      </c>
      <c r="AF484" s="382">
        <v>0.46111111111111103</v>
      </c>
      <c r="AG484" s="382">
        <v>0.46111111111111103</v>
      </c>
      <c r="AH484" s="371" t="s">
        <v>2271</v>
      </c>
      <c r="AI484" s="382">
        <v>0.55208333333333304</v>
      </c>
      <c r="AJ484" s="382">
        <v>0.55208333333333304</v>
      </c>
      <c r="AK484" s="371" t="s">
        <v>2271</v>
      </c>
      <c r="AL484" s="206" t="s">
        <v>42</v>
      </c>
      <c r="AM484" s="206" t="s">
        <v>42</v>
      </c>
      <c r="AN484" s="371" t="s">
        <v>2271</v>
      </c>
      <c r="AO484" s="206" t="s">
        <v>2651</v>
      </c>
      <c r="AP484" s="206" t="s">
        <v>1499</v>
      </c>
      <c r="AQ484" s="206" t="s">
        <v>1133</v>
      </c>
      <c r="AR484" s="207" t="s">
        <v>75</v>
      </c>
    </row>
    <row r="485" spans="1:44" x14ac:dyDescent="0.2">
      <c r="A485" s="370">
        <v>466</v>
      </c>
      <c r="B485" s="380">
        <v>255</v>
      </c>
      <c r="C485" s="371" t="s">
        <v>2275</v>
      </c>
      <c r="D485" s="371" t="s">
        <v>2235</v>
      </c>
      <c r="E485" s="206"/>
      <c r="F485" s="206" t="s">
        <v>56</v>
      </c>
      <c r="G485" s="206" t="s">
        <v>56</v>
      </c>
      <c r="H485" s="371" t="s">
        <v>2271</v>
      </c>
      <c r="I485" s="206"/>
      <c r="J485" s="206" t="s">
        <v>1433</v>
      </c>
      <c r="K485" s="371" t="s">
        <v>2276</v>
      </c>
      <c r="L485" s="206" t="s">
        <v>2155</v>
      </c>
      <c r="M485" s="206" t="s">
        <v>1337</v>
      </c>
      <c r="N485" s="206" t="s">
        <v>49</v>
      </c>
      <c r="O485" s="372">
        <v>45999</v>
      </c>
      <c r="P485" s="372">
        <v>45999</v>
      </c>
      <c r="Q485" s="371" t="s">
        <v>2271</v>
      </c>
      <c r="R485" s="373">
        <v>25060</v>
      </c>
      <c r="S485" s="373">
        <v>25060</v>
      </c>
      <c r="T485" s="371" t="s">
        <v>2271</v>
      </c>
      <c r="U485" s="373">
        <v>10820</v>
      </c>
      <c r="V485" s="373">
        <v>10820</v>
      </c>
      <c r="W485" s="371" t="s">
        <v>2271</v>
      </c>
      <c r="X485" s="373">
        <v>14240</v>
      </c>
      <c r="Y485" s="373">
        <v>14240</v>
      </c>
      <c r="Z485" s="371" t="s">
        <v>2271</v>
      </c>
      <c r="AA485" s="373">
        <v>0</v>
      </c>
      <c r="AB485" s="373">
        <v>14220</v>
      </c>
      <c r="AC485" s="373">
        <v>14220</v>
      </c>
      <c r="AD485" s="371" t="s">
        <v>2271</v>
      </c>
      <c r="AE485" s="373">
        <v>0</v>
      </c>
      <c r="AF485" s="382">
        <v>0.46250000000000002</v>
      </c>
      <c r="AG485" s="382">
        <v>0.46250000000000002</v>
      </c>
      <c r="AH485" s="371" t="s">
        <v>2271</v>
      </c>
      <c r="AI485" s="382">
        <v>0.55277777777777803</v>
      </c>
      <c r="AJ485" s="382">
        <v>0.55277777777777803</v>
      </c>
      <c r="AK485" s="371" t="s">
        <v>2271</v>
      </c>
      <c r="AL485" s="206" t="s">
        <v>42</v>
      </c>
      <c r="AM485" s="206" t="s">
        <v>42</v>
      </c>
      <c r="AN485" s="371" t="s">
        <v>2271</v>
      </c>
      <c r="AO485" s="206" t="s">
        <v>2652</v>
      </c>
      <c r="AP485" s="206" t="s">
        <v>1781</v>
      </c>
      <c r="AQ485" s="206" t="s">
        <v>1132</v>
      </c>
      <c r="AR485" s="207" t="s">
        <v>68</v>
      </c>
    </row>
    <row r="486" spans="1:44" x14ac:dyDescent="0.2">
      <c r="A486" s="370">
        <v>467</v>
      </c>
      <c r="B486" s="380">
        <v>256</v>
      </c>
      <c r="C486" s="371" t="s">
        <v>2275</v>
      </c>
      <c r="D486" s="371" t="s">
        <v>2235</v>
      </c>
      <c r="E486" s="206"/>
      <c r="F486" s="206" t="s">
        <v>84</v>
      </c>
      <c r="G486" s="206" t="s">
        <v>84</v>
      </c>
      <c r="H486" s="371" t="s">
        <v>2271</v>
      </c>
      <c r="I486" s="206"/>
      <c r="J486" s="206" t="s">
        <v>1433</v>
      </c>
      <c r="K486" s="371" t="s">
        <v>2276</v>
      </c>
      <c r="L486" s="206" t="s">
        <v>2155</v>
      </c>
      <c r="M486" s="206" t="s">
        <v>1337</v>
      </c>
      <c r="N486" s="206" t="s">
        <v>49</v>
      </c>
      <c r="O486" s="372">
        <v>45999</v>
      </c>
      <c r="P486" s="372">
        <v>45999</v>
      </c>
      <c r="Q486" s="371" t="s">
        <v>2271</v>
      </c>
      <c r="R486" s="373">
        <v>26600</v>
      </c>
      <c r="S486" s="373">
        <v>26600</v>
      </c>
      <c r="T486" s="371" t="s">
        <v>2271</v>
      </c>
      <c r="U486" s="373">
        <v>12310</v>
      </c>
      <c r="V486" s="373">
        <v>12310</v>
      </c>
      <c r="W486" s="371" t="s">
        <v>2271</v>
      </c>
      <c r="X486" s="373">
        <v>14290</v>
      </c>
      <c r="Y486" s="373">
        <v>14290</v>
      </c>
      <c r="Z486" s="371" t="s">
        <v>2271</v>
      </c>
      <c r="AA486" s="373">
        <v>0</v>
      </c>
      <c r="AB486" s="373">
        <v>14430</v>
      </c>
      <c r="AC486" s="373">
        <v>14430</v>
      </c>
      <c r="AD486" s="371" t="s">
        <v>2271</v>
      </c>
      <c r="AE486" s="373">
        <v>0</v>
      </c>
      <c r="AF486" s="382">
        <v>0.48055555555555601</v>
      </c>
      <c r="AG486" s="382">
        <v>0.48055555555555601</v>
      </c>
      <c r="AH486" s="371" t="s">
        <v>2271</v>
      </c>
      <c r="AI486" s="382">
        <v>0.56736111111111098</v>
      </c>
      <c r="AJ486" s="382">
        <v>0.56736111111111098</v>
      </c>
      <c r="AK486" s="371" t="s">
        <v>2271</v>
      </c>
      <c r="AL486" s="206" t="s">
        <v>42</v>
      </c>
      <c r="AM486" s="206" t="s">
        <v>42</v>
      </c>
      <c r="AN486" s="371" t="s">
        <v>2271</v>
      </c>
      <c r="AO486" s="206" t="s">
        <v>2653</v>
      </c>
      <c r="AP486" s="206" t="s">
        <v>1782</v>
      </c>
      <c r="AQ486" s="206" t="s">
        <v>1132</v>
      </c>
      <c r="AR486" s="207" t="s">
        <v>68</v>
      </c>
    </row>
    <row r="487" spans="1:44" x14ac:dyDescent="0.2">
      <c r="A487" s="370">
        <v>468</v>
      </c>
      <c r="B487" s="380">
        <v>257</v>
      </c>
      <c r="C487" s="371" t="s">
        <v>2275</v>
      </c>
      <c r="D487" s="371" t="s">
        <v>2235</v>
      </c>
      <c r="E487" s="206"/>
      <c r="F487" s="206" t="s">
        <v>46</v>
      </c>
      <c r="G487" s="206" t="s">
        <v>46</v>
      </c>
      <c r="H487" s="371" t="s">
        <v>2271</v>
      </c>
      <c r="I487" s="206"/>
      <c r="J487" s="206" t="s">
        <v>1433</v>
      </c>
      <c r="K487" s="371" t="s">
        <v>2276</v>
      </c>
      <c r="L487" s="206" t="s">
        <v>2155</v>
      </c>
      <c r="M487" s="206" t="s">
        <v>1337</v>
      </c>
      <c r="N487" s="206" t="s">
        <v>49</v>
      </c>
      <c r="O487" s="372">
        <v>45999</v>
      </c>
      <c r="P487" s="372">
        <v>45999</v>
      </c>
      <c r="Q487" s="371" t="s">
        <v>2271</v>
      </c>
      <c r="R487" s="373">
        <v>26590</v>
      </c>
      <c r="S487" s="373">
        <v>26590</v>
      </c>
      <c r="T487" s="371" t="s">
        <v>2271</v>
      </c>
      <c r="U487" s="373">
        <v>11890</v>
      </c>
      <c r="V487" s="373">
        <v>11890</v>
      </c>
      <c r="W487" s="371" t="s">
        <v>2271</v>
      </c>
      <c r="X487" s="373">
        <v>14700</v>
      </c>
      <c r="Y487" s="373">
        <v>14700</v>
      </c>
      <c r="Z487" s="371" t="s">
        <v>2271</v>
      </c>
      <c r="AA487" s="373">
        <v>0</v>
      </c>
      <c r="AB487" s="373">
        <v>14640</v>
      </c>
      <c r="AC487" s="373">
        <v>14640</v>
      </c>
      <c r="AD487" s="371" t="s">
        <v>2271</v>
      </c>
      <c r="AE487" s="373">
        <v>0</v>
      </c>
      <c r="AF487" s="382">
        <v>0.50624999999999998</v>
      </c>
      <c r="AG487" s="382">
        <v>0.50624999999999998</v>
      </c>
      <c r="AH487" s="371" t="s">
        <v>2271</v>
      </c>
      <c r="AI487" s="382">
        <v>0.58958333333333302</v>
      </c>
      <c r="AJ487" s="382">
        <v>0.58958333333333302</v>
      </c>
      <c r="AK487" s="371" t="s">
        <v>2271</v>
      </c>
      <c r="AL487" s="206" t="s">
        <v>42</v>
      </c>
      <c r="AM487" s="206" t="s">
        <v>42</v>
      </c>
      <c r="AN487" s="371" t="s">
        <v>2271</v>
      </c>
      <c r="AO487" s="206" t="s">
        <v>2654</v>
      </c>
      <c r="AP487" s="206" t="s">
        <v>1393</v>
      </c>
      <c r="AQ487" s="206" t="s">
        <v>1132</v>
      </c>
      <c r="AR487" s="207" t="s">
        <v>68</v>
      </c>
    </row>
    <row r="488" spans="1:44" x14ac:dyDescent="0.2">
      <c r="A488" s="370">
        <v>469</v>
      </c>
      <c r="B488" s="380">
        <v>258</v>
      </c>
      <c r="C488" s="371" t="s">
        <v>2269</v>
      </c>
      <c r="D488" s="371" t="s">
        <v>2270</v>
      </c>
      <c r="E488" s="206"/>
      <c r="F488" s="206" t="s">
        <v>186</v>
      </c>
      <c r="G488" s="206" t="s">
        <v>186</v>
      </c>
      <c r="H488" s="371" t="s">
        <v>2271</v>
      </c>
      <c r="I488" s="206" t="s">
        <v>1345</v>
      </c>
      <c r="J488" s="206" t="s">
        <v>1345</v>
      </c>
      <c r="K488" s="371" t="s">
        <v>2271</v>
      </c>
      <c r="L488" s="206" t="s">
        <v>2152</v>
      </c>
      <c r="M488" s="206" t="s">
        <v>1344</v>
      </c>
      <c r="N488" s="206" t="s">
        <v>40</v>
      </c>
      <c r="O488" s="372">
        <v>45999</v>
      </c>
      <c r="P488" s="372">
        <v>45999</v>
      </c>
      <c r="Q488" s="371" t="s">
        <v>2271</v>
      </c>
      <c r="R488" s="373">
        <v>13500</v>
      </c>
      <c r="S488" s="373">
        <v>13500</v>
      </c>
      <c r="T488" s="371" t="s">
        <v>2271</v>
      </c>
      <c r="U488" s="373">
        <v>3960</v>
      </c>
      <c r="V488" s="373">
        <v>3960</v>
      </c>
      <c r="W488" s="371" t="s">
        <v>2271</v>
      </c>
      <c r="X488" s="373">
        <v>9540</v>
      </c>
      <c r="Y488" s="373">
        <v>9540</v>
      </c>
      <c r="Z488" s="371" t="s">
        <v>2271</v>
      </c>
      <c r="AA488" s="373">
        <v>0</v>
      </c>
      <c r="AB488" s="373">
        <v>9500</v>
      </c>
      <c r="AC488" s="373">
        <v>9500</v>
      </c>
      <c r="AD488" s="371" t="s">
        <v>2271</v>
      </c>
      <c r="AE488" s="373">
        <v>0</v>
      </c>
      <c r="AF488" s="382">
        <v>0.69652777777777797</v>
      </c>
      <c r="AG488" s="382">
        <v>0.69652777777777797</v>
      </c>
      <c r="AH488" s="371" t="s">
        <v>2271</v>
      </c>
      <c r="AI488" s="382">
        <v>0.749305555555556</v>
      </c>
      <c r="AJ488" s="382">
        <v>0.749305555555556</v>
      </c>
      <c r="AK488" s="371" t="s">
        <v>2271</v>
      </c>
      <c r="AL488" s="206" t="s">
        <v>137</v>
      </c>
      <c r="AM488" s="206" t="s">
        <v>137</v>
      </c>
      <c r="AN488" s="371" t="s">
        <v>2271</v>
      </c>
      <c r="AO488" s="206" t="s">
        <v>2655</v>
      </c>
      <c r="AP488" s="206"/>
      <c r="AQ488" s="206" t="s">
        <v>1131</v>
      </c>
      <c r="AR488" s="207" t="s">
        <v>82</v>
      </c>
    </row>
    <row r="489" spans="1:44" x14ac:dyDescent="0.2">
      <c r="A489" s="370">
        <v>470</v>
      </c>
      <c r="B489" s="380">
        <v>259</v>
      </c>
      <c r="C489" s="371" t="s">
        <v>2275</v>
      </c>
      <c r="D489" s="371" t="s">
        <v>2235</v>
      </c>
      <c r="E489" s="206"/>
      <c r="F489" s="206" t="s">
        <v>76</v>
      </c>
      <c r="G489" s="206" t="s">
        <v>76</v>
      </c>
      <c r="H489" s="371" t="s">
        <v>2271</v>
      </c>
      <c r="I489" s="206"/>
      <c r="J489" s="206" t="s">
        <v>1452</v>
      </c>
      <c r="K489" s="371" t="s">
        <v>2276</v>
      </c>
      <c r="L489" s="206" t="s">
        <v>2156</v>
      </c>
      <c r="M489" s="206" t="s">
        <v>1336</v>
      </c>
      <c r="N489" s="206" t="s">
        <v>59</v>
      </c>
      <c r="O489" s="372">
        <v>45999</v>
      </c>
      <c r="P489" s="372">
        <v>45999</v>
      </c>
      <c r="Q489" s="371" t="s">
        <v>2271</v>
      </c>
      <c r="R489" s="373">
        <v>45600</v>
      </c>
      <c r="S489" s="373">
        <v>45600</v>
      </c>
      <c r="T489" s="371" t="s">
        <v>2271</v>
      </c>
      <c r="U489" s="373">
        <v>17540</v>
      </c>
      <c r="V489" s="373">
        <v>17540</v>
      </c>
      <c r="W489" s="371" t="s">
        <v>2271</v>
      </c>
      <c r="X489" s="373">
        <v>28060</v>
      </c>
      <c r="Y489" s="373">
        <v>28060</v>
      </c>
      <c r="Z489" s="371" t="s">
        <v>2271</v>
      </c>
      <c r="AA489" s="373">
        <v>0</v>
      </c>
      <c r="AB489" s="373">
        <v>28080</v>
      </c>
      <c r="AC489" s="373">
        <v>28080</v>
      </c>
      <c r="AD489" s="371" t="s">
        <v>2271</v>
      </c>
      <c r="AE489" s="373">
        <v>0</v>
      </c>
      <c r="AF489" s="382">
        <v>0.71180555555555503</v>
      </c>
      <c r="AG489" s="382">
        <v>0.71180555555555602</v>
      </c>
      <c r="AH489" s="371" t="s">
        <v>2276</v>
      </c>
      <c r="AI489" s="382">
        <v>0.79930555555555605</v>
      </c>
      <c r="AJ489" s="382">
        <v>0.79930555555555605</v>
      </c>
      <c r="AK489" s="371" t="s">
        <v>2271</v>
      </c>
      <c r="AL489" s="206" t="s">
        <v>137</v>
      </c>
      <c r="AM489" s="206" t="s">
        <v>137</v>
      </c>
      <c r="AN489" s="371" t="s">
        <v>2271</v>
      </c>
      <c r="AO489" s="206" t="s">
        <v>2656</v>
      </c>
      <c r="AP489" s="206" t="s">
        <v>1372</v>
      </c>
      <c r="AQ489" s="206" t="s">
        <v>1133</v>
      </c>
      <c r="AR489" s="207" t="s">
        <v>75</v>
      </c>
    </row>
    <row r="490" spans="1:44" x14ac:dyDescent="0.2">
      <c r="A490" s="370">
        <v>471</v>
      </c>
      <c r="B490" s="380">
        <v>260</v>
      </c>
      <c r="C490" s="371" t="s">
        <v>2275</v>
      </c>
      <c r="D490" s="371" t="s">
        <v>2235</v>
      </c>
      <c r="E490" s="206"/>
      <c r="F490" s="206" t="s">
        <v>70</v>
      </c>
      <c r="G490" s="206" t="s">
        <v>70</v>
      </c>
      <c r="H490" s="371" t="s">
        <v>2271</v>
      </c>
      <c r="I490" s="206"/>
      <c r="J490" s="206" t="s">
        <v>1452</v>
      </c>
      <c r="K490" s="371" t="s">
        <v>2276</v>
      </c>
      <c r="L490" s="206" t="s">
        <v>2156</v>
      </c>
      <c r="M490" s="206" t="s">
        <v>1336</v>
      </c>
      <c r="N490" s="206" t="s">
        <v>59</v>
      </c>
      <c r="O490" s="372">
        <v>45999</v>
      </c>
      <c r="P490" s="372">
        <v>45999</v>
      </c>
      <c r="Q490" s="371" t="s">
        <v>2271</v>
      </c>
      <c r="R490" s="373">
        <v>45650</v>
      </c>
      <c r="S490" s="373">
        <v>45650</v>
      </c>
      <c r="T490" s="371" t="s">
        <v>2271</v>
      </c>
      <c r="U490" s="373">
        <v>17610</v>
      </c>
      <c r="V490" s="373">
        <v>17610</v>
      </c>
      <c r="W490" s="371" t="s">
        <v>2271</v>
      </c>
      <c r="X490" s="373">
        <v>28040</v>
      </c>
      <c r="Y490" s="373">
        <v>28040</v>
      </c>
      <c r="Z490" s="371" t="s">
        <v>2271</v>
      </c>
      <c r="AA490" s="373">
        <v>0</v>
      </c>
      <c r="AB490" s="373">
        <v>28060</v>
      </c>
      <c r="AC490" s="373">
        <v>28060</v>
      </c>
      <c r="AD490" s="371" t="s">
        <v>2271</v>
      </c>
      <c r="AE490" s="373">
        <v>0</v>
      </c>
      <c r="AF490" s="382">
        <v>0.73263888888888895</v>
      </c>
      <c r="AG490" s="382">
        <v>0.73263888888888895</v>
      </c>
      <c r="AH490" s="371" t="s">
        <v>2271</v>
      </c>
      <c r="AI490" s="382">
        <v>0.79513888888888895</v>
      </c>
      <c r="AJ490" s="382">
        <v>0.79513888888888895</v>
      </c>
      <c r="AK490" s="371" t="s">
        <v>2271</v>
      </c>
      <c r="AL490" s="206" t="s">
        <v>137</v>
      </c>
      <c r="AM490" s="206" t="s">
        <v>137</v>
      </c>
      <c r="AN490" s="371" t="s">
        <v>2271</v>
      </c>
      <c r="AO490" s="206" t="s">
        <v>2657</v>
      </c>
      <c r="AP490" s="206" t="s">
        <v>1499</v>
      </c>
      <c r="AQ490" s="206" t="s">
        <v>1133</v>
      </c>
      <c r="AR490" s="207" t="s">
        <v>75</v>
      </c>
    </row>
    <row r="491" spans="1:44" x14ac:dyDescent="0.2">
      <c r="A491" s="370">
        <v>472</v>
      </c>
      <c r="B491" s="380">
        <v>261</v>
      </c>
      <c r="C491" s="371" t="s">
        <v>2275</v>
      </c>
      <c r="D491" s="371" t="s">
        <v>2235</v>
      </c>
      <c r="E491" s="206"/>
      <c r="F491" s="206" t="s">
        <v>56</v>
      </c>
      <c r="G491" s="206" t="s">
        <v>56</v>
      </c>
      <c r="H491" s="371" t="s">
        <v>2271</v>
      </c>
      <c r="I491" s="206"/>
      <c r="J491" s="206" t="s">
        <v>1433</v>
      </c>
      <c r="K491" s="371" t="s">
        <v>2276</v>
      </c>
      <c r="L491" s="206" t="s">
        <v>2155</v>
      </c>
      <c r="M491" s="206" t="s">
        <v>1337</v>
      </c>
      <c r="N491" s="206" t="s">
        <v>49</v>
      </c>
      <c r="O491" s="372">
        <v>45999</v>
      </c>
      <c r="P491" s="372">
        <v>45999</v>
      </c>
      <c r="Q491" s="371" t="s">
        <v>2271</v>
      </c>
      <c r="R491" s="373">
        <v>24980</v>
      </c>
      <c r="S491" s="373">
        <v>24980</v>
      </c>
      <c r="T491" s="371" t="s">
        <v>2271</v>
      </c>
      <c r="U491" s="373">
        <v>10750</v>
      </c>
      <c r="V491" s="373">
        <v>10750</v>
      </c>
      <c r="W491" s="371" t="s">
        <v>2271</v>
      </c>
      <c r="X491" s="373">
        <v>14230</v>
      </c>
      <c r="Y491" s="373">
        <v>14230</v>
      </c>
      <c r="Z491" s="371" t="s">
        <v>2271</v>
      </c>
      <c r="AA491" s="373">
        <v>0</v>
      </c>
      <c r="AB491" s="373">
        <v>14150</v>
      </c>
      <c r="AC491" s="373">
        <v>14150</v>
      </c>
      <c r="AD491" s="371" t="s">
        <v>2271</v>
      </c>
      <c r="AE491" s="373">
        <v>0</v>
      </c>
      <c r="AF491" s="382">
        <v>0.74444444444444402</v>
      </c>
      <c r="AG491" s="382">
        <v>0.74444444444444502</v>
      </c>
      <c r="AH491" s="371" t="s">
        <v>2276</v>
      </c>
      <c r="AI491" s="382">
        <v>0.80347222222222203</v>
      </c>
      <c r="AJ491" s="382">
        <v>0.80347222222222203</v>
      </c>
      <c r="AK491" s="371" t="s">
        <v>2271</v>
      </c>
      <c r="AL491" s="206" t="s">
        <v>137</v>
      </c>
      <c r="AM491" s="206" t="s">
        <v>137</v>
      </c>
      <c r="AN491" s="371" t="s">
        <v>2271</v>
      </c>
      <c r="AO491" s="206" t="s">
        <v>2658</v>
      </c>
      <c r="AP491" s="206" t="s">
        <v>1781</v>
      </c>
      <c r="AQ491" s="206" t="s">
        <v>1132</v>
      </c>
      <c r="AR491" s="207" t="s">
        <v>68</v>
      </c>
    </row>
    <row r="492" spans="1:44" x14ac:dyDescent="0.2">
      <c r="A492" s="370">
        <v>473</v>
      </c>
      <c r="B492" s="380">
        <v>262</v>
      </c>
      <c r="C492" s="371" t="s">
        <v>2275</v>
      </c>
      <c r="D492" s="371" t="s">
        <v>2235</v>
      </c>
      <c r="E492" s="206"/>
      <c r="F492" s="206" t="s">
        <v>84</v>
      </c>
      <c r="G492" s="206" t="s">
        <v>84</v>
      </c>
      <c r="H492" s="371" t="s">
        <v>2271</v>
      </c>
      <c r="I492" s="206"/>
      <c r="J492" s="206" t="s">
        <v>1433</v>
      </c>
      <c r="K492" s="371" t="s">
        <v>2276</v>
      </c>
      <c r="L492" s="206" t="s">
        <v>2155</v>
      </c>
      <c r="M492" s="206" t="s">
        <v>1337</v>
      </c>
      <c r="N492" s="206" t="s">
        <v>49</v>
      </c>
      <c r="O492" s="372">
        <v>45999</v>
      </c>
      <c r="P492" s="372">
        <v>45999</v>
      </c>
      <c r="Q492" s="371" t="s">
        <v>2271</v>
      </c>
      <c r="R492" s="373">
        <v>26710</v>
      </c>
      <c r="S492" s="373">
        <v>26710</v>
      </c>
      <c r="T492" s="371" t="s">
        <v>2271</v>
      </c>
      <c r="U492" s="373">
        <v>12280</v>
      </c>
      <c r="V492" s="373">
        <v>12280</v>
      </c>
      <c r="W492" s="371" t="s">
        <v>2271</v>
      </c>
      <c r="X492" s="373">
        <v>14430</v>
      </c>
      <c r="Y492" s="373">
        <v>14430</v>
      </c>
      <c r="Z492" s="371" t="s">
        <v>2271</v>
      </c>
      <c r="AA492" s="373">
        <v>0</v>
      </c>
      <c r="AB492" s="373">
        <v>14380</v>
      </c>
      <c r="AC492" s="373">
        <v>14380</v>
      </c>
      <c r="AD492" s="371" t="s">
        <v>2271</v>
      </c>
      <c r="AE492" s="373">
        <v>0</v>
      </c>
      <c r="AF492" s="382">
        <v>0.75902777777777797</v>
      </c>
      <c r="AG492" s="382">
        <v>0.75902777777777797</v>
      </c>
      <c r="AH492" s="371" t="s">
        <v>2271</v>
      </c>
      <c r="AI492" s="382">
        <v>0.81458333333333299</v>
      </c>
      <c r="AJ492" s="382">
        <v>0.81458333333333299</v>
      </c>
      <c r="AK492" s="371" t="s">
        <v>2271</v>
      </c>
      <c r="AL492" s="206" t="s">
        <v>137</v>
      </c>
      <c r="AM492" s="206" t="s">
        <v>137</v>
      </c>
      <c r="AN492" s="371" t="s">
        <v>2271</v>
      </c>
      <c r="AO492" s="206" t="s">
        <v>2659</v>
      </c>
      <c r="AP492" s="206" t="s">
        <v>1782</v>
      </c>
      <c r="AQ492" s="206" t="s">
        <v>1132</v>
      </c>
      <c r="AR492" s="207" t="s">
        <v>68</v>
      </c>
    </row>
    <row r="493" spans="1:44" x14ac:dyDescent="0.2">
      <c r="A493" s="370">
        <v>474</v>
      </c>
      <c r="B493" s="380">
        <v>263</v>
      </c>
      <c r="C493" s="371" t="s">
        <v>2275</v>
      </c>
      <c r="D493" s="371" t="s">
        <v>2235</v>
      </c>
      <c r="E493" s="206"/>
      <c r="F493" s="206" t="s">
        <v>46</v>
      </c>
      <c r="G493" s="206" t="s">
        <v>46</v>
      </c>
      <c r="H493" s="371" t="s">
        <v>2271</v>
      </c>
      <c r="I493" s="206"/>
      <c r="J493" s="206" t="s">
        <v>1433</v>
      </c>
      <c r="K493" s="371" t="s">
        <v>2276</v>
      </c>
      <c r="L493" s="206" t="s">
        <v>2155</v>
      </c>
      <c r="M493" s="206" t="s">
        <v>1337</v>
      </c>
      <c r="N493" s="206" t="s">
        <v>49</v>
      </c>
      <c r="O493" s="372">
        <v>45999</v>
      </c>
      <c r="P493" s="372">
        <v>45999</v>
      </c>
      <c r="Q493" s="371" t="s">
        <v>2271</v>
      </c>
      <c r="R493" s="373">
        <v>26640</v>
      </c>
      <c r="S493" s="373">
        <v>26640</v>
      </c>
      <c r="T493" s="371" t="s">
        <v>2271</v>
      </c>
      <c r="U493" s="373">
        <v>11860</v>
      </c>
      <c r="V493" s="373">
        <v>11860</v>
      </c>
      <c r="W493" s="371" t="s">
        <v>2271</v>
      </c>
      <c r="X493" s="373">
        <v>14780</v>
      </c>
      <c r="Y493" s="373">
        <v>14780</v>
      </c>
      <c r="Z493" s="371" t="s">
        <v>2271</v>
      </c>
      <c r="AA493" s="373">
        <v>0</v>
      </c>
      <c r="AB493" s="373">
        <v>14720</v>
      </c>
      <c r="AC493" s="373">
        <v>14720</v>
      </c>
      <c r="AD493" s="371" t="s">
        <v>2271</v>
      </c>
      <c r="AE493" s="373">
        <v>0</v>
      </c>
      <c r="AF493" s="382">
        <v>0.76527777777777795</v>
      </c>
      <c r="AG493" s="382">
        <v>0.76527777777777795</v>
      </c>
      <c r="AH493" s="371" t="s">
        <v>2271</v>
      </c>
      <c r="AI493" s="382">
        <v>0.844444444444444</v>
      </c>
      <c r="AJ493" s="382">
        <v>0.844444444444444</v>
      </c>
      <c r="AK493" s="371" t="s">
        <v>2271</v>
      </c>
      <c r="AL493" s="206" t="s">
        <v>137</v>
      </c>
      <c r="AM493" s="206" t="s">
        <v>137</v>
      </c>
      <c r="AN493" s="371" t="s">
        <v>2271</v>
      </c>
      <c r="AO493" s="206" t="s">
        <v>2660</v>
      </c>
      <c r="AP493" s="206" t="s">
        <v>1393</v>
      </c>
      <c r="AQ493" s="206" t="s">
        <v>1132</v>
      </c>
      <c r="AR493" s="207" t="s">
        <v>68</v>
      </c>
    </row>
    <row r="494" spans="1:44" x14ac:dyDescent="0.2">
      <c r="A494" s="370">
        <v>475</v>
      </c>
      <c r="B494" s="380">
        <v>264</v>
      </c>
      <c r="C494" s="371" t="s">
        <v>2269</v>
      </c>
      <c r="D494" s="371" t="s">
        <v>2270</v>
      </c>
      <c r="E494" s="206"/>
      <c r="F494" s="206" t="s">
        <v>39</v>
      </c>
      <c r="G494" s="206" t="s">
        <v>39</v>
      </c>
      <c r="H494" s="371" t="s">
        <v>2271</v>
      </c>
      <c r="I494" s="206" t="s">
        <v>1345</v>
      </c>
      <c r="J494" s="206" t="s">
        <v>1345</v>
      </c>
      <c r="K494" s="371" t="s">
        <v>2271</v>
      </c>
      <c r="L494" s="206" t="s">
        <v>2152</v>
      </c>
      <c r="M494" s="206" t="s">
        <v>1344</v>
      </c>
      <c r="N494" s="206" t="s">
        <v>40</v>
      </c>
      <c r="O494" s="372">
        <v>46000</v>
      </c>
      <c r="P494" s="372">
        <v>46000</v>
      </c>
      <c r="Q494" s="371" t="s">
        <v>2271</v>
      </c>
      <c r="R494" s="373">
        <v>13730</v>
      </c>
      <c r="S494" s="373">
        <v>13730</v>
      </c>
      <c r="T494" s="371" t="s">
        <v>2271</v>
      </c>
      <c r="U494" s="373">
        <v>4100</v>
      </c>
      <c r="V494" s="373">
        <v>4100</v>
      </c>
      <c r="W494" s="371" t="s">
        <v>2271</v>
      </c>
      <c r="X494" s="373">
        <v>9630</v>
      </c>
      <c r="Y494" s="373">
        <v>9630</v>
      </c>
      <c r="Z494" s="371" t="s">
        <v>2271</v>
      </c>
      <c r="AA494" s="373">
        <v>0</v>
      </c>
      <c r="AB494" s="373">
        <v>9570</v>
      </c>
      <c r="AC494" s="373">
        <v>9570</v>
      </c>
      <c r="AD494" s="371" t="s">
        <v>2271</v>
      </c>
      <c r="AE494" s="373">
        <v>0</v>
      </c>
      <c r="AF494" s="382">
        <v>0.97361111111111098</v>
      </c>
      <c r="AG494" s="382">
        <v>0.97361111111111098</v>
      </c>
      <c r="AH494" s="371" t="s">
        <v>2271</v>
      </c>
      <c r="AI494" s="382">
        <v>1.1111111111111099E-2</v>
      </c>
      <c r="AJ494" s="382">
        <v>1.1111111111111099E-2</v>
      </c>
      <c r="AK494" s="371" t="s">
        <v>2271</v>
      </c>
      <c r="AL494" s="206" t="s">
        <v>137</v>
      </c>
      <c r="AM494" s="206" t="s">
        <v>137</v>
      </c>
      <c r="AN494" s="371" t="s">
        <v>2271</v>
      </c>
      <c r="AO494" s="206" t="s">
        <v>2661</v>
      </c>
      <c r="AP494" s="206"/>
      <c r="AQ494" s="206" t="s">
        <v>1131</v>
      </c>
      <c r="AR494" s="207" t="s">
        <v>82</v>
      </c>
    </row>
    <row r="495" spans="1:44" x14ac:dyDescent="0.2">
      <c r="A495" s="370">
        <v>476</v>
      </c>
      <c r="B495" s="380">
        <v>265</v>
      </c>
      <c r="C495" s="371" t="s">
        <v>2269</v>
      </c>
      <c r="D495" s="371" t="s">
        <v>2270</v>
      </c>
      <c r="E495" s="206"/>
      <c r="F495" s="206" t="s">
        <v>73</v>
      </c>
      <c r="G495" s="206" t="s">
        <v>73</v>
      </c>
      <c r="H495" s="371" t="s">
        <v>2271</v>
      </c>
      <c r="I495" s="206" t="s">
        <v>1345</v>
      </c>
      <c r="J495" s="206" t="s">
        <v>1345</v>
      </c>
      <c r="K495" s="371" t="s">
        <v>2271</v>
      </c>
      <c r="L495" s="206" t="s">
        <v>2152</v>
      </c>
      <c r="M495" s="206" t="s">
        <v>1344</v>
      </c>
      <c r="N495" s="206" t="s">
        <v>40</v>
      </c>
      <c r="O495" s="372">
        <v>46000</v>
      </c>
      <c r="P495" s="372">
        <v>46000</v>
      </c>
      <c r="Q495" s="371" t="s">
        <v>2271</v>
      </c>
      <c r="R495" s="373">
        <v>13490</v>
      </c>
      <c r="S495" s="373">
        <v>13490</v>
      </c>
      <c r="T495" s="371" t="s">
        <v>2271</v>
      </c>
      <c r="U495" s="373">
        <v>4010</v>
      </c>
      <c r="V495" s="373">
        <v>4010</v>
      </c>
      <c r="W495" s="371" t="s">
        <v>2271</v>
      </c>
      <c r="X495" s="373">
        <v>9480</v>
      </c>
      <c r="Y495" s="373">
        <v>9480</v>
      </c>
      <c r="Z495" s="371" t="s">
        <v>2271</v>
      </c>
      <c r="AA495" s="373">
        <v>0</v>
      </c>
      <c r="AB495" s="373">
        <v>9430</v>
      </c>
      <c r="AC495" s="373">
        <v>9430</v>
      </c>
      <c r="AD495" s="371" t="s">
        <v>2271</v>
      </c>
      <c r="AE495" s="373">
        <v>0</v>
      </c>
      <c r="AF495" s="382">
        <v>0.97916666666666696</v>
      </c>
      <c r="AG495" s="382">
        <v>0.97916666666666696</v>
      </c>
      <c r="AH495" s="371" t="s">
        <v>2271</v>
      </c>
      <c r="AI495" s="382">
        <v>1.0416666666666701E-2</v>
      </c>
      <c r="AJ495" s="382">
        <v>1.0416666666666701E-2</v>
      </c>
      <c r="AK495" s="371" t="s">
        <v>2271</v>
      </c>
      <c r="AL495" s="206" t="s">
        <v>137</v>
      </c>
      <c r="AM495" s="206" t="s">
        <v>137</v>
      </c>
      <c r="AN495" s="371" t="s">
        <v>2271</v>
      </c>
      <c r="AO495" s="206" t="s">
        <v>2662</v>
      </c>
      <c r="AP495" s="206"/>
      <c r="AQ495" s="206" t="s">
        <v>1131</v>
      </c>
      <c r="AR495" s="207" t="s">
        <v>82</v>
      </c>
    </row>
    <row r="496" spans="1:44" x14ac:dyDescent="0.2">
      <c r="A496" s="370">
        <v>477</v>
      </c>
      <c r="B496" s="380">
        <v>266</v>
      </c>
      <c r="C496" s="371" t="s">
        <v>2269</v>
      </c>
      <c r="D496" s="371" t="s">
        <v>2270</v>
      </c>
      <c r="E496" s="206"/>
      <c r="F496" s="206" t="s">
        <v>166</v>
      </c>
      <c r="G496" s="206" t="s">
        <v>166</v>
      </c>
      <c r="H496" s="371" t="s">
        <v>2271</v>
      </c>
      <c r="I496" s="206" t="s">
        <v>1345</v>
      </c>
      <c r="J496" s="206" t="s">
        <v>1345</v>
      </c>
      <c r="K496" s="371" t="s">
        <v>2271</v>
      </c>
      <c r="L496" s="206" t="s">
        <v>2152</v>
      </c>
      <c r="M496" s="206" t="s">
        <v>1344</v>
      </c>
      <c r="N496" s="206" t="s">
        <v>40</v>
      </c>
      <c r="O496" s="372">
        <v>46000</v>
      </c>
      <c r="P496" s="372">
        <v>46000</v>
      </c>
      <c r="Q496" s="371" t="s">
        <v>2271</v>
      </c>
      <c r="R496" s="373">
        <v>13160</v>
      </c>
      <c r="S496" s="373">
        <v>13160</v>
      </c>
      <c r="T496" s="371" t="s">
        <v>2271</v>
      </c>
      <c r="U496" s="373">
        <v>3790</v>
      </c>
      <c r="V496" s="373">
        <v>3790</v>
      </c>
      <c r="W496" s="371" t="s">
        <v>2271</v>
      </c>
      <c r="X496" s="373">
        <v>9370</v>
      </c>
      <c r="Y496" s="373">
        <v>9370</v>
      </c>
      <c r="Z496" s="371" t="s">
        <v>2271</v>
      </c>
      <c r="AA496" s="373">
        <v>0</v>
      </c>
      <c r="AB496" s="373">
        <v>9350</v>
      </c>
      <c r="AC496" s="373">
        <v>9350</v>
      </c>
      <c r="AD496" s="371" t="s">
        <v>2271</v>
      </c>
      <c r="AE496" s="373">
        <v>0</v>
      </c>
      <c r="AF496" s="382">
        <v>0.98055555555555596</v>
      </c>
      <c r="AG496" s="382">
        <v>0.98055555555555596</v>
      </c>
      <c r="AH496" s="371" t="s">
        <v>2271</v>
      </c>
      <c r="AI496" s="382">
        <v>4.65277777777778E-2</v>
      </c>
      <c r="AJ496" s="382">
        <v>4.65277777777778E-2</v>
      </c>
      <c r="AK496" s="371" t="s">
        <v>2271</v>
      </c>
      <c r="AL496" s="206" t="s">
        <v>137</v>
      </c>
      <c r="AM496" s="206" t="s">
        <v>137</v>
      </c>
      <c r="AN496" s="371" t="s">
        <v>2271</v>
      </c>
      <c r="AO496" s="206" t="s">
        <v>2663</v>
      </c>
      <c r="AP496" s="206"/>
      <c r="AQ496" s="206" t="s">
        <v>1131</v>
      </c>
      <c r="AR496" s="207" t="s">
        <v>82</v>
      </c>
    </row>
    <row r="497" spans="1:44" x14ac:dyDescent="0.2">
      <c r="A497" s="370">
        <v>478</v>
      </c>
      <c r="B497" s="380">
        <v>268</v>
      </c>
      <c r="C497" s="371" t="s">
        <v>2269</v>
      </c>
      <c r="D497" s="371" t="s">
        <v>2270</v>
      </c>
      <c r="E497" s="206"/>
      <c r="F497" s="206" t="s">
        <v>163</v>
      </c>
      <c r="G497" s="206" t="s">
        <v>163</v>
      </c>
      <c r="H497" s="371" t="s">
        <v>2271</v>
      </c>
      <c r="I497" s="206" t="s">
        <v>1345</v>
      </c>
      <c r="J497" s="206" t="s">
        <v>1345</v>
      </c>
      <c r="K497" s="371" t="s">
        <v>2271</v>
      </c>
      <c r="L497" s="206" t="s">
        <v>2152</v>
      </c>
      <c r="M497" s="206" t="s">
        <v>1344</v>
      </c>
      <c r="N497" s="206" t="s">
        <v>40</v>
      </c>
      <c r="O497" s="372">
        <v>46000</v>
      </c>
      <c r="P497" s="372">
        <v>46000</v>
      </c>
      <c r="Q497" s="371" t="s">
        <v>2271</v>
      </c>
      <c r="R497" s="373">
        <v>13990</v>
      </c>
      <c r="S497" s="373">
        <v>13990</v>
      </c>
      <c r="T497" s="371" t="s">
        <v>2271</v>
      </c>
      <c r="U497" s="373">
        <v>3950</v>
      </c>
      <c r="V497" s="373">
        <v>3950</v>
      </c>
      <c r="W497" s="371" t="s">
        <v>2271</v>
      </c>
      <c r="X497" s="373">
        <v>10040</v>
      </c>
      <c r="Y497" s="373">
        <v>10040</v>
      </c>
      <c r="Z497" s="371" t="s">
        <v>2271</v>
      </c>
      <c r="AA497" s="373">
        <v>0</v>
      </c>
      <c r="AB497" s="373">
        <v>10090</v>
      </c>
      <c r="AC497" s="373">
        <v>10090</v>
      </c>
      <c r="AD497" s="371" t="s">
        <v>2271</v>
      </c>
      <c r="AE497" s="373">
        <v>0</v>
      </c>
      <c r="AF497" s="382">
        <v>2.0138888888888901E-2</v>
      </c>
      <c r="AG497" s="382">
        <v>2.0138888888888901E-2</v>
      </c>
      <c r="AH497" s="371" t="s">
        <v>2271</v>
      </c>
      <c r="AI497" s="382">
        <v>4.7916666666666698E-2</v>
      </c>
      <c r="AJ497" s="382">
        <v>4.7916666666666698E-2</v>
      </c>
      <c r="AK497" s="371" t="s">
        <v>2271</v>
      </c>
      <c r="AL497" s="206" t="s">
        <v>137</v>
      </c>
      <c r="AM497" s="206" t="s">
        <v>137</v>
      </c>
      <c r="AN497" s="371" t="s">
        <v>2271</v>
      </c>
      <c r="AO497" s="206" t="s">
        <v>2664</v>
      </c>
      <c r="AP497" s="206"/>
      <c r="AQ497" s="206" t="s">
        <v>1131</v>
      </c>
      <c r="AR497" s="207" t="s">
        <v>82</v>
      </c>
    </row>
    <row r="498" spans="1:44" x14ac:dyDescent="0.2">
      <c r="A498" s="370">
        <v>479</v>
      </c>
      <c r="B498" s="380">
        <v>269</v>
      </c>
      <c r="C498" s="371" t="s">
        <v>2269</v>
      </c>
      <c r="D498" s="371" t="s">
        <v>2235</v>
      </c>
      <c r="E498" s="206"/>
      <c r="F498" s="206" t="s">
        <v>169</v>
      </c>
      <c r="G498" s="206" t="s">
        <v>169</v>
      </c>
      <c r="H498" s="371" t="s">
        <v>2271</v>
      </c>
      <c r="I498" s="206" t="s">
        <v>1345</v>
      </c>
      <c r="J498" s="206" t="s">
        <v>1345</v>
      </c>
      <c r="K498" s="371" t="s">
        <v>2271</v>
      </c>
      <c r="L498" s="206" t="s">
        <v>2152</v>
      </c>
      <c r="M498" s="206" t="s">
        <v>1344</v>
      </c>
      <c r="N498" s="206" t="s">
        <v>40</v>
      </c>
      <c r="O498" s="372">
        <v>46000</v>
      </c>
      <c r="P498" s="372">
        <v>46000</v>
      </c>
      <c r="Q498" s="371" t="s">
        <v>2271</v>
      </c>
      <c r="R498" s="373">
        <v>13410</v>
      </c>
      <c r="S498" s="373">
        <v>13410</v>
      </c>
      <c r="T498" s="371" t="s">
        <v>2271</v>
      </c>
      <c r="U498" s="373">
        <v>3950</v>
      </c>
      <c r="V498" s="373">
        <v>3950</v>
      </c>
      <c r="W498" s="371" t="s">
        <v>2271</v>
      </c>
      <c r="X498" s="373">
        <v>9460</v>
      </c>
      <c r="Y498" s="373">
        <v>9460</v>
      </c>
      <c r="Z498" s="371" t="s">
        <v>2271</v>
      </c>
      <c r="AA498" s="373">
        <v>0</v>
      </c>
      <c r="AB498" s="373">
        <v>9410</v>
      </c>
      <c r="AC498" s="373">
        <v>9410</v>
      </c>
      <c r="AD498" s="371" t="s">
        <v>2271</v>
      </c>
      <c r="AE498" s="373">
        <v>0</v>
      </c>
      <c r="AF498" s="382">
        <v>0.35069444444444398</v>
      </c>
      <c r="AG498" s="382">
        <v>0.35069444444444398</v>
      </c>
      <c r="AH498" s="371" t="s">
        <v>2271</v>
      </c>
      <c r="AI498" s="382">
        <v>0.38819444444444401</v>
      </c>
      <c r="AJ498" s="382">
        <v>0.38819444444444501</v>
      </c>
      <c r="AK498" s="371" t="s">
        <v>2276</v>
      </c>
      <c r="AL498" s="206" t="s">
        <v>42</v>
      </c>
      <c r="AM498" s="206" t="s">
        <v>42</v>
      </c>
      <c r="AN498" s="371" t="s">
        <v>2271</v>
      </c>
      <c r="AO498" s="206" t="s">
        <v>2665</v>
      </c>
      <c r="AP498" s="206"/>
      <c r="AQ498" s="206" t="s">
        <v>1131</v>
      </c>
      <c r="AR498" s="207" t="s">
        <v>82</v>
      </c>
    </row>
    <row r="499" spans="1:44" x14ac:dyDescent="0.2">
      <c r="A499" s="370">
        <v>480</v>
      </c>
      <c r="B499" s="380">
        <v>270</v>
      </c>
      <c r="C499" s="371" t="s">
        <v>2269</v>
      </c>
      <c r="D499" s="371" t="s">
        <v>2270</v>
      </c>
      <c r="E499" s="206"/>
      <c r="F499" s="206" t="s">
        <v>173</v>
      </c>
      <c r="G499" s="206" t="s">
        <v>173</v>
      </c>
      <c r="H499" s="371" t="s">
        <v>2271</v>
      </c>
      <c r="I499" s="206" t="s">
        <v>1345</v>
      </c>
      <c r="J499" s="206" t="s">
        <v>1345</v>
      </c>
      <c r="K499" s="371" t="s">
        <v>2271</v>
      </c>
      <c r="L499" s="206" t="s">
        <v>2152</v>
      </c>
      <c r="M499" s="206" t="s">
        <v>1344</v>
      </c>
      <c r="N499" s="206" t="s">
        <v>40</v>
      </c>
      <c r="O499" s="372">
        <v>46000</v>
      </c>
      <c r="P499" s="372">
        <v>46000</v>
      </c>
      <c r="Q499" s="371" t="s">
        <v>2271</v>
      </c>
      <c r="R499" s="373">
        <v>14270</v>
      </c>
      <c r="S499" s="373">
        <v>14270</v>
      </c>
      <c r="T499" s="371" t="s">
        <v>2271</v>
      </c>
      <c r="U499" s="373">
        <v>4560</v>
      </c>
      <c r="V499" s="373">
        <v>4560</v>
      </c>
      <c r="W499" s="371" t="s">
        <v>2271</v>
      </c>
      <c r="X499" s="373">
        <v>9710</v>
      </c>
      <c r="Y499" s="373">
        <v>9710</v>
      </c>
      <c r="Z499" s="371" t="s">
        <v>2271</v>
      </c>
      <c r="AA499" s="373">
        <v>0</v>
      </c>
      <c r="AB499" s="373">
        <v>9670</v>
      </c>
      <c r="AC499" s="373">
        <v>9670</v>
      </c>
      <c r="AD499" s="371" t="s">
        <v>2271</v>
      </c>
      <c r="AE499" s="373">
        <v>0</v>
      </c>
      <c r="AF499" s="382">
        <v>0.35208333333333303</v>
      </c>
      <c r="AG499" s="382">
        <v>0.35208333333333303</v>
      </c>
      <c r="AH499" s="371" t="s">
        <v>2271</v>
      </c>
      <c r="AI499" s="382">
        <v>0.389583333333333</v>
      </c>
      <c r="AJ499" s="382">
        <v>0.389583333333333</v>
      </c>
      <c r="AK499" s="371" t="s">
        <v>2271</v>
      </c>
      <c r="AL499" s="206" t="s">
        <v>42</v>
      </c>
      <c r="AM499" s="206" t="s">
        <v>42</v>
      </c>
      <c r="AN499" s="371" t="s">
        <v>2271</v>
      </c>
      <c r="AO499" s="206" t="s">
        <v>2666</v>
      </c>
      <c r="AP499" s="206"/>
      <c r="AQ499" s="206" t="s">
        <v>1131</v>
      </c>
      <c r="AR499" s="207" t="s">
        <v>82</v>
      </c>
    </row>
    <row r="500" spans="1:44" x14ac:dyDescent="0.2">
      <c r="A500" s="370">
        <v>481</v>
      </c>
      <c r="B500" s="380">
        <v>271</v>
      </c>
      <c r="C500" s="371" t="s">
        <v>2269</v>
      </c>
      <c r="D500" s="371" t="s">
        <v>2270</v>
      </c>
      <c r="E500" s="206"/>
      <c r="F500" s="206" t="s">
        <v>181</v>
      </c>
      <c r="G500" s="206" t="s">
        <v>181</v>
      </c>
      <c r="H500" s="371" t="s">
        <v>2271</v>
      </c>
      <c r="I500" s="206" t="s">
        <v>1345</v>
      </c>
      <c r="J500" s="206" t="s">
        <v>1345</v>
      </c>
      <c r="K500" s="371" t="s">
        <v>2271</v>
      </c>
      <c r="L500" s="206" t="s">
        <v>2152</v>
      </c>
      <c r="M500" s="206" t="s">
        <v>1344</v>
      </c>
      <c r="N500" s="206" t="s">
        <v>40</v>
      </c>
      <c r="O500" s="372">
        <v>46000</v>
      </c>
      <c r="P500" s="372">
        <v>46000</v>
      </c>
      <c r="Q500" s="371" t="s">
        <v>2271</v>
      </c>
      <c r="R500" s="373">
        <v>13610</v>
      </c>
      <c r="S500" s="373">
        <v>13610</v>
      </c>
      <c r="T500" s="371" t="s">
        <v>2271</v>
      </c>
      <c r="U500" s="373">
        <v>4050</v>
      </c>
      <c r="V500" s="373">
        <v>4050</v>
      </c>
      <c r="W500" s="371" t="s">
        <v>2271</v>
      </c>
      <c r="X500" s="373">
        <v>9560</v>
      </c>
      <c r="Y500" s="373">
        <v>9560</v>
      </c>
      <c r="Z500" s="371" t="s">
        <v>2271</v>
      </c>
      <c r="AA500" s="373">
        <v>0</v>
      </c>
      <c r="AB500" s="373">
        <v>9610</v>
      </c>
      <c r="AC500" s="373">
        <v>9610</v>
      </c>
      <c r="AD500" s="371" t="s">
        <v>2271</v>
      </c>
      <c r="AE500" s="373">
        <v>0</v>
      </c>
      <c r="AF500" s="382">
        <v>0.39305555555555599</v>
      </c>
      <c r="AG500" s="382">
        <v>0.39305555555555599</v>
      </c>
      <c r="AH500" s="371" t="s">
        <v>2271</v>
      </c>
      <c r="AI500" s="382">
        <v>0.44027777777777799</v>
      </c>
      <c r="AJ500" s="382">
        <v>0.44027777777777799</v>
      </c>
      <c r="AK500" s="371" t="s">
        <v>2271</v>
      </c>
      <c r="AL500" s="206" t="s">
        <v>42</v>
      </c>
      <c r="AM500" s="206" t="s">
        <v>42</v>
      </c>
      <c r="AN500" s="371" t="s">
        <v>2271</v>
      </c>
      <c r="AO500" s="206" t="s">
        <v>2667</v>
      </c>
      <c r="AP500" s="206"/>
      <c r="AQ500" s="206" t="s">
        <v>1131</v>
      </c>
      <c r="AR500" s="207" t="s">
        <v>82</v>
      </c>
    </row>
    <row r="501" spans="1:44" x14ac:dyDescent="0.2">
      <c r="A501" s="370">
        <v>482</v>
      </c>
      <c r="B501" s="380">
        <v>272</v>
      </c>
      <c r="C501" s="371" t="s">
        <v>2275</v>
      </c>
      <c r="D501" s="371" t="s">
        <v>2235</v>
      </c>
      <c r="E501" s="206"/>
      <c r="F501" s="206" t="s">
        <v>84</v>
      </c>
      <c r="G501" s="206" t="s">
        <v>84</v>
      </c>
      <c r="H501" s="371" t="s">
        <v>2271</v>
      </c>
      <c r="I501" s="206"/>
      <c r="J501" s="206" t="s">
        <v>1433</v>
      </c>
      <c r="K501" s="371" t="s">
        <v>2276</v>
      </c>
      <c r="L501" s="206" t="s">
        <v>2157</v>
      </c>
      <c r="M501" s="206" t="s">
        <v>1337</v>
      </c>
      <c r="N501" s="206" t="s">
        <v>49</v>
      </c>
      <c r="O501" s="372">
        <v>46000</v>
      </c>
      <c r="P501" s="372">
        <v>46000</v>
      </c>
      <c r="Q501" s="371" t="s">
        <v>2271</v>
      </c>
      <c r="R501" s="373">
        <v>26670</v>
      </c>
      <c r="S501" s="373">
        <v>26670</v>
      </c>
      <c r="T501" s="371" t="s">
        <v>2271</v>
      </c>
      <c r="U501" s="373">
        <v>12230</v>
      </c>
      <c r="V501" s="373">
        <v>12230</v>
      </c>
      <c r="W501" s="371" t="s">
        <v>2271</v>
      </c>
      <c r="X501" s="373">
        <v>14440</v>
      </c>
      <c r="Y501" s="373">
        <v>14440</v>
      </c>
      <c r="Z501" s="371" t="s">
        <v>2271</v>
      </c>
      <c r="AA501" s="373">
        <v>0</v>
      </c>
      <c r="AB501" s="373">
        <v>14400</v>
      </c>
      <c r="AC501" s="373">
        <v>14400</v>
      </c>
      <c r="AD501" s="371" t="s">
        <v>2271</v>
      </c>
      <c r="AE501" s="373">
        <v>0</v>
      </c>
      <c r="AF501" s="382">
        <v>0.46736111111111101</v>
      </c>
      <c r="AG501" s="382">
        <v>0.46736111111111101</v>
      </c>
      <c r="AH501" s="371" t="s">
        <v>2271</v>
      </c>
      <c r="AI501" s="382">
        <v>0.55000000000000004</v>
      </c>
      <c r="AJ501" s="382">
        <v>0.55000000000000004</v>
      </c>
      <c r="AK501" s="371" t="s">
        <v>2271</v>
      </c>
      <c r="AL501" s="206" t="s">
        <v>42</v>
      </c>
      <c r="AM501" s="206" t="s">
        <v>42</v>
      </c>
      <c r="AN501" s="371" t="s">
        <v>2271</v>
      </c>
      <c r="AO501" s="206" t="s">
        <v>2668</v>
      </c>
      <c r="AP501" s="206" t="s">
        <v>1782</v>
      </c>
      <c r="AQ501" s="206" t="s">
        <v>1132</v>
      </c>
      <c r="AR501" s="207" t="s">
        <v>68</v>
      </c>
    </row>
    <row r="502" spans="1:44" x14ac:dyDescent="0.2">
      <c r="A502" s="370">
        <v>483</v>
      </c>
      <c r="B502" s="380">
        <v>273</v>
      </c>
      <c r="C502" s="371" t="s">
        <v>2275</v>
      </c>
      <c r="D502" s="371" t="s">
        <v>2235</v>
      </c>
      <c r="E502" s="206"/>
      <c r="F502" s="206" t="s">
        <v>56</v>
      </c>
      <c r="G502" s="206" t="s">
        <v>56</v>
      </c>
      <c r="H502" s="371" t="s">
        <v>2271</v>
      </c>
      <c r="I502" s="206"/>
      <c r="J502" s="206" t="s">
        <v>1433</v>
      </c>
      <c r="K502" s="371" t="s">
        <v>2276</v>
      </c>
      <c r="L502" s="206" t="s">
        <v>2157</v>
      </c>
      <c r="M502" s="206" t="s">
        <v>1337</v>
      </c>
      <c r="N502" s="206" t="s">
        <v>49</v>
      </c>
      <c r="O502" s="372">
        <v>46000</v>
      </c>
      <c r="P502" s="372">
        <v>46000</v>
      </c>
      <c r="Q502" s="371" t="s">
        <v>2271</v>
      </c>
      <c r="R502" s="373">
        <v>25100</v>
      </c>
      <c r="S502" s="373">
        <v>25100</v>
      </c>
      <c r="T502" s="371" t="s">
        <v>2271</v>
      </c>
      <c r="U502" s="373">
        <v>10870</v>
      </c>
      <c r="V502" s="373">
        <v>10870</v>
      </c>
      <c r="W502" s="371" t="s">
        <v>2271</v>
      </c>
      <c r="X502" s="373">
        <v>14230</v>
      </c>
      <c r="Y502" s="373">
        <v>14230</v>
      </c>
      <c r="Z502" s="371" t="s">
        <v>2271</v>
      </c>
      <c r="AA502" s="373">
        <v>0</v>
      </c>
      <c r="AB502" s="373">
        <v>14190</v>
      </c>
      <c r="AC502" s="373">
        <v>14190</v>
      </c>
      <c r="AD502" s="371" t="s">
        <v>2271</v>
      </c>
      <c r="AE502" s="373">
        <v>0</v>
      </c>
      <c r="AF502" s="382">
        <v>0.468055555555556</v>
      </c>
      <c r="AG502" s="382">
        <v>0.468055555555556</v>
      </c>
      <c r="AH502" s="371" t="s">
        <v>2271</v>
      </c>
      <c r="AI502" s="382">
        <v>0.563194444444444</v>
      </c>
      <c r="AJ502" s="382">
        <v>0.563194444444444</v>
      </c>
      <c r="AK502" s="371" t="s">
        <v>2271</v>
      </c>
      <c r="AL502" s="206" t="s">
        <v>42</v>
      </c>
      <c r="AM502" s="206" t="s">
        <v>42</v>
      </c>
      <c r="AN502" s="371" t="s">
        <v>2271</v>
      </c>
      <c r="AO502" s="206" t="s">
        <v>2669</v>
      </c>
      <c r="AP502" s="206" t="s">
        <v>1781</v>
      </c>
      <c r="AQ502" s="206" t="s">
        <v>1132</v>
      </c>
      <c r="AR502" s="207" t="s">
        <v>68</v>
      </c>
    </row>
    <row r="503" spans="1:44" x14ac:dyDescent="0.2">
      <c r="A503" s="370">
        <v>484</v>
      </c>
      <c r="B503" s="380">
        <v>274</v>
      </c>
      <c r="C503" s="371" t="s">
        <v>2269</v>
      </c>
      <c r="D503" s="371" t="s">
        <v>2270</v>
      </c>
      <c r="E503" s="206"/>
      <c r="F503" s="206" t="s">
        <v>183</v>
      </c>
      <c r="G503" s="206" t="s">
        <v>183</v>
      </c>
      <c r="H503" s="371" t="s">
        <v>2271</v>
      </c>
      <c r="I503" s="206" t="s">
        <v>1345</v>
      </c>
      <c r="J503" s="206" t="s">
        <v>1345</v>
      </c>
      <c r="K503" s="371" t="s">
        <v>2271</v>
      </c>
      <c r="L503" s="206" t="s">
        <v>2152</v>
      </c>
      <c r="M503" s="206" t="s">
        <v>1344</v>
      </c>
      <c r="N503" s="206" t="s">
        <v>40</v>
      </c>
      <c r="O503" s="372">
        <v>46000</v>
      </c>
      <c r="P503" s="372">
        <v>46000</v>
      </c>
      <c r="Q503" s="371" t="s">
        <v>2271</v>
      </c>
      <c r="R503" s="373">
        <v>14220</v>
      </c>
      <c r="S503" s="373">
        <v>14220</v>
      </c>
      <c r="T503" s="371" t="s">
        <v>2271</v>
      </c>
      <c r="U503" s="373">
        <v>4170</v>
      </c>
      <c r="V503" s="373">
        <v>4170</v>
      </c>
      <c r="W503" s="371" t="s">
        <v>2271</v>
      </c>
      <c r="X503" s="373">
        <v>10050</v>
      </c>
      <c r="Y503" s="373">
        <v>10050</v>
      </c>
      <c r="Z503" s="371" t="s">
        <v>2271</v>
      </c>
      <c r="AA503" s="373">
        <v>0</v>
      </c>
      <c r="AB503" s="373">
        <v>10000</v>
      </c>
      <c r="AC503" s="373">
        <v>10000</v>
      </c>
      <c r="AD503" s="371" t="s">
        <v>2271</v>
      </c>
      <c r="AE503" s="373">
        <v>0</v>
      </c>
      <c r="AF503" s="382">
        <v>0.68402777777777801</v>
      </c>
      <c r="AG503" s="382">
        <v>0.68402777777777801</v>
      </c>
      <c r="AH503" s="371" t="s">
        <v>2271</v>
      </c>
      <c r="AI503" s="382">
        <v>0.71041666666666703</v>
      </c>
      <c r="AJ503" s="382">
        <v>0.71041666666666703</v>
      </c>
      <c r="AK503" s="371" t="s">
        <v>2271</v>
      </c>
      <c r="AL503" s="206" t="s">
        <v>137</v>
      </c>
      <c r="AM503" s="206" t="s">
        <v>137</v>
      </c>
      <c r="AN503" s="371" t="s">
        <v>2271</v>
      </c>
      <c r="AO503" s="206" t="s">
        <v>2670</v>
      </c>
      <c r="AP503" s="206"/>
      <c r="AQ503" s="206" t="s">
        <v>1131</v>
      </c>
      <c r="AR503" s="207" t="s">
        <v>82</v>
      </c>
    </row>
    <row r="504" spans="1:44" x14ac:dyDescent="0.2">
      <c r="A504" s="370">
        <v>485</v>
      </c>
      <c r="B504" s="380">
        <v>275</v>
      </c>
      <c r="C504" s="371" t="s">
        <v>2275</v>
      </c>
      <c r="D504" s="371" t="s">
        <v>2235</v>
      </c>
      <c r="E504" s="206"/>
      <c r="F504" s="206" t="s">
        <v>56</v>
      </c>
      <c r="G504" s="206" t="s">
        <v>56</v>
      </c>
      <c r="H504" s="371" t="s">
        <v>2271</v>
      </c>
      <c r="I504" s="206"/>
      <c r="J504" s="206" t="s">
        <v>1433</v>
      </c>
      <c r="K504" s="371" t="s">
        <v>2276</v>
      </c>
      <c r="L504" s="206" t="s">
        <v>2157</v>
      </c>
      <c r="M504" s="206" t="s">
        <v>1337</v>
      </c>
      <c r="N504" s="206" t="s">
        <v>49</v>
      </c>
      <c r="O504" s="372">
        <v>46000</v>
      </c>
      <c r="P504" s="372">
        <v>46000</v>
      </c>
      <c r="Q504" s="371" t="s">
        <v>2271</v>
      </c>
      <c r="R504" s="373">
        <v>25060</v>
      </c>
      <c r="S504" s="373">
        <v>25060</v>
      </c>
      <c r="T504" s="371" t="s">
        <v>2271</v>
      </c>
      <c r="U504" s="373">
        <v>10830</v>
      </c>
      <c r="V504" s="373">
        <v>10830</v>
      </c>
      <c r="W504" s="371" t="s">
        <v>2271</v>
      </c>
      <c r="X504" s="373">
        <v>14230</v>
      </c>
      <c r="Y504" s="373">
        <v>14230</v>
      </c>
      <c r="Z504" s="371" t="s">
        <v>2271</v>
      </c>
      <c r="AA504" s="373">
        <v>0</v>
      </c>
      <c r="AB504" s="373">
        <v>14190</v>
      </c>
      <c r="AC504" s="373">
        <v>14190</v>
      </c>
      <c r="AD504" s="371" t="s">
        <v>2271</v>
      </c>
      <c r="AE504" s="373">
        <v>0</v>
      </c>
      <c r="AF504" s="382">
        <v>0.79166666666666696</v>
      </c>
      <c r="AG504" s="382">
        <v>0.79166666666666696</v>
      </c>
      <c r="AH504" s="371" t="s">
        <v>2271</v>
      </c>
      <c r="AI504" s="382">
        <v>0.844444444444444</v>
      </c>
      <c r="AJ504" s="382">
        <v>0.844444444444444</v>
      </c>
      <c r="AK504" s="371" t="s">
        <v>2271</v>
      </c>
      <c r="AL504" s="206" t="s">
        <v>137</v>
      </c>
      <c r="AM504" s="206" t="s">
        <v>137</v>
      </c>
      <c r="AN504" s="371" t="s">
        <v>2271</v>
      </c>
      <c r="AO504" s="206" t="s">
        <v>2671</v>
      </c>
      <c r="AP504" s="206" t="s">
        <v>1781</v>
      </c>
      <c r="AQ504" s="206" t="s">
        <v>1132</v>
      </c>
      <c r="AR504" s="207" t="s">
        <v>68</v>
      </c>
    </row>
    <row r="505" spans="1:44" x14ac:dyDescent="0.2">
      <c r="A505" s="370">
        <v>486</v>
      </c>
      <c r="B505" s="380">
        <v>276</v>
      </c>
      <c r="C505" s="371" t="s">
        <v>2275</v>
      </c>
      <c r="D505" s="371" t="s">
        <v>2235</v>
      </c>
      <c r="E505" s="206"/>
      <c r="F505" s="206" t="s">
        <v>76</v>
      </c>
      <c r="G505" s="206" t="s">
        <v>76</v>
      </c>
      <c r="H505" s="371" t="s">
        <v>2271</v>
      </c>
      <c r="I505" s="206"/>
      <c r="J505" s="206" t="s">
        <v>1340</v>
      </c>
      <c r="K505" s="371" t="s">
        <v>2276</v>
      </c>
      <c r="L505" s="206" t="s">
        <v>2158</v>
      </c>
      <c r="M505" s="206" t="s">
        <v>1347</v>
      </c>
      <c r="N505" s="206" t="s">
        <v>78</v>
      </c>
      <c r="O505" s="372">
        <v>46000</v>
      </c>
      <c r="P505" s="372">
        <v>46000</v>
      </c>
      <c r="Q505" s="371" t="s">
        <v>2271</v>
      </c>
      <c r="R505" s="373">
        <v>45830</v>
      </c>
      <c r="S505" s="373">
        <v>45830</v>
      </c>
      <c r="T505" s="371" t="s">
        <v>2271</v>
      </c>
      <c r="U505" s="373">
        <v>17890</v>
      </c>
      <c r="V505" s="373">
        <v>17890</v>
      </c>
      <c r="W505" s="371" t="s">
        <v>2271</v>
      </c>
      <c r="X505" s="373">
        <v>27940</v>
      </c>
      <c r="Y505" s="373">
        <v>27940</v>
      </c>
      <c r="Z505" s="371" t="s">
        <v>2271</v>
      </c>
      <c r="AA505" s="373">
        <v>0</v>
      </c>
      <c r="AB505" s="373">
        <v>28120</v>
      </c>
      <c r="AC505" s="373">
        <v>28120</v>
      </c>
      <c r="AD505" s="371" t="s">
        <v>2271</v>
      </c>
      <c r="AE505" s="373">
        <v>0</v>
      </c>
      <c r="AF505" s="382">
        <v>0.80138888888888904</v>
      </c>
      <c r="AG505" s="382">
        <v>0.80138888888888904</v>
      </c>
      <c r="AH505" s="371" t="s">
        <v>2271</v>
      </c>
      <c r="AI505" s="382">
        <v>0.86736111111111103</v>
      </c>
      <c r="AJ505" s="382">
        <v>0.86736111111111103</v>
      </c>
      <c r="AK505" s="371" t="s">
        <v>2271</v>
      </c>
      <c r="AL505" s="206" t="s">
        <v>137</v>
      </c>
      <c r="AM505" s="206" t="s">
        <v>137</v>
      </c>
      <c r="AN505" s="371" t="s">
        <v>2271</v>
      </c>
      <c r="AO505" s="206" t="s">
        <v>2672</v>
      </c>
      <c r="AP505" s="206" t="s">
        <v>1372</v>
      </c>
      <c r="AQ505" s="206" t="s">
        <v>1133</v>
      </c>
      <c r="AR505" s="207" t="s">
        <v>88</v>
      </c>
    </row>
    <row r="506" spans="1:44" x14ac:dyDescent="0.2">
      <c r="A506" s="370">
        <v>487</v>
      </c>
      <c r="B506" s="380">
        <v>277</v>
      </c>
      <c r="C506" s="371" t="s">
        <v>2275</v>
      </c>
      <c r="D506" s="371" t="s">
        <v>2235</v>
      </c>
      <c r="E506" s="206"/>
      <c r="F506" s="206" t="s">
        <v>84</v>
      </c>
      <c r="G506" s="206" t="s">
        <v>84</v>
      </c>
      <c r="H506" s="371" t="s">
        <v>2271</v>
      </c>
      <c r="I506" s="206"/>
      <c r="J506" s="206" t="s">
        <v>1433</v>
      </c>
      <c r="K506" s="371" t="s">
        <v>2276</v>
      </c>
      <c r="L506" s="206" t="s">
        <v>2157</v>
      </c>
      <c r="M506" s="206" t="s">
        <v>1337</v>
      </c>
      <c r="N506" s="206" t="s">
        <v>49</v>
      </c>
      <c r="O506" s="372">
        <v>46000</v>
      </c>
      <c r="P506" s="372">
        <v>46000</v>
      </c>
      <c r="Q506" s="371" t="s">
        <v>2271</v>
      </c>
      <c r="R506" s="373">
        <v>26600</v>
      </c>
      <c r="S506" s="373">
        <v>26600</v>
      </c>
      <c r="T506" s="371" t="s">
        <v>2271</v>
      </c>
      <c r="U506" s="373">
        <v>12180</v>
      </c>
      <c r="V506" s="373">
        <v>12180</v>
      </c>
      <c r="W506" s="371" t="s">
        <v>2271</v>
      </c>
      <c r="X506" s="373">
        <v>14420</v>
      </c>
      <c r="Y506" s="373">
        <v>14420</v>
      </c>
      <c r="Z506" s="371" t="s">
        <v>2271</v>
      </c>
      <c r="AA506" s="373">
        <v>0</v>
      </c>
      <c r="AB506" s="373">
        <v>14380</v>
      </c>
      <c r="AC506" s="373">
        <v>14380</v>
      </c>
      <c r="AD506" s="371" t="s">
        <v>2271</v>
      </c>
      <c r="AE506" s="373">
        <v>0</v>
      </c>
      <c r="AF506" s="382">
        <v>0.80833333333333302</v>
      </c>
      <c r="AG506" s="382">
        <v>0.80833333333333302</v>
      </c>
      <c r="AH506" s="371" t="s">
        <v>2271</v>
      </c>
      <c r="AI506" s="382">
        <v>0.86597222222222203</v>
      </c>
      <c r="AJ506" s="382">
        <v>0.86597222222222203</v>
      </c>
      <c r="AK506" s="371" t="s">
        <v>2271</v>
      </c>
      <c r="AL506" s="206" t="s">
        <v>137</v>
      </c>
      <c r="AM506" s="206" t="s">
        <v>137</v>
      </c>
      <c r="AN506" s="371" t="s">
        <v>2271</v>
      </c>
      <c r="AO506" s="206" t="s">
        <v>2673</v>
      </c>
      <c r="AP506" s="206" t="s">
        <v>1782</v>
      </c>
      <c r="AQ506" s="206" t="s">
        <v>1132</v>
      </c>
      <c r="AR506" s="207" t="s">
        <v>68</v>
      </c>
    </row>
    <row r="507" spans="1:44" x14ac:dyDescent="0.2">
      <c r="A507" s="370">
        <v>488</v>
      </c>
      <c r="B507" s="380">
        <v>278</v>
      </c>
      <c r="C507" s="371" t="s">
        <v>2275</v>
      </c>
      <c r="D507" s="371" t="s">
        <v>2235</v>
      </c>
      <c r="E507" s="206"/>
      <c r="F507" s="206" t="s">
        <v>46</v>
      </c>
      <c r="G507" s="206" t="s">
        <v>46</v>
      </c>
      <c r="H507" s="371" t="s">
        <v>2271</v>
      </c>
      <c r="I507" s="206"/>
      <c r="J507" s="206" t="s">
        <v>1340</v>
      </c>
      <c r="K507" s="371" t="s">
        <v>2276</v>
      </c>
      <c r="L507" s="206" t="s">
        <v>2158</v>
      </c>
      <c r="M507" s="206" t="s">
        <v>1347</v>
      </c>
      <c r="N507" s="206" t="s">
        <v>78</v>
      </c>
      <c r="O507" s="372">
        <v>46000</v>
      </c>
      <c r="P507" s="372">
        <v>46000</v>
      </c>
      <c r="Q507" s="371" t="s">
        <v>2271</v>
      </c>
      <c r="R507" s="373">
        <v>26590</v>
      </c>
      <c r="S507" s="373">
        <v>26590</v>
      </c>
      <c r="T507" s="371" t="s">
        <v>2271</v>
      </c>
      <c r="U507" s="373">
        <v>11860</v>
      </c>
      <c r="V507" s="373">
        <v>11860</v>
      </c>
      <c r="W507" s="371" t="s">
        <v>2271</v>
      </c>
      <c r="X507" s="373">
        <v>14730</v>
      </c>
      <c r="Y507" s="373">
        <v>14730</v>
      </c>
      <c r="Z507" s="371" t="s">
        <v>2271</v>
      </c>
      <c r="AA507" s="373">
        <v>0</v>
      </c>
      <c r="AB507" s="373">
        <v>14810</v>
      </c>
      <c r="AC507" s="373">
        <v>14810</v>
      </c>
      <c r="AD507" s="371" t="s">
        <v>2271</v>
      </c>
      <c r="AE507" s="373">
        <v>0</v>
      </c>
      <c r="AF507" s="382">
        <v>0.81805555555555598</v>
      </c>
      <c r="AG507" s="382">
        <v>0.81805555555555598</v>
      </c>
      <c r="AH507" s="371" t="s">
        <v>2271</v>
      </c>
      <c r="AI507" s="382">
        <v>0.89722222222222203</v>
      </c>
      <c r="AJ507" s="382">
        <v>0.89722222222222203</v>
      </c>
      <c r="AK507" s="371" t="s">
        <v>2271</v>
      </c>
      <c r="AL507" s="206" t="s">
        <v>137</v>
      </c>
      <c r="AM507" s="206" t="s">
        <v>137</v>
      </c>
      <c r="AN507" s="371" t="s">
        <v>2271</v>
      </c>
      <c r="AO507" s="206" t="s">
        <v>2674</v>
      </c>
      <c r="AP507" s="206" t="s">
        <v>1393</v>
      </c>
      <c r="AQ507" s="206" t="s">
        <v>1132</v>
      </c>
      <c r="AR507" s="207" t="s">
        <v>88</v>
      </c>
    </row>
    <row r="508" spans="1:44" x14ac:dyDescent="0.2">
      <c r="A508" s="370">
        <v>489</v>
      </c>
      <c r="B508" s="380">
        <v>279</v>
      </c>
      <c r="C508" s="371" t="s">
        <v>2275</v>
      </c>
      <c r="D508" s="371" t="s">
        <v>2235</v>
      </c>
      <c r="E508" s="206"/>
      <c r="F508" s="206" t="s">
        <v>70</v>
      </c>
      <c r="G508" s="206" t="s">
        <v>70</v>
      </c>
      <c r="H508" s="371" t="s">
        <v>2271</v>
      </c>
      <c r="I508" s="206"/>
      <c r="J508" s="206" t="s">
        <v>1340</v>
      </c>
      <c r="K508" s="371" t="s">
        <v>2276</v>
      </c>
      <c r="L508" s="206" t="s">
        <v>2158</v>
      </c>
      <c r="M508" s="206" t="s">
        <v>1347</v>
      </c>
      <c r="N508" s="206" t="s">
        <v>78</v>
      </c>
      <c r="O508" s="372">
        <v>46000</v>
      </c>
      <c r="P508" s="372">
        <v>46000</v>
      </c>
      <c r="Q508" s="371" t="s">
        <v>2271</v>
      </c>
      <c r="R508" s="373">
        <v>45620</v>
      </c>
      <c r="S508" s="373">
        <v>45620</v>
      </c>
      <c r="T508" s="371" t="s">
        <v>2271</v>
      </c>
      <c r="U508" s="373">
        <v>17560</v>
      </c>
      <c r="V508" s="373">
        <v>17560</v>
      </c>
      <c r="W508" s="371" t="s">
        <v>2271</v>
      </c>
      <c r="X508" s="373">
        <v>28060</v>
      </c>
      <c r="Y508" s="373">
        <v>28060</v>
      </c>
      <c r="Z508" s="371" t="s">
        <v>2271</v>
      </c>
      <c r="AA508" s="373">
        <v>0</v>
      </c>
      <c r="AB508" s="373">
        <v>28140</v>
      </c>
      <c r="AC508" s="373">
        <v>28140</v>
      </c>
      <c r="AD508" s="371" t="s">
        <v>2271</v>
      </c>
      <c r="AE508" s="373">
        <v>0</v>
      </c>
      <c r="AF508" s="382">
        <v>0.82083333333333297</v>
      </c>
      <c r="AG508" s="382">
        <v>0.82083333333333297</v>
      </c>
      <c r="AH508" s="371" t="s">
        <v>2271</v>
      </c>
      <c r="AI508" s="382">
        <v>0.88472222222222197</v>
      </c>
      <c r="AJ508" s="382">
        <v>0.88472222222222197</v>
      </c>
      <c r="AK508" s="371" t="s">
        <v>2271</v>
      </c>
      <c r="AL508" s="206" t="s">
        <v>137</v>
      </c>
      <c r="AM508" s="206" t="s">
        <v>137</v>
      </c>
      <c r="AN508" s="371" t="s">
        <v>2271</v>
      </c>
      <c r="AO508" s="206" t="s">
        <v>2675</v>
      </c>
      <c r="AP508" s="206" t="s">
        <v>1499</v>
      </c>
      <c r="AQ508" s="206" t="s">
        <v>1133</v>
      </c>
      <c r="AR508" s="207" t="s">
        <v>88</v>
      </c>
    </row>
    <row r="509" spans="1:44" x14ac:dyDescent="0.2">
      <c r="A509" s="370">
        <v>490</v>
      </c>
      <c r="B509" s="380">
        <v>280</v>
      </c>
      <c r="C509" s="371" t="s">
        <v>2269</v>
      </c>
      <c r="D509" s="371" t="s">
        <v>2235</v>
      </c>
      <c r="E509" s="206"/>
      <c r="F509" s="206" t="s">
        <v>46</v>
      </c>
      <c r="G509" s="206" t="s">
        <v>46</v>
      </c>
      <c r="H509" s="371" t="s">
        <v>2271</v>
      </c>
      <c r="I509" s="206" t="s">
        <v>1340</v>
      </c>
      <c r="J509" s="206" t="s">
        <v>1340</v>
      </c>
      <c r="K509" s="371" t="s">
        <v>2271</v>
      </c>
      <c r="L509" s="206" t="s">
        <v>2154</v>
      </c>
      <c r="M509" s="206" t="s">
        <v>1347</v>
      </c>
      <c r="N509" s="206" t="s">
        <v>78</v>
      </c>
      <c r="O509" s="372">
        <v>46001</v>
      </c>
      <c r="P509" s="372">
        <v>46001</v>
      </c>
      <c r="Q509" s="371" t="s">
        <v>2271</v>
      </c>
      <c r="R509" s="373">
        <v>26630</v>
      </c>
      <c r="S509" s="373">
        <v>26630</v>
      </c>
      <c r="T509" s="371" t="s">
        <v>2271</v>
      </c>
      <c r="U509" s="373">
        <v>11900</v>
      </c>
      <c r="V509" s="373">
        <v>11900</v>
      </c>
      <c r="W509" s="371" t="s">
        <v>2271</v>
      </c>
      <c r="X509" s="373">
        <v>14730</v>
      </c>
      <c r="Y509" s="373">
        <v>14730</v>
      </c>
      <c r="Z509" s="371" t="s">
        <v>2271</v>
      </c>
      <c r="AA509" s="373">
        <v>0</v>
      </c>
      <c r="AB509" s="373">
        <v>14680</v>
      </c>
      <c r="AC509" s="373">
        <v>14680</v>
      </c>
      <c r="AD509" s="371" t="s">
        <v>2271</v>
      </c>
      <c r="AE509" s="373">
        <v>0</v>
      </c>
      <c r="AF509" s="382">
        <v>0.61944444444444402</v>
      </c>
      <c r="AG509" s="382">
        <v>0.61944444444444502</v>
      </c>
      <c r="AH509" s="371" t="s">
        <v>2276</v>
      </c>
      <c r="AI509" s="382">
        <v>0.69166666666666698</v>
      </c>
      <c r="AJ509" s="382">
        <v>0.69166666666666698</v>
      </c>
      <c r="AK509" s="371" t="s">
        <v>2271</v>
      </c>
      <c r="AL509" s="206" t="s">
        <v>42</v>
      </c>
      <c r="AM509" s="206" t="s">
        <v>42</v>
      </c>
      <c r="AN509" s="371" t="s">
        <v>2271</v>
      </c>
      <c r="AO509" s="206" t="s">
        <v>2676</v>
      </c>
      <c r="AP509" s="206" t="s">
        <v>1393</v>
      </c>
      <c r="AQ509" s="206" t="s">
        <v>1132</v>
      </c>
      <c r="AR509" s="207" t="s">
        <v>88</v>
      </c>
    </row>
    <row r="510" spans="1:44" x14ac:dyDescent="0.2">
      <c r="A510" s="370">
        <v>491</v>
      </c>
      <c r="B510" s="380">
        <v>281</v>
      </c>
      <c r="C510" s="371" t="s">
        <v>2269</v>
      </c>
      <c r="D510" s="371" t="s">
        <v>2270</v>
      </c>
      <c r="E510" s="206"/>
      <c r="F510" s="206" t="s">
        <v>84</v>
      </c>
      <c r="G510" s="206" t="s">
        <v>84</v>
      </c>
      <c r="H510" s="371" t="s">
        <v>2271</v>
      </c>
      <c r="I510" s="206" t="s">
        <v>1340</v>
      </c>
      <c r="J510" s="206" t="s">
        <v>1340</v>
      </c>
      <c r="K510" s="371" t="s">
        <v>2271</v>
      </c>
      <c r="L510" s="206" t="s">
        <v>2154</v>
      </c>
      <c r="M510" s="206" t="s">
        <v>1347</v>
      </c>
      <c r="N510" s="206" t="s">
        <v>78</v>
      </c>
      <c r="O510" s="372">
        <v>46001</v>
      </c>
      <c r="P510" s="372">
        <v>46001</v>
      </c>
      <c r="Q510" s="371" t="s">
        <v>2271</v>
      </c>
      <c r="R510" s="373">
        <v>26570</v>
      </c>
      <c r="S510" s="373">
        <v>26570</v>
      </c>
      <c r="T510" s="371" t="s">
        <v>2271</v>
      </c>
      <c r="U510" s="373">
        <v>12170</v>
      </c>
      <c r="V510" s="373">
        <v>12170</v>
      </c>
      <c r="W510" s="371" t="s">
        <v>2271</v>
      </c>
      <c r="X510" s="373">
        <v>14400</v>
      </c>
      <c r="Y510" s="373">
        <v>14400</v>
      </c>
      <c r="Z510" s="371" t="s">
        <v>2271</v>
      </c>
      <c r="AA510" s="373">
        <v>0</v>
      </c>
      <c r="AB510" s="373">
        <v>14310</v>
      </c>
      <c r="AC510" s="373">
        <v>14310</v>
      </c>
      <c r="AD510" s="371" t="s">
        <v>2271</v>
      </c>
      <c r="AE510" s="373">
        <v>0</v>
      </c>
      <c r="AF510" s="382">
        <v>0.62916666666666698</v>
      </c>
      <c r="AG510" s="382">
        <v>0.62916666666666698</v>
      </c>
      <c r="AH510" s="371" t="s">
        <v>2271</v>
      </c>
      <c r="AI510" s="382">
        <v>0.69861111111111096</v>
      </c>
      <c r="AJ510" s="382">
        <v>0.69861111111111096</v>
      </c>
      <c r="AK510" s="371" t="s">
        <v>2271</v>
      </c>
      <c r="AL510" s="206" t="s">
        <v>42</v>
      </c>
      <c r="AM510" s="206" t="s">
        <v>42</v>
      </c>
      <c r="AN510" s="371" t="s">
        <v>2271</v>
      </c>
      <c r="AO510" s="206" t="s">
        <v>2677</v>
      </c>
      <c r="AP510" s="206" t="s">
        <v>1782</v>
      </c>
      <c r="AQ510" s="206" t="s">
        <v>1132</v>
      </c>
      <c r="AR510" s="207" t="s">
        <v>88</v>
      </c>
    </row>
    <row r="511" spans="1:44" x14ac:dyDescent="0.2">
      <c r="A511" s="370">
        <v>492</v>
      </c>
      <c r="B511" s="380">
        <v>282</v>
      </c>
      <c r="C511" s="371" t="s">
        <v>2269</v>
      </c>
      <c r="D511" s="371" t="s">
        <v>2235</v>
      </c>
      <c r="E511" s="206"/>
      <c r="F511" s="206" t="s">
        <v>70</v>
      </c>
      <c r="G511" s="206" t="s">
        <v>70</v>
      </c>
      <c r="H511" s="371" t="s">
        <v>2271</v>
      </c>
      <c r="I511" s="206" t="s">
        <v>1340</v>
      </c>
      <c r="J511" s="206" t="s">
        <v>1340</v>
      </c>
      <c r="K511" s="371" t="s">
        <v>2271</v>
      </c>
      <c r="L511" s="206" t="s">
        <v>2154</v>
      </c>
      <c r="M511" s="206" t="s">
        <v>1347</v>
      </c>
      <c r="N511" s="206" t="s">
        <v>78</v>
      </c>
      <c r="O511" s="372">
        <v>46001</v>
      </c>
      <c r="P511" s="372">
        <v>46001</v>
      </c>
      <c r="Q511" s="371" t="s">
        <v>2271</v>
      </c>
      <c r="R511" s="373">
        <v>45660</v>
      </c>
      <c r="S511" s="373">
        <v>45660</v>
      </c>
      <c r="T511" s="371" t="s">
        <v>2271</v>
      </c>
      <c r="U511" s="373">
        <v>17660</v>
      </c>
      <c r="V511" s="373">
        <v>17660</v>
      </c>
      <c r="W511" s="371" t="s">
        <v>2271</v>
      </c>
      <c r="X511" s="373">
        <v>28000</v>
      </c>
      <c r="Y511" s="373">
        <v>28000</v>
      </c>
      <c r="Z511" s="371" t="s">
        <v>2271</v>
      </c>
      <c r="AA511" s="373">
        <v>0</v>
      </c>
      <c r="AB511" s="373">
        <v>28030</v>
      </c>
      <c r="AC511" s="373">
        <v>28030</v>
      </c>
      <c r="AD511" s="371" t="s">
        <v>2271</v>
      </c>
      <c r="AE511" s="373">
        <v>0</v>
      </c>
      <c r="AF511" s="382">
        <v>0.72777777777777797</v>
      </c>
      <c r="AG511" s="382">
        <v>0.72777777777777797</v>
      </c>
      <c r="AH511" s="371" t="s">
        <v>2271</v>
      </c>
      <c r="AI511" s="382">
        <v>0.80069444444444404</v>
      </c>
      <c r="AJ511" s="382">
        <v>0.80069444444444504</v>
      </c>
      <c r="AK511" s="371" t="s">
        <v>2276</v>
      </c>
      <c r="AL511" s="206" t="s">
        <v>42</v>
      </c>
      <c r="AM511" s="206" t="s">
        <v>42</v>
      </c>
      <c r="AN511" s="371" t="s">
        <v>2271</v>
      </c>
      <c r="AO511" s="206" t="s">
        <v>2678</v>
      </c>
      <c r="AP511" s="206" t="s">
        <v>1499</v>
      </c>
      <c r="AQ511" s="206" t="s">
        <v>1133</v>
      </c>
      <c r="AR511" s="207" t="s">
        <v>88</v>
      </c>
    </row>
    <row r="512" spans="1:44" x14ac:dyDescent="0.2">
      <c r="A512" s="370">
        <v>493</v>
      </c>
      <c r="B512" s="380">
        <v>283</v>
      </c>
      <c r="C512" s="371" t="s">
        <v>2269</v>
      </c>
      <c r="D512" s="371" t="s">
        <v>2270</v>
      </c>
      <c r="E512" s="206"/>
      <c r="F512" s="206" t="s">
        <v>76</v>
      </c>
      <c r="G512" s="206" t="s">
        <v>76</v>
      </c>
      <c r="H512" s="371" t="s">
        <v>2271</v>
      </c>
      <c r="I512" s="206" t="s">
        <v>1340</v>
      </c>
      <c r="J512" s="206" t="s">
        <v>1340</v>
      </c>
      <c r="K512" s="371" t="s">
        <v>2271</v>
      </c>
      <c r="L512" s="206" t="s">
        <v>2154</v>
      </c>
      <c r="M512" s="206" t="s">
        <v>1347</v>
      </c>
      <c r="N512" s="206" t="s">
        <v>78</v>
      </c>
      <c r="O512" s="372">
        <v>46001</v>
      </c>
      <c r="P512" s="372">
        <v>46001</v>
      </c>
      <c r="Q512" s="371" t="s">
        <v>2271</v>
      </c>
      <c r="R512" s="373">
        <v>45840</v>
      </c>
      <c r="S512" s="373">
        <v>45840</v>
      </c>
      <c r="T512" s="371" t="s">
        <v>2271</v>
      </c>
      <c r="U512" s="373">
        <v>17870</v>
      </c>
      <c r="V512" s="373">
        <v>17870</v>
      </c>
      <c r="W512" s="371" t="s">
        <v>2271</v>
      </c>
      <c r="X512" s="373">
        <v>27970</v>
      </c>
      <c r="Y512" s="373">
        <v>27970</v>
      </c>
      <c r="Z512" s="371" t="s">
        <v>2271</v>
      </c>
      <c r="AA512" s="373">
        <v>0</v>
      </c>
      <c r="AB512" s="373">
        <v>27920</v>
      </c>
      <c r="AC512" s="373">
        <v>27920</v>
      </c>
      <c r="AD512" s="371" t="s">
        <v>2271</v>
      </c>
      <c r="AE512" s="373">
        <v>0</v>
      </c>
      <c r="AF512" s="382">
        <v>0.750694444444444</v>
      </c>
      <c r="AG512" s="382">
        <v>0.750694444444444</v>
      </c>
      <c r="AH512" s="371" t="s">
        <v>2271</v>
      </c>
      <c r="AI512" s="382">
        <v>0.83263888888888904</v>
      </c>
      <c r="AJ512" s="382">
        <v>0.83263888888888904</v>
      </c>
      <c r="AK512" s="371" t="s">
        <v>2271</v>
      </c>
      <c r="AL512" s="206" t="s">
        <v>42</v>
      </c>
      <c r="AM512" s="206" t="s">
        <v>42</v>
      </c>
      <c r="AN512" s="371" t="s">
        <v>2271</v>
      </c>
      <c r="AO512" s="206" t="s">
        <v>2679</v>
      </c>
      <c r="AP512" s="206" t="s">
        <v>1372</v>
      </c>
      <c r="AQ512" s="206" t="s">
        <v>1133</v>
      </c>
      <c r="AR512" s="207" t="s">
        <v>88</v>
      </c>
    </row>
    <row r="513" spans="1:44" x14ac:dyDescent="0.2">
      <c r="A513" s="370">
        <v>494</v>
      </c>
      <c r="B513" s="380">
        <v>284</v>
      </c>
      <c r="C513" s="371" t="s">
        <v>2269</v>
      </c>
      <c r="D513" s="371" t="s">
        <v>2270</v>
      </c>
      <c r="E513" s="206"/>
      <c r="F513" s="206" t="s">
        <v>56</v>
      </c>
      <c r="G513" s="206" t="s">
        <v>56</v>
      </c>
      <c r="H513" s="371" t="s">
        <v>2271</v>
      </c>
      <c r="I513" s="206" t="s">
        <v>1340</v>
      </c>
      <c r="J513" s="206" t="s">
        <v>1340</v>
      </c>
      <c r="K513" s="371" t="s">
        <v>2271</v>
      </c>
      <c r="L513" s="206" t="s">
        <v>2154</v>
      </c>
      <c r="M513" s="206" t="s">
        <v>1347</v>
      </c>
      <c r="N513" s="206" t="s">
        <v>78</v>
      </c>
      <c r="O513" s="372">
        <v>46001</v>
      </c>
      <c r="P513" s="372">
        <v>46001</v>
      </c>
      <c r="Q513" s="371" t="s">
        <v>2271</v>
      </c>
      <c r="R513" s="373">
        <v>24950</v>
      </c>
      <c r="S513" s="373">
        <v>24950</v>
      </c>
      <c r="T513" s="371" t="s">
        <v>2271</v>
      </c>
      <c r="U513" s="373">
        <v>10780</v>
      </c>
      <c r="V513" s="373">
        <v>10780</v>
      </c>
      <c r="W513" s="371" t="s">
        <v>2271</v>
      </c>
      <c r="X513" s="373">
        <v>14170</v>
      </c>
      <c r="Y513" s="373">
        <v>14170</v>
      </c>
      <c r="Z513" s="371" t="s">
        <v>2271</v>
      </c>
      <c r="AA513" s="373">
        <v>0</v>
      </c>
      <c r="AB513" s="373">
        <v>14160</v>
      </c>
      <c r="AC513" s="373">
        <v>14160</v>
      </c>
      <c r="AD513" s="371" t="s">
        <v>2271</v>
      </c>
      <c r="AE513" s="373">
        <v>0</v>
      </c>
      <c r="AF513" s="382">
        <v>0.75277777777777799</v>
      </c>
      <c r="AG513" s="382">
        <v>0.75277777777777799</v>
      </c>
      <c r="AH513" s="371" t="s">
        <v>2271</v>
      </c>
      <c r="AI513" s="382">
        <v>0.83402777777777803</v>
      </c>
      <c r="AJ513" s="382">
        <v>0.83402777777777803</v>
      </c>
      <c r="AK513" s="371" t="s">
        <v>2271</v>
      </c>
      <c r="AL513" s="206" t="s">
        <v>42</v>
      </c>
      <c r="AM513" s="206" t="s">
        <v>42</v>
      </c>
      <c r="AN513" s="371" t="s">
        <v>2271</v>
      </c>
      <c r="AO513" s="206" t="s">
        <v>2680</v>
      </c>
      <c r="AP513" s="206" t="s">
        <v>1781</v>
      </c>
      <c r="AQ513" s="206" t="s">
        <v>1132</v>
      </c>
      <c r="AR513" s="207" t="s">
        <v>88</v>
      </c>
    </row>
    <row r="514" spans="1:44" x14ac:dyDescent="0.2">
      <c r="A514" s="370">
        <v>495</v>
      </c>
      <c r="B514" s="380">
        <v>285</v>
      </c>
      <c r="C514" s="371" t="s">
        <v>2269</v>
      </c>
      <c r="D514" s="371" t="s">
        <v>2270</v>
      </c>
      <c r="E514" s="206"/>
      <c r="F514" s="206" t="s">
        <v>53</v>
      </c>
      <c r="G514" s="206" t="s">
        <v>53</v>
      </c>
      <c r="H514" s="371" t="s">
        <v>2271</v>
      </c>
      <c r="I514" s="206" t="s">
        <v>1335</v>
      </c>
      <c r="J514" s="206" t="s">
        <v>1335</v>
      </c>
      <c r="K514" s="371" t="s">
        <v>2271</v>
      </c>
      <c r="L514" s="206" t="s">
        <v>2160</v>
      </c>
      <c r="M514" s="206" t="s">
        <v>1334</v>
      </c>
      <c r="N514" s="206" t="s">
        <v>40</v>
      </c>
      <c r="O514" s="372">
        <v>46002</v>
      </c>
      <c r="P514" s="372">
        <v>46002</v>
      </c>
      <c r="Q514" s="371" t="s">
        <v>2271</v>
      </c>
      <c r="R514" s="373">
        <v>13290</v>
      </c>
      <c r="S514" s="373">
        <v>13290</v>
      </c>
      <c r="T514" s="371" t="s">
        <v>2271</v>
      </c>
      <c r="U514" s="373">
        <v>3760</v>
      </c>
      <c r="V514" s="373">
        <v>3760</v>
      </c>
      <c r="W514" s="371" t="s">
        <v>2271</v>
      </c>
      <c r="X514" s="373">
        <v>9530</v>
      </c>
      <c r="Y514" s="373">
        <v>9530</v>
      </c>
      <c r="Z514" s="371" t="s">
        <v>2271</v>
      </c>
      <c r="AA514" s="373">
        <v>0</v>
      </c>
      <c r="AB514" s="373">
        <v>9520</v>
      </c>
      <c r="AC514" s="373">
        <v>9520</v>
      </c>
      <c r="AD514" s="371" t="s">
        <v>2271</v>
      </c>
      <c r="AE514" s="373">
        <v>0</v>
      </c>
      <c r="AF514" s="382">
        <v>0.97361111111111098</v>
      </c>
      <c r="AG514" s="382">
        <v>0.97361111111111098</v>
      </c>
      <c r="AH514" s="371" t="s">
        <v>2271</v>
      </c>
      <c r="AI514" s="382">
        <v>1.38888888888889E-3</v>
      </c>
      <c r="AJ514" s="382">
        <v>1.38888888888889E-3</v>
      </c>
      <c r="AK514" s="371" t="s">
        <v>2271</v>
      </c>
      <c r="AL514" s="206" t="s">
        <v>137</v>
      </c>
      <c r="AM514" s="206" t="s">
        <v>137</v>
      </c>
      <c r="AN514" s="371" t="s">
        <v>2271</v>
      </c>
      <c r="AO514" s="206" t="s">
        <v>2681</v>
      </c>
      <c r="AP514" s="206"/>
      <c r="AQ514" s="206" t="s">
        <v>1131</v>
      </c>
      <c r="AR514" s="207" t="s">
        <v>82</v>
      </c>
    </row>
    <row r="515" spans="1:44" x14ac:dyDescent="0.2">
      <c r="A515" s="370">
        <v>496</v>
      </c>
      <c r="B515" s="380">
        <v>286</v>
      </c>
      <c r="C515" s="371" t="s">
        <v>2269</v>
      </c>
      <c r="D515" s="371" t="s">
        <v>2270</v>
      </c>
      <c r="E515" s="206"/>
      <c r="F515" s="206" t="s">
        <v>177</v>
      </c>
      <c r="G515" s="206" t="s">
        <v>177</v>
      </c>
      <c r="H515" s="371" t="s">
        <v>2271</v>
      </c>
      <c r="I515" s="206" t="s">
        <v>1335</v>
      </c>
      <c r="J515" s="206" t="s">
        <v>1335</v>
      </c>
      <c r="K515" s="371" t="s">
        <v>2271</v>
      </c>
      <c r="L515" s="206" t="s">
        <v>2160</v>
      </c>
      <c r="M515" s="206" t="s">
        <v>1334</v>
      </c>
      <c r="N515" s="206" t="s">
        <v>40</v>
      </c>
      <c r="O515" s="372">
        <v>46002</v>
      </c>
      <c r="P515" s="372">
        <v>46002</v>
      </c>
      <c r="Q515" s="371" t="s">
        <v>2271</v>
      </c>
      <c r="R515" s="373">
        <v>13910</v>
      </c>
      <c r="S515" s="373">
        <v>13910</v>
      </c>
      <c r="T515" s="371" t="s">
        <v>2271</v>
      </c>
      <c r="U515" s="373">
        <v>4220</v>
      </c>
      <c r="V515" s="373">
        <v>4220</v>
      </c>
      <c r="W515" s="371" t="s">
        <v>2271</v>
      </c>
      <c r="X515" s="373">
        <v>9690</v>
      </c>
      <c r="Y515" s="373">
        <v>9690</v>
      </c>
      <c r="Z515" s="371" t="s">
        <v>2271</v>
      </c>
      <c r="AA515" s="373">
        <v>0</v>
      </c>
      <c r="AB515" s="373">
        <v>9630</v>
      </c>
      <c r="AC515" s="373">
        <v>9630</v>
      </c>
      <c r="AD515" s="371" t="s">
        <v>2271</v>
      </c>
      <c r="AE515" s="373">
        <v>0</v>
      </c>
      <c r="AF515" s="382">
        <v>0.97499999999999998</v>
      </c>
      <c r="AG515" s="382">
        <v>0.97499999999999998</v>
      </c>
      <c r="AH515" s="371" t="s">
        <v>2271</v>
      </c>
      <c r="AI515" s="382">
        <v>9.0277777777777804E-3</v>
      </c>
      <c r="AJ515" s="382">
        <v>9.0277777777777804E-3</v>
      </c>
      <c r="AK515" s="371" t="s">
        <v>2271</v>
      </c>
      <c r="AL515" s="206" t="s">
        <v>137</v>
      </c>
      <c r="AM515" s="206" t="s">
        <v>137</v>
      </c>
      <c r="AN515" s="371" t="s">
        <v>2271</v>
      </c>
      <c r="AO515" s="206" t="s">
        <v>2682</v>
      </c>
      <c r="AP515" s="206"/>
      <c r="AQ515" s="206" t="s">
        <v>1131</v>
      </c>
      <c r="AR515" s="207" t="s">
        <v>82</v>
      </c>
    </row>
    <row r="516" spans="1:44" x14ac:dyDescent="0.2">
      <c r="A516" s="370">
        <v>497</v>
      </c>
      <c r="B516" s="380">
        <v>287</v>
      </c>
      <c r="C516" s="371" t="s">
        <v>2269</v>
      </c>
      <c r="D516" s="371" t="s">
        <v>2270</v>
      </c>
      <c r="E516" s="206"/>
      <c r="F516" s="206" t="s">
        <v>171</v>
      </c>
      <c r="G516" s="206" t="s">
        <v>171</v>
      </c>
      <c r="H516" s="371" t="s">
        <v>2271</v>
      </c>
      <c r="I516" s="206" t="s">
        <v>1335</v>
      </c>
      <c r="J516" s="206" t="s">
        <v>1335</v>
      </c>
      <c r="K516" s="371" t="s">
        <v>2271</v>
      </c>
      <c r="L516" s="206" t="s">
        <v>2160</v>
      </c>
      <c r="M516" s="206" t="s">
        <v>1334</v>
      </c>
      <c r="N516" s="206" t="s">
        <v>40</v>
      </c>
      <c r="O516" s="372">
        <v>46002</v>
      </c>
      <c r="P516" s="372">
        <v>46002</v>
      </c>
      <c r="Q516" s="371" t="s">
        <v>2271</v>
      </c>
      <c r="R516" s="373">
        <v>13240</v>
      </c>
      <c r="S516" s="373">
        <v>13240</v>
      </c>
      <c r="T516" s="371" t="s">
        <v>2271</v>
      </c>
      <c r="U516" s="373">
        <v>3600</v>
      </c>
      <c r="V516" s="373">
        <v>3600</v>
      </c>
      <c r="W516" s="371" t="s">
        <v>2271</v>
      </c>
      <c r="X516" s="373">
        <v>9640</v>
      </c>
      <c r="Y516" s="373">
        <v>9640</v>
      </c>
      <c r="Z516" s="371" t="s">
        <v>2271</v>
      </c>
      <c r="AA516" s="373">
        <v>0</v>
      </c>
      <c r="AB516" s="373">
        <v>9590</v>
      </c>
      <c r="AC516" s="373">
        <v>9590</v>
      </c>
      <c r="AD516" s="371" t="s">
        <v>2271</v>
      </c>
      <c r="AE516" s="373">
        <v>0</v>
      </c>
      <c r="AF516" s="382">
        <v>0.99861111111111101</v>
      </c>
      <c r="AG516" s="382">
        <v>0.99861111111111101</v>
      </c>
      <c r="AH516" s="371" t="s">
        <v>2271</v>
      </c>
      <c r="AI516" s="382">
        <v>2.1527777777777798E-2</v>
      </c>
      <c r="AJ516" s="382">
        <v>2.1527777777777798E-2</v>
      </c>
      <c r="AK516" s="371" t="s">
        <v>2271</v>
      </c>
      <c r="AL516" s="206" t="s">
        <v>137</v>
      </c>
      <c r="AM516" s="206" t="s">
        <v>137</v>
      </c>
      <c r="AN516" s="371" t="s">
        <v>2271</v>
      </c>
      <c r="AO516" s="206" t="s">
        <v>2683</v>
      </c>
      <c r="AP516" s="206"/>
      <c r="AQ516" s="206" t="s">
        <v>1131</v>
      </c>
      <c r="AR516" s="207" t="s">
        <v>82</v>
      </c>
    </row>
    <row r="517" spans="1:44" x14ac:dyDescent="0.2">
      <c r="A517" s="370">
        <v>498</v>
      </c>
      <c r="B517" s="380">
        <v>288</v>
      </c>
      <c r="C517" s="371" t="s">
        <v>2269</v>
      </c>
      <c r="D517" s="371" t="s">
        <v>2270</v>
      </c>
      <c r="E517" s="206"/>
      <c r="F517" s="206" t="s">
        <v>158</v>
      </c>
      <c r="G517" s="206" t="s">
        <v>158</v>
      </c>
      <c r="H517" s="371" t="s">
        <v>2271</v>
      </c>
      <c r="I517" s="206" t="s">
        <v>1335</v>
      </c>
      <c r="J517" s="206" t="s">
        <v>1335</v>
      </c>
      <c r="K517" s="371" t="s">
        <v>2271</v>
      </c>
      <c r="L517" s="206" t="s">
        <v>2160</v>
      </c>
      <c r="M517" s="206" t="s">
        <v>1334</v>
      </c>
      <c r="N517" s="206" t="s">
        <v>40</v>
      </c>
      <c r="O517" s="372">
        <v>46002</v>
      </c>
      <c r="P517" s="372">
        <v>46002</v>
      </c>
      <c r="Q517" s="371" t="s">
        <v>2271</v>
      </c>
      <c r="R517" s="373">
        <v>13960</v>
      </c>
      <c r="S517" s="373">
        <v>13960</v>
      </c>
      <c r="T517" s="371" t="s">
        <v>2271</v>
      </c>
      <c r="U517" s="373">
        <v>3920</v>
      </c>
      <c r="V517" s="373">
        <v>3920</v>
      </c>
      <c r="W517" s="371" t="s">
        <v>2271</v>
      </c>
      <c r="X517" s="373">
        <v>10040</v>
      </c>
      <c r="Y517" s="373">
        <v>10040</v>
      </c>
      <c r="Z517" s="371" t="s">
        <v>2271</v>
      </c>
      <c r="AA517" s="373">
        <v>0</v>
      </c>
      <c r="AB517" s="373">
        <v>9960</v>
      </c>
      <c r="AC517" s="373">
        <v>9960</v>
      </c>
      <c r="AD517" s="371" t="s">
        <v>2271</v>
      </c>
      <c r="AE517" s="373">
        <v>0</v>
      </c>
      <c r="AF517" s="382">
        <v>0</v>
      </c>
      <c r="AG517" s="382">
        <v>0</v>
      </c>
      <c r="AH517" s="371" t="s">
        <v>2271</v>
      </c>
      <c r="AI517" s="382">
        <v>2.29166666666667E-2</v>
      </c>
      <c r="AJ517" s="382">
        <v>2.29166666666667E-2</v>
      </c>
      <c r="AK517" s="371" t="s">
        <v>2271</v>
      </c>
      <c r="AL517" s="206" t="s">
        <v>137</v>
      </c>
      <c r="AM517" s="206" t="s">
        <v>137</v>
      </c>
      <c r="AN517" s="371" t="s">
        <v>2271</v>
      </c>
      <c r="AO517" s="206" t="s">
        <v>2684</v>
      </c>
      <c r="AP517" s="206"/>
      <c r="AQ517" s="206" t="s">
        <v>1131</v>
      </c>
      <c r="AR517" s="207" t="s">
        <v>82</v>
      </c>
    </row>
    <row r="518" spans="1:44" x14ac:dyDescent="0.2">
      <c r="A518" s="370">
        <v>499</v>
      </c>
      <c r="B518" s="380">
        <v>289</v>
      </c>
      <c r="C518" s="371" t="s">
        <v>2275</v>
      </c>
      <c r="D518" s="371" t="s">
        <v>2235</v>
      </c>
      <c r="E518" s="206"/>
      <c r="F518" s="206" t="s">
        <v>76</v>
      </c>
      <c r="G518" s="206" t="s">
        <v>76</v>
      </c>
      <c r="H518" s="371" t="s">
        <v>2271</v>
      </c>
      <c r="I518" s="206"/>
      <c r="J518" s="206" t="s">
        <v>1452</v>
      </c>
      <c r="K518" s="371" t="s">
        <v>2276</v>
      </c>
      <c r="L518" s="206" t="s">
        <v>2156</v>
      </c>
      <c r="M518" s="206" t="s">
        <v>1336</v>
      </c>
      <c r="N518" s="206" t="s">
        <v>59</v>
      </c>
      <c r="O518" s="372">
        <v>45973</v>
      </c>
      <c r="P518" s="372">
        <v>45973</v>
      </c>
      <c r="Q518" s="371" t="s">
        <v>2271</v>
      </c>
      <c r="R518" s="373">
        <v>45990</v>
      </c>
      <c r="S518" s="373">
        <v>45990</v>
      </c>
      <c r="T518" s="371" t="s">
        <v>2271</v>
      </c>
      <c r="U518" s="373">
        <v>17860</v>
      </c>
      <c r="V518" s="373">
        <v>17860</v>
      </c>
      <c r="W518" s="371" t="s">
        <v>2271</v>
      </c>
      <c r="X518" s="373">
        <v>28130</v>
      </c>
      <c r="Y518" s="373">
        <v>28130</v>
      </c>
      <c r="Z518" s="371" t="s">
        <v>2271</v>
      </c>
      <c r="AA518" s="373">
        <v>0</v>
      </c>
      <c r="AB518" s="373">
        <v>28160</v>
      </c>
      <c r="AC518" s="373">
        <v>28160</v>
      </c>
      <c r="AD518" s="371" t="s">
        <v>2271</v>
      </c>
      <c r="AE518" s="373">
        <v>0</v>
      </c>
      <c r="AF518" s="382">
        <v>0.39236111111111099</v>
      </c>
      <c r="AG518" s="382">
        <v>0.39236111111111099</v>
      </c>
      <c r="AH518" s="371" t="s">
        <v>2271</v>
      </c>
      <c r="AI518" s="382">
        <v>0.48125000000000001</v>
      </c>
      <c r="AJ518" s="382">
        <v>0.48125000000000001</v>
      </c>
      <c r="AK518" s="371" t="s">
        <v>2271</v>
      </c>
      <c r="AL518" s="206" t="s">
        <v>42</v>
      </c>
      <c r="AM518" s="206" t="s">
        <v>42</v>
      </c>
      <c r="AN518" s="371" t="s">
        <v>2271</v>
      </c>
      <c r="AO518" s="206" t="s">
        <v>2685</v>
      </c>
      <c r="AP518" s="206" t="s">
        <v>1372</v>
      </c>
      <c r="AQ518" s="206" t="s">
        <v>1133</v>
      </c>
      <c r="AR518" s="207" t="s">
        <v>75</v>
      </c>
    </row>
    <row r="519" spans="1:44" x14ac:dyDescent="0.2">
      <c r="A519" s="370">
        <v>500</v>
      </c>
      <c r="B519" s="380">
        <v>290</v>
      </c>
      <c r="C519" s="371" t="s">
        <v>2275</v>
      </c>
      <c r="D519" s="371" t="s">
        <v>2235</v>
      </c>
      <c r="E519" s="206"/>
      <c r="F519" s="206" t="s">
        <v>70</v>
      </c>
      <c r="G519" s="206" t="s">
        <v>70</v>
      </c>
      <c r="H519" s="371" t="s">
        <v>2271</v>
      </c>
      <c r="I519" s="206"/>
      <c r="J519" s="206" t="s">
        <v>1452</v>
      </c>
      <c r="K519" s="371" t="s">
        <v>2276</v>
      </c>
      <c r="L519" s="206" t="s">
        <v>2156</v>
      </c>
      <c r="M519" s="206" t="s">
        <v>1336</v>
      </c>
      <c r="N519" s="206" t="s">
        <v>59</v>
      </c>
      <c r="O519" s="372">
        <v>45973</v>
      </c>
      <c r="P519" s="372">
        <v>45973</v>
      </c>
      <c r="Q519" s="371" t="s">
        <v>2271</v>
      </c>
      <c r="R519" s="373">
        <v>45800</v>
      </c>
      <c r="S519" s="373">
        <v>45800</v>
      </c>
      <c r="T519" s="371" t="s">
        <v>2271</v>
      </c>
      <c r="U519" s="373">
        <v>17670</v>
      </c>
      <c r="V519" s="373">
        <v>17670</v>
      </c>
      <c r="W519" s="371" t="s">
        <v>2271</v>
      </c>
      <c r="X519" s="373">
        <v>28130</v>
      </c>
      <c r="Y519" s="373">
        <v>28130</v>
      </c>
      <c r="Z519" s="371" t="s">
        <v>2271</v>
      </c>
      <c r="AA519" s="373">
        <v>0</v>
      </c>
      <c r="AB519" s="373">
        <v>28180</v>
      </c>
      <c r="AC519" s="373">
        <v>28180</v>
      </c>
      <c r="AD519" s="371" t="s">
        <v>2271</v>
      </c>
      <c r="AE519" s="373">
        <v>0</v>
      </c>
      <c r="AF519" s="382">
        <v>0.41597222222222202</v>
      </c>
      <c r="AG519" s="382">
        <v>0.41597222222222202</v>
      </c>
      <c r="AH519" s="371" t="s">
        <v>2271</v>
      </c>
      <c r="AI519" s="382">
        <v>0.48263888888888901</v>
      </c>
      <c r="AJ519" s="382">
        <v>0.48263888888888901</v>
      </c>
      <c r="AK519" s="371" t="s">
        <v>2271</v>
      </c>
      <c r="AL519" s="206" t="s">
        <v>42</v>
      </c>
      <c r="AM519" s="206" t="s">
        <v>42</v>
      </c>
      <c r="AN519" s="371" t="s">
        <v>2271</v>
      </c>
      <c r="AO519" s="206" t="s">
        <v>2686</v>
      </c>
      <c r="AP519" s="206" t="s">
        <v>1499</v>
      </c>
      <c r="AQ519" s="206" t="s">
        <v>1133</v>
      </c>
      <c r="AR519" s="207" t="s">
        <v>75</v>
      </c>
    </row>
    <row r="520" spans="1:44" x14ac:dyDescent="0.2">
      <c r="A520" s="370">
        <v>501</v>
      </c>
      <c r="B520" s="380">
        <v>291</v>
      </c>
      <c r="C520" s="371" t="s">
        <v>2275</v>
      </c>
      <c r="D520" s="371" t="s">
        <v>2235</v>
      </c>
      <c r="E520" s="206"/>
      <c r="F520" s="206" t="s">
        <v>56</v>
      </c>
      <c r="G520" s="206" t="s">
        <v>56</v>
      </c>
      <c r="H520" s="371" t="s">
        <v>2271</v>
      </c>
      <c r="I520" s="206"/>
      <c r="J520" s="206" t="s">
        <v>1433</v>
      </c>
      <c r="K520" s="371" t="s">
        <v>2276</v>
      </c>
      <c r="L520" s="206" t="s">
        <v>2157</v>
      </c>
      <c r="M520" s="206" t="s">
        <v>1337</v>
      </c>
      <c r="N520" s="206" t="s">
        <v>49</v>
      </c>
      <c r="O520" s="372">
        <v>45973</v>
      </c>
      <c r="P520" s="372">
        <v>45973</v>
      </c>
      <c r="Q520" s="371" t="s">
        <v>2271</v>
      </c>
      <c r="R520" s="373">
        <v>25090</v>
      </c>
      <c r="S520" s="373">
        <v>25090</v>
      </c>
      <c r="T520" s="371" t="s">
        <v>2271</v>
      </c>
      <c r="U520" s="373">
        <v>10890</v>
      </c>
      <c r="V520" s="373">
        <v>10890</v>
      </c>
      <c r="W520" s="371" t="s">
        <v>2271</v>
      </c>
      <c r="X520" s="373">
        <v>14200</v>
      </c>
      <c r="Y520" s="373">
        <v>14200</v>
      </c>
      <c r="Z520" s="371" t="s">
        <v>2271</v>
      </c>
      <c r="AA520" s="373">
        <v>0</v>
      </c>
      <c r="AB520" s="373">
        <v>14180</v>
      </c>
      <c r="AC520" s="373">
        <v>14180</v>
      </c>
      <c r="AD520" s="371" t="s">
        <v>2271</v>
      </c>
      <c r="AE520" s="373">
        <v>0</v>
      </c>
      <c r="AF520" s="382">
        <v>0.49861111111111101</v>
      </c>
      <c r="AG520" s="382">
        <v>0.49861111111111101</v>
      </c>
      <c r="AH520" s="371" t="s">
        <v>2271</v>
      </c>
      <c r="AI520" s="382">
        <v>0.59791666666666698</v>
      </c>
      <c r="AJ520" s="382">
        <v>0.59791666666666698</v>
      </c>
      <c r="AK520" s="371" t="s">
        <v>2271</v>
      </c>
      <c r="AL520" s="206" t="s">
        <v>42</v>
      </c>
      <c r="AM520" s="206" t="s">
        <v>42</v>
      </c>
      <c r="AN520" s="371" t="s">
        <v>2271</v>
      </c>
      <c r="AO520" s="206" t="s">
        <v>2687</v>
      </c>
      <c r="AP520" s="206" t="s">
        <v>1781</v>
      </c>
      <c r="AQ520" s="206" t="s">
        <v>1132</v>
      </c>
      <c r="AR520" s="207" t="s">
        <v>68</v>
      </c>
    </row>
    <row r="521" spans="1:44" x14ac:dyDescent="0.2">
      <c r="A521" s="370">
        <v>502</v>
      </c>
      <c r="B521" s="380">
        <v>292</v>
      </c>
      <c r="C521" s="371" t="s">
        <v>2275</v>
      </c>
      <c r="D521" s="371" t="s">
        <v>2235</v>
      </c>
      <c r="E521" s="206"/>
      <c r="F521" s="206" t="s">
        <v>84</v>
      </c>
      <c r="G521" s="206" t="s">
        <v>84</v>
      </c>
      <c r="H521" s="371" t="s">
        <v>2271</v>
      </c>
      <c r="I521" s="206"/>
      <c r="J521" s="206" t="s">
        <v>1433</v>
      </c>
      <c r="K521" s="371" t="s">
        <v>2276</v>
      </c>
      <c r="L521" s="206" t="s">
        <v>2157</v>
      </c>
      <c r="M521" s="206" t="s">
        <v>1337</v>
      </c>
      <c r="N521" s="206" t="s">
        <v>49</v>
      </c>
      <c r="O521" s="372">
        <v>45973</v>
      </c>
      <c r="P521" s="372">
        <v>45973</v>
      </c>
      <c r="Q521" s="371" t="s">
        <v>2271</v>
      </c>
      <c r="R521" s="373">
        <v>26600</v>
      </c>
      <c r="S521" s="373">
        <v>26600</v>
      </c>
      <c r="T521" s="371" t="s">
        <v>2271</v>
      </c>
      <c r="U521" s="373">
        <v>12120</v>
      </c>
      <c r="V521" s="373">
        <v>12120</v>
      </c>
      <c r="W521" s="371" t="s">
        <v>2271</v>
      </c>
      <c r="X521" s="373">
        <v>14480</v>
      </c>
      <c r="Y521" s="373">
        <v>14480</v>
      </c>
      <c r="Z521" s="371" t="s">
        <v>2271</v>
      </c>
      <c r="AA521" s="373">
        <v>0</v>
      </c>
      <c r="AB521" s="373">
        <v>14450</v>
      </c>
      <c r="AC521" s="373">
        <v>14450</v>
      </c>
      <c r="AD521" s="371" t="s">
        <v>2271</v>
      </c>
      <c r="AE521" s="373">
        <v>0</v>
      </c>
      <c r="AF521" s="382">
        <v>0.50138888888888899</v>
      </c>
      <c r="AG521" s="382">
        <v>0.50138888888888899</v>
      </c>
      <c r="AH521" s="371" t="s">
        <v>2271</v>
      </c>
      <c r="AI521" s="382">
        <v>0.62708333333333299</v>
      </c>
      <c r="AJ521" s="382">
        <v>0.62708333333333299</v>
      </c>
      <c r="AK521" s="371" t="s">
        <v>2271</v>
      </c>
      <c r="AL521" s="206" t="s">
        <v>42</v>
      </c>
      <c r="AM521" s="206" t="s">
        <v>42</v>
      </c>
      <c r="AN521" s="371" t="s">
        <v>2271</v>
      </c>
      <c r="AO521" s="206" t="s">
        <v>2688</v>
      </c>
      <c r="AP521" s="206" t="s">
        <v>1782</v>
      </c>
      <c r="AQ521" s="206" t="s">
        <v>1132</v>
      </c>
      <c r="AR521" s="207" t="s">
        <v>68</v>
      </c>
    </row>
    <row r="522" spans="1:44" x14ac:dyDescent="0.2">
      <c r="A522" s="370">
        <v>503</v>
      </c>
      <c r="B522" s="380">
        <v>293</v>
      </c>
      <c r="C522" s="371" t="s">
        <v>2275</v>
      </c>
      <c r="D522" s="371" t="s">
        <v>2235</v>
      </c>
      <c r="E522" s="206"/>
      <c r="F522" s="206" t="s">
        <v>46</v>
      </c>
      <c r="G522" s="206" t="s">
        <v>46</v>
      </c>
      <c r="H522" s="371" t="s">
        <v>2271</v>
      </c>
      <c r="I522" s="206"/>
      <c r="J522" s="206" t="s">
        <v>1433</v>
      </c>
      <c r="K522" s="371" t="s">
        <v>2276</v>
      </c>
      <c r="L522" s="206" t="s">
        <v>2157</v>
      </c>
      <c r="M522" s="206" t="s">
        <v>1337</v>
      </c>
      <c r="N522" s="206" t="s">
        <v>49</v>
      </c>
      <c r="O522" s="372">
        <v>45973</v>
      </c>
      <c r="P522" s="372">
        <v>45973</v>
      </c>
      <c r="Q522" s="371" t="s">
        <v>2271</v>
      </c>
      <c r="R522" s="373">
        <v>26620</v>
      </c>
      <c r="S522" s="373">
        <v>26620</v>
      </c>
      <c r="T522" s="371" t="s">
        <v>2271</v>
      </c>
      <c r="U522" s="373">
        <v>11890</v>
      </c>
      <c r="V522" s="373">
        <v>11890</v>
      </c>
      <c r="W522" s="371" t="s">
        <v>2271</v>
      </c>
      <c r="X522" s="373">
        <v>14730</v>
      </c>
      <c r="Y522" s="373">
        <v>14730</v>
      </c>
      <c r="Z522" s="371" t="s">
        <v>2271</v>
      </c>
      <c r="AA522" s="373">
        <v>0</v>
      </c>
      <c r="AB522" s="373">
        <v>14720</v>
      </c>
      <c r="AC522" s="373">
        <v>14720</v>
      </c>
      <c r="AD522" s="371" t="s">
        <v>2271</v>
      </c>
      <c r="AE522" s="373">
        <v>0</v>
      </c>
      <c r="AF522" s="382">
        <v>0.50208333333333299</v>
      </c>
      <c r="AG522" s="382">
        <v>0.50208333333333299</v>
      </c>
      <c r="AH522" s="371" t="s">
        <v>2271</v>
      </c>
      <c r="AI522" s="382">
        <v>0.62986111111111098</v>
      </c>
      <c r="AJ522" s="382">
        <v>0.62986111111111098</v>
      </c>
      <c r="AK522" s="371" t="s">
        <v>2271</v>
      </c>
      <c r="AL522" s="206" t="s">
        <v>42</v>
      </c>
      <c r="AM522" s="206" t="s">
        <v>42</v>
      </c>
      <c r="AN522" s="371" t="s">
        <v>2271</v>
      </c>
      <c r="AO522" s="206" t="s">
        <v>2689</v>
      </c>
      <c r="AP522" s="206" t="s">
        <v>1393</v>
      </c>
      <c r="AQ522" s="206" t="s">
        <v>1132</v>
      </c>
      <c r="AR522" s="207" t="s">
        <v>68</v>
      </c>
    </row>
    <row r="523" spans="1:44" x14ac:dyDescent="0.2">
      <c r="A523" s="370">
        <v>504</v>
      </c>
      <c r="B523" s="380">
        <v>294</v>
      </c>
      <c r="C523" s="371" t="s">
        <v>2275</v>
      </c>
      <c r="D523" s="371" t="s">
        <v>2235</v>
      </c>
      <c r="E523" s="206"/>
      <c r="F523" s="206" t="s">
        <v>76</v>
      </c>
      <c r="G523" s="206" t="s">
        <v>76</v>
      </c>
      <c r="H523" s="371" t="s">
        <v>2271</v>
      </c>
      <c r="I523" s="206"/>
      <c r="J523" s="206" t="s">
        <v>1452</v>
      </c>
      <c r="K523" s="371" t="s">
        <v>2276</v>
      </c>
      <c r="L523" s="206" t="s">
        <v>2156</v>
      </c>
      <c r="M523" s="206" t="s">
        <v>1336</v>
      </c>
      <c r="N523" s="206" t="s">
        <v>59</v>
      </c>
      <c r="O523" s="372">
        <v>45973</v>
      </c>
      <c r="P523" s="372">
        <v>45973</v>
      </c>
      <c r="Q523" s="371" t="s">
        <v>2271</v>
      </c>
      <c r="R523" s="373">
        <v>45730</v>
      </c>
      <c r="S523" s="373">
        <v>45730</v>
      </c>
      <c r="T523" s="371" t="s">
        <v>2271</v>
      </c>
      <c r="U523" s="373">
        <v>17800</v>
      </c>
      <c r="V523" s="373">
        <v>17800</v>
      </c>
      <c r="W523" s="371" t="s">
        <v>2271</v>
      </c>
      <c r="X523" s="373">
        <v>27930</v>
      </c>
      <c r="Y523" s="373">
        <v>27930</v>
      </c>
      <c r="Z523" s="371" t="s">
        <v>2271</v>
      </c>
      <c r="AA523" s="373">
        <v>0</v>
      </c>
      <c r="AB523" s="373">
        <v>27920</v>
      </c>
      <c r="AC523" s="373">
        <v>27920</v>
      </c>
      <c r="AD523" s="371" t="s">
        <v>2271</v>
      </c>
      <c r="AE523" s="373">
        <v>0</v>
      </c>
      <c r="AF523" s="382">
        <v>0.63958333333333295</v>
      </c>
      <c r="AG523" s="382">
        <v>0.63958333333333295</v>
      </c>
      <c r="AH523" s="371" t="s">
        <v>2271</v>
      </c>
      <c r="AI523" s="382">
        <v>0.68888888888888899</v>
      </c>
      <c r="AJ523" s="382">
        <v>0.68888888888888899</v>
      </c>
      <c r="AK523" s="371" t="s">
        <v>2271</v>
      </c>
      <c r="AL523" s="206" t="s">
        <v>42</v>
      </c>
      <c r="AM523" s="206" t="s">
        <v>42</v>
      </c>
      <c r="AN523" s="371" t="s">
        <v>2271</v>
      </c>
      <c r="AO523" s="206" t="s">
        <v>2690</v>
      </c>
      <c r="AP523" s="206" t="s">
        <v>1372</v>
      </c>
      <c r="AQ523" s="206" t="s">
        <v>1133</v>
      </c>
      <c r="AR523" s="207" t="s">
        <v>75</v>
      </c>
    </row>
    <row r="524" spans="1:44" x14ac:dyDescent="0.2">
      <c r="A524" s="370">
        <v>505</v>
      </c>
      <c r="B524" s="380">
        <v>295</v>
      </c>
      <c r="C524" s="371" t="s">
        <v>2275</v>
      </c>
      <c r="D524" s="371" t="s">
        <v>2235</v>
      </c>
      <c r="E524" s="206"/>
      <c r="F524" s="206" t="s">
        <v>70</v>
      </c>
      <c r="G524" s="206" t="s">
        <v>70</v>
      </c>
      <c r="H524" s="371" t="s">
        <v>2271</v>
      </c>
      <c r="I524" s="206"/>
      <c r="J524" s="206" t="s">
        <v>1452</v>
      </c>
      <c r="K524" s="371" t="s">
        <v>2276</v>
      </c>
      <c r="L524" s="206" t="s">
        <v>2156</v>
      </c>
      <c r="M524" s="206" t="s">
        <v>1336</v>
      </c>
      <c r="N524" s="206" t="s">
        <v>59</v>
      </c>
      <c r="O524" s="372">
        <v>45973</v>
      </c>
      <c r="P524" s="372">
        <v>45973</v>
      </c>
      <c r="Q524" s="371" t="s">
        <v>2271</v>
      </c>
      <c r="R524" s="373">
        <v>45540</v>
      </c>
      <c r="S524" s="373">
        <v>45540</v>
      </c>
      <c r="T524" s="371" t="s">
        <v>2271</v>
      </c>
      <c r="U524" s="373">
        <v>17590</v>
      </c>
      <c r="V524" s="373">
        <v>17590</v>
      </c>
      <c r="W524" s="371" t="s">
        <v>2271</v>
      </c>
      <c r="X524" s="373">
        <v>27950</v>
      </c>
      <c r="Y524" s="373">
        <v>27950</v>
      </c>
      <c r="Z524" s="371" t="s">
        <v>2271</v>
      </c>
      <c r="AA524" s="373">
        <v>0</v>
      </c>
      <c r="AB524" s="373">
        <v>27900</v>
      </c>
      <c r="AC524" s="373">
        <v>27900</v>
      </c>
      <c r="AD524" s="371" t="s">
        <v>2271</v>
      </c>
      <c r="AE524" s="373">
        <v>0</v>
      </c>
      <c r="AF524" s="382">
        <v>0.66249999999999998</v>
      </c>
      <c r="AG524" s="382">
        <v>0.66249999999999998</v>
      </c>
      <c r="AH524" s="371" t="s">
        <v>2271</v>
      </c>
      <c r="AI524" s="382">
        <v>0.71180555555555503</v>
      </c>
      <c r="AJ524" s="382">
        <v>0.71180555555555602</v>
      </c>
      <c r="AK524" s="371" t="s">
        <v>2276</v>
      </c>
      <c r="AL524" s="206" t="s">
        <v>42</v>
      </c>
      <c r="AM524" s="206" t="s">
        <v>42</v>
      </c>
      <c r="AN524" s="371" t="s">
        <v>2271</v>
      </c>
      <c r="AO524" s="206" t="s">
        <v>2691</v>
      </c>
      <c r="AP524" s="206" t="s">
        <v>1499</v>
      </c>
      <c r="AQ524" s="206" t="s">
        <v>1133</v>
      </c>
      <c r="AR524" s="207" t="s">
        <v>75</v>
      </c>
    </row>
    <row r="525" spans="1:44" x14ac:dyDescent="0.2">
      <c r="A525" s="370">
        <v>506</v>
      </c>
      <c r="B525" s="380">
        <v>296</v>
      </c>
      <c r="C525" s="371" t="s">
        <v>2275</v>
      </c>
      <c r="D525" s="371" t="s">
        <v>2235</v>
      </c>
      <c r="E525" s="206"/>
      <c r="F525" s="206" t="s">
        <v>46</v>
      </c>
      <c r="G525" s="206" t="s">
        <v>46</v>
      </c>
      <c r="H525" s="371" t="s">
        <v>2271</v>
      </c>
      <c r="I525" s="206"/>
      <c r="J525" s="206" t="s">
        <v>1433</v>
      </c>
      <c r="K525" s="371" t="s">
        <v>2276</v>
      </c>
      <c r="L525" s="206" t="s">
        <v>2157</v>
      </c>
      <c r="M525" s="206" t="s">
        <v>1337</v>
      </c>
      <c r="N525" s="206" t="s">
        <v>49</v>
      </c>
      <c r="O525" s="372">
        <v>45973</v>
      </c>
      <c r="P525" s="372">
        <v>45973</v>
      </c>
      <c r="Q525" s="371" t="s">
        <v>2271</v>
      </c>
      <c r="R525" s="373">
        <v>26590</v>
      </c>
      <c r="S525" s="373">
        <v>26590</v>
      </c>
      <c r="T525" s="371" t="s">
        <v>2271</v>
      </c>
      <c r="U525" s="373">
        <v>11820</v>
      </c>
      <c r="V525" s="373">
        <v>11820</v>
      </c>
      <c r="W525" s="371" t="s">
        <v>2271</v>
      </c>
      <c r="X525" s="373">
        <v>14770</v>
      </c>
      <c r="Y525" s="373">
        <v>14770</v>
      </c>
      <c r="Z525" s="371" t="s">
        <v>2271</v>
      </c>
      <c r="AA525" s="373">
        <v>0</v>
      </c>
      <c r="AB525" s="373">
        <v>14700</v>
      </c>
      <c r="AC525" s="373">
        <v>14700</v>
      </c>
      <c r="AD525" s="371" t="s">
        <v>2271</v>
      </c>
      <c r="AE525" s="373">
        <v>0</v>
      </c>
      <c r="AF525" s="382">
        <v>0.82361111111111096</v>
      </c>
      <c r="AG525" s="382">
        <v>0.82361111111111096</v>
      </c>
      <c r="AH525" s="371" t="s">
        <v>2271</v>
      </c>
      <c r="AI525" s="382">
        <v>0.88194444444444497</v>
      </c>
      <c r="AJ525" s="382">
        <v>0.88194444444444398</v>
      </c>
      <c r="AK525" s="371" t="s">
        <v>2276</v>
      </c>
      <c r="AL525" s="206" t="s">
        <v>137</v>
      </c>
      <c r="AM525" s="206" t="s">
        <v>137</v>
      </c>
      <c r="AN525" s="371" t="s">
        <v>2271</v>
      </c>
      <c r="AO525" s="206" t="s">
        <v>2692</v>
      </c>
      <c r="AP525" s="206" t="s">
        <v>1393</v>
      </c>
      <c r="AQ525" s="206" t="s">
        <v>1132</v>
      </c>
      <c r="AR525" s="207" t="s">
        <v>68</v>
      </c>
    </row>
    <row r="526" spans="1:44" x14ac:dyDescent="0.2">
      <c r="A526" s="370">
        <v>507</v>
      </c>
      <c r="B526" s="380">
        <v>297</v>
      </c>
      <c r="C526" s="371" t="s">
        <v>2275</v>
      </c>
      <c r="D526" s="371" t="s">
        <v>2235</v>
      </c>
      <c r="E526" s="206"/>
      <c r="F526" s="206" t="s">
        <v>56</v>
      </c>
      <c r="G526" s="206" t="s">
        <v>56</v>
      </c>
      <c r="H526" s="371" t="s">
        <v>2271</v>
      </c>
      <c r="I526" s="206"/>
      <c r="J526" s="206" t="s">
        <v>1433</v>
      </c>
      <c r="K526" s="371" t="s">
        <v>2276</v>
      </c>
      <c r="L526" s="206" t="s">
        <v>2157</v>
      </c>
      <c r="M526" s="206" t="s">
        <v>1337</v>
      </c>
      <c r="N526" s="206" t="s">
        <v>49</v>
      </c>
      <c r="O526" s="372">
        <v>45973</v>
      </c>
      <c r="P526" s="372">
        <v>45973</v>
      </c>
      <c r="Q526" s="371" t="s">
        <v>2271</v>
      </c>
      <c r="R526" s="373">
        <v>25100</v>
      </c>
      <c r="S526" s="373">
        <v>25100</v>
      </c>
      <c r="T526" s="371" t="s">
        <v>2271</v>
      </c>
      <c r="U526" s="373">
        <v>10820</v>
      </c>
      <c r="V526" s="373">
        <v>10820</v>
      </c>
      <c r="W526" s="371" t="s">
        <v>2271</v>
      </c>
      <c r="X526" s="373">
        <v>14280</v>
      </c>
      <c r="Y526" s="373">
        <v>14280</v>
      </c>
      <c r="Z526" s="371" t="s">
        <v>2271</v>
      </c>
      <c r="AA526" s="373">
        <v>0</v>
      </c>
      <c r="AB526" s="373">
        <v>14210</v>
      </c>
      <c r="AC526" s="373">
        <v>14210</v>
      </c>
      <c r="AD526" s="371" t="s">
        <v>2271</v>
      </c>
      <c r="AE526" s="373">
        <v>0</v>
      </c>
      <c r="AF526" s="382">
        <v>0.82499999999999996</v>
      </c>
      <c r="AG526" s="382">
        <v>0.82499999999999996</v>
      </c>
      <c r="AH526" s="371" t="s">
        <v>2271</v>
      </c>
      <c r="AI526" s="382">
        <v>0.87638888888888899</v>
      </c>
      <c r="AJ526" s="382">
        <v>0.87638888888888899</v>
      </c>
      <c r="AK526" s="371" t="s">
        <v>2271</v>
      </c>
      <c r="AL526" s="206" t="s">
        <v>137</v>
      </c>
      <c r="AM526" s="206" t="s">
        <v>137</v>
      </c>
      <c r="AN526" s="371" t="s">
        <v>2271</v>
      </c>
      <c r="AO526" s="206" t="s">
        <v>2693</v>
      </c>
      <c r="AP526" s="206" t="s">
        <v>1781</v>
      </c>
      <c r="AQ526" s="206" t="s">
        <v>1132</v>
      </c>
      <c r="AR526" s="207" t="s">
        <v>68</v>
      </c>
    </row>
    <row r="527" spans="1:44" x14ac:dyDescent="0.2">
      <c r="A527" s="370">
        <v>508</v>
      </c>
      <c r="B527" s="380">
        <v>298</v>
      </c>
      <c r="C527" s="371" t="s">
        <v>2275</v>
      </c>
      <c r="D527" s="371" t="s">
        <v>2235</v>
      </c>
      <c r="E527" s="206"/>
      <c r="F527" s="206" t="s">
        <v>84</v>
      </c>
      <c r="G527" s="206" t="s">
        <v>84</v>
      </c>
      <c r="H527" s="371" t="s">
        <v>2271</v>
      </c>
      <c r="I527" s="206"/>
      <c r="J527" s="206" t="s">
        <v>1433</v>
      </c>
      <c r="K527" s="371" t="s">
        <v>2276</v>
      </c>
      <c r="L527" s="206" t="s">
        <v>2157</v>
      </c>
      <c r="M527" s="206" t="s">
        <v>1337</v>
      </c>
      <c r="N527" s="206" t="s">
        <v>49</v>
      </c>
      <c r="O527" s="372">
        <v>45973</v>
      </c>
      <c r="P527" s="372">
        <v>45973</v>
      </c>
      <c r="Q527" s="371" t="s">
        <v>2271</v>
      </c>
      <c r="R527" s="373">
        <v>26570</v>
      </c>
      <c r="S527" s="373">
        <v>26570</v>
      </c>
      <c r="T527" s="371" t="s">
        <v>2271</v>
      </c>
      <c r="U527" s="373">
        <v>12080</v>
      </c>
      <c r="V527" s="373">
        <v>12080</v>
      </c>
      <c r="W527" s="371" t="s">
        <v>2271</v>
      </c>
      <c r="X527" s="373">
        <v>14490</v>
      </c>
      <c r="Y527" s="373">
        <v>14490</v>
      </c>
      <c r="Z527" s="371" t="s">
        <v>2271</v>
      </c>
      <c r="AA527" s="373">
        <v>0</v>
      </c>
      <c r="AB527" s="373">
        <v>14430</v>
      </c>
      <c r="AC527" s="373">
        <v>14430</v>
      </c>
      <c r="AD527" s="371" t="s">
        <v>2271</v>
      </c>
      <c r="AE527" s="373">
        <v>0</v>
      </c>
      <c r="AF527" s="382">
        <v>0.83472222222222203</v>
      </c>
      <c r="AG527" s="382">
        <v>0.83472222222222203</v>
      </c>
      <c r="AH527" s="371" t="s">
        <v>2271</v>
      </c>
      <c r="AI527" s="382">
        <v>0.91666666666666696</v>
      </c>
      <c r="AJ527" s="382">
        <v>0.91666666666666696</v>
      </c>
      <c r="AK527" s="371" t="s">
        <v>2271</v>
      </c>
      <c r="AL527" s="206" t="s">
        <v>137</v>
      </c>
      <c r="AM527" s="206" t="s">
        <v>137</v>
      </c>
      <c r="AN527" s="371" t="s">
        <v>2271</v>
      </c>
      <c r="AO527" s="206" t="s">
        <v>2694</v>
      </c>
      <c r="AP527" s="206" t="s">
        <v>1782</v>
      </c>
      <c r="AQ527" s="206" t="s">
        <v>1132</v>
      </c>
      <c r="AR527" s="207" t="s">
        <v>68</v>
      </c>
    </row>
    <row r="528" spans="1:44" x14ac:dyDescent="0.2">
      <c r="A528" s="370">
        <v>509</v>
      </c>
      <c r="B528" s="380">
        <v>299</v>
      </c>
      <c r="C528" s="371" t="s">
        <v>2269</v>
      </c>
      <c r="D528" s="371" t="s">
        <v>2270</v>
      </c>
      <c r="E528" s="206"/>
      <c r="F528" s="206" t="s">
        <v>73</v>
      </c>
      <c r="G528" s="206" t="s">
        <v>73</v>
      </c>
      <c r="H528" s="371" t="s">
        <v>2271</v>
      </c>
      <c r="I528" s="206" t="s">
        <v>1335</v>
      </c>
      <c r="J528" s="206" t="s">
        <v>1335</v>
      </c>
      <c r="K528" s="371" t="s">
        <v>2271</v>
      </c>
      <c r="L528" s="206" t="s">
        <v>2160</v>
      </c>
      <c r="M528" s="206" t="s">
        <v>1334</v>
      </c>
      <c r="N528" s="206" t="s">
        <v>40</v>
      </c>
      <c r="O528" s="372">
        <v>45973</v>
      </c>
      <c r="P528" s="372">
        <v>45973</v>
      </c>
      <c r="Q528" s="371" t="s">
        <v>2271</v>
      </c>
      <c r="R528" s="373">
        <v>13490</v>
      </c>
      <c r="S528" s="373">
        <v>13490</v>
      </c>
      <c r="T528" s="371" t="s">
        <v>2271</v>
      </c>
      <c r="U528" s="373">
        <v>4000</v>
      </c>
      <c r="V528" s="373">
        <v>4000</v>
      </c>
      <c r="W528" s="371" t="s">
        <v>2271</v>
      </c>
      <c r="X528" s="373">
        <v>9490</v>
      </c>
      <c r="Y528" s="373">
        <v>9490</v>
      </c>
      <c r="Z528" s="371" t="s">
        <v>2271</v>
      </c>
      <c r="AA528" s="373">
        <v>0</v>
      </c>
      <c r="AB528" s="373">
        <v>9440</v>
      </c>
      <c r="AC528" s="373">
        <v>9440</v>
      </c>
      <c r="AD528" s="371" t="s">
        <v>2271</v>
      </c>
      <c r="AE528" s="373">
        <v>0</v>
      </c>
      <c r="AF528" s="382">
        <v>0.95277777777777795</v>
      </c>
      <c r="AG528" s="382">
        <v>0.95277777777777795</v>
      </c>
      <c r="AH528" s="371" t="s">
        <v>2271</v>
      </c>
      <c r="AI528" s="382">
        <v>0.98333333333333295</v>
      </c>
      <c r="AJ528" s="382">
        <v>0.98333333333333295</v>
      </c>
      <c r="AK528" s="371" t="s">
        <v>2271</v>
      </c>
      <c r="AL528" s="206" t="s">
        <v>137</v>
      </c>
      <c r="AM528" s="206" t="s">
        <v>137</v>
      </c>
      <c r="AN528" s="371" t="s">
        <v>2271</v>
      </c>
      <c r="AO528" s="206" t="s">
        <v>2695</v>
      </c>
      <c r="AP528" s="206"/>
      <c r="AQ528" s="206" t="s">
        <v>1131</v>
      </c>
      <c r="AR528" s="207" t="s">
        <v>82</v>
      </c>
    </row>
    <row r="529" spans="1:44" x14ac:dyDescent="0.2">
      <c r="A529" s="370">
        <v>510</v>
      </c>
      <c r="B529" s="380">
        <v>300</v>
      </c>
      <c r="C529" s="371" t="s">
        <v>2269</v>
      </c>
      <c r="D529" s="371" t="s">
        <v>2270</v>
      </c>
      <c r="E529" s="206"/>
      <c r="F529" s="206" t="s">
        <v>39</v>
      </c>
      <c r="G529" s="206" t="s">
        <v>39</v>
      </c>
      <c r="H529" s="371" t="s">
        <v>2271</v>
      </c>
      <c r="I529" s="206" t="s">
        <v>1335</v>
      </c>
      <c r="J529" s="206" t="s">
        <v>1335</v>
      </c>
      <c r="K529" s="371" t="s">
        <v>2271</v>
      </c>
      <c r="L529" s="206" t="s">
        <v>2160</v>
      </c>
      <c r="M529" s="206" t="s">
        <v>1334</v>
      </c>
      <c r="N529" s="206" t="s">
        <v>40</v>
      </c>
      <c r="O529" s="372">
        <v>45973</v>
      </c>
      <c r="P529" s="372">
        <v>45973</v>
      </c>
      <c r="Q529" s="371" t="s">
        <v>2271</v>
      </c>
      <c r="R529" s="373">
        <v>13740</v>
      </c>
      <c r="S529" s="373">
        <v>13740</v>
      </c>
      <c r="T529" s="371" t="s">
        <v>2271</v>
      </c>
      <c r="U529" s="373">
        <v>4110</v>
      </c>
      <c r="V529" s="373">
        <v>4110</v>
      </c>
      <c r="W529" s="371" t="s">
        <v>2271</v>
      </c>
      <c r="X529" s="373">
        <v>9630</v>
      </c>
      <c r="Y529" s="373">
        <v>9630</v>
      </c>
      <c r="Z529" s="371" t="s">
        <v>2271</v>
      </c>
      <c r="AA529" s="373">
        <v>0</v>
      </c>
      <c r="AB529" s="373">
        <v>9590</v>
      </c>
      <c r="AC529" s="373">
        <v>9590</v>
      </c>
      <c r="AD529" s="371" t="s">
        <v>2271</v>
      </c>
      <c r="AE529" s="373">
        <v>0</v>
      </c>
      <c r="AF529" s="382">
        <v>0.95416666666666705</v>
      </c>
      <c r="AG529" s="382">
        <v>0.95416666666666705</v>
      </c>
      <c r="AH529" s="371" t="s">
        <v>2271</v>
      </c>
      <c r="AI529" s="382">
        <v>0.97986111111111096</v>
      </c>
      <c r="AJ529" s="382">
        <v>0.97986111111111096</v>
      </c>
      <c r="AK529" s="371" t="s">
        <v>2271</v>
      </c>
      <c r="AL529" s="206" t="s">
        <v>137</v>
      </c>
      <c r="AM529" s="206" t="s">
        <v>137</v>
      </c>
      <c r="AN529" s="371" t="s">
        <v>2271</v>
      </c>
      <c r="AO529" s="206" t="s">
        <v>2696</v>
      </c>
      <c r="AP529" s="206"/>
      <c r="AQ529" s="206" t="s">
        <v>1131</v>
      </c>
      <c r="AR529" s="207" t="s">
        <v>82</v>
      </c>
    </row>
    <row r="530" spans="1:44" x14ac:dyDescent="0.2">
      <c r="A530" s="370">
        <v>511</v>
      </c>
      <c r="B530" s="380">
        <v>301</v>
      </c>
      <c r="C530" s="371" t="s">
        <v>2275</v>
      </c>
      <c r="D530" s="371" t="s">
        <v>2235</v>
      </c>
      <c r="E530" s="206"/>
      <c r="F530" s="206" t="s">
        <v>76</v>
      </c>
      <c r="G530" s="206" t="s">
        <v>76</v>
      </c>
      <c r="H530" s="371" t="s">
        <v>2271</v>
      </c>
      <c r="I530" s="206"/>
      <c r="J530" s="206" t="s">
        <v>1452</v>
      </c>
      <c r="K530" s="371" t="s">
        <v>2276</v>
      </c>
      <c r="L530" s="206" t="s">
        <v>2156</v>
      </c>
      <c r="M530" s="206" t="s">
        <v>1336</v>
      </c>
      <c r="N530" s="206" t="s">
        <v>59</v>
      </c>
      <c r="O530" s="372">
        <v>46003</v>
      </c>
      <c r="P530" s="372">
        <v>46003</v>
      </c>
      <c r="Q530" s="371" t="s">
        <v>2271</v>
      </c>
      <c r="R530" s="373">
        <v>45730</v>
      </c>
      <c r="S530" s="373">
        <v>45730</v>
      </c>
      <c r="T530" s="371" t="s">
        <v>2271</v>
      </c>
      <c r="U530" s="373">
        <v>17770</v>
      </c>
      <c r="V530" s="373">
        <v>17770</v>
      </c>
      <c r="W530" s="371" t="s">
        <v>2271</v>
      </c>
      <c r="X530" s="373">
        <v>27960</v>
      </c>
      <c r="Y530" s="373">
        <v>27960</v>
      </c>
      <c r="Z530" s="371" t="s">
        <v>2271</v>
      </c>
      <c r="AA530" s="373">
        <v>0</v>
      </c>
      <c r="AB530" s="373">
        <v>27980</v>
      </c>
      <c r="AC530" s="373">
        <v>27980</v>
      </c>
      <c r="AD530" s="371" t="s">
        <v>2271</v>
      </c>
      <c r="AE530" s="373">
        <v>0</v>
      </c>
      <c r="AF530" s="382">
        <v>0.39583333333333298</v>
      </c>
      <c r="AG530" s="382">
        <v>0.39583333333333298</v>
      </c>
      <c r="AH530" s="371" t="s">
        <v>2271</v>
      </c>
      <c r="AI530" s="382">
        <v>0.47847222222222202</v>
      </c>
      <c r="AJ530" s="382">
        <v>0.47847222222222202</v>
      </c>
      <c r="AK530" s="371" t="s">
        <v>2271</v>
      </c>
      <c r="AL530" s="206" t="s">
        <v>42</v>
      </c>
      <c r="AM530" s="206" t="s">
        <v>42</v>
      </c>
      <c r="AN530" s="371" t="s">
        <v>2271</v>
      </c>
      <c r="AO530" s="206" t="s">
        <v>2697</v>
      </c>
      <c r="AP530" s="206" t="s">
        <v>1372</v>
      </c>
      <c r="AQ530" s="206" t="s">
        <v>1133</v>
      </c>
      <c r="AR530" s="207" t="s">
        <v>75</v>
      </c>
    </row>
    <row r="531" spans="1:44" x14ac:dyDescent="0.2">
      <c r="A531" s="370">
        <v>512</v>
      </c>
      <c r="B531" s="380">
        <v>302</v>
      </c>
      <c r="C531" s="371" t="s">
        <v>2275</v>
      </c>
      <c r="D531" s="371" t="s">
        <v>2235</v>
      </c>
      <c r="E531" s="206"/>
      <c r="F531" s="206" t="s">
        <v>70</v>
      </c>
      <c r="G531" s="206" t="s">
        <v>70</v>
      </c>
      <c r="H531" s="371" t="s">
        <v>2271</v>
      </c>
      <c r="I531" s="206"/>
      <c r="J531" s="206" t="s">
        <v>1452</v>
      </c>
      <c r="K531" s="371" t="s">
        <v>2276</v>
      </c>
      <c r="L531" s="206" t="s">
        <v>2156</v>
      </c>
      <c r="M531" s="206" t="s">
        <v>1336</v>
      </c>
      <c r="N531" s="206" t="s">
        <v>59</v>
      </c>
      <c r="O531" s="372">
        <v>46003</v>
      </c>
      <c r="P531" s="372">
        <v>46003</v>
      </c>
      <c r="Q531" s="371" t="s">
        <v>2271</v>
      </c>
      <c r="R531" s="373">
        <v>45690</v>
      </c>
      <c r="S531" s="373">
        <v>45690</v>
      </c>
      <c r="T531" s="371" t="s">
        <v>2271</v>
      </c>
      <c r="U531" s="373">
        <v>17580</v>
      </c>
      <c r="V531" s="373">
        <v>17580</v>
      </c>
      <c r="W531" s="371" t="s">
        <v>2271</v>
      </c>
      <c r="X531" s="373">
        <v>28110</v>
      </c>
      <c r="Y531" s="373">
        <v>28110</v>
      </c>
      <c r="Z531" s="371" t="s">
        <v>2271</v>
      </c>
      <c r="AA531" s="373">
        <v>0</v>
      </c>
      <c r="AB531" s="373">
        <v>28120</v>
      </c>
      <c r="AC531" s="373">
        <v>28120</v>
      </c>
      <c r="AD531" s="371" t="s">
        <v>2271</v>
      </c>
      <c r="AE531" s="373">
        <v>0</v>
      </c>
      <c r="AF531" s="382">
        <v>0.41944444444444401</v>
      </c>
      <c r="AG531" s="382">
        <v>0.41944444444444501</v>
      </c>
      <c r="AH531" s="371" t="s">
        <v>2276</v>
      </c>
      <c r="AI531" s="382">
        <v>0.47986111111111102</v>
      </c>
      <c r="AJ531" s="382">
        <v>0.47986111111111102</v>
      </c>
      <c r="AK531" s="371" t="s">
        <v>2271</v>
      </c>
      <c r="AL531" s="206" t="s">
        <v>42</v>
      </c>
      <c r="AM531" s="206" t="s">
        <v>42</v>
      </c>
      <c r="AN531" s="371" t="s">
        <v>2271</v>
      </c>
      <c r="AO531" s="206" t="s">
        <v>2698</v>
      </c>
      <c r="AP531" s="206" t="s">
        <v>1499</v>
      </c>
      <c r="AQ531" s="206" t="s">
        <v>1133</v>
      </c>
      <c r="AR531" s="207" t="s">
        <v>75</v>
      </c>
    </row>
    <row r="532" spans="1:44" x14ac:dyDescent="0.2">
      <c r="A532" s="370">
        <v>513</v>
      </c>
      <c r="B532" s="380">
        <v>303</v>
      </c>
      <c r="C532" s="371" t="s">
        <v>2275</v>
      </c>
      <c r="D532" s="371" t="s">
        <v>2235</v>
      </c>
      <c r="E532" s="206"/>
      <c r="F532" s="206" t="s">
        <v>56</v>
      </c>
      <c r="G532" s="206" t="s">
        <v>56</v>
      </c>
      <c r="H532" s="371" t="s">
        <v>2271</v>
      </c>
      <c r="I532" s="206"/>
      <c r="J532" s="206" t="s">
        <v>1433</v>
      </c>
      <c r="K532" s="371" t="s">
        <v>2276</v>
      </c>
      <c r="L532" s="206" t="s">
        <v>2157</v>
      </c>
      <c r="M532" s="206" t="s">
        <v>1337</v>
      </c>
      <c r="N532" s="206" t="s">
        <v>49</v>
      </c>
      <c r="O532" s="372">
        <v>46003</v>
      </c>
      <c r="P532" s="372">
        <v>46003</v>
      </c>
      <c r="Q532" s="371" t="s">
        <v>2271</v>
      </c>
      <c r="R532" s="373">
        <v>25080</v>
      </c>
      <c r="S532" s="373">
        <v>25080</v>
      </c>
      <c r="T532" s="371" t="s">
        <v>2271</v>
      </c>
      <c r="U532" s="373">
        <v>10830</v>
      </c>
      <c r="V532" s="373">
        <v>10830</v>
      </c>
      <c r="W532" s="371" t="s">
        <v>2271</v>
      </c>
      <c r="X532" s="373">
        <v>14250</v>
      </c>
      <c r="Y532" s="373">
        <v>14250</v>
      </c>
      <c r="Z532" s="371" t="s">
        <v>2271</v>
      </c>
      <c r="AA532" s="373">
        <v>0</v>
      </c>
      <c r="AB532" s="373">
        <v>14240</v>
      </c>
      <c r="AC532" s="373">
        <v>14240</v>
      </c>
      <c r="AD532" s="371" t="s">
        <v>2271</v>
      </c>
      <c r="AE532" s="373">
        <v>0</v>
      </c>
      <c r="AF532" s="382">
        <v>0.48194444444444401</v>
      </c>
      <c r="AG532" s="382">
        <v>0.48194444444444501</v>
      </c>
      <c r="AH532" s="371" t="s">
        <v>2276</v>
      </c>
      <c r="AI532" s="382">
        <v>0.61666666666666703</v>
      </c>
      <c r="AJ532" s="382">
        <v>0.61666666666666703</v>
      </c>
      <c r="AK532" s="371" t="s">
        <v>2271</v>
      </c>
      <c r="AL532" s="206" t="s">
        <v>42</v>
      </c>
      <c r="AM532" s="206" t="s">
        <v>42</v>
      </c>
      <c r="AN532" s="371" t="s">
        <v>2271</v>
      </c>
      <c r="AO532" s="206" t="s">
        <v>2699</v>
      </c>
      <c r="AP532" s="206" t="s">
        <v>1781</v>
      </c>
      <c r="AQ532" s="206" t="s">
        <v>1132</v>
      </c>
      <c r="AR532" s="207" t="s">
        <v>68</v>
      </c>
    </row>
    <row r="533" spans="1:44" x14ac:dyDescent="0.2">
      <c r="A533" s="370">
        <v>514</v>
      </c>
      <c r="B533" s="380">
        <v>304</v>
      </c>
      <c r="C533" s="371" t="s">
        <v>2275</v>
      </c>
      <c r="D533" s="371" t="s">
        <v>2235</v>
      </c>
      <c r="E533" s="206"/>
      <c r="F533" s="206" t="s">
        <v>46</v>
      </c>
      <c r="G533" s="206" t="s">
        <v>46</v>
      </c>
      <c r="H533" s="371" t="s">
        <v>2271</v>
      </c>
      <c r="I533" s="206"/>
      <c r="J533" s="206" t="s">
        <v>1433</v>
      </c>
      <c r="K533" s="371" t="s">
        <v>2276</v>
      </c>
      <c r="L533" s="206" t="s">
        <v>2157</v>
      </c>
      <c r="M533" s="206" t="s">
        <v>1337</v>
      </c>
      <c r="N533" s="206" t="s">
        <v>49</v>
      </c>
      <c r="O533" s="372">
        <v>46003</v>
      </c>
      <c r="P533" s="372">
        <v>46003</v>
      </c>
      <c r="Q533" s="371" t="s">
        <v>2271</v>
      </c>
      <c r="R533" s="373">
        <v>26710</v>
      </c>
      <c r="S533" s="373">
        <v>26710</v>
      </c>
      <c r="T533" s="371" t="s">
        <v>2271</v>
      </c>
      <c r="U533" s="373">
        <v>11930</v>
      </c>
      <c r="V533" s="373">
        <v>11930</v>
      </c>
      <c r="W533" s="371" t="s">
        <v>2271</v>
      </c>
      <c r="X533" s="373">
        <v>14780</v>
      </c>
      <c r="Y533" s="373">
        <v>14780</v>
      </c>
      <c r="Z533" s="371" t="s">
        <v>2271</v>
      </c>
      <c r="AA533" s="373">
        <v>0</v>
      </c>
      <c r="AB533" s="373">
        <v>14750</v>
      </c>
      <c r="AC533" s="373">
        <v>14750</v>
      </c>
      <c r="AD533" s="371" t="s">
        <v>2271</v>
      </c>
      <c r="AE533" s="373">
        <v>0</v>
      </c>
      <c r="AF533" s="382">
        <v>0.57569444444444395</v>
      </c>
      <c r="AG533" s="382">
        <v>0.57569444444444395</v>
      </c>
      <c r="AH533" s="371" t="s">
        <v>2271</v>
      </c>
      <c r="AI533" s="382">
        <v>0.62777777777777799</v>
      </c>
      <c r="AJ533" s="382">
        <v>0.62777777777777799</v>
      </c>
      <c r="AK533" s="371" t="s">
        <v>2271</v>
      </c>
      <c r="AL533" s="206" t="s">
        <v>42</v>
      </c>
      <c r="AM533" s="206" t="s">
        <v>42</v>
      </c>
      <c r="AN533" s="371" t="s">
        <v>2271</v>
      </c>
      <c r="AO533" s="206" t="s">
        <v>2700</v>
      </c>
      <c r="AP533" s="206" t="s">
        <v>1393</v>
      </c>
      <c r="AQ533" s="206" t="s">
        <v>1132</v>
      </c>
      <c r="AR533" s="207" t="s">
        <v>68</v>
      </c>
    </row>
    <row r="534" spans="1:44" x14ac:dyDescent="0.2">
      <c r="A534" s="370">
        <v>515</v>
      </c>
      <c r="B534" s="380">
        <v>305</v>
      </c>
      <c r="C534" s="371" t="s">
        <v>2275</v>
      </c>
      <c r="D534" s="371" t="s">
        <v>2235</v>
      </c>
      <c r="E534" s="206"/>
      <c r="F534" s="206" t="s">
        <v>84</v>
      </c>
      <c r="G534" s="206" t="s">
        <v>84</v>
      </c>
      <c r="H534" s="371" t="s">
        <v>2271</v>
      </c>
      <c r="I534" s="206"/>
      <c r="J534" s="206" t="s">
        <v>1433</v>
      </c>
      <c r="K534" s="371" t="s">
        <v>2276</v>
      </c>
      <c r="L534" s="206" t="s">
        <v>2157</v>
      </c>
      <c r="M534" s="206" t="s">
        <v>1337</v>
      </c>
      <c r="N534" s="206" t="s">
        <v>49</v>
      </c>
      <c r="O534" s="372">
        <v>46003</v>
      </c>
      <c r="P534" s="372">
        <v>46003</v>
      </c>
      <c r="Q534" s="371" t="s">
        <v>2271</v>
      </c>
      <c r="R534" s="373">
        <v>26710</v>
      </c>
      <c r="S534" s="373">
        <v>26710</v>
      </c>
      <c r="T534" s="371" t="s">
        <v>2271</v>
      </c>
      <c r="U534" s="373">
        <v>12230</v>
      </c>
      <c r="V534" s="373">
        <v>12230</v>
      </c>
      <c r="W534" s="371" t="s">
        <v>2271</v>
      </c>
      <c r="X534" s="373">
        <v>14480</v>
      </c>
      <c r="Y534" s="373">
        <v>14480</v>
      </c>
      <c r="Z534" s="371" t="s">
        <v>2271</v>
      </c>
      <c r="AA534" s="373">
        <v>0</v>
      </c>
      <c r="AB534" s="373">
        <v>14450</v>
      </c>
      <c r="AC534" s="373">
        <v>14450</v>
      </c>
      <c r="AD534" s="371" t="s">
        <v>2271</v>
      </c>
      <c r="AE534" s="373">
        <v>0</v>
      </c>
      <c r="AF534" s="382">
        <v>0.58333333333333304</v>
      </c>
      <c r="AG534" s="382">
        <v>0.58333333333333304</v>
      </c>
      <c r="AH534" s="371" t="s">
        <v>2271</v>
      </c>
      <c r="AI534" s="382">
        <v>0.65486111111111101</v>
      </c>
      <c r="AJ534" s="382">
        <v>0.65486111111111101</v>
      </c>
      <c r="AK534" s="371" t="s">
        <v>2271</v>
      </c>
      <c r="AL534" s="206" t="s">
        <v>42</v>
      </c>
      <c r="AM534" s="206" t="s">
        <v>42</v>
      </c>
      <c r="AN534" s="371" t="s">
        <v>2271</v>
      </c>
      <c r="AO534" s="206" t="s">
        <v>2701</v>
      </c>
      <c r="AP534" s="206" t="s">
        <v>1782</v>
      </c>
      <c r="AQ534" s="206" t="s">
        <v>1132</v>
      </c>
      <c r="AR534" s="207" t="s">
        <v>68</v>
      </c>
    </row>
    <row r="535" spans="1:44" x14ac:dyDescent="0.2">
      <c r="A535" s="370">
        <v>516</v>
      </c>
      <c r="B535" s="380">
        <v>306</v>
      </c>
      <c r="C535" s="371" t="s">
        <v>2275</v>
      </c>
      <c r="D535" s="371" t="s">
        <v>2235</v>
      </c>
      <c r="E535" s="206"/>
      <c r="F535" s="206" t="s">
        <v>76</v>
      </c>
      <c r="G535" s="206" t="s">
        <v>76</v>
      </c>
      <c r="H535" s="371" t="s">
        <v>2271</v>
      </c>
      <c r="I535" s="206"/>
      <c r="J535" s="206" t="s">
        <v>1452</v>
      </c>
      <c r="K535" s="371" t="s">
        <v>2276</v>
      </c>
      <c r="L535" s="206" t="s">
        <v>2156</v>
      </c>
      <c r="M535" s="206" t="s">
        <v>1336</v>
      </c>
      <c r="N535" s="206" t="s">
        <v>59</v>
      </c>
      <c r="O535" s="372">
        <v>46003</v>
      </c>
      <c r="P535" s="372">
        <v>46003</v>
      </c>
      <c r="Q535" s="371" t="s">
        <v>2271</v>
      </c>
      <c r="R535" s="373">
        <v>45730</v>
      </c>
      <c r="S535" s="373">
        <v>45730</v>
      </c>
      <c r="T535" s="371" t="s">
        <v>2271</v>
      </c>
      <c r="U535" s="373">
        <v>17720</v>
      </c>
      <c r="V535" s="373">
        <v>17720</v>
      </c>
      <c r="W535" s="371" t="s">
        <v>2271</v>
      </c>
      <c r="X535" s="373">
        <v>28010</v>
      </c>
      <c r="Y535" s="373">
        <v>28010</v>
      </c>
      <c r="Z535" s="371" t="s">
        <v>2271</v>
      </c>
      <c r="AA535" s="373">
        <v>0</v>
      </c>
      <c r="AB535" s="373">
        <v>27960</v>
      </c>
      <c r="AC535" s="373">
        <v>27960</v>
      </c>
      <c r="AD535" s="371" t="s">
        <v>2271</v>
      </c>
      <c r="AE535" s="373">
        <v>0</v>
      </c>
      <c r="AF535" s="382">
        <v>0.72499999999999998</v>
      </c>
      <c r="AG535" s="382">
        <v>0.72499999999999998</v>
      </c>
      <c r="AH535" s="371" t="s">
        <v>2271</v>
      </c>
      <c r="AI535" s="382">
        <v>0.76041666666666696</v>
      </c>
      <c r="AJ535" s="382">
        <v>0.76041666666666696</v>
      </c>
      <c r="AK535" s="371" t="s">
        <v>2271</v>
      </c>
      <c r="AL535" s="206" t="s">
        <v>137</v>
      </c>
      <c r="AM535" s="206" t="s">
        <v>137</v>
      </c>
      <c r="AN535" s="371" t="s">
        <v>2271</v>
      </c>
      <c r="AO535" s="206" t="s">
        <v>2702</v>
      </c>
      <c r="AP535" s="206" t="s">
        <v>1372</v>
      </c>
      <c r="AQ535" s="206" t="s">
        <v>1133</v>
      </c>
      <c r="AR535" s="207" t="s">
        <v>75</v>
      </c>
    </row>
    <row r="536" spans="1:44" x14ac:dyDescent="0.2">
      <c r="A536" s="370">
        <v>517</v>
      </c>
      <c r="B536" s="380">
        <v>307</v>
      </c>
      <c r="C536" s="371" t="s">
        <v>2275</v>
      </c>
      <c r="D536" s="371" t="s">
        <v>2235</v>
      </c>
      <c r="E536" s="206"/>
      <c r="F536" s="206" t="s">
        <v>70</v>
      </c>
      <c r="G536" s="206" t="s">
        <v>70</v>
      </c>
      <c r="H536" s="371" t="s">
        <v>2271</v>
      </c>
      <c r="I536" s="206"/>
      <c r="J536" s="206" t="s">
        <v>1452</v>
      </c>
      <c r="K536" s="371" t="s">
        <v>2276</v>
      </c>
      <c r="L536" s="206" t="s">
        <v>2156</v>
      </c>
      <c r="M536" s="206" t="s">
        <v>1336</v>
      </c>
      <c r="N536" s="206" t="s">
        <v>59</v>
      </c>
      <c r="O536" s="372">
        <v>46003</v>
      </c>
      <c r="P536" s="372">
        <v>46003</v>
      </c>
      <c r="Q536" s="371" t="s">
        <v>2271</v>
      </c>
      <c r="R536" s="373">
        <v>45580</v>
      </c>
      <c r="S536" s="373">
        <v>45580</v>
      </c>
      <c r="T536" s="371" t="s">
        <v>2271</v>
      </c>
      <c r="U536" s="373">
        <v>17530</v>
      </c>
      <c r="V536" s="373">
        <v>17530</v>
      </c>
      <c r="W536" s="371" t="s">
        <v>2271</v>
      </c>
      <c r="X536" s="373">
        <v>28050</v>
      </c>
      <c r="Y536" s="373">
        <v>28050</v>
      </c>
      <c r="Z536" s="371" t="s">
        <v>2271</v>
      </c>
      <c r="AA536" s="373">
        <v>0</v>
      </c>
      <c r="AB536" s="373">
        <v>28000</v>
      </c>
      <c r="AC536" s="373">
        <v>28000</v>
      </c>
      <c r="AD536" s="371" t="s">
        <v>2271</v>
      </c>
      <c r="AE536" s="373">
        <v>0</v>
      </c>
      <c r="AF536" s="382">
        <v>0.75</v>
      </c>
      <c r="AG536" s="382">
        <v>0.75</v>
      </c>
      <c r="AH536" s="371" t="s">
        <v>2271</v>
      </c>
      <c r="AI536" s="382">
        <v>0.78472222222222199</v>
      </c>
      <c r="AJ536" s="382">
        <v>0.78472222222222199</v>
      </c>
      <c r="AK536" s="371" t="s">
        <v>2271</v>
      </c>
      <c r="AL536" s="206" t="s">
        <v>137</v>
      </c>
      <c r="AM536" s="206" t="s">
        <v>137</v>
      </c>
      <c r="AN536" s="371" t="s">
        <v>2271</v>
      </c>
      <c r="AO536" s="206" t="s">
        <v>2703</v>
      </c>
      <c r="AP536" s="206" t="s">
        <v>1499</v>
      </c>
      <c r="AQ536" s="206" t="s">
        <v>1133</v>
      </c>
      <c r="AR536" s="207" t="s">
        <v>75</v>
      </c>
    </row>
    <row r="537" spans="1:44" x14ac:dyDescent="0.2">
      <c r="A537" s="370">
        <v>518</v>
      </c>
      <c r="B537" s="380">
        <v>308</v>
      </c>
      <c r="C537" s="371" t="s">
        <v>2275</v>
      </c>
      <c r="D537" s="371" t="s">
        <v>2235</v>
      </c>
      <c r="E537" s="206"/>
      <c r="F537" s="206" t="s">
        <v>46</v>
      </c>
      <c r="G537" s="206" t="s">
        <v>46</v>
      </c>
      <c r="H537" s="371" t="s">
        <v>2271</v>
      </c>
      <c r="I537" s="206"/>
      <c r="J537" s="206" t="s">
        <v>1433</v>
      </c>
      <c r="K537" s="371" t="s">
        <v>2276</v>
      </c>
      <c r="L537" s="206" t="s">
        <v>2157</v>
      </c>
      <c r="M537" s="206" t="s">
        <v>1337</v>
      </c>
      <c r="N537" s="206" t="s">
        <v>49</v>
      </c>
      <c r="O537" s="372">
        <v>46003</v>
      </c>
      <c r="P537" s="372">
        <v>46003</v>
      </c>
      <c r="Q537" s="371" t="s">
        <v>2271</v>
      </c>
      <c r="R537" s="373">
        <v>26640</v>
      </c>
      <c r="S537" s="373">
        <v>26640</v>
      </c>
      <c r="T537" s="371" t="s">
        <v>2271</v>
      </c>
      <c r="U537" s="373">
        <v>11900</v>
      </c>
      <c r="V537" s="373">
        <v>11900</v>
      </c>
      <c r="W537" s="371" t="s">
        <v>2271</v>
      </c>
      <c r="X537" s="373">
        <v>14740</v>
      </c>
      <c r="Y537" s="373">
        <v>14740</v>
      </c>
      <c r="Z537" s="371" t="s">
        <v>2271</v>
      </c>
      <c r="AA537" s="373">
        <v>0</v>
      </c>
      <c r="AB537" s="373">
        <v>14700</v>
      </c>
      <c r="AC537" s="373">
        <v>14700</v>
      </c>
      <c r="AD537" s="371" t="s">
        <v>2271</v>
      </c>
      <c r="AE537" s="373">
        <v>0</v>
      </c>
      <c r="AF537" s="382">
        <v>0.82847222222222205</v>
      </c>
      <c r="AG537" s="382">
        <v>0.82847222222222205</v>
      </c>
      <c r="AH537" s="371" t="s">
        <v>2271</v>
      </c>
      <c r="AI537" s="382">
        <v>0.89375000000000004</v>
      </c>
      <c r="AJ537" s="382">
        <v>0.89375000000000004</v>
      </c>
      <c r="AK537" s="371" t="s">
        <v>2271</v>
      </c>
      <c r="AL537" s="206" t="s">
        <v>137</v>
      </c>
      <c r="AM537" s="206" t="s">
        <v>137</v>
      </c>
      <c r="AN537" s="371" t="s">
        <v>2271</v>
      </c>
      <c r="AO537" s="206" t="s">
        <v>2704</v>
      </c>
      <c r="AP537" s="206" t="s">
        <v>1393</v>
      </c>
      <c r="AQ537" s="206" t="s">
        <v>1132</v>
      </c>
      <c r="AR537" s="207" t="s">
        <v>68</v>
      </c>
    </row>
    <row r="538" spans="1:44" x14ac:dyDescent="0.2">
      <c r="A538" s="370">
        <v>519</v>
      </c>
      <c r="B538" s="380">
        <v>309</v>
      </c>
      <c r="C538" s="371" t="s">
        <v>2275</v>
      </c>
      <c r="D538" s="371" t="s">
        <v>2235</v>
      </c>
      <c r="E538" s="206"/>
      <c r="F538" s="206" t="s">
        <v>56</v>
      </c>
      <c r="G538" s="206" t="s">
        <v>56</v>
      </c>
      <c r="H538" s="371" t="s">
        <v>2271</v>
      </c>
      <c r="I538" s="206"/>
      <c r="J538" s="206" t="s">
        <v>1433</v>
      </c>
      <c r="K538" s="371" t="s">
        <v>2276</v>
      </c>
      <c r="L538" s="206" t="s">
        <v>2157</v>
      </c>
      <c r="M538" s="206" t="s">
        <v>1337</v>
      </c>
      <c r="N538" s="206" t="s">
        <v>49</v>
      </c>
      <c r="O538" s="372">
        <v>46003</v>
      </c>
      <c r="P538" s="372">
        <v>46003</v>
      </c>
      <c r="Q538" s="371" t="s">
        <v>2271</v>
      </c>
      <c r="R538" s="373">
        <v>25110</v>
      </c>
      <c r="S538" s="373">
        <v>25110</v>
      </c>
      <c r="T538" s="371" t="s">
        <v>2271</v>
      </c>
      <c r="U538" s="373">
        <v>10860</v>
      </c>
      <c r="V538" s="373">
        <v>10860</v>
      </c>
      <c r="W538" s="371" t="s">
        <v>2271</v>
      </c>
      <c r="X538" s="373">
        <v>14250</v>
      </c>
      <c r="Y538" s="373">
        <v>14250</v>
      </c>
      <c r="Z538" s="371" t="s">
        <v>2271</v>
      </c>
      <c r="AA538" s="373">
        <v>0</v>
      </c>
      <c r="AB538" s="373">
        <v>14150</v>
      </c>
      <c r="AC538" s="373">
        <v>14150</v>
      </c>
      <c r="AD538" s="371" t="s">
        <v>2271</v>
      </c>
      <c r="AE538" s="373">
        <v>0</v>
      </c>
      <c r="AF538" s="382">
        <v>0.84652777777777799</v>
      </c>
      <c r="AG538" s="382">
        <v>0.84652777777777799</v>
      </c>
      <c r="AH538" s="371" t="s">
        <v>2271</v>
      </c>
      <c r="AI538" s="382">
        <v>0.89861111111111103</v>
      </c>
      <c r="AJ538" s="382">
        <v>0.89861111111111103</v>
      </c>
      <c r="AK538" s="371" t="s">
        <v>2271</v>
      </c>
      <c r="AL538" s="206" t="s">
        <v>137</v>
      </c>
      <c r="AM538" s="206" t="s">
        <v>137</v>
      </c>
      <c r="AN538" s="371" t="s">
        <v>2271</v>
      </c>
      <c r="AO538" s="206" t="s">
        <v>2705</v>
      </c>
      <c r="AP538" s="206" t="s">
        <v>1781</v>
      </c>
      <c r="AQ538" s="206" t="s">
        <v>1132</v>
      </c>
      <c r="AR538" s="207" t="s">
        <v>68</v>
      </c>
    </row>
    <row r="539" spans="1:44" x14ac:dyDescent="0.2">
      <c r="A539" s="370">
        <v>520</v>
      </c>
      <c r="B539" s="380">
        <v>310</v>
      </c>
      <c r="C539" s="371" t="s">
        <v>2275</v>
      </c>
      <c r="D539" s="371" t="s">
        <v>2235</v>
      </c>
      <c r="E539" s="206"/>
      <c r="F539" s="206" t="s">
        <v>84</v>
      </c>
      <c r="G539" s="206" t="s">
        <v>84</v>
      </c>
      <c r="H539" s="371" t="s">
        <v>2271</v>
      </c>
      <c r="I539" s="206"/>
      <c r="J539" s="206" t="s">
        <v>1433</v>
      </c>
      <c r="K539" s="371" t="s">
        <v>2276</v>
      </c>
      <c r="L539" s="206" t="s">
        <v>2157</v>
      </c>
      <c r="M539" s="206" t="s">
        <v>1337</v>
      </c>
      <c r="N539" s="206" t="s">
        <v>49</v>
      </c>
      <c r="O539" s="372">
        <v>46003</v>
      </c>
      <c r="P539" s="372">
        <v>46003</v>
      </c>
      <c r="Q539" s="371" t="s">
        <v>2271</v>
      </c>
      <c r="R539" s="373">
        <v>26650</v>
      </c>
      <c r="S539" s="373">
        <v>26650</v>
      </c>
      <c r="T539" s="371" t="s">
        <v>2271</v>
      </c>
      <c r="U539" s="373">
        <v>12170</v>
      </c>
      <c r="V539" s="373">
        <v>12170</v>
      </c>
      <c r="W539" s="371" t="s">
        <v>2271</v>
      </c>
      <c r="X539" s="373">
        <v>14480</v>
      </c>
      <c r="Y539" s="373">
        <v>14480</v>
      </c>
      <c r="Z539" s="371" t="s">
        <v>2271</v>
      </c>
      <c r="AA539" s="373">
        <v>0</v>
      </c>
      <c r="AB539" s="373">
        <v>14430</v>
      </c>
      <c r="AC539" s="373">
        <v>14430</v>
      </c>
      <c r="AD539" s="371" t="s">
        <v>2271</v>
      </c>
      <c r="AE539" s="373">
        <v>0</v>
      </c>
      <c r="AF539" s="382">
        <v>0.88194444444444497</v>
      </c>
      <c r="AG539" s="382">
        <v>0.88194444444444398</v>
      </c>
      <c r="AH539" s="371" t="s">
        <v>2276</v>
      </c>
      <c r="AI539" s="382">
        <v>0.936805555555556</v>
      </c>
      <c r="AJ539" s="382">
        <v>0.936805555555556</v>
      </c>
      <c r="AK539" s="371" t="s">
        <v>2271</v>
      </c>
      <c r="AL539" s="206" t="s">
        <v>137</v>
      </c>
      <c r="AM539" s="206" t="s">
        <v>137</v>
      </c>
      <c r="AN539" s="371" t="s">
        <v>2271</v>
      </c>
      <c r="AO539" s="206" t="s">
        <v>2706</v>
      </c>
      <c r="AP539" s="206" t="s">
        <v>1782</v>
      </c>
      <c r="AQ539" s="206" t="s">
        <v>1132</v>
      </c>
      <c r="AR539" s="207" t="s">
        <v>68</v>
      </c>
    </row>
    <row r="540" spans="1:44" x14ac:dyDescent="0.2">
      <c r="A540" s="370">
        <v>521</v>
      </c>
      <c r="B540" s="380">
        <v>311</v>
      </c>
      <c r="C540" s="371" t="s">
        <v>2275</v>
      </c>
      <c r="D540" s="371" t="s">
        <v>2235</v>
      </c>
      <c r="E540" s="206"/>
      <c r="F540" s="206" t="s">
        <v>163</v>
      </c>
      <c r="G540" s="206" t="s">
        <v>163</v>
      </c>
      <c r="H540" s="371" t="s">
        <v>2271</v>
      </c>
      <c r="I540" s="206"/>
      <c r="J540" s="206" t="s">
        <v>1335</v>
      </c>
      <c r="K540" s="371" t="s">
        <v>2276</v>
      </c>
      <c r="L540" s="206" t="s">
        <v>2161</v>
      </c>
      <c r="M540" s="206" t="s">
        <v>1334</v>
      </c>
      <c r="N540" s="206" t="s">
        <v>40</v>
      </c>
      <c r="O540" s="372">
        <v>46003</v>
      </c>
      <c r="P540" s="372">
        <v>46003</v>
      </c>
      <c r="Q540" s="371" t="s">
        <v>2271</v>
      </c>
      <c r="R540" s="373">
        <v>14050</v>
      </c>
      <c r="S540" s="373">
        <v>14050</v>
      </c>
      <c r="T540" s="371" t="s">
        <v>2271</v>
      </c>
      <c r="U540" s="373">
        <v>3900</v>
      </c>
      <c r="V540" s="373">
        <v>3900</v>
      </c>
      <c r="W540" s="371" t="s">
        <v>2271</v>
      </c>
      <c r="X540" s="373">
        <v>10150</v>
      </c>
      <c r="Y540" s="373">
        <v>10150</v>
      </c>
      <c r="Z540" s="371" t="s">
        <v>2271</v>
      </c>
      <c r="AA540" s="373">
        <v>0</v>
      </c>
      <c r="AB540" s="373">
        <v>10140</v>
      </c>
      <c r="AC540" s="373">
        <v>10140</v>
      </c>
      <c r="AD540" s="371" t="s">
        <v>2271</v>
      </c>
      <c r="AE540" s="373">
        <v>0</v>
      </c>
      <c r="AF540" s="382">
        <v>0.96111111111111103</v>
      </c>
      <c r="AG540" s="382">
        <v>0.96111111111111103</v>
      </c>
      <c r="AH540" s="371" t="s">
        <v>2271</v>
      </c>
      <c r="AI540" s="382">
        <v>0.98124999999999996</v>
      </c>
      <c r="AJ540" s="382">
        <v>0.98124999999999996</v>
      </c>
      <c r="AK540" s="371" t="s">
        <v>2271</v>
      </c>
      <c r="AL540" s="206" t="s">
        <v>137</v>
      </c>
      <c r="AM540" s="206" t="s">
        <v>137</v>
      </c>
      <c r="AN540" s="371" t="s">
        <v>2271</v>
      </c>
      <c r="AO540" s="206" t="s">
        <v>2707</v>
      </c>
      <c r="AP540" s="206"/>
      <c r="AQ540" s="206" t="s">
        <v>1131</v>
      </c>
      <c r="AR540" s="207" t="s">
        <v>82</v>
      </c>
    </row>
    <row r="541" spans="1:44" x14ac:dyDescent="0.2">
      <c r="A541" s="370">
        <v>522</v>
      </c>
      <c r="B541" s="380">
        <v>312</v>
      </c>
      <c r="C541" s="371" t="s">
        <v>2269</v>
      </c>
      <c r="D541" s="371" t="s">
        <v>2270</v>
      </c>
      <c r="E541" s="206"/>
      <c r="F541" s="206" t="s">
        <v>181</v>
      </c>
      <c r="G541" s="206" t="s">
        <v>181</v>
      </c>
      <c r="H541" s="371" t="s">
        <v>2271</v>
      </c>
      <c r="I541" s="206" t="s">
        <v>1335</v>
      </c>
      <c r="J541" s="206" t="s">
        <v>1335</v>
      </c>
      <c r="K541" s="371" t="s">
        <v>2271</v>
      </c>
      <c r="L541" s="206" t="s">
        <v>2161</v>
      </c>
      <c r="M541" s="206" t="s">
        <v>1334</v>
      </c>
      <c r="N541" s="206" t="s">
        <v>40</v>
      </c>
      <c r="O541" s="372">
        <v>46004</v>
      </c>
      <c r="P541" s="372">
        <v>46004</v>
      </c>
      <c r="Q541" s="371" t="s">
        <v>2271</v>
      </c>
      <c r="R541" s="373">
        <v>13610</v>
      </c>
      <c r="S541" s="373">
        <v>13610</v>
      </c>
      <c r="T541" s="371" t="s">
        <v>2271</v>
      </c>
      <c r="U541" s="373">
        <v>3940</v>
      </c>
      <c r="V541" s="373">
        <v>3940</v>
      </c>
      <c r="W541" s="371" t="s">
        <v>2271</v>
      </c>
      <c r="X541" s="373">
        <v>9670</v>
      </c>
      <c r="Y541" s="373">
        <v>9670</v>
      </c>
      <c r="Z541" s="371" t="s">
        <v>2271</v>
      </c>
      <c r="AA541" s="373">
        <v>0</v>
      </c>
      <c r="AB541" s="373">
        <v>9570</v>
      </c>
      <c r="AC541" s="373">
        <v>9570</v>
      </c>
      <c r="AD541" s="371" t="s">
        <v>2271</v>
      </c>
      <c r="AE541" s="373">
        <v>0</v>
      </c>
      <c r="AF541" s="382">
        <v>0.97222222222222199</v>
      </c>
      <c r="AG541" s="382">
        <v>0.97222222222222199</v>
      </c>
      <c r="AH541" s="371" t="s">
        <v>2271</v>
      </c>
      <c r="AI541" s="382">
        <v>2.7777777777777801E-3</v>
      </c>
      <c r="AJ541" s="382">
        <v>2.7777777777777801E-3</v>
      </c>
      <c r="AK541" s="371" t="s">
        <v>2271</v>
      </c>
      <c r="AL541" s="206" t="s">
        <v>137</v>
      </c>
      <c r="AM541" s="206" t="s">
        <v>137</v>
      </c>
      <c r="AN541" s="371" t="s">
        <v>2271</v>
      </c>
      <c r="AO541" s="206" t="s">
        <v>2708</v>
      </c>
      <c r="AP541" s="206"/>
      <c r="AQ541" s="206" t="s">
        <v>1131</v>
      </c>
      <c r="AR541" s="207" t="s">
        <v>82</v>
      </c>
    </row>
    <row r="542" spans="1:44" x14ac:dyDescent="0.2">
      <c r="A542" s="370">
        <v>523</v>
      </c>
      <c r="B542" s="380">
        <v>313</v>
      </c>
      <c r="C542" s="371" t="s">
        <v>2269</v>
      </c>
      <c r="D542" s="371" t="s">
        <v>2270</v>
      </c>
      <c r="E542" s="206"/>
      <c r="F542" s="206" t="s">
        <v>166</v>
      </c>
      <c r="G542" s="206" t="s">
        <v>166</v>
      </c>
      <c r="H542" s="371" t="s">
        <v>2271</v>
      </c>
      <c r="I542" s="206" t="s">
        <v>1335</v>
      </c>
      <c r="J542" s="206" t="s">
        <v>1335</v>
      </c>
      <c r="K542" s="371" t="s">
        <v>2271</v>
      </c>
      <c r="L542" s="206" t="s">
        <v>2161</v>
      </c>
      <c r="M542" s="206" t="s">
        <v>1334</v>
      </c>
      <c r="N542" s="206" t="s">
        <v>40</v>
      </c>
      <c r="O542" s="372">
        <v>46004</v>
      </c>
      <c r="P542" s="372">
        <v>46004</v>
      </c>
      <c r="Q542" s="371" t="s">
        <v>2271</v>
      </c>
      <c r="R542" s="373">
        <v>13190</v>
      </c>
      <c r="S542" s="373">
        <v>13190</v>
      </c>
      <c r="T542" s="371" t="s">
        <v>2271</v>
      </c>
      <c r="U542" s="373">
        <v>3780</v>
      </c>
      <c r="V542" s="373">
        <v>3780</v>
      </c>
      <c r="W542" s="371" t="s">
        <v>2271</v>
      </c>
      <c r="X542" s="373">
        <v>9410</v>
      </c>
      <c r="Y542" s="373">
        <v>9410</v>
      </c>
      <c r="Z542" s="371" t="s">
        <v>2271</v>
      </c>
      <c r="AA542" s="373">
        <v>0</v>
      </c>
      <c r="AB542" s="373">
        <v>9400</v>
      </c>
      <c r="AC542" s="373">
        <v>9400</v>
      </c>
      <c r="AD542" s="371" t="s">
        <v>2271</v>
      </c>
      <c r="AE542" s="373">
        <v>0</v>
      </c>
      <c r="AF542" s="382">
        <v>0.98402777777777795</v>
      </c>
      <c r="AG542" s="382">
        <v>0.98402777777777795</v>
      </c>
      <c r="AH542" s="371" t="s">
        <v>2271</v>
      </c>
      <c r="AI542" s="382">
        <v>5.5555555555555601E-3</v>
      </c>
      <c r="AJ542" s="382">
        <v>5.5555555555555601E-3</v>
      </c>
      <c r="AK542" s="371" t="s">
        <v>2271</v>
      </c>
      <c r="AL542" s="206" t="s">
        <v>137</v>
      </c>
      <c r="AM542" s="206" t="s">
        <v>137</v>
      </c>
      <c r="AN542" s="371" t="s">
        <v>2271</v>
      </c>
      <c r="AO542" s="206" t="s">
        <v>2709</v>
      </c>
      <c r="AP542" s="206"/>
      <c r="AQ542" s="206" t="s">
        <v>1131</v>
      </c>
      <c r="AR542" s="207" t="s">
        <v>82</v>
      </c>
    </row>
    <row r="543" spans="1:44" x14ac:dyDescent="0.2">
      <c r="A543" s="370">
        <v>524</v>
      </c>
      <c r="B543" s="380">
        <v>314</v>
      </c>
      <c r="C543" s="371" t="s">
        <v>2269</v>
      </c>
      <c r="D543" s="371" t="s">
        <v>2270</v>
      </c>
      <c r="E543" s="206"/>
      <c r="F543" s="206" t="s">
        <v>169</v>
      </c>
      <c r="G543" s="206" t="s">
        <v>169</v>
      </c>
      <c r="H543" s="371" t="s">
        <v>2271</v>
      </c>
      <c r="I543" s="206" t="s">
        <v>1335</v>
      </c>
      <c r="J543" s="206" t="s">
        <v>1335</v>
      </c>
      <c r="K543" s="371" t="s">
        <v>2271</v>
      </c>
      <c r="L543" s="206" t="s">
        <v>2161</v>
      </c>
      <c r="M543" s="206" t="s">
        <v>1334</v>
      </c>
      <c r="N543" s="206" t="s">
        <v>40</v>
      </c>
      <c r="O543" s="372">
        <v>46004</v>
      </c>
      <c r="P543" s="372">
        <v>46004</v>
      </c>
      <c r="Q543" s="371" t="s">
        <v>2271</v>
      </c>
      <c r="R543" s="373">
        <v>13490</v>
      </c>
      <c r="S543" s="373">
        <v>13490</v>
      </c>
      <c r="T543" s="371" t="s">
        <v>2271</v>
      </c>
      <c r="U543" s="373">
        <v>3970</v>
      </c>
      <c r="V543" s="373">
        <v>3970</v>
      </c>
      <c r="W543" s="371" t="s">
        <v>2271</v>
      </c>
      <c r="X543" s="373">
        <v>9520</v>
      </c>
      <c r="Y543" s="373">
        <v>9520</v>
      </c>
      <c r="Z543" s="371" t="s">
        <v>2271</v>
      </c>
      <c r="AA543" s="373">
        <v>0</v>
      </c>
      <c r="AB543" s="373">
        <v>9490</v>
      </c>
      <c r="AC543" s="373">
        <v>9490</v>
      </c>
      <c r="AD543" s="371" t="s">
        <v>2271</v>
      </c>
      <c r="AE543" s="373">
        <v>0</v>
      </c>
      <c r="AF543" s="382">
        <v>0.38541666666666702</v>
      </c>
      <c r="AG543" s="382">
        <v>0.38541666666666702</v>
      </c>
      <c r="AH543" s="371" t="s">
        <v>2271</v>
      </c>
      <c r="AI543" s="382">
        <v>0.41597222222222202</v>
      </c>
      <c r="AJ543" s="382">
        <v>0.41597222222222202</v>
      </c>
      <c r="AK543" s="371" t="s">
        <v>2271</v>
      </c>
      <c r="AL543" s="206" t="s">
        <v>42</v>
      </c>
      <c r="AM543" s="206" t="s">
        <v>42</v>
      </c>
      <c r="AN543" s="371" t="s">
        <v>2271</v>
      </c>
      <c r="AO543" s="206" t="s">
        <v>2710</v>
      </c>
      <c r="AP543" s="206"/>
      <c r="AQ543" s="206" t="s">
        <v>1131</v>
      </c>
      <c r="AR543" s="207" t="s">
        <v>82</v>
      </c>
    </row>
    <row r="544" spans="1:44" x14ac:dyDescent="0.2">
      <c r="A544" s="370">
        <v>525</v>
      </c>
      <c r="B544" s="380">
        <v>315</v>
      </c>
      <c r="C544" s="371" t="s">
        <v>2275</v>
      </c>
      <c r="D544" s="371" t="s">
        <v>2235</v>
      </c>
      <c r="E544" s="206"/>
      <c r="F544" s="206" t="s">
        <v>56</v>
      </c>
      <c r="G544" s="206" t="s">
        <v>56</v>
      </c>
      <c r="H544" s="371" t="s">
        <v>2271</v>
      </c>
      <c r="I544" s="206"/>
      <c r="J544" s="206" t="s">
        <v>1433</v>
      </c>
      <c r="K544" s="371" t="s">
        <v>2276</v>
      </c>
      <c r="L544" s="206" t="s">
        <v>2157</v>
      </c>
      <c r="M544" s="206" t="s">
        <v>1337</v>
      </c>
      <c r="N544" s="206" t="s">
        <v>49</v>
      </c>
      <c r="O544" s="372">
        <v>46004</v>
      </c>
      <c r="P544" s="372">
        <v>46004</v>
      </c>
      <c r="Q544" s="371" t="s">
        <v>2271</v>
      </c>
      <c r="R544" s="373">
        <v>25080</v>
      </c>
      <c r="S544" s="373">
        <v>25080</v>
      </c>
      <c r="T544" s="371" t="s">
        <v>2271</v>
      </c>
      <c r="U544" s="373">
        <v>11120</v>
      </c>
      <c r="V544" s="373">
        <v>11120</v>
      </c>
      <c r="W544" s="371" t="s">
        <v>2271</v>
      </c>
      <c r="X544" s="373">
        <v>13960</v>
      </c>
      <c r="Y544" s="373">
        <v>13960</v>
      </c>
      <c r="Z544" s="371" t="s">
        <v>2271</v>
      </c>
      <c r="AA544" s="373">
        <v>0</v>
      </c>
      <c r="AB544" s="373">
        <v>14210</v>
      </c>
      <c r="AC544" s="373">
        <v>14210</v>
      </c>
      <c r="AD544" s="371" t="s">
        <v>2271</v>
      </c>
      <c r="AE544" s="373">
        <v>0</v>
      </c>
      <c r="AF544" s="382">
        <v>0.40763888888888899</v>
      </c>
      <c r="AG544" s="382">
        <v>0.40763888888888899</v>
      </c>
      <c r="AH544" s="371" t="s">
        <v>2271</v>
      </c>
      <c r="AI544" s="382">
        <v>0.48958333333333298</v>
      </c>
      <c r="AJ544" s="382">
        <v>0.48958333333333298</v>
      </c>
      <c r="AK544" s="371" t="s">
        <v>2271</v>
      </c>
      <c r="AL544" s="206" t="s">
        <v>42</v>
      </c>
      <c r="AM544" s="206" t="s">
        <v>42</v>
      </c>
      <c r="AN544" s="371" t="s">
        <v>2271</v>
      </c>
      <c r="AO544" s="206" t="s">
        <v>2711</v>
      </c>
      <c r="AP544" s="206" t="s">
        <v>1781</v>
      </c>
      <c r="AQ544" s="206" t="s">
        <v>1132</v>
      </c>
      <c r="AR544" s="207" t="s">
        <v>68</v>
      </c>
    </row>
    <row r="545" spans="1:44" x14ac:dyDescent="0.2">
      <c r="A545" s="370">
        <v>526</v>
      </c>
      <c r="B545" s="380">
        <v>316</v>
      </c>
      <c r="C545" s="371" t="s">
        <v>2275</v>
      </c>
      <c r="D545" s="371" t="s">
        <v>2235</v>
      </c>
      <c r="E545" s="206"/>
      <c r="F545" s="206" t="s">
        <v>70</v>
      </c>
      <c r="G545" s="206" t="s">
        <v>70</v>
      </c>
      <c r="H545" s="371" t="s">
        <v>2271</v>
      </c>
      <c r="I545" s="206"/>
      <c r="J545" s="206" t="s">
        <v>1452</v>
      </c>
      <c r="K545" s="371" t="s">
        <v>2276</v>
      </c>
      <c r="L545" s="206" t="s">
        <v>2156</v>
      </c>
      <c r="M545" s="206" t="s">
        <v>1336</v>
      </c>
      <c r="N545" s="206" t="s">
        <v>59</v>
      </c>
      <c r="O545" s="372">
        <v>46004</v>
      </c>
      <c r="P545" s="372">
        <v>46004</v>
      </c>
      <c r="Q545" s="371" t="s">
        <v>2271</v>
      </c>
      <c r="R545" s="373">
        <v>45990</v>
      </c>
      <c r="S545" s="373">
        <v>45990</v>
      </c>
      <c r="T545" s="371" t="s">
        <v>2271</v>
      </c>
      <c r="U545" s="373">
        <v>17770</v>
      </c>
      <c r="V545" s="373">
        <v>17770</v>
      </c>
      <c r="W545" s="371" t="s">
        <v>2271</v>
      </c>
      <c r="X545" s="373">
        <v>28220</v>
      </c>
      <c r="Y545" s="373">
        <v>28220</v>
      </c>
      <c r="Z545" s="371" t="s">
        <v>2271</v>
      </c>
      <c r="AA545" s="373">
        <v>0</v>
      </c>
      <c r="AB545" s="373">
        <v>28240</v>
      </c>
      <c r="AC545" s="373">
        <v>28240</v>
      </c>
      <c r="AD545" s="371" t="s">
        <v>2271</v>
      </c>
      <c r="AE545" s="373">
        <v>0</v>
      </c>
      <c r="AF545" s="382">
        <v>0.41249999999999998</v>
      </c>
      <c r="AG545" s="382">
        <v>0.41249999999999998</v>
      </c>
      <c r="AH545" s="371" t="s">
        <v>2271</v>
      </c>
      <c r="AI545" s="382">
        <v>0.48194444444444401</v>
      </c>
      <c r="AJ545" s="382">
        <v>0.48194444444444501</v>
      </c>
      <c r="AK545" s="371" t="s">
        <v>2276</v>
      </c>
      <c r="AL545" s="206" t="s">
        <v>42</v>
      </c>
      <c r="AM545" s="206" t="s">
        <v>42</v>
      </c>
      <c r="AN545" s="371" t="s">
        <v>2271</v>
      </c>
      <c r="AO545" s="206" t="s">
        <v>2712</v>
      </c>
      <c r="AP545" s="206" t="s">
        <v>1499</v>
      </c>
      <c r="AQ545" s="206" t="s">
        <v>1133</v>
      </c>
      <c r="AR545" s="207" t="s">
        <v>75</v>
      </c>
    </row>
    <row r="546" spans="1:44" x14ac:dyDescent="0.2">
      <c r="A546" s="370">
        <v>527</v>
      </c>
      <c r="B546" s="380">
        <v>317</v>
      </c>
      <c r="C546" s="371" t="s">
        <v>2275</v>
      </c>
      <c r="D546" s="371" t="s">
        <v>2235</v>
      </c>
      <c r="E546" s="206"/>
      <c r="F546" s="206" t="s">
        <v>76</v>
      </c>
      <c r="G546" s="206" t="s">
        <v>76</v>
      </c>
      <c r="H546" s="371" t="s">
        <v>2271</v>
      </c>
      <c r="I546" s="206"/>
      <c r="J546" s="206" t="s">
        <v>1452</v>
      </c>
      <c r="K546" s="371" t="s">
        <v>2276</v>
      </c>
      <c r="L546" s="206" t="s">
        <v>2156</v>
      </c>
      <c r="M546" s="206" t="s">
        <v>1336</v>
      </c>
      <c r="N546" s="206" t="s">
        <v>59</v>
      </c>
      <c r="O546" s="372">
        <v>46004</v>
      </c>
      <c r="P546" s="372">
        <v>46004</v>
      </c>
      <c r="Q546" s="371" t="s">
        <v>2271</v>
      </c>
      <c r="R546" s="373">
        <v>46000</v>
      </c>
      <c r="S546" s="373">
        <v>46000</v>
      </c>
      <c r="T546" s="371" t="s">
        <v>2271</v>
      </c>
      <c r="U546" s="373">
        <v>17920</v>
      </c>
      <c r="V546" s="373">
        <v>17920</v>
      </c>
      <c r="W546" s="371" t="s">
        <v>2271</v>
      </c>
      <c r="X546" s="373">
        <v>28080</v>
      </c>
      <c r="Y546" s="373">
        <v>28080</v>
      </c>
      <c r="Z546" s="371" t="s">
        <v>2271</v>
      </c>
      <c r="AA546" s="373">
        <v>0</v>
      </c>
      <c r="AB546" s="373">
        <v>28100</v>
      </c>
      <c r="AC546" s="373">
        <v>28100</v>
      </c>
      <c r="AD546" s="371" t="s">
        <v>2271</v>
      </c>
      <c r="AE546" s="373">
        <v>0</v>
      </c>
      <c r="AF546" s="382">
        <v>0.41388888888888897</v>
      </c>
      <c r="AG546" s="382">
        <v>0.41388888888888897</v>
      </c>
      <c r="AH546" s="371" t="s">
        <v>2271</v>
      </c>
      <c r="AI546" s="382">
        <v>0.47986111111111102</v>
      </c>
      <c r="AJ546" s="382">
        <v>0.47986111111111102</v>
      </c>
      <c r="AK546" s="371" t="s">
        <v>2271</v>
      </c>
      <c r="AL546" s="206" t="s">
        <v>42</v>
      </c>
      <c r="AM546" s="206" t="s">
        <v>42</v>
      </c>
      <c r="AN546" s="371" t="s">
        <v>2271</v>
      </c>
      <c r="AO546" s="206" t="s">
        <v>2713</v>
      </c>
      <c r="AP546" s="206" t="s">
        <v>1372</v>
      </c>
      <c r="AQ546" s="206" t="s">
        <v>1133</v>
      </c>
      <c r="AR546" s="207" t="s">
        <v>75</v>
      </c>
    </row>
    <row r="547" spans="1:44" x14ac:dyDescent="0.2">
      <c r="A547" s="370">
        <v>528</v>
      </c>
      <c r="B547" s="380">
        <v>318</v>
      </c>
      <c r="C547" s="371" t="s">
        <v>2275</v>
      </c>
      <c r="D547" s="371" t="s">
        <v>2235</v>
      </c>
      <c r="E547" s="206"/>
      <c r="F547" s="206" t="s">
        <v>46</v>
      </c>
      <c r="G547" s="206" t="s">
        <v>46</v>
      </c>
      <c r="H547" s="371" t="s">
        <v>2271</v>
      </c>
      <c r="I547" s="206"/>
      <c r="J547" s="206" t="s">
        <v>1433</v>
      </c>
      <c r="K547" s="371" t="s">
        <v>2276</v>
      </c>
      <c r="L547" s="206" t="s">
        <v>2157</v>
      </c>
      <c r="M547" s="206" t="s">
        <v>1337</v>
      </c>
      <c r="N547" s="206" t="s">
        <v>49</v>
      </c>
      <c r="O547" s="372">
        <v>46004</v>
      </c>
      <c r="P547" s="372">
        <v>46004</v>
      </c>
      <c r="Q547" s="371" t="s">
        <v>2271</v>
      </c>
      <c r="R547" s="373">
        <v>26610</v>
      </c>
      <c r="S547" s="373">
        <v>26610</v>
      </c>
      <c r="T547" s="371" t="s">
        <v>2271</v>
      </c>
      <c r="U547" s="373">
        <v>11860</v>
      </c>
      <c r="V547" s="373">
        <v>11860</v>
      </c>
      <c r="W547" s="371" t="s">
        <v>2271</v>
      </c>
      <c r="X547" s="373">
        <v>14750</v>
      </c>
      <c r="Y547" s="373">
        <v>14750</v>
      </c>
      <c r="Z547" s="371" t="s">
        <v>2271</v>
      </c>
      <c r="AA547" s="373">
        <v>0</v>
      </c>
      <c r="AB547" s="373">
        <v>14710</v>
      </c>
      <c r="AC547" s="373">
        <v>14710</v>
      </c>
      <c r="AD547" s="371" t="s">
        <v>2271</v>
      </c>
      <c r="AE547" s="373">
        <v>0</v>
      </c>
      <c r="AF547" s="382">
        <v>0.41527777777777802</v>
      </c>
      <c r="AG547" s="382">
        <v>0.41527777777777802</v>
      </c>
      <c r="AH547" s="371" t="s">
        <v>2271</v>
      </c>
      <c r="AI547" s="382">
        <v>0.49791666666666701</v>
      </c>
      <c r="AJ547" s="382">
        <v>0.49791666666666701</v>
      </c>
      <c r="AK547" s="371" t="s">
        <v>2271</v>
      </c>
      <c r="AL547" s="206" t="s">
        <v>42</v>
      </c>
      <c r="AM547" s="206" t="s">
        <v>42</v>
      </c>
      <c r="AN547" s="371" t="s">
        <v>2271</v>
      </c>
      <c r="AO547" s="206" t="s">
        <v>2714</v>
      </c>
      <c r="AP547" s="206" t="s">
        <v>1393</v>
      </c>
      <c r="AQ547" s="206" t="s">
        <v>1132</v>
      </c>
      <c r="AR547" s="207" t="s">
        <v>68</v>
      </c>
    </row>
    <row r="548" spans="1:44" x14ac:dyDescent="0.2">
      <c r="A548" s="370">
        <v>529</v>
      </c>
      <c r="B548" s="380">
        <v>319</v>
      </c>
      <c r="C548" s="371" t="s">
        <v>2275</v>
      </c>
      <c r="D548" s="371" t="s">
        <v>2235</v>
      </c>
      <c r="E548" s="206"/>
      <c r="F548" s="206" t="s">
        <v>84</v>
      </c>
      <c r="G548" s="206" t="s">
        <v>84</v>
      </c>
      <c r="H548" s="371" t="s">
        <v>2271</v>
      </c>
      <c r="I548" s="206"/>
      <c r="J548" s="206" t="s">
        <v>1433</v>
      </c>
      <c r="K548" s="371" t="s">
        <v>2276</v>
      </c>
      <c r="L548" s="206" t="s">
        <v>2157</v>
      </c>
      <c r="M548" s="206" t="s">
        <v>1337</v>
      </c>
      <c r="N548" s="206" t="s">
        <v>49</v>
      </c>
      <c r="O548" s="372">
        <v>46004</v>
      </c>
      <c r="P548" s="372">
        <v>46004</v>
      </c>
      <c r="Q548" s="371" t="s">
        <v>2271</v>
      </c>
      <c r="R548" s="373">
        <v>26590</v>
      </c>
      <c r="S548" s="373">
        <v>26590</v>
      </c>
      <c r="T548" s="371" t="s">
        <v>2271</v>
      </c>
      <c r="U548" s="373">
        <v>12270</v>
      </c>
      <c r="V548" s="373">
        <v>12270</v>
      </c>
      <c r="W548" s="371" t="s">
        <v>2271</v>
      </c>
      <c r="X548" s="373">
        <v>14320</v>
      </c>
      <c r="Y548" s="373">
        <v>14320</v>
      </c>
      <c r="Z548" s="371" t="s">
        <v>2271</v>
      </c>
      <c r="AA548" s="373">
        <v>0</v>
      </c>
      <c r="AB548" s="373">
        <v>14430</v>
      </c>
      <c r="AC548" s="373">
        <v>14430</v>
      </c>
      <c r="AD548" s="371" t="s">
        <v>2271</v>
      </c>
      <c r="AE548" s="373">
        <v>0</v>
      </c>
      <c r="AF548" s="382">
        <v>0.43541666666666701</v>
      </c>
      <c r="AG548" s="382">
        <v>0.43541666666666701</v>
      </c>
      <c r="AH548" s="371" t="s">
        <v>2271</v>
      </c>
      <c r="AI548" s="382">
        <v>0.56874999999999998</v>
      </c>
      <c r="AJ548" s="382">
        <v>0.56874999999999998</v>
      </c>
      <c r="AK548" s="371" t="s">
        <v>2271</v>
      </c>
      <c r="AL548" s="206" t="s">
        <v>42</v>
      </c>
      <c r="AM548" s="206" t="s">
        <v>42</v>
      </c>
      <c r="AN548" s="371" t="s">
        <v>2271</v>
      </c>
      <c r="AO548" s="206" t="s">
        <v>2715</v>
      </c>
      <c r="AP548" s="206" t="s">
        <v>1782</v>
      </c>
      <c r="AQ548" s="206" t="s">
        <v>1132</v>
      </c>
      <c r="AR548" s="207" t="s">
        <v>68</v>
      </c>
    </row>
    <row r="549" spans="1:44" x14ac:dyDescent="0.2">
      <c r="A549" s="370">
        <v>530</v>
      </c>
      <c r="B549" s="380">
        <v>320</v>
      </c>
      <c r="C549" s="371" t="s">
        <v>2275</v>
      </c>
      <c r="D549" s="371" t="s">
        <v>2235</v>
      </c>
      <c r="E549" s="206"/>
      <c r="F549" s="206" t="s">
        <v>56</v>
      </c>
      <c r="G549" s="206" t="s">
        <v>56</v>
      </c>
      <c r="H549" s="371" t="s">
        <v>2271</v>
      </c>
      <c r="I549" s="206"/>
      <c r="J549" s="206" t="s">
        <v>1433</v>
      </c>
      <c r="K549" s="371" t="s">
        <v>2276</v>
      </c>
      <c r="L549" s="206" t="s">
        <v>2157</v>
      </c>
      <c r="M549" s="206" t="s">
        <v>1337</v>
      </c>
      <c r="N549" s="206" t="s">
        <v>49</v>
      </c>
      <c r="O549" s="372">
        <v>46004</v>
      </c>
      <c r="P549" s="372">
        <v>46004</v>
      </c>
      <c r="Q549" s="371" t="s">
        <v>2271</v>
      </c>
      <c r="R549" s="373">
        <v>25010</v>
      </c>
      <c r="S549" s="373">
        <v>25010</v>
      </c>
      <c r="T549" s="371" t="s">
        <v>2271</v>
      </c>
      <c r="U549" s="373">
        <v>10770</v>
      </c>
      <c r="V549" s="373">
        <v>10770</v>
      </c>
      <c r="W549" s="371" t="s">
        <v>2271</v>
      </c>
      <c r="X549" s="373">
        <v>14240</v>
      </c>
      <c r="Y549" s="373">
        <v>14240</v>
      </c>
      <c r="Z549" s="371" t="s">
        <v>2271</v>
      </c>
      <c r="AA549" s="373">
        <v>0</v>
      </c>
      <c r="AB549" s="373">
        <v>13900</v>
      </c>
      <c r="AC549" s="373">
        <v>13900</v>
      </c>
      <c r="AD549" s="371" t="s">
        <v>2271</v>
      </c>
      <c r="AE549" s="373">
        <v>0</v>
      </c>
      <c r="AF549" s="382">
        <v>0.67500000000000004</v>
      </c>
      <c r="AG549" s="382">
        <v>0.67500000000000004</v>
      </c>
      <c r="AH549" s="371" t="s">
        <v>2271</v>
      </c>
      <c r="AI549" s="382">
        <v>0.73124999999999996</v>
      </c>
      <c r="AJ549" s="382">
        <v>0.73124999999999996</v>
      </c>
      <c r="AK549" s="371" t="s">
        <v>2271</v>
      </c>
      <c r="AL549" s="206" t="s">
        <v>137</v>
      </c>
      <c r="AM549" s="206" t="s">
        <v>137</v>
      </c>
      <c r="AN549" s="371" t="s">
        <v>2271</v>
      </c>
      <c r="AO549" s="206" t="s">
        <v>2716</v>
      </c>
      <c r="AP549" s="206" t="s">
        <v>1781</v>
      </c>
      <c r="AQ549" s="206" t="s">
        <v>1132</v>
      </c>
      <c r="AR549" s="207" t="s">
        <v>68</v>
      </c>
    </row>
    <row r="550" spans="1:44" x14ac:dyDescent="0.2">
      <c r="A550" s="370">
        <v>531</v>
      </c>
      <c r="B550" s="380">
        <v>321</v>
      </c>
      <c r="C550" s="371" t="s">
        <v>2275</v>
      </c>
      <c r="D550" s="371" t="s">
        <v>2235</v>
      </c>
      <c r="E550" s="206"/>
      <c r="F550" s="206" t="s">
        <v>76</v>
      </c>
      <c r="G550" s="206" t="s">
        <v>76</v>
      </c>
      <c r="H550" s="371" t="s">
        <v>2271</v>
      </c>
      <c r="I550" s="206"/>
      <c r="J550" s="206" t="s">
        <v>1452</v>
      </c>
      <c r="K550" s="371" t="s">
        <v>2276</v>
      </c>
      <c r="L550" s="206" t="s">
        <v>2156</v>
      </c>
      <c r="M550" s="206" t="s">
        <v>1336</v>
      </c>
      <c r="N550" s="206" t="s">
        <v>59</v>
      </c>
      <c r="O550" s="372">
        <v>46004</v>
      </c>
      <c r="P550" s="372">
        <v>46004</v>
      </c>
      <c r="Q550" s="371" t="s">
        <v>2271</v>
      </c>
      <c r="R550" s="373">
        <v>45900</v>
      </c>
      <c r="S550" s="373">
        <v>45900</v>
      </c>
      <c r="T550" s="371" t="s">
        <v>2271</v>
      </c>
      <c r="U550" s="373">
        <v>17860</v>
      </c>
      <c r="V550" s="373">
        <v>17860</v>
      </c>
      <c r="W550" s="371" t="s">
        <v>2271</v>
      </c>
      <c r="X550" s="373">
        <v>28040</v>
      </c>
      <c r="Y550" s="373">
        <v>28040</v>
      </c>
      <c r="Z550" s="371" t="s">
        <v>2271</v>
      </c>
      <c r="AA550" s="373">
        <v>0</v>
      </c>
      <c r="AB550" s="373">
        <v>27980</v>
      </c>
      <c r="AC550" s="373">
        <v>27980</v>
      </c>
      <c r="AD550" s="371" t="s">
        <v>2271</v>
      </c>
      <c r="AE550" s="373">
        <v>0</v>
      </c>
      <c r="AF550" s="382">
        <v>0.67847222222222203</v>
      </c>
      <c r="AG550" s="382">
        <v>0.67847222222222203</v>
      </c>
      <c r="AH550" s="371" t="s">
        <v>2271</v>
      </c>
      <c r="AI550" s="382">
        <v>0.72083333333333299</v>
      </c>
      <c r="AJ550" s="382">
        <v>0.72083333333333299</v>
      </c>
      <c r="AK550" s="371" t="s">
        <v>2271</v>
      </c>
      <c r="AL550" s="206" t="s">
        <v>137</v>
      </c>
      <c r="AM550" s="206" t="s">
        <v>137</v>
      </c>
      <c r="AN550" s="371" t="s">
        <v>2271</v>
      </c>
      <c r="AO550" s="206" t="s">
        <v>2717</v>
      </c>
      <c r="AP550" s="206" t="s">
        <v>1372</v>
      </c>
      <c r="AQ550" s="206" t="s">
        <v>1133</v>
      </c>
      <c r="AR550" s="207" t="s">
        <v>75</v>
      </c>
    </row>
    <row r="551" spans="1:44" x14ac:dyDescent="0.2">
      <c r="A551" s="370">
        <v>532</v>
      </c>
      <c r="B551" s="380">
        <v>322</v>
      </c>
      <c r="C551" s="371" t="s">
        <v>2275</v>
      </c>
      <c r="D551" s="371" t="s">
        <v>2235</v>
      </c>
      <c r="E551" s="206"/>
      <c r="F551" s="206" t="s">
        <v>70</v>
      </c>
      <c r="G551" s="206" t="s">
        <v>70</v>
      </c>
      <c r="H551" s="371" t="s">
        <v>2271</v>
      </c>
      <c r="I551" s="206"/>
      <c r="J551" s="206" t="s">
        <v>1452</v>
      </c>
      <c r="K551" s="371" t="s">
        <v>2276</v>
      </c>
      <c r="L551" s="206" t="s">
        <v>2156</v>
      </c>
      <c r="M551" s="206" t="s">
        <v>1336</v>
      </c>
      <c r="N551" s="206" t="s">
        <v>59</v>
      </c>
      <c r="O551" s="372">
        <v>46004</v>
      </c>
      <c r="P551" s="372">
        <v>46004</v>
      </c>
      <c r="Q551" s="371" t="s">
        <v>2271</v>
      </c>
      <c r="R551" s="373">
        <v>45810</v>
      </c>
      <c r="S551" s="373">
        <v>45810</v>
      </c>
      <c r="T551" s="371" t="s">
        <v>2271</v>
      </c>
      <c r="U551" s="373">
        <v>17680</v>
      </c>
      <c r="V551" s="373">
        <v>17680</v>
      </c>
      <c r="W551" s="371" t="s">
        <v>2271</v>
      </c>
      <c r="X551" s="373">
        <v>28130</v>
      </c>
      <c r="Y551" s="373">
        <v>28130</v>
      </c>
      <c r="Z551" s="371" t="s">
        <v>2271</v>
      </c>
      <c r="AA551" s="373">
        <v>0</v>
      </c>
      <c r="AB551" s="373">
        <v>28060</v>
      </c>
      <c r="AC551" s="373">
        <v>28060</v>
      </c>
      <c r="AD551" s="371" t="s">
        <v>2271</v>
      </c>
      <c r="AE551" s="373">
        <v>0</v>
      </c>
      <c r="AF551" s="382">
        <v>0.68125000000000002</v>
      </c>
      <c r="AG551" s="382">
        <v>0.68125000000000002</v>
      </c>
      <c r="AH551" s="371" t="s">
        <v>2271</v>
      </c>
      <c r="AI551" s="382">
        <v>0.72222222222222199</v>
      </c>
      <c r="AJ551" s="382">
        <v>0.72222222222222199</v>
      </c>
      <c r="AK551" s="371" t="s">
        <v>2271</v>
      </c>
      <c r="AL551" s="206" t="s">
        <v>42</v>
      </c>
      <c r="AM551" s="206" t="s">
        <v>42</v>
      </c>
      <c r="AN551" s="371" t="s">
        <v>2271</v>
      </c>
      <c r="AO551" s="206" t="s">
        <v>2718</v>
      </c>
      <c r="AP551" s="206" t="s">
        <v>1499</v>
      </c>
      <c r="AQ551" s="206" t="s">
        <v>1133</v>
      </c>
      <c r="AR551" s="207" t="s">
        <v>75</v>
      </c>
    </row>
    <row r="552" spans="1:44" x14ac:dyDescent="0.2">
      <c r="A552" s="370">
        <v>533</v>
      </c>
      <c r="B552" s="380">
        <v>323</v>
      </c>
      <c r="C552" s="371" t="s">
        <v>2269</v>
      </c>
      <c r="D552" s="371" t="s">
        <v>2270</v>
      </c>
      <c r="E552" s="206"/>
      <c r="F552" s="206" t="s">
        <v>171</v>
      </c>
      <c r="G552" s="206" t="s">
        <v>171</v>
      </c>
      <c r="H552" s="371" t="s">
        <v>2271</v>
      </c>
      <c r="I552" s="206" t="s">
        <v>1335</v>
      </c>
      <c r="J552" s="206" t="s">
        <v>1335</v>
      </c>
      <c r="K552" s="371" t="s">
        <v>2271</v>
      </c>
      <c r="L552" s="206" t="s">
        <v>2161</v>
      </c>
      <c r="M552" s="206" t="s">
        <v>1334</v>
      </c>
      <c r="N552" s="206" t="s">
        <v>40</v>
      </c>
      <c r="O552" s="372">
        <v>46004</v>
      </c>
      <c r="P552" s="372">
        <v>46004</v>
      </c>
      <c r="Q552" s="371" t="s">
        <v>2271</v>
      </c>
      <c r="R552" s="373">
        <v>13300</v>
      </c>
      <c r="S552" s="373">
        <v>13300</v>
      </c>
      <c r="T552" s="371" t="s">
        <v>2271</v>
      </c>
      <c r="U552" s="373">
        <v>3670</v>
      </c>
      <c r="V552" s="373">
        <v>3670</v>
      </c>
      <c r="W552" s="371" t="s">
        <v>2271</v>
      </c>
      <c r="X552" s="373">
        <v>9630</v>
      </c>
      <c r="Y552" s="373">
        <v>9630</v>
      </c>
      <c r="Z552" s="371" t="s">
        <v>2271</v>
      </c>
      <c r="AA552" s="373">
        <v>0</v>
      </c>
      <c r="AB552" s="373">
        <v>9600</v>
      </c>
      <c r="AC552" s="373">
        <v>9600</v>
      </c>
      <c r="AD552" s="371" t="s">
        <v>2271</v>
      </c>
      <c r="AE552" s="373">
        <v>0</v>
      </c>
      <c r="AF552" s="382">
        <v>0.68958333333333299</v>
      </c>
      <c r="AG552" s="382">
        <v>0.68958333333333299</v>
      </c>
      <c r="AH552" s="371" t="s">
        <v>2271</v>
      </c>
      <c r="AI552" s="382">
        <v>0.75208333333333299</v>
      </c>
      <c r="AJ552" s="382">
        <v>0.75208333333333299</v>
      </c>
      <c r="AK552" s="371" t="s">
        <v>2271</v>
      </c>
      <c r="AL552" s="206" t="s">
        <v>42</v>
      </c>
      <c r="AM552" s="206" t="s">
        <v>42</v>
      </c>
      <c r="AN552" s="371" t="s">
        <v>2271</v>
      </c>
      <c r="AO552" s="206" t="s">
        <v>2719</v>
      </c>
      <c r="AP552" s="206"/>
      <c r="AQ552" s="206" t="s">
        <v>1131</v>
      </c>
      <c r="AR552" s="207" t="s">
        <v>82</v>
      </c>
    </row>
    <row r="553" spans="1:44" x14ac:dyDescent="0.2">
      <c r="A553" s="370">
        <v>534</v>
      </c>
      <c r="B553" s="380">
        <v>324</v>
      </c>
      <c r="C553" s="371" t="s">
        <v>2269</v>
      </c>
      <c r="D553" s="371" t="s">
        <v>2270</v>
      </c>
      <c r="E553" s="206"/>
      <c r="F553" s="206" t="s">
        <v>177</v>
      </c>
      <c r="G553" s="206" t="s">
        <v>177</v>
      </c>
      <c r="H553" s="371" t="s">
        <v>2271</v>
      </c>
      <c r="I553" s="206" t="s">
        <v>1335</v>
      </c>
      <c r="J553" s="206" t="s">
        <v>1335</v>
      </c>
      <c r="K553" s="371" t="s">
        <v>2271</v>
      </c>
      <c r="L553" s="206" t="s">
        <v>2161</v>
      </c>
      <c r="M553" s="206" t="s">
        <v>1334</v>
      </c>
      <c r="N553" s="206" t="s">
        <v>40</v>
      </c>
      <c r="O553" s="372">
        <v>46004</v>
      </c>
      <c r="P553" s="372">
        <v>46004</v>
      </c>
      <c r="Q553" s="371" t="s">
        <v>2271</v>
      </c>
      <c r="R553" s="373">
        <v>13790</v>
      </c>
      <c r="S553" s="373">
        <v>13790</v>
      </c>
      <c r="T553" s="371" t="s">
        <v>2271</v>
      </c>
      <c r="U553" s="373">
        <v>4060</v>
      </c>
      <c r="V553" s="373">
        <v>4060</v>
      </c>
      <c r="W553" s="371" t="s">
        <v>2271</v>
      </c>
      <c r="X553" s="373">
        <v>9730</v>
      </c>
      <c r="Y553" s="373">
        <v>9730</v>
      </c>
      <c r="Z553" s="371" t="s">
        <v>2271</v>
      </c>
      <c r="AA553" s="373">
        <v>0</v>
      </c>
      <c r="AB553" s="373">
        <v>9690</v>
      </c>
      <c r="AC553" s="373">
        <v>9690</v>
      </c>
      <c r="AD553" s="371" t="s">
        <v>2271</v>
      </c>
      <c r="AE553" s="373">
        <v>0</v>
      </c>
      <c r="AF553" s="382">
        <v>0.69097222222222199</v>
      </c>
      <c r="AG553" s="382">
        <v>0.69097222222222199</v>
      </c>
      <c r="AH553" s="371" t="s">
        <v>2271</v>
      </c>
      <c r="AI553" s="382">
        <v>0.74791666666666701</v>
      </c>
      <c r="AJ553" s="382">
        <v>0.74791666666666701</v>
      </c>
      <c r="AK553" s="371" t="s">
        <v>2271</v>
      </c>
      <c r="AL553" s="206" t="s">
        <v>42</v>
      </c>
      <c r="AM553" s="206" t="s">
        <v>42</v>
      </c>
      <c r="AN553" s="371" t="s">
        <v>2271</v>
      </c>
      <c r="AO553" s="206" t="s">
        <v>2720</v>
      </c>
      <c r="AP553" s="206"/>
      <c r="AQ553" s="206" t="s">
        <v>1131</v>
      </c>
      <c r="AR553" s="207" t="s">
        <v>82</v>
      </c>
    </row>
    <row r="554" spans="1:44" x14ac:dyDescent="0.2">
      <c r="A554" s="370">
        <v>535</v>
      </c>
      <c r="B554" s="380">
        <v>325</v>
      </c>
      <c r="C554" s="371" t="s">
        <v>2275</v>
      </c>
      <c r="D554" s="371" t="s">
        <v>2235</v>
      </c>
      <c r="E554" s="206"/>
      <c r="F554" s="206" t="s">
        <v>46</v>
      </c>
      <c r="G554" s="206" t="s">
        <v>46</v>
      </c>
      <c r="H554" s="371" t="s">
        <v>2271</v>
      </c>
      <c r="I554" s="206"/>
      <c r="J554" s="206" t="s">
        <v>1433</v>
      </c>
      <c r="K554" s="371" t="s">
        <v>2276</v>
      </c>
      <c r="L554" s="206" t="s">
        <v>2157</v>
      </c>
      <c r="M554" s="206" t="s">
        <v>1337</v>
      </c>
      <c r="N554" s="206" t="s">
        <v>49</v>
      </c>
      <c r="O554" s="372">
        <v>46004</v>
      </c>
      <c r="P554" s="372">
        <v>46004</v>
      </c>
      <c r="Q554" s="371" t="s">
        <v>2271</v>
      </c>
      <c r="R554" s="373">
        <v>26510</v>
      </c>
      <c r="S554" s="373">
        <v>26510</v>
      </c>
      <c r="T554" s="371" t="s">
        <v>2271</v>
      </c>
      <c r="U554" s="373">
        <v>11820</v>
      </c>
      <c r="V554" s="373">
        <v>11820</v>
      </c>
      <c r="W554" s="371" t="s">
        <v>2271</v>
      </c>
      <c r="X554" s="373">
        <v>14690</v>
      </c>
      <c r="Y554" s="373">
        <v>14690</v>
      </c>
      <c r="Z554" s="371" t="s">
        <v>2271</v>
      </c>
      <c r="AA554" s="373">
        <v>0</v>
      </c>
      <c r="AB554" s="373">
        <v>14680</v>
      </c>
      <c r="AC554" s="373">
        <v>14680</v>
      </c>
      <c r="AD554" s="371" t="s">
        <v>2271</v>
      </c>
      <c r="AE554" s="373">
        <v>0</v>
      </c>
      <c r="AF554" s="382">
        <v>0.69236111111111098</v>
      </c>
      <c r="AG554" s="382">
        <v>0.69236111111111098</v>
      </c>
      <c r="AH554" s="371" t="s">
        <v>2271</v>
      </c>
      <c r="AI554" s="382">
        <v>0.73472222222222205</v>
      </c>
      <c r="AJ554" s="382">
        <v>0.73472222222222205</v>
      </c>
      <c r="AK554" s="371" t="s">
        <v>2271</v>
      </c>
      <c r="AL554" s="206" t="s">
        <v>42</v>
      </c>
      <c r="AM554" s="206" t="s">
        <v>42</v>
      </c>
      <c r="AN554" s="371" t="s">
        <v>2271</v>
      </c>
      <c r="AO554" s="206" t="s">
        <v>2721</v>
      </c>
      <c r="AP554" s="206" t="s">
        <v>1393</v>
      </c>
      <c r="AQ554" s="206" t="s">
        <v>1132</v>
      </c>
      <c r="AR554" s="207" t="s">
        <v>68</v>
      </c>
    </row>
    <row r="555" spans="1:44" x14ac:dyDescent="0.2">
      <c r="A555" s="370">
        <v>536</v>
      </c>
      <c r="B555" s="380">
        <v>326</v>
      </c>
      <c r="C555" s="371" t="s">
        <v>2269</v>
      </c>
      <c r="D555" s="371" t="s">
        <v>2270</v>
      </c>
      <c r="E555" s="206"/>
      <c r="F555" s="206" t="s">
        <v>160</v>
      </c>
      <c r="G555" s="206" t="s">
        <v>160</v>
      </c>
      <c r="H555" s="371" t="s">
        <v>2271</v>
      </c>
      <c r="I555" s="206" t="s">
        <v>1335</v>
      </c>
      <c r="J555" s="206" t="s">
        <v>1335</v>
      </c>
      <c r="K555" s="371" t="s">
        <v>2271</v>
      </c>
      <c r="L555" s="206" t="s">
        <v>2161</v>
      </c>
      <c r="M555" s="206" t="s">
        <v>1334</v>
      </c>
      <c r="N555" s="206" t="s">
        <v>40</v>
      </c>
      <c r="O555" s="372">
        <v>46004</v>
      </c>
      <c r="P555" s="372">
        <v>46004</v>
      </c>
      <c r="Q555" s="371" t="s">
        <v>2271</v>
      </c>
      <c r="R555" s="373">
        <v>13470</v>
      </c>
      <c r="S555" s="373">
        <v>13470</v>
      </c>
      <c r="T555" s="371" t="s">
        <v>2271</v>
      </c>
      <c r="U555" s="373">
        <v>3590</v>
      </c>
      <c r="V555" s="373">
        <v>3590</v>
      </c>
      <c r="W555" s="371" t="s">
        <v>2271</v>
      </c>
      <c r="X555" s="373">
        <v>9880</v>
      </c>
      <c r="Y555" s="373">
        <v>9880</v>
      </c>
      <c r="Z555" s="371" t="s">
        <v>2271</v>
      </c>
      <c r="AA555" s="373">
        <v>0</v>
      </c>
      <c r="AB555" s="373">
        <v>9840</v>
      </c>
      <c r="AC555" s="373">
        <v>9840</v>
      </c>
      <c r="AD555" s="371" t="s">
        <v>2271</v>
      </c>
      <c r="AE555" s="373">
        <v>0</v>
      </c>
      <c r="AF555" s="382">
        <v>0.75</v>
      </c>
      <c r="AG555" s="382">
        <v>0.75</v>
      </c>
      <c r="AH555" s="371" t="s">
        <v>2271</v>
      </c>
      <c r="AI555" s="382">
        <v>0.79236111111111096</v>
      </c>
      <c r="AJ555" s="382">
        <v>0.79236111111111096</v>
      </c>
      <c r="AK555" s="371" t="s">
        <v>2271</v>
      </c>
      <c r="AL555" s="206" t="s">
        <v>42</v>
      </c>
      <c r="AM555" s="206" t="s">
        <v>42</v>
      </c>
      <c r="AN555" s="371" t="s">
        <v>2271</v>
      </c>
      <c r="AO555" s="206" t="s">
        <v>2722</v>
      </c>
      <c r="AP555" s="206"/>
      <c r="AQ555" s="206" t="s">
        <v>1131</v>
      </c>
      <c r="AR555" s="207" t="s">
        <v>82</v>
      </c>
    </row>
    <row r="556" spans="1:44" x14ac:dyDescent="0.2">
      <c r="A556" s="370">
        <v>537</v>
      </c>
      <c r="B556" s="380">
        <v>327</v>
      </c>
      <c r="C556" s="371" t="s">
        <v>2269</v>
      </c>
      <c r="D556" s="371" t="s">
        <v>2270</v>
      </c>
      <c r="E556" s="206"/>
      <c r="F556" s="206" t="s">
        <v>158</v>
      </c>
      <c r="G556" s="206" t="s">
        <v>158</v>
      </c>
      <c r="H556" s="371" t="s">
        <v>2271</v>
      </c>
      <c r="I556" s="206" t="s">
        <v>1335</v>
      </c>
      <c r="J556" s="206" t="s">
        <v>1335</v>
      </c>
      <c r="K556" s="371" t="s">
        <v>2271</v>
      </c>
      <c r="L556" s="206" t="s">
        <v>2161</v>
      </c>
      <c r="M556" s="206" t="s">
        <v>1334</v>
      </c>
      <c r="N556" s="206" t="s">
        <v>40</v>
      </c>
      <c r="O556" s="372">
        <v>46004</v>
      </c>
      <c r="P556" s="372">
        <v>46004</v>
      </c>
      <c r="Q556" s="371" t="s">
        <v>2271</v>
      </c>
      <c r="R556" s="373">
        <v>13980</v>
      </c>
      <c r="S556" s="373">
        <v>13980</v>
      </c>
      <c r="T556" s="371" t="s">
        <v>2271</v>
      </c>
      <c r="U556" s="373">
        <v>3950</v>
      </c>
      <c r="V556" s="373">
        <v>3950</v>
      </c>
      <c r="W556" s="371" t="s">
        <v>2271</v>
      </c>
      <c r="X556" s="373">
        <v>10030</v>
      </c>
      <c r="Y556" s="373">
        <v>10030</v>
      </c>
      <c r="Z556" s="371" t="s">
        <v>2271</v>
      </c>
      <c r="AA556" s="373">
        <v>0</v>
      </c>
      <c r="AB556" s="373">
        <v>9980</v>
      </c>
      <c r="AC556" s="373">
        <v>9980</v>
      </c>
      <c r="AD556" s="371" t="s">
        <v>2271</v>
      </c>
      <c r="AE556" s="373">
        <v>0</v>
      </c>
      <c r="AF556" s="382">
        <v>0.75138888888888899</v>
      </c>
      <c r="AG556" s="382">
        <v>0.75138888888888899</v>
      </c>
      <c r="AH556" s="371" t="s">
        <v>2271</v>
      </c>
      <c r="AI556" s="382">
        <v>0.78472222222222199</v>
      </c>
      <c r="AJ556" s="382">
        <v>0.78472222222222199</v>
      </c>
      <c r="AK556" s="371" t="s">
        <v>2271</v>
      </c>
      <c r="AL556" s="206" t="s">
        <v>42</v>
      </c>
      <c r="AM556" s="206" t="s">
        <v>42</v>
      </c>
      <c r="AN556" s="371" t="s">
        <v>2271</v>
      </c>
      <c r="AO556" s="206" t="s">
        <v>2723</v>
      </c>
      <c r="AP556" s="206"/>
      <c r="AQ556" s="206" t="s">
        <v>1131</v>
      </c>
      <c r="AR556" s="207" t="s">
        <v>82</v>
      </c>
    </row>
    <row r="557" spans="1:44" x14ac:dyDescent="0.2">
      <c r="A557" s="370">
        <v>538</v>
      </c>
      <c r="B557" s="380">
        <v>328</v>
      </c>
      <c r="C557" s="371" t="s">
        <v>2275</v>
      </c>
      <c r="D557" s="371" t="s">
        <v>2235</v>
      </c>
      <c r="E557" s="206"/>
      <c r="F557" s="206" t="s">
        <v>84</v>
      </c>
      <c r="G557" s="206" t="s">
        <v>84</v>
      </c>
      <c r="H557" s="371" t="s">
        <v>2271</v>
      </c>
      <c r="I557" s="206"/>
      <c r="J557" s="206" t="s">
        <v>1433</v>
      </c>
      <c r="K557" s="371" t="s">
        <v>2276</v>
      </c>
      <c r="L557" s="206" t="s">
        <v>2157</v>
      </c>
      <c r="M557" s="206" t="s">
        <v>1337</v>
      </c>
      <c r="N557" s="206" t="s">
        <v>49</v>
      </c>
      <c r="O557" s="372">
        <v>46004</v>
      </c>
      <c r="P557" s="372">
        <v>46004</v>
      </c>
      <c r="Q557" s="371" t="s">
        <v>2271</v>
      </c>
      <c r="R557" s="373">
        <v>26690</v>
      </c>
      <c r="S557" s="373">
        <v>26690</v>
      </c>
      <c r="T557" s="371" t="s">
        <v>2271</v>
      </c>
      <c r="U557" s="373">
        <v>12210</v>
      </c>
      <c r="V557" s="373">
        <v>12210</v>
      </c>
      <c r="W557" s="371" t="s">
        <v>2271</v>
      </c>
      <c r="X557" s="373">
        <v>14480</v>
      </c>
      <c r="Y557" s="373">
        <v>14480</v>
      </c>
      <c r="Z557" s="371" t="s">
        <v>2271</v>
      </c>
      <c r="AA557" s="373">
        <v>0</v>
      </c>
      <c r="AB557" s="373">
        <v>14430</v>
      </c>
      <c r="AC557" s="373">
        <v>14430</v>
      </c>
      <c r="AD557" s="371" t="s">
        <v>2271</v>
      </c>
      <c r="AE557" s="373">
        <v>0</v>
      </c>
      <c r="AF557" s="382">
        <v>0.75347222222222199</v>
      </c>
      <c r="AG557" s="382">
        <v>0.75347222222222199</v>
      </c>
      <c r="AH557" s="371" t="s">
        <v>2271</v>
      </c>
      <c r="AI557" s="382">
        <v>0.78888888888888897</v>
      </c>
      <c r="AJ557" s="382">
        <v>0.78888888888888897</v>
      </c>
      <c r="AK557" s="371" t="s">
        <v>2271</v>
      </c>
      <c r="AL557" s="206" t="s">
        <v>42</v>
      </c>
      <c r="AM557" s="206" t="s">
        <v>42</v>
      </c>
      <c r="AN557" s="371" t="s">
        <v>2271</v>
      </c>
      <c r="AO557" s="206" t="s">
        <v>2724</v>
      </c>
      <c r="AP557" s="206" t="s">
        <v>1782</v>
      </c>
      <c r="AQ557" s="206" t="s">
        <v>1132</v>
      </c>
      <c r="AR557" s="207" t="s">
        <v>68</v>
      </c>
    </row>
    <row r="558" spans="1:44" x14ac:dyDescent="0.2">
      <c r="A558" s="370">
        <v>539</v>
      </c>
      <c r="B558" s="380">
        <v>329</v>
      </c>
      <c r="C558" s="371" t="s">
        <v>2269</v>
      </c>
      <c r="D558" s="371" t="s">
        <v>2235</v>
      </c>
      <c r="E558" s="206"/>
      <c r="F558" s="206" t="s">
        <v>186</v>
      </c>
      <c r="G558" s="206" t="s">
        <v>186</v>
      </c>
      <c r="H558" s="371" t="s">
        <v>2271</v>
      </c>
      <c r="I558" s="206" t="s">
        <v>1335</v>
      </c>
      <c r="J558" s="206" t="s">
        <v>1335</v>
      </c>
      <c r="K558" s="371" t="s">
        <v>2271</v>
      </c>
      <c r="L558" s="206" t="s">
        <v>2161</v>
      </c>
      <c r="M558" s="206" t="s">
        <v>1334</v>
      </c>
      <c r="N558" s="206" t="s">
        <v>40</v>
      </c>
      <c r="O558" s="372">
        <v>46004</v>
      </c>
      <c r="P558" s="372">
        <v>46004</v>
      </c>
      <c r="Q558" s="371" t="s">
        <v>2271</v>
      </c>
      <c r="R558" s="373">
        <v>13540</v>
      </c>
      <c r="S558" s="373">
        <v>13540</v>
      </c>
      <c r="T558" s="371" t="s">
        <v>2271</v>
      </c>
      <c r="U558" s="373">
        <v>3960</v>
      </c>
      <c r="V558" s="373">
        <v>3960</v>
      </c>
      <c r="W558" s="371" t="s">
        <v>2271</v>
      </c>
      <c r="X558" s="373">
        <v>9580</v>
      </c>
      <c r="Y558" s="373">
        <v>9580</v>
      </c>
      <c r="Z558" s="371" t="s">
        <v>2271</v>
      </c>
      <c r="AA558" s="373">
        <v>0</v>
      </c>
      <c r="AB558" s="373">
        <v>9560</v>
      </c>
      <c r="AC558" s="373">
        <v>9560</v>
      </c>
      <c r="AD558" s="371" t="s">
        <v>2271</v>
      </c>
      <c r="AE558" s="373">
        <v>0</v>
      </c>
      <c r="AF558" s="382">
        <v>0.88194444444444497</v>
      </c>
      <c r="AG558" s="382">
        <v>0.88194444444444398</v>
      </c>
      <c r="AH558" s="371" t="s">
        <v>2276</v>
      </c>
      <c r="AI558" s="382">
        <v>0.93125000000000002</v>
      </c>
      <c r="AJ558" s="382">
        <v>0.93125000000000002</v>
      </c>
      <c r="AK558" s="371" t="s">
        <v>2271</v>
      </c>
      <c r="AL558" s="206" t="s">
        <v>137</v>
      </c>
      <c r="AM558" s="206" t="s">
        <v>137</v>
      </c>
      <c r="AN558" s="371" t="s">
        <v>2271</v>
      </c>
      <c r="AO558" s="206" t="s">
        <v>2725</v>
      </c>
      <c r="AP558" s="206"/>
      <c r="AQ558" s="206" t="s">
        <v>1131</v>
      </c>
      <c r="AR558" s="207" t="s">
        <v>82</v>
      </c>
    </row>
    <row r="559" spans="1:44" x14ac:dyDescent="0.2">
      <c r="A559" s="370">
        <v>540</v>
      </c>
      <c r="B559" s="380">
        <v>330</v>
      </c>
      <c r="C559" s="371" t="s">
        <v>2269</v>
      </c>
      <c r="D559" s="371" t="s">
        <v>2235</v>
      </c>
      <c r="E559" s="206"/>
      <c r="F559" s="206" t="s">
        <v>473</v>
      </c>
      <c r="G559" s="206" t="s">
        <v>473</v>
      </c>
      <c r="H559" s="371" t="s">
        <v>2271</v>
      </c>
      <c r="I559" s="206" t="s">
        <v>1335</v>
      </c>
      <c r="J559" s="206" t="s">
        <v>1335</v>
      </c>
      <c r="K559" s="371" t="s">
        <v>2271</v>
      </c>
      <c r="L559" s="206" t="s">
        <v>2161</v>
      </c>
      <c r="M559" s="206" t="s">
        <v>1334</v>
      </c>
      <c r="N559" s="206" t="s">
        <v>40</v>
      </c>
      <c r="O559" s="372">
        <v>46004</v>
      </c>
      <c r="P559" s="372">
        <v>46004</v>
      </c>
      <c r="Q559" s="371" t="s">
        <v>2271</v>
      </c>
      <c r="R559" s="373">
        <v>14520</v>
      </c>
      <c r="S559" s="373">
        <v>14520</v>
      </c>
      <c r="T559" s="371" t="s">
        <v>2271</v>
      </c>
      <c r="U559" s="373">
        <v>4350</v>
      </c>
      <c r="V559" s="373">
        <v>4350</v>
      </c>
      <c r="W559" s="371" t="s">
        <v>2271</v>
      </c>
      <c r="X559" s="373">
        <v>10170</v>
      </c>
      <c r="Y559" s="373">
        <v>10170</v>
      </c>
      <c r="Z559" s="371" t="s">
        <v>2271</v>
      </c>
      <c r="AA559" s="373">
        <v>0</v>
      </c>
      <c r="AB559" s="373">
        <v>10100</v>
      </c>
      <c r="AC559" s="373">
        <v>10100</v>
      </c>
      <c r="AD559" s="371" t="s">
        <v>2271</v>
      </c>
      <c r="AE559" s="373">
        <v>0</v>
      </c>
      <c r="AF559" s="382">
        <v>0.88333333333333297</v>
      </c>
      <c r="AG559" s="382">
        <v>0.88333333333333297</v>
      </c>
      <c r="AH559" s="371" t="s">
        <v>2271</v>
      </c>
      <c r="AI559" s="382">
        <v>0.92569444444444404</v>
      </c>
      <c r="AJ559" s="382">
        <v>0.92569444444444504</v>
      </c>
      <c r="AK559" s="371" t="s">
        <v>2276</v>
      </c>
      <c r="AL559" s="206" t="s">
        <v>137</v>
      </c>
      <c r="AM559" s="206" t="s">
        <v>137</v>
      </c>
      <c r="AN559" s="371" t="s">
        <v>2271</v>
      </c>
      <c r="AO559" s="206" t="s">
        <v>2726</v>
      </c>
      <c r="AP559" s="206"/>
      <c r="AQ559" s="206" t="s">
        <v>1131</v>
      </c>
      <c r="AR559" s="207" t="s">
        <v>82</v>
      </c>
    </row>
    <row r="560" spans="1:44" x14ac:dyDescent="0.2">
      <c r="A560" s="370">
        <v>541</v>
      </c>
      <c r="B560" s="380">
        <v>331</v>
      </c>
      <c r="C560" s="371" t="s">
        <v>2269</v>
      </c>
      <c r="D560" s="371" t="s">
        <v>2235</v>
      </c>
      <c r="E560" s="206"/>
      <c r="F560" s="206" t="s">
        <v>147</v>
      </c>
      <c r="G560" s="206" t="s">
        <v>147</v>
      </c>
      <c r="H560" s="371" t="s">
        <v>2271</v>
      </c>
      <c r="I560" s="206" t="s">
        <v>1335</v>
      </c>
      <c r="J560" s="206" t="s">
        <v>1335</v>
      </c>
      <c r="K560" s="371" t="s">
        <v>2271</v>
      </c>
      <c r="L560" s="206" t="s">
        <v>2161</v>
      </c>
      <c r="M560" s="206" t="s">
        <v>1334</v>
      </c>
      <c r="N560" s="206" t="s">
        <v>40</v>
      </c>
      <c r="O560" s="372">
        <v>46004</v>
      </c>
      <c r="P560" s="372">
        <v>46004</v>
      </c>
      <c r="Q560" s="371" t="s">
        <v>2271</v>
      </c>
      <c r="R560" s="373">
        <v>14050</v>
      </c>
      <c r="S560" s="373">
        <v>14050</v>
      </c>
      <c r="T560" s="371" t="s">
        <v>2271</v>
      </c>
      <c r="U560" s="373">
        <v>3980</v>
      </c>
      <c r="V560" s="373">
        <v>3980</v>
      </c>
      <c r="W560" s="371" t="s">
        <v>2271</v>
      </c>
      <c r="X560" s="373">
        <v>10070</v>
      </c>
      <c r="Y560" s="373">
        <v>10070</v>
      </c>
      <c r="Z560" s="371" t="s">
        <v>2271</v>
      </c>
      <c r="AA560" s="373">
        <v>0</v>
      </c>
      <c r="AB560" s="373">
        <v>10030</v>
      </c>
      <c r="AC560" s="373">
        <v>10030</v>
      </c>
      <c r="AD560" s="371" t="s">
        <v>2271</v>
      </c>
      <c r="AE560" s="373">
        <v>0</v>
      </c>
      <c r="AF560" s="382">
        <v>0.90416666666666701</v>
      </c>
      <c r="AG560" s="382">
        <v>0.90416666666666701</v>
      </c>
      <c r="AH560" s="371" t="s">
        <v>2271</v>
      </c>
      <c r="AI560" s="382">
        <v>0.96319444444444402</v>
      </c>
      <c r="AJ560" s="382">
        <v>0.96319444444444502</v>
      </c>
      <c r="AK560" s="371" t="s">
        <v>2276</v>
      </c>
      <c r="AL560" s="206" t="s">
        <v>137</v>
      </c>
      <c r="AM560" s="206" t="s">
        <v>137</v>
      </c>
      <c r="AN560" s="371" t="s">
        <v>2271</v>
      </c>
      <c r="AO560" s="206" t="s">
        <v>2727</v>
      </c>
      <c r="AP560" s="206"/>
      <c r="AQ560" s="206" t="s">
        <v>1131</v>
      </c>
      <c r="AR560" s="207" t="s">
        <v>82</v>
      </c>
    </row>
    <row r="561" spans="1:44" x14ac:dyDescent="0.2">
      <c r="A561" s="370">
        <v>542</v>
      </c>
      <c r="B561" s="380">
        <v>332</v>
      </c>
      <c r="C561" s="371" t="s">
        <v>2269</v>
      </c>
      <c r="D561" s="371" t="s">
        <v>2270</v>
      </c>
      <c r="E561" s="206"/>
      <c r="F561" s="206" t="s">
        <v>53</v>
      </c>
      <c r="G561" s="206" t="s">
        <v>53</v>
      </c>
      <c r="H561" s="371" t="s">
        <v>2271</v>
      </c>
      <c r="I561" s="206" t="s">
        <v>1335</v>
      </c>
      <c r="J561" s="206" t="s">
        <v>1335</v>
      </c>
      <c r="K561" s="371" t="s">
        <v>2271</v>
      </c>
      <c r="L561" s="206" t="s">
        <v>2161</v>
      </c>
      <c r="M561" s="206" t="s">
        <v>1334</v>
      </c>
      <c r="N561" s="206" t="s">
        <v>40</v>
      </c>
      <c r="O561" s="372">
        <v>46004</v>
      </c>
      <c r="P561" s="372">
        <v>46004</v>
      </c>
      <c r="Q561" s="371" t="s">
        <v>2271</v>
      </c>
      <c r="R561" s="373">
        <v>13330</v>
      </c>
      <c r="S561" s="373">
        <v>13330</v>
      </c>
      <c r="T561" s="371" t="s">
        <v>2271</v>
      </c>
      <c r="U561" s="373">
        <v>3750</v>
      </c>
      <c r="V561" s="373">
        <v>3750</v>
      </c>
      <c r="W561" s="371" t="s">
        <v>2271</v>
      </c>
      <c r="X561" s="373">
        <v>9580</v>
      </c>
      <c r="Y561" s="373">
        <v>9580</v>
      </c>
      <c r="Z561" s="371" t="s">
        <v>2271</v>
      </c>
      <c r="AA561" s="373">
        <v>0</v>
      </c>
      <c r="AB561" s="373">
        <v>9560</v>
      </c>
      <c r="AC561" s="373">
        <v>9560</v>
      </c>
      <c r="AD561" s="371" t="s">
        <v>2271</v>
      </c>
      <c r="AE561" s="373">
        <v>0</v>
      </c>
      <c r="AF561" s="382">
        <v>0.905555555555556</v>
      </c>
      <c r="AG561" s="382">
        <v>0.905555555555556</v>
      </c>
      <c r="AH561" s="371" t="s">
        <v>2271</v>
      </c>
      <c r="AI561" s="382">
        <v>0.95972222222222203</v>
      </c>
      <c r="AJ561" s="382">
        <v>0.95972222222222203</v>
      </c>
      <c r="AK561" s="371" t="s">
        <v>2271</v>
      </c>
      <c r="AL561" s="206" t="s">
        <v>137</v>
      </c>
      <c r="AM561" s="206" t="s">
        <v>137</v>
      </c>
      <c r="AN561" s="371" t="s">
        <v>2271</v>
      </c>
      <c r="AO561" s="206" t="s">
        <v>2728</v>
      </c>
      <c r="AP561" s="206"/>
      <c r="AQ561" s="206" t="s">
        <v>1131</v>
      </c>
      <c r="AR561" s="207" t="s">
        <v>82</v>
      </c>
    </row>
    <row r="562" spans="1:44" x14ac:dyDescent="0.2">
      <c r="A562" s="370">
        <v>543</v>
      </c>
      <c r="B562" s="380">
        <v>333</v>
      </c>
      <c r="C562" s="371" t="s">
        <v>2269</v>
      </c>
      <c r="D562" s="371" t="s">
        <v>2270</v>
      </c>
      <c r="E562" s="206"/>
      <c r="F562" s="206" t="s">
        <v>156</v>
      </c>
      <c r="G562" s="206" t="s">
        <v>156</v>
      </c>
      <c r="H562" s="371" t="s">
        <v>2271</v>
      </c>
      <c r="I562" s="206" t="s">
        <v>1335</v>
      </c>
      <c r="J562" s="206" t="s">
        <v>1335</v>
      </c>
      <c r="K562" s="371" t="s">
        <v>2271</v>
      </c>
      <c r="L562" s="206" t="s">
        <v>2161</v>
      </c>
      <c r="M562" s="206" t="s">
        <v>1334</v>
      </c>
      <c r="N562" s="206" t="s">
        <v>40</v>
      </c>
      <c r="O562" s="372">
        <v>46006</v>
      </c>
      <c r="P562" s="372">
        <v>46006</v>
      </c>
      <c r="Q562" s="371" t="s">
        <v>2271</v>
      </c>
      <c r="R562" s="373">
        <v>14140</v>
      </c>
      <c r="S562" s="373">
        <v>14140</v>
      </c>
      <c r="T562" s="371" t="s">
        <v>2271</v>
      </c>
      <c r="U562" s="373">
        <v>4190</v>
      </c>
      <c r="V562" s="373">
        <v>4190</v>
      </c>
      <c r="W562" s="371" t="s">
        <v>2271</v>
      </c>
      <c r="X562" s="373">
        <v>9950</v>
      </c>
      <c r="Y562" s="373">
        <v>9950</v>
      </c>
      <c r="Z562" s="371" t="s">
        <v>2271</v>
      </c>
      <c r="AA562" s="373">
        <v>0</v>
      </c>
      <c r="AB562" s="373">
        <v>10000</v>
      </c>
      <c r="AC562" s="373">
        <v>10000</v>
      </c>
      <c r="AD562" s="371" t="s">
        <v>2271</v>
      </c>
      <c r="AE562" s="373">
        <v>0</v>
      </c>
      <c r="AF562" s="382">
        <v>0.33263888888888898</v>
      </c>
      <c r="AG562" s="382">
        <v>0.33263888888888898</v>
      </c>
      <c r="AH562" s="371" t="s">
        <v>2271</v>
      </c>
      <c r="AI562" s="382">
        <v>0.38055555555555598</v>
      </c>
      <c r="AJ562" s="382">
        <v>0.38055555555555598</v>
      </c>
      <c r="AK562" s="371" t="s">
        <v>2271</v>
      </c>
      <c r="AL562" s="206" t="s">
        <v>42</v>
      </c>
      <c r="AM562" s="206" t="s">
        <v>42</v>
      </c>
      <c r="AN562" s="371" t="s">
        <v>2271</v>
      </c>
      <c r="AO562" s="206" t="s">
        <v>2729</v>
      </c>
      <c r="AP562" s="206"/>
      <c r="AQ562" s="206" t="s">
        <v>1131</v>
      </c>
      <c r="AR562" s="207" t="s">
        <v>82</v>
      </c>
    </row>
    <row r="563" spans="1:44" x14ac:dyDescent="0.2">
      <c r="A563" s="370">
        <v>544</v>
      </c>
      <c r="B563" s="380">
        <v>334</v>
      </c>
      <c r="C563" s="371" t="s">
        <v>2269</v>
      </c>
      <c r="D563" s="371" t="s">
        <v>2270</v>
      </c>
      <c r="E563" s="206"/>
      <c r="F563" s="206" t="s">
        <v>153</v>
      </c>
      <c r="G563" s="206" t="s">
        <v>153</v>
      </c>
      <c r="H563" s="371" t="s">
        <v>2271</v>
      </c>
      <c r="I563" s="206" t="s">
        <v>1335</v>
      </c>
      <c r="J563" s="206" t="s">
        <v>1335</v>
      </c>
      <c r="K563" s="371" t="s">
        <v>2271</v>
      </c>
      <c r="L563" s="206" t="s">
        <v>2161</v>
      </c>
      <c r="M563" s="206" t="s">
        <v>1334</v>
      </c>
      <c r="N563" s="206" t="s">
        <v>40</v>
      </c>
      <c r="O563" s="372">
        <v>46006</v>
      </c>
      <c r="P563" s="372">
        <v>46006</v>
      </c>
      <c r="Q563" s="371" t="s">
        <v>2271</v>
      </c>
      <c r="R563" s="373">
        <v>13620</v>
      </c>
      <c r="S563" s="373">
        <v>13620</v>
      </c>
      <c r="T563" s="371" t="s">
        <v>2271</v>
      </c>
      <c r="U563" s="373">
        <v>3980</v>
      </c>
      <c r="V563" s="373">
        <v>3980</v>
      </c>
      <c r="W563" s="371" t="s">
        <v>2271</v>
      </c>
      <c r="X563" s="373">
        <v>9640</v>
      </c>
      <c r="Y563" s="373">
        <v>9640</v>
      </c>
      <c r="Z563" s="371" t="s">
        <v>2271</v>
      </c>
      <c r="AA563" s="373">
        <v>0</v>
      </c>
      <c r="AB563" s="373">
        <v>9590</v>
      </c>
      <c r="AC563" s="373">
        <v>9590</v>
      </c>
      <c r="AD563" s="371" t="s">
        <v>2271</v>
      </c>
      <c r="AE563" s="373">
        <v>0</v>
      </c>
      <c r="AF563" s="382">
        <v>0.33402777777777798</v>
      </c>
      <c r="AG563" s="382">
        <v>0.33402777777777798</v>
      </c>
      <c r="AH563" s="371" t="s">
        <v>2271</v>
      </c>
      <c r="AI563" s="382">
        <v>0.38124999999999998</v>
      </c>
      <c r="AJ563" s="382">
        <v>0.38124999999999998</v>
      </c>
      <c r="AK563" s="371" t="s">
        <v>2271</v>
      </c>
      <c r="AL563" s="206" t="s">
        <v>42</v>
      </c>
      <c r="AM563" s="206" t="s">
        <v>42</v>
      </c>
      <c r="AN563" s="371" t="s">
        <v>2271</v>
      </c>
      <c r="AO563" s="206" t="s">
        <v>2730</v>
      </c>
      <c r="AP563" s="206"/>
      <c r="AQ563" s="206" t="s">
        <v>1131</v>
      </c>
      <c r="AR563" s="207" t="s">
        <v>82</v>
      </c>
    </row>
    <row r="564" spans="1:44" x14ac:dyDescent="0.2">
      <c r="A564" s="370">
        <v>545</v>
      </c>
      <c r="B564" s="380">
        <v>335</v>
      </c>
      <c r="C564" s="371" t="s">
        <v>2269</v>
      </c>
      <c r="D564" s="371" t="s">
        <v>2270</v>
      </c>
      <c r="E564" s="206"/>
      <c r="F564" s="206" t="s">
        <v>151</v>
      </c>
      <c r="G564" s="206" t="s">
        <v>151</v>
      </c>
      <c r="H564" s="371" t="s">
        <v>2271</v>
      </c>
      <c r="I564" s="206" t="s">
        <v>1335</v>
      </c>
      <c r="J564" s="206" t="s">
        <v>1335</v>
      </c>
      <c r="K564" s="371" t="s">
        <v>2271</v>
      </c>
      <c r="L564" s="206" t="s">
        <v>2161</v>
      </c>
      <c r="M564" s="206" t="s">
        <v>1334</v>
      </c>
      <c r="N564" s="206" t="s">
        <v>40</v>
      </c>
      <c r="O564" s="372">
        <v>46006</v>
      </c>
      <c r="P564" s="372">
        <v>46006</v>
      </c>
      <c r="Q564" s="371" t="s">
        <v>2271</v>
      </c>
      <c r="R564" s="373">
        <v>13540</v>
      </c>
      <c r="S564" s="373">
        <v>13540</v>
      </c>
      <c r="T564" s="371" t="s">
        <v>2271</v>
      </c>
      <c r="U564" s="373">
        <v>4090</v>
      </c>
      <c r="V564" s="373">
        <v>4090</v>
      </c>
      <c r="W564" s="371" t="s">
        <v>2271</v>
      </c>
      <c r="X564" s="373">
        <v>9450</v>
      </c>
      <c r="Y564" s="373">
        <v>9450</v>
      </c>
      <c r="Z564" s="371" t="s">
        <v>2271</v>
      </c>
      <c r="AA564" s="373">
        <v>0</v>
      </c>
      <c r="AB564" s="373">
        <v>9390</v>
      </c>
      <c r="AC564" s="373">
        <v>9390</v>
      </c>
      <c r="AD564" s="371" t="s">
        <v>2271</v>
      </c>
      <c r="AE564" s="373">
        <v>0</v>
      </c>
      <c r="AF564" s="382">
        <v>0.33472222222222198</v>
      </c>
      <c r="AG564" s="382">
        <v>0.33472222222222198</v>
      </c>
      <c r="AH564" s="371" t="s">
        <v>2271</v>
      </c>
      <c r="AI564" s="382">
        <v>0.40625</v>
      </c>
      <c r="AJ564" s="382">
        <v>0.40625</v>
      </c>
      <c r="AK564" s="371" t="s">
        <v>2271</v>
      </c>
      <c r="AL564" s="206" t="s">
        <v>42</v>
      </c>
      <c r="AM564" s="206" t="s">
        <v>42</v>
      </c>
      <c r="AN564" s="371" t="s">
        <v>2271</v>
      </c>
      <c r="AO564" s="206" t="s">
        <v>2731</v>
      </c>
      <c r="AP564" s="206"/>
      <c r="AQ564" s="206" t="s">
        <v>1131</v>
      </c>
      <c r="AR564" s="207" t="s">
        <v>82</v>
      </c>
    </row>
    <row r="565" spans="1:44" x14ac:dyDescent="0.2">
      <c r="A565" s="370">
        <v>546</v>
      </c>
      <c r="B565" s="380">
        <v>336</v>
      </c>
      <c r="C565" s="371" t="s">
        <v>2269</v>
      </c>
      <c r="D565" s="371" t="s">
        <v>2270</v>
      </c>
      <c r="E565" s="206"/>
      <c r="F565" s="206" t="s">
        <v>149</v>
      </c>
      <c r="G565" s="206" t="s">
        <v>149</v>
      </c>
      <c r="H565" s="371" t="s">
        <v>2271</v>
      </c>
      <c r="I565" s="206" t="s">
        <v>1335</v>
      </c>
      <c r="J565" s="206" t="s">
        <v>1335</v>
      </c>
      <c r="K565" s="371" t="s">
        <v>2271</v>
      </c>
      <c r="L565" s="206" t="s">
        <v>2161</v>
      </c>
      <c r="M565" s="206" t="s">
        <v>1334</v>
      </c>
      <c r="N565" s="206" t="s">
        <v>40</v>
      </c>
      <c r="O565" s="372">
        <v>46006</v>
      </c>
      <c r="P565" s="372">
        <v>46006</v>
      </c>
      <c r="Q565" s="371" t="s">
        <v>2271</v>
      </c>
      <c r="R565" s="373">
        <v>13940</v>
      </c>
      <c r="S565" s="373">
        <v>13940</v>
      </c>
      <c r="T565" s="371" t="s">
        <v>2271</v>
      </c>
      <c r="U565" s="373">
        <v>4040</v>
      </c>
      <c r="V565" s="373">
        <v>4040</v>
      </c>
      <c r="W565" s="371" t="s">
        <v>2271</v>
      </c>
      <c r="X565" s="373">
        <v>9900</v>
      </c>
      <c r="Y565" s="373">
        <v>9900</v>
      </c>
      <c r="Z565" s="371" t="s">
        <v>2271</v>
      </c>
      <c r="AA565" s="373">
        <v>0</v>
      </c>
      <c r="AB565" s="373">
        <v>9870</v>
      </c>
      <c r="AC565" s="373">
        <v>9870</v>
      </c>
      <c r="AD565" s="371" t="s">
        <v>2271</v>
      </c>
      <c r="AE565" s="373">
        <v>0</v>
      </c>
      <c r="AF565" s="382">
        <v>0.33541666666666697</v>
      </c>
      <c r="AG565" s="382">
        <v>0.33541666666666697</v>
      </c>
      <c r="AH565" s="371" t="s">
        <v>2271</v>
      </c>
      <c r="AI565" s="382">
        <v>0.41458333333333303</v>
      </c>
      <c r="AJ565" s="382">
        <v>0.41458333333333303</v>
      </c>
      <c r="AK565" s="371" t="s">
        <v>2271</v>
      </c>
      <c r="AL565" s="206" t="s">
        <v>42</v>
      </c>
      <c r="AM565" s="206" t="s">
        <v>42</v>
      </c>
      <c r="AN565" s="371" t="s">
        <v>2271</v>
      </c>
      <c r="AO565" s="206" t="s">
        <v>2732</v>
      </c>
      <c r="AP565" s="206"/>
      <c r="AQ565" s="206" t="s">
        <v>1131</v>
      </c>
      <c r="AR565" s="207" t="s">
        <v>82</v>
      </c>
    </row>
    <row r="566" spans="1:44" x14ac:dyDescent="0.2">
      <c r="A566" s="370">
        <v>547</v>
      </c>
      <c r="B566" s="380">
        <v>337</v>
      </c>
      <c r="C566" s="371" t="s">
        <v>2269</v>
      </c>
      <c r="D566" s="371" t="s">
        <v>2270</v>
      </c>
      <c r="E566" s="206"/>
      <c r="F566" s="206" t="s">
        <v>155</v>
      </c>
      <c r="G566" s="206" t="s">
        <v>155</v>
      </c>
      <c r="H566" s="371" t="s">
        <v>2271</v>
      </c>
      <c r="I566" s="206" t="s">
        <v>1335</v>
      </c>
      <c r="J566" s="206" t="s">
        <v>1335</v>
      </c>
      <c r="K566" s="371" t="s">
        <v>2271</v>
      </c>
      <c r="L566" s="206" t="s">
        <v>2161</v>
      </c>
      <c r="M566" s="206" t="s">
        <v>1334</v>
      </c>
      <c r="N566" s="206" t="s">
        <v>40</v>
      </c>
      <c r="O566" s="372">
        <v>46006</v>
      </c>
      <c r="P566" s="372">
        <v>46006</v>
      </c>
      <c r="Q566" s="371" t="s">
        <v>2271</v>
      </c>
      <c r="R566" s="373">
        <v>13520</v>
      </c>
      <c r="S566" s="373">
        <v>13520</v>
      </c>
      <c r="T566" s="371" t="s">
        <v>2271</v>
      </c>
      <c r="U566" s="373">
        <v>3940</v>
      </c>
      <c r="V566" s="373">
        <v>3940</v>
      </c>
      <c r="W566" s="371" t="s">
        <v>2271</v>
      </c>
      <c r="X566" s="373">
        <v>9580</v>
      </c>
      <c r="Y566" s="373">
        <v>9580</v>
      </c>
      <c r="Z566" s="371" t="s">
        <v>2271</v>
      </c>
      <c r="AA566" s="373">
        <v>0</v>
      </c>
      <c r="AB566" s="373">
        <v>9630</v>
      </c>
      <c r="AC566" s="373">
        <v>9630</v>
      </c>
      <c r="AD566" s="371" t="s">
        <v>2271</v>
      </c>
      <c r="AE566" s="373">
        <v>0</v>
      </c>
      <c r="AF566" s="382">
        <v>0.38541666666666702</v>
      </c>
      <c r="AG566" s="382">
        <v>0.38541666666666702</v>
      </c>
      <c r="AH566" s="371" t="s">
        <v>2271</v>
      </c>
      <c r="AI566" s="382">
        <v>0.422916666666667</v>
      </c>
      <c r="AJ566" s="382">
        <v>0.422916666666667</v>
      </c>
      <c r="AK566" s="371" t="s">
        <v>2271</v>
      </c>
      <c r="AL566" s="206" t="s">
        <v>42</v>
      </c>
      <c r="AM566" s="206" t="s">
        <v>42</v>
      </c>
      <c r="AN566" s="371" t="s">
        <v>2271</v>
      </c>
      <c r="AO566" s="206" t="s">
        <v>2733</v>
      </c>
      <c r="AP566" s="206"/>
      <c r="AQ566" s="206" t="s">
        <v>1131</v>
      </c>
      <c r="AR566" s="207" t="s">
        <v>82</v>
      </c>
    </row>
    <row r="567" spans="1:44" x14ac:dyDescent="0.2">
      <c r="A567" s="370">
        <v>548</v>
      </c>
      <c r="B567" s="380">
        <v>338</v>
      </c>
      <c r="C567" s="371" t="s">
        <v>2269</v>
      </c>
      <c r="D567" s="371" t="s">
        <v>2270</v>
      </c>
      <c r="E567" s="206"/>
      <c r="F567" s="206" t="s">
        <v>183</v>
      </c>
      <c r="G567" s="206" t="s">
        <v>183</v>
      </c>
      <c r="H567" s="371" t="s">
        <v>2271</v>
      </c>
      <c r="I567" s="206" t="s">
        <v>1335</v>
      </c>
      <c r="J567" s="206" t="s">
        <v>1335</v>
      </c>
      <c r="K567" s="371" t="s">
        <v>2271</v>
      </c>
      <c r="L567" s="206" t="s">
        <v>2161</v>
      </c>
      <c r="M567" s="206" t="s">
        <v>1334</v>
      </c>
      <c r="N567" s="206" t="s">
        <v>40</v>
      </c>
      <c r="O567" s="372">
        <v>46006</v>
      </c>
      <c r="P567" s="372">
        <v>46006</v>
      </c>
      <c r="Q567" s="371" t="s">
        <v>2271</v>
      </c>
      <c r="R567" s="373">
        <v>14320</v>
      </c>
      <c r="S567" s="373">
        <v>14320</v>
      </c>
      <c r="T567" s="371" t="s">
        <v>2271</v>
      </c>
      <c r="U567" s="373">
        <v>4250</v>
      </c>
      <c r="V567" s="373">
        <v>4250</v>
      </c>
      <c r="W567" s="371" t="s">
        <v>2271</v>
      </c>
      <c r="X567" s="373">
        <v>10070</v>
      </c>
      <c r="Y567" s="373">
        <v>10070</v>
      </c>
      <c r="Z567" s="371" t="s">
        <v>2271</v>
      </c>
      <c r="AA567" s="373">
        <v>0</v>
      </c>
      <c r="AB567" s="373">
        <v>10040</v>
      </c>
      <c r="AC567" s="373">
        <v>10040</v>
      </c>
      <c r="AD567" s="371" t="s">
        <v>2271</v>
      </c>
      <c r="AE567" s="373">
        <v>0</v>
      </c>
      <c r="AF567" s="382">
        <v>0.38611111111111102</v>
      </c>
      <c r="AG567" s="382">
        <v>0.38611111111111102</v>
      </c>
      <c r="AH567" s="371" t="s">
        <v>2271</v>
      </c>
      <c r="AI567" s="382">
        <v>0.40972222222222199</v>
      </c>
      <c r="AJ567" s="382">
        <v>0.40972222222222199</v>
      </c>
      <c r="AK567" s="371" t="s">
        <v>2271</v>
      </c>
      <c r="AL567" s="206" t="s">
        <v>42</v>
      </c>
      <c r="AM567" s="206" t="s">
        <v>42</v>
      </c>
      <c r="AN567" s="371" t="s">
        <v>2271</v>
      </c>
      <c r="AO567" s="206" t="s">
        <v>2734</v>
      </c>
      <c r="AP567" s="206"/>
      <c r="AQ567" s="206" t="s">
        <v>1131</v>
      </c>
      <c r="AR567" s="207" t="s">
        <v>82</v>
      </c>
    </row>
    <row r="568" spans="1:44" x14ac:dyDescent="0.2">
      <c r="A568" s="370">
        <v>549</v>
      </c>
      <c r="B568" s="380">
        <v>339</v>
      </c>
      <c r="C568" s="371" t="s">
        <v>2269</v>
      </c>
      <c r="D568" s="371" t="s">
        <v>2270</v>
      </c>
      <c r="E568" s="206"/>
      <c r="F568" s="206" t="s">
        <v>39</v>
      </c>
      <c r="G568" s="206" t="s">
        <v>39</v>
      </c>
      <c r="H568" s="371" t="s">
        <v>2271</v>
      </c>
      <c r="I568" s="206" t="s">
        <v>1335</v>
      </c>
      <c r="J568" s="206" t="s">
        <v>1335</v>
      </c>
      <c r="K568" s="371" t="s">
        <v>2271</v>
      </c>
      <c r="L568" s="206" t="s">
        <v>2161</v>
      </c>
      <c r="M568" s="206" t="s">
        <v>1334</v>
      </c>
      <c r="N568" s="206" t="s">
        <v>40</v>
      </c>
      <c r="O568" s="372">
        <v>46006</v>
      </c>
      <c r="P568" s="372">
        <v>46006</v>
      </c>
      <c r="Q568" s="371" t="s">
        <v>2271</v>
      </c>
      <c r="R568" s="373">
        <v>13750</v>
      </c>
      <c r="S568" s="373">
        <v>13750</v>
      </c>
      <c r="T568" s="371" t="s">
        <v>2271</v>
      </c>
      <c r="U568" s="373">
        <v>4090</v>
      </c>
      <c r="V568" s="373">
        <v>4090</v>
      </c>
      <c r="W568" s="371" t="s">
        <v>2271</v>
      </c>
      <c r="X568" s="373">
        <v>9660</v>
      </c>
      <c r="Y568" s="373">
        <v>9660</v>
      </c>
      <c r="Z568" s="371" t="s">
        <v>2271</v>
      </c>
      <c r="AA568" s="373">
        <v>0</v>
      </c>
      <c r="AB568" s="373">
        <v>9620</v>
      </c>
      <c r="AC568" s="373">
        <v>9620</v>
      </c>
      <c r="AD568" s="371" t="s">
        <v>2271</v>
      </c>
      <c r="AE568" s="373">
        <v>0</v>
      </c>
      <c r="AF568" s="382">
        <v>0.389583333333333</v>
      </c>
      <c r="AG568" s="382">
        <v>0.389583333333333</v>
      </c>
      <c r="AH568" s="371" t="s">
        <v>2271</v>
      </c>
      <c r="AI568" s="382">
        <v>0.43263888888888902</v>
      </c>
      <c r="AJ568" s="382">
        <v>0.43263888888888902</v>
      </c>
      <c r="AK568" s="371" t="s">
        <v>2271</v>
      </c>
      <c r="AL568" s="206" t="s">
        <v>42</v>
      </c>
      <c r="AM568" s="206" t="s">
        <v>42</v>
      </c>
      <c r="AN568" s="371" t="s">
        <v>2271</v>
      </c>
      <c r="AO568" s="206" t="s">
        <v>2735</v>
      </c>
      <c r="AP568" s="206"/>
      <c r="AQ568" s="206" t="s">
        <v>1131</v>
      </c>
      <c r="AR568" s="207" t="s">
        <v>82</v>
      </c>
    </row>
    <row r="569" spans="1:44" x14ac:dyDescent="0.2">
      <c r="A569" s="370">
        <v>550</v>
      </c>
      <c r="B569" s="380">
        <v>340</v>
      </c>
      <c r="C569" s="371" t="s">
        <v>2269</v>
      </c>
      <c r="D569" s="371" t="s">
        <v>2270</v>
      </c>
      <c r="E569" s="206"/>
      <c r="F569" s="206" t="s">
        <v>184</v>
      </c>
      <c r="G569" s="206" t="s">
        <v>184</v>
      </c>
      <c r="H569" s="371" t="s">
        <v>2271</v>
      </c>
      <c r="I569" s="206" t="s">
        <v>1335</v>
      </c>
      <c r="J569" s="206" t="s">
        <v>1335</v>
      </c>
      <c r="K569" s="371" t="s">
        <v>2271</v>
      </c>
      <c r="L569" s="206" t="s">
        <v>2161</v>
      </c>
      <c r="M569" s="206" t="s">
        <v>1334</v>
      </c>
      <c r="N569" s="206" t="s">
        <v>40</v>
      </c>
      <c r="O569" s="372">
        <v>46006</v>
      </c>
      <c r="P569" s="372">
        <v>46006</v>
      </c>
      <c r="Q569" s="371" t="s">
        <v>2271</v>
      </c>
      <c r="R569" s="373">
        <v>13850</v>
      </c>
      <c r="S569" s="373">
        <v>13850</v>
      </c>
      <c r="T569" s="371" t="s">
        <v>2271</v>
      </c>
      <c r="U569" s="373">
        <v>3920</v>
      </c>
      <c r="V569" s="373">
        <v>3920</v>
      </c>
      <c r="W569" s="371" t="s">
        <v>2271</v>
      </c>
      <c r="X569" s="373">
        <v>9930</v>
      </c>
      <c r="Y569" s="373">
        <v>9930</v>
      </c>
      <c r="Z569" s="371" t="s">
        <v>2271</v>
      </c>
      <c r="AA569" s="373">
        <v>0</v>
      </c>
      <c r="AB569" s="373">
        <v>9900</v>
      </c>
      <c r="AC569" s="373">
        <v>9900</v>
      </c>
      <c r="AD569" s="371" t="s">
        <v>2271</v>
      </c>
      <c r="AE569" s="373">
        <v>0</v>
      </c>
      <c r="AF569" s="382">
        <v>0.390972222222222</v>
      </c>
      <c r="AG569" s="382">
        <v>0.390972222222222</v>
      </c>
      <c r="AH569" s="371" t="s">
        <v>2271</v>
      </c>
      <c r="AI569" s="382">
        <v>0.43958333333333299</v>
      </c>
      <c r="AJ569" s="382">
        <v>0.43958333333333299</v>
      </c>
      <c r="AK569" s="371" t="s">
        <v>2271</v>
      </c>
      <c r="AL569" s="206" t="s">
        <v>42</v>
      </c>
      <c r="AM569" s="206" t="s">
        <v>42</v>
      </c>
      <c r="AN569" s="371" t="s">
        <v>2271</v>
      </c>
      <c r="AO569" s="206" t="s">
        <v>2736</v>
      </c>
      <c r="AP569" s="206"/>
      <c r="AQ569" s="206" t="s">
        <v>1131</v>
      </c>
      <c r="AR569" s="207" t="s">
        <v>82</v>
      </c>
    </row>
    <row r="570" spans="1:44" x14ac:dyDescent="0.2">
      <c r="A570" s="370">
        <v>551</v>
      </c>
      <c r="B570" s="380">
        <v>341</v>
      </c>
      <c r="C570" s="371" t="s">
        <v>2269</v>
      </c>
      <c r="D570" s="371" t="s">
        <v>2270</v>
      </c>
      <c r="E570" s="206"/>
      <c r="F570" s="206" t="s">
        <v>73</v>
      </c>
      <c r="G570" s="206" t="s">
        <v>73</v>
      </c>
      <c r="H570" s="371" t="s">
        <v>2271</v>
      </c>
      <c r="I570" s="206" t="s">
        <v>1335</v>
      </c>
      <c r="J570" s="206" t="s">
        <v>1335</v>
      </c>
      <c r="K570" s="371" t="s">
        <v>2271</v>
      </c>
      <c r="L570" s="206" t="s">
        <v>2161</v>
      </c>
      <c r="M570" s="206" t="s">
        <v>1334</v>
      </c>
      <c r="N570" s="206" t="s">
        <v>40</v>
      </c>
      <c r="O570" s="372">
        <v>46006</v>
      </c>
      <c r="P570" s="372">
        <v>46006</v>
      </c>
      <c r="Q570" s="371" t="s">
        <v>2271</v>
      </c>
      <c r="R570" s="373">
        <v>13450</v>
      </c>
      <c r="S570" s="373">
        <v>13450</v>
      </c>
      <c r="T570" s="371" t="s">
        <v>2271</v>
      </c>
      <c r="U570" s="373">
        <v>4010</v>
      </c>
      <c r="V570" s="373">
        <v>4010</v>
      </c>
      <c r="W570" s="371" t="s">
        <v>2271</v>
      </c>
      <c r="X570" s="373">
        <v>9440</v>
      </c>
      <c r="Y570" s="373">
        <v>9440</v>
      </c>
      <c r="Z570" s="371" t="s">
        <v>2271</v>
      </c>
      <c r="AA570" s="373">
        <v>0</v>
      </c>
      <c r="AB570" s="373">
        <v>9420</v>
      </c>
      <c r="AC570" s="373">
        <v>9420</v>
      </c>
      <c r="AD570" s="371" t="s">
        <v>2271</v>
      </c>
      <c r="AE570" s="373">
        <v>0</v>
      </c>
      <c r="AF570" s="382">
        <v>0.405555555555556</v>
      </c>
      <c r="AG570" s="382">
        <v>0.405555555555556</v>
      </c>
      <c r="AH570" s="371" t="s">
        <v>2271</v>
      </c>
      <c r="AI570" s="382">
        <v>0.43541666666666701</v>
      </c>
      <c r="AJ570" s="382">
        <v>0.43541666666666701</v>
      </c>
      <c r="AK570" s="371" t="s">
        <v>2271</v>
      </c>
      <c r="AL570" s="206" t="s">
        <v>42</v>
      </c>
      <c r="AM570" s="206" t="s">
        <v>42</v>
      </c>
      <c r="AN570" s="371" t="s">
        <v>2271</v>
      </c>
      <c r="AO570" s="206" t="s">
        <v>2737</v>
      </c>
      <c r="AP570" s="206"/>
      <c r="AQ570" s="206" t="s">
        <v>1131</v>
      </c>
      <c r="AR570" s="207" t="s">
        <v>82</v>
      </c>
    </row>
    <row r="571" spans="1:44" x14ac:dyDescent="0.2">
      <c r="A571" s="370">
        <v>552</v>
      </c>
      <c r="B571" s="380">
        <v>342</v>
      </c>
      <c r="C571" s="371" t="s">
        <v>2275</v>
      </c>
      <c r="D571" s="371" t="s">
        <v>2235</v>
      </c>
      <c r="E571" s="206"/>
      <c r="F571" s="206" t="s">
        <v>76</v>
      </c>
      <c r="G571" s="206" t="s">
        <v>76</v>
      </c>
      <c r="H571" s="371" t="s">
        <v>2271</v>
      </c>
      <c r="I571" s="206"/>
      <c r="J571" s="206" t="s">
        <v>1452</v>
      </c>
      <c r="K571" s="371" t="s">
        <v>2276</v>
      </c>
      <c r="L571" s="206" t="s">
        <v>2156</v>
      </c>
      <c r="M571" s="206" t="s">
        <v>1336</v>
      </c>
      <c r="N571" s="206" t="s">
        <v>59</v>
      </c>
      <c r="O571" s="372">
        <v>46006</v>
      </c>
      <c r="P571" s="372">
        <v>46006</v>
      </c>
      <c r="Q571" s="371" t="s">
        <v>2271</v>
      </c>
      <c r="R571" s="373">
        <v>45880</v>
      </c>
      <c r="S571" s="373">
        <v>45880</v>
      </c>
      <c r="T571" s="371" t="s">
        <v>2271</v>
      </c>
      <c r="U571" s="373">
        <v>17890</v>
      </c>
      <c r="V571" s="373">
        <v>17890</v>
      </c>
      <c r="W571" s="371" t="s">
        <v>2271</v>
      </c>
      <c r="X571" s="373">
        <v>27990</v>
      </c>
      <c r="Y571" s="373">
        <v>27990</v>
      </c>
      <c r="Z571" s="371" t="s">
        <v>2271</v>
      </c>
      <c r="AA571" s="373">
        <v>0</v>
      </c>
      <c r="AB571" s="373">
        <v>28040</v>
      </c>
      <c r="AC571" s="373">
        <v>28040</v>
      </c>
      <c r="AD571" s="371" t="s">
        <v>2271</v>
      </c>
      <c r="AE571" s="373">
        <v>0</v>
      </c>
      <c r="AF571" s="382">
        <v>0.46319444444444402</v>
      </c>
      <c r="AG571" s="382">
        <v>0.46319444444444502</v>
      </c>
      <c r="AH571" s="371" t="s">
        <v>2276</v>
      </c>
      <c r="AI571" s="382">
        <v>0.51111111111111096</v>
      </c>
      <c r="AJ571" s="382">
        <v>0.51111111111111096</v>
      </c>
      <c r="AK571" s="371" t="s">
        <v>2271</v>
      </c>
      <c r="AL571" s="206" t="s">
        <v>137</v>
      </c>
      <c r="AM571" s="206" t="s">
        <v>137</v>
      </c>
      <c r="AN571" s="371" t="s">
        <v>2271</v>
      </c>
      <c r="AO571" s="206" t="s">
        <v>2738</v>
      </c>
      <c r="AP571" s="206" t="s">
        <v>1372</v>
      </c>
      <c r="AQ571" s="206" t="s">
        <v>1133</v>
      </c>
      <c r="AR571" s="207" t="s">
        <v>75</v>
      </c>
    </row>
    <row r="572" spans="1:44" x14ac:dyDescent="0.2">
      <c r="A572" s="370">
        <v>553</v>
      </c>
      <c r="B572" s="380">
        <v>343</v>
      </c>
      <c r="C572" s="371" t="s">
        <v>2275</v>
      </c>
      <c r="D572" s="371" t="s">
        <v>2235</v>
      </c>
      <c r="E572" s="206"/>
      <c r="F572" s="206" t="s">
        <v>70</v>
      </c>
      <c r="G572" s="206" t="s">
        <v>70</v>
      </c>
      <c r="H572" s="371" t="s">
        <v>2271</v>
      </c>
      <c r="I572" s="206"/>
      <c r="J572" s="206" t="s">
        <v>1452</v>
      </c>
      <c r="K572" s="371" t="s">
        <v>2276</v>
      </c>
      <c r="L572" s="206" t="s">
        <v>2156</v>
      </c>
      <c r="M572" s="206" t="s">
        <v>1336</v>
      </c>
      <c r="N572" s="206" t="s">
        <v>59</v>
      </c>
      <c r="O572" s="372">
        <v>46006</v>
      </c>
      <c r="P572" s="372">
        <v>46006</v>
      </c>
      <c r="Q572" s="371" t="s">
        <v>2271</v>
      </c>
      <c r="R572" s="373">
        <v>45780</v>
      </c>
      <c r="S572" s="373">
        <v>45780</v>
      </c>
      <c r="T572" s="371" t="s">
        <v>2271</v>
      </c>
      <c r="U572" s="373">
        <v>17660</v>
      </c>
      <c r="V572" s="373">
        <v>17660</v>
      </c>
      <c r="W572" s="371" t="s">
        <v>2271</v>
      </c>
      <c r="X572" s="373">
        <v>28120</v>
      </c>
      <c r="Y572" s="373">
        <v>28120</v>
      </c>
      <c r="Z572" s="371" t="s">
        <v>2271</v>
      </c>
      <c r="AA572" s="373">
        <v>0</v>
      </c>
      <c r="AB572" s="373">
        <v>28100</v>
      </c>
      <c r="AC572" s="373">
        <v>28100</v>
      </c>
      <c r="AD572" s="371" t="s">
        <v>2271</v>
      </c>
      <c r="AE572" s="373">
        <v>0</v>
      </c>
      <c r="AF572" s="382">
        <v>0.52152777777777803</v>
      </c>
      <c r="AG572" s="382">
        <v>0.52152777777777803</v>
      </c>
      <c r="AH572" s="371" t="s">
        <v>2271</v>
      </c>
      <c r="AI572" s="382">
        <v>0.62152777777777801</v>
      </c>
      <c r="AJ572" s="382">
        <v>0.62152777777777801</v>
      </c>
      <c r="AK572" s="371" t="s">
        <v>2271</v>
      </c>
      <c r="AL572" s="206" t="s">
        <v>137</v>
      </c>
      <c r="AM572" s="206" t="s">
        <v>137</v>
      </c>
      <c r="AN572" s="371" t="s">
        <v>2271</v>
      </c>
      <c r="AO572" s="206" t="s">
        <v>2739</v>
      </c>
      <c r="AP572" s="206" t="s">
        <v>1499</v>
      </c>
      <c r="AQ572" s="206" t="s">
        <v>1133</v>
      </c>
      <c r="AR572" s="207" t="s">
        <v>75</v>
      </c>
    </row>
    <row r="573" spans="1:44" x14ac:dyDescent="0.2">
      <c r="A573" s="370">
        <v>554</v>
      </c>
      <c r="B573" s="380">
        <v>344</v>
      </c>
      <c r="C573" s="371" t="s">
        <v>2275</v>
      </c>
      <c r="D573" s="371" t="s">
        <v>2235</v>
      </c>
      <c r="E573" s="206"/>
      <c r="F573" s="206" t="s">
        <v>84</v>
      </c>
      <c r="G573" s="206" t="s">
        <v>84</v>
      </c>
      <c r="H573" s="371" t="s">
        <v>2271</v>
      </c>
      <c r="I573" s="206" t="s">
        <v>2162</v>
      </c>
      <c r="J573" s="206" t="s">
        <v>1433</v>
      </c>
      <c r="K573" s="371" t="s">
        <v>2276</v>
      </c>
      <c r="L573" s="206" t="s">
        <v>2157</v>
      </c>
      <c r="M573" s="206" t="s">
        <v>1337</v>
      </c>
      <c r="N573" s="206" t="s">
        <v>49</v>
      </c>
      <c r="O573" s="372">
        <v>46006</v>
      </c>
      <c r="P573" s="372">
        <v>46006</v>
      </c>
      <c r="Q573" s="371" t="s">
        <v>2271</v>
      </c>
      <c r="R573" s="373">
        <v>26610</v>
      </c>
      <c r="S573" s="373">
        <v>26610</v>
      </c>
      <c r="T573" s="371" t="s">
        <v>2271</v>
      </c>
      <c r="U573" s="373">
        <v>12150</v>
      </c>
      <c r="V573" s="373">
        <v>12150</v>
      </c>
      <c r="W573" s="371" t="s">
        <v>2271</v>
      </c>
      <c r="X573" s="373">
        <v>14460</v>
      </c>
      <c r="Y573" s="373">
        <v>14460</v>
      </c>
      <c r="Z573" s="371" t="s">
        <v>2271</v>
      </c>
      <c r="AA573" s="373">
        <v>0</v>
      </c>
      <c r="AB573" s="373">
        <v>14400</v>
      </c>
      <c r="AC573" s="373">
        <v>14400</v>
      </c>
      <c r="AD573" s="371" t="s">
        <v>2271</v>
      </c>
      <c r="AE573" s="373">
        <v>0</v>
      </c>
      <c r="AF573" s="382">
        <v>0.70416666666666705</v>
      </c>
      <c r="AG573" s="382">
        <v>0.70416666666666705</v>
      </c>
      <c r="AH573" s="371" t="s">
        <v>2271</v>
      </c>
      <c r="AI573" s="382">
        <v>0.73819444444444404</v>
      </c>
      <c r="AJ573" s="382">
        <v>0.73819444444444504</v>
      </c>
      <c r="AK573" s="371" t="s">
        <v>2276</v>
      </c>
      <c r="AL573" s="206" t="s">
        <v>137</v>
      </c>
      <c r="AM573" s="206" t="s">
        <v>137</v>
      </c>
      <c r="AN573" s="371" t="s">
        <v>2271</v>
      </c>
      <c r="AO573" s="206" t="s">
        <v>2740</v>
      </c>
      <c r="AP573" s="206" t="s">
        <v>1782</v>
      </c>
      <c r="AQ573" s="206" t="s">
        <v>1132</v>
      </c>
      <c r="AR573" s="207" t="s">
        <v>68</v>
      </c>
    </row>
    <row r="574" spans="1:44" x14ac:dyDescent="0.2">
      <c r="A574" s="370">
        <v>555</v>
      </c>
      <c r="B574" s="380">
        <v>345</v>
      </c>
      <c r="C574" s="371" t="s">
        <v>2275</v>
      </c>
      <c r="D574" s="371" t="s">
        <v>2235</v>
      </c>
      <c r="E574" s="206"/>
      <c r="F574" s="206" t="s">
        <v>56</v>
      </c>
      <c r="G574" s="206" t="s">
        <v>56</v>
      </c>
      <c r="H574" s="371" t="s">
        <v>2271</v>
      </c>
      <c r="I574" s="206" t="s">
        <v>2162</v>
      </c>
      <c r="J574" s="206" t="s">
        <v>1433</v>
      </c>
      <c r="K574" s="371" t="s">
        <v>2276</v>
      </c>
      <c r="L574" s="206" t="s">
        <v>2157</v>
      </c>
      <c r="M574" s="206" t="s">
        <v>1337</v>
      </c>
      <c r="N574" s="206" t="s">
        <v>49</v>
      </c>
      <c r="O574" s="372">
        <v>46006</v>
      </c>
      <c r="P574" s="372">
        <v>46006</v>
      </c>
      <c r="Q574" s="371" t="s">
        <v>2271</v>
      </c>
      <c r="R574" s="373">
        <v>24970</v>
      </c>
      <c r="S574" s="373">
        <v>24970</v>
      </c>
      <c r="T574" s="371" t="s">
        <v>2271</v>
      </c>
      <c r="U574" s="373">
        <v>10730</v>
      </c>
      <c r="V574" s="373">
        <v>10730</v>
      </c>
      <c r="W574" s="371" t="s">
        <v>2271</v>
      </c>
      <c r="X574" s="373">
        <v>14240</v>
      </c>
      <c r="Y574" s="373">
        <v>14240</v>
      </c>
      <c r="Z574" s="371" t="s">
        <v>2271</v>
      </c>
      <c r="AA574" s="373">
        <v>0</v>
      </c>
      <c r="AB574" s="373">
        <v>14190</v>
      </c>
      <c r="AC574" s="373">
        <v>14190</v>
      </c>
      <c r="AD574" s="371" t="s">
        <v>2271</v>
      </c>
      <c r="AE574" s="373">
        <v>0</v>
      </c>
      <c r="AF574" s="382">
        <v>0.74097222222222203</v>
      </c>
      <c r="AG574" s="382">
        <v>0.74097222222222203</v>
      </c>
      <c r="AH574" s="371" t="s">
        <v>2271</v>
      </c>
      <c r="AI574" s="382">
        <v>0.80625000000000002</v>
      </c>
      <c r="AJ574" s="382">
        <v>0.80625000000000002</v>
      </c>
      <c r="AK574" s="371" t="s">
        <v>2271</v>
      </c>
      <c r="AL574" s="206" t="s">
        <v>137</v>
      </c>
      <c r="AM574" s="206" t="s">
        <v>137</v>
      </c>
      <c r="AN574" s="371" t="s">
        <v>2271</v>
      </c>
      <c r="AO574" s="206" t="s">
        <v>2741</v>
      </c>
      <c r="AP574" s="206" t="s">
        <v>1781</v>
      </c>
      <c r="AQ574" s="206" t="s">
        <v>1132</v>
      </c>
      <c r="AR574" s="207" t="s">
        <v>68</v>
      </c>
    </row>
    <row r="575" spans="1:44" x14ac:dyDescent="0.2">
      <c r="A575" s="370">
        <v>556</v>
      </c>
      <c r="B575" s="380">
        <v>346</v>
      </c>
      <c r="C575" s="371" t="s">
        <v>2269</v>
      </c>
      <c r="D575" s="371" t="s">
        <v>2270</v>
      </c>
      <c r="E575" s="206"/>
      <c r="F575" s="206" t="s">
        <v>163</v>
      </c>
      <c r="G575" s="206" t="s">
        <v>163</v>
      </c>
      <c r="H575" s="371" t="s">
        <v>2271</v>
      </c>
      <c r="I575" s="206" t="s">
        <v>1335</v>
      </c>
      <c r="J575" s="206" t="s">
        <v>1335</v>
      </c>
      <c r="K575" s="371" t="s">
        <v>2271</v>
      </c>
      <c r="L575" s="206" t="s">
        <v>2161</v>
      </c>
      <c r="M575" s="206" t="s">
        <v>1334</v>
      </c>
      <c r="N575" s="206" t="s">
        <v>40</v>
      </c>
      <c r="O575" s="372">
        <v>46006</v>
      </c>
      <c r="P575" s="372">
        <v>46006</v>
      </c>
      <c r="Q575" s="371" t="s">
        <v>2271</v>
      </c>
      <c r="R575" s="373">
        <v>14040</v>
      </c>
      <c r="S575" s="373">
        <v>14040</v>
      </c>
      <c r="T575" s="371" t="s">
        <v>2271</v>
      </c>
      <c r="U575" s="373">
        <v>3910</v>
      </c>
      <c r="V575" s="373">
        <v>3910</v>
      </c>
      <c r="W575" s="371" t="s">
        <v>2271</v>
      </c>
      <c r="X575" s="373">
        <v>10130</v>
      </c>
      <c r="Y575" s="373">
        <v>10130</v>
      </c>
      <c r="Z575" s="371" t="s">
        <v>2271</v>
      </c>
      <c r="AA575" s="373">
        <v>0</v>
      </c>
      <c r="AB575" s="373">
        <v>10130</v>
      </c>
      <c r="AC575" s="373">
        <v>10130</v>
      </c>
      <c r="AD575" s="371" t="s">
        <v>2271</v>
      </c>
      <c r="AE575" s="373">
        <v>0</v>
      </c>
      <c r="AF575" s="382">
        <v>0.88819444444444395</v>
      </c>
      <c r="AG575" s="382">
        <v>0.88819444444444395</v>
      </c>
      <c r="AH575" s="371" t="s">
        <v>2271</v>
      </c>
      <c r="AI575" s="382">
        <v>0.91249999999999998</v>
      </c>
      <c r="AJ575" s="382">
        <v>0.91249999999999998</v>
      </c>
      <c r="AK575" s="371" t="s">
        <v>2271</v>
      </c>
      <c r="AL575" s="206" t="s">
        <v>42</v>
      </c>
      <c r="AM575" s="206" t="s">
        <v>42</v>
      </c>
      <c r="AN575" s="371" t="s">
        <v>2271</v>
      </c>
      <c r="AO575" s="206" t="s">
        <v>2742</v>
      </c>
      <c r="AP575" s="206"/>
      <c r="AQ575" s="206" t="s">
        <v>1131</v>
      </c>
      <c r="AR575" s="207" t="s">
        <v>82</v>
      </c>
    </row>
    <row r="576" spans="1:44" x14ac:dyDescent="0.2">
      <c r="A576" s="370">
        <v>557</v>
      </c>
      <c r="B576" s="380">
        <v>347</v>
      </c>
      <c r="C576" s="371" t="s">
        <v>2269</v>
      </c>
      <c r="D576" s="371" t="s">
        <v>2270</v>
      </c>
      <c r="E576" s="206"/>
      <c r="F576" s="206" t="s">
        <v>166</v>
      </c>
      <c r="G576" s="206" t="s">
        <v>166</v>
      </c>
      <c r="H576" s="371" t="s">
        <v>2271</v>
      </c>
      <c r="I576" s="206" t="s">
        <v>1335</v>
      </c>
      <c r="J576" s="206" t="s">
        <v>1335</v>
      </c>
      <c r="K576" s="371" t="s">
        <v>2271</v>
      </c>
      <c r="L576" s="206" t="s">
        <v>2161</v>
      </c>
      <c r="M576" s="206" t="s">
        <v>1334</v>
      </c>
      <c r="N576" s="206" t="s">
        <v>40</v>
      </c>
      <c r="O576" s="372">
        <v>46007</v>
      </c>
      <c r="P576" s="372">
        <v>46007</v>
      </c>
      <c r="Q576" s="371" t="s">
        <v>2271</v>
      </c>
      <c r="R576" s="373">
        <v>13190</v>
      </c>
      <c r="S576" s="373">
        <v>13190</v>
      </c>
      <c r="T576" s="371" t="s">
        <v>2271</v>
      </c>
      <c r="U576" s="373">
        <v>3800</v>
      </c>
      <c r="V576" s="373">
        <v>3800</v>
      </c>
      <c r="W576" s="371" t="s">
        <v>2271</v>
      </c>
      <c r="X576" s="373">
        <v>9390</v>
      </c>
      <c r="Y576" s="373">
        <v>9390</v>
      </c>
      <c r="Z576" s="371" t="s">
        <v>2271</v>
      </c>
      <c r="AA576" s="373">
        <v>0</v>
      </c>
      <c r="AB576" s="373">
        <v>9380</v>
      </c>
      <c r="AC576" s="373">
        <v>9380</v>
      </c>
      <c r="AD576" s="371" t="s">
        <v>2271</v>
      </c>
      <c r="AE576" s="373">
        <v>0</v>
      </c>
      <c r="AF576" s="382">
        <v>0.34166666666666701</v>
      </c>
      <c r="AG576" s="382">
        <v>0.34166666666666701</v>
      </c>
      <c r="AH576" s="371" t="s">
        <v>2271</v>
      </c>
      <c r="AI576" s="382">
        <v>0.37847222222222199</v>
      </c>
      <c r="AJ576" s="382">
        <v>0.37847222222222199</v>
      </c>
      <c r="AK576" s="371" t="s">
        <v>2271</v>
      </c>
      <c r="AL576" s="206" t="s">
        <v>137</v>
      </c>
      <c r="AM576" s="206" t="s">
        <v>137</v>
      </c>
      <c r="AN576" s="371" t="s">
        <v>2271</v>
      </c>
      <c r="AO576" s="206" t="s">
        <v>2743</v>
      </c>
      <c r="AP576" s="206"/>
      <c r="AQ576" s="206" t="s">
        <v>1131</v>
      </c>
      <c r="AR576" s="207" t="s">
        <v>82</v>
      </c>
    </row>
    <row r="577" spans="1:44" x14ac:dyDescent="0.2">
      <c r="A577" s="370">
        <v>558</v>
      </c>
      <c r="B577" s="380">
        <v>348</v>
      </c>
      <c r="C577" s="371" t="s">
        <v>2269</v>
      </c>
      <c r="D577" s="371" t="s">
        <v>2270</v>
      </c>
      <c r="E577" s="206"/>
      <c r="F577" s="206" t="s">
        <v>181</v>
      </c>
      <c r="G577" s="206" t="s">
        <v>181</v>
      </c>
      <c r="H577" s="371" t="s">
        <v>2271</v>
      </c>
      <c r="I577" s="206" t="s">
        <v>1335</v>
      </c>
      <c r="J577" s="206" t="s">
        <v>1335</v>
      </c>
      <c r="K577" s="371" t="s">
        <v>2271</v>
      </c>
      <c r="L577" s="206" t="s">
        <v>2161</v>
      </c>
      <c r="M577" s="206" t="s">
        <v>1334</v>
      </c>
      <c r="N577" s="206" t="s">
        <v>40</v>
      </c>
      <c r="O577" s="372">
        <v>46007</v>
      </c>
      <c r="P577" s="372">
        <v>46007</v>
      </c>
      <c r="Q577" s="371" t="s">
        <v>2271</v>
      </c>
      <c r="R577" s="373">
        <v>13610</v>
      </c>
      <c r="S577" s="373">
        <v>13610</v>
      </c>
      <c r="T577" s="371" t="s">
        <v>2271</v>
      </c>
      <c r="U577" s="373">
        <v>3960</v>
      </c>
      <c r="V577" s="373">
        <v>3960</v>
      </c>
      <c r="W577" s="371" t="s">
        <v>2271</v>
      </c>
      <c r="X577" s="373">
        <v>9650</v>
      </c>
      <c r="Y577" s="373">
        <v>9650</v>
      </c>
      <c r="Z577" s="371" t="s">
        <v>2271</v>
      </c>
      <c r="AA577" s="373">
        <v>0</v>
      </c>
      <c r="AB577" s="373">
        <v>9610</v>
      </c>
      <c r="AC577" s="373">
        <v>9610</v>
      </c>
      <c r="AD577" s="371" t="s">
        <v>2271</v>
      </c>
      <c r="AE577" s="373">
        <v>0</v>
      </c>
      <c r="AF577" s="382">
        <v>0.34375</v>
      </c>
      <c r="AG577" s="382">
        <v>0.34375</v>
      </c>
      <c r="AH577" s="371" t="s">
        <v>2271</v>
      </c>
      <c r="AI577" s="382">
        <v>0.38402777777777802</v>
      </c>
      <c r="AJ577" s="382">
        <v>0.38402777777777802</v>
      </c>
      <c r="AK577" s="371" t="s">
        <v>2271</v>
      </c>
      <c r="AL577" s="206" t="s">
        <v>137</v>
      </c>
      <c r="AM577" s="206" t="s">
        <v>137</v>
      </c>
      <c r="AN577" s="371" t="s">
        <v>2271</v>
      </c>
      <c r="AO577" s="206" t="s">
        <v>2744</v>
      </c>
      <c r="AP577" s="206"/>
      <c r="AQ577" s="206" t="s">
        <v>1131</v>
      </c>
      <c r="AR577" s="207" t="s">
        <v>82</v>
      </c>
    </row>
    <row r="578" spans="1:44" x14ac:dyDescent="0.2">
      <c r="A578" s="370">
        <v>559</v>
      </c>
      <c r="B578" s="380">
        <v>349</v>
      </c>
      <c r="C578" s="371" t="s">
        <v>2269</v>
      </c>
      <c r="D578" s="371" t="s">
        <v>2270</v>
      </c>
      <c r="E578" s="206"/>
      <c r="F578" s="206" t="s">
        <v>169</v>
      </c>
      <c r="G578" s="206" t="s">
        <v>169</v>
      </c>
      <c r="H578" s="371" t="s">
        <v>2271</v>
      </c>
      <c r="I578" s="206" t="s">
        <v>1335</v>
      </c>
      <c r="J578" s="206" t="s">
        <v>1335</v>
      </c>
      <c r="K578" s="371" t="s">
        <v>2271</v>
      </c>
      <c r="L578" s="206" t="s">
        <v>2161</v>
      </c>
      <c r="M578" s="206" t="s">
        <v>1334</v>
      </c>
      <c r="N578" s="206" t="s">
        <v>40</v>
      </c>
      <c r="O578" s="372">
        <v>46007</v>
      </c>
      <c r="P578" s="372">
        <v>46007</v>
      </c>
      <c r="Q578" s="371" t="s">
        <v>2271</v>
      </c>
      <c r="R578" s="373">
        <v>13460</v>
      </c>
      <c r="S578" s="373">
        <v>13460</v>
      </c>
      <c r="T578" s="371" t="s">
        <v>2271</v>
      </c>
      <c r="U578" s="373">
        <v>3960</v>
      </c>
      <c r="V578" s="373">
        <v>3960</v>
      </c>
      <c r="W578" s="371" t="s">
        <v>2271</v>
      </c>
      <c r="X578" s="373">
        <v>9500</v>
      </c>
      <c r="Y578" s="373">
        <v>9500</v>
      </c>
      <c r="Z578" s="371" t="s">
        <v>2271</v>
      </c>
      <c r="AA578" s="373">
        <v>0</v>
      </c>
      <c r="AB578" s="373">
        <v>9470</v>
      </c>
      <c r="AC578" s="373">
        <v>9470</v>
      </c>
      <c r="AD578" s="371" t="s">
        <v>2271</v>
      </c>
      <c r="AE578" s="373">
        <v>0</v>
      </c>
      <c r="AF578" s="382">
        <v>0.34583333333333299</v>
      </c>
      <c r="AG578" s="382">
        <v>0.34583333333333299</v>
      </c>
      <c r="AH578" s="371" t="s">
        <v>2271</v>
      </c>
      <c r="AI578" s="382">
        <v>0.38611111111111102</v>
      </c>
      <c r="AJ578" s="382">
        <v>0.38611111111111102</v>
      </c>
      <c r="AK578" s="371" t="s">
        <v>2271</v>
      </c>
      <c r="AL578" s="206" t="s">
        <v>137</v>
      </c>
      <c r="AM578" s="206" t="s">
        <v>137</v>
      </c>
      <c r="AN578" s="371" t="s">
        <v>2271</v>
      </c>
      <c r="AO578" s="206" t="s">
        <v>2745</v>
      </c>
      <c r="AP578" s="206"/>
      <c r="AQ578" s="206" t="s">
        <v>1131</v>
      </c>
      <c r="AR578" s="207" t="s">
        <v>82</v>
      </c>
    </row>
    <row r="579" spans="1:44" x14ac:dyDescent="0.2">
      <c r="A579" s="370">
        <v>560</v>
      </c>
      <c r="B579" s="380">
        <v>350</v>
      </c>
      <c r="C579" s="371" t="s">
        <v>2269</v>
      </c>
      <c r="D579" s="371" t="s">
        <v>2270</v>
      </c>
      <c r="E579" s="206"/>
      <c r="F579" s="206" t="s">
        <v>56</v>
      </c>
      <c r="G579" s="206" t="s">
        <v>56</v>
      </c>
      <c r="H579" s="371" t="s">
        <v>2271</v>
      </c>
      <c r="I579" s="206" t="s">
        <v>1340</v>
      </c>
      <c r="J579" s="206" t="s">
        <v>1340</v>
      </c>
      <c r="K579" s="371" t="s">
        <v>2271</v>
      </c>
      <c r="L579" s="206" t="s">
        <v>2154</v>
      </c>
      <c r="M579" s="206" t="s">
        <v>1347</v>
      </c>
      <c r="N579" s="206" t="s">
        <v>78</v>
      </c>
      <c r="O579" s="372">
        <v>46007</v>
      </c>
      <c r="P579" s="372">
        <v>46007</v>
      </c>
      <c r="Q579" s="371" t="s">
        <v>2271</v>
      </c>
      <c r="R579" s="373">
        <v>25070</v>
      </c>
      <c r="S579" s="373">
        <v>25070</v>
      </c>
      <c r="T579" s="371" t="s">
        <v>2271</v>
      </c>
      <c r="U579" s="373">
        <v>10890</v>
      </c>
      <c r="V579" s="373">
        <v>10890</v>
      </c>
      <c r="W579" s="371" t="s">
        <v>2271</v>
      </c>
      <c r="X579" s="373">
        <v>14180</v>
      </c>
      <c r="Y579" s="373">
        <v>14180</v>
      </c>
      <c r="Z579" s="371" t="s">
        <v>2271</v>
      </c>
      <c r="AA579" s="373">
        <v>0</v>
      </c>
      <c r="AB579" s="373">
        <v>14230</v>
      </c>
      <c r="AC579" s="373">
        <v>14230</v>
      </c>
      <c r="AD579" s="371" t="s">
        <v>2271</v>
      </c>
      <c r="AE579" s="373">
        <v>0</v>
      </c>
      <c r="AF579" s="382">
        <v>0.55555555555555602</v>
      </c>
      <c r="AG579" s="382">
        <v>0.55555555555555602</v>
      </c>
      <c r="AH579" s="371" t="s">
        <v>2271</v>
      </c>
      <c r="AI579" s="382">
        <v>0.624305555555556</v>
      </c>
      <c r="AJ579" s="382">
        <v>0.624305555555556</v>
      </c>
      <c r="AK579" s="371" t="s">
        <v>2271</v>
      </c>
      <c r="AL579" s="206" t="s">
        <v>137</v>
      </c>
      <c r="AM579" s="206" t="s">
        <v>137</v>
      </c>
      <c r="AN579" s="371" t="s">
        <v>2271</v>
      </c>
      <c r="AO579" s="206" t="s">
        <v>2746</v>
      </c>
      <c r="AP579" s="206" t="s">
        <v>1781</v>
      </c>
      <c r="AQ579" s="206" t="s">
        <v>1132</v>
      </c>
      <c r="AR579" s="207" t="s">
        <v>88</v>
      </c>
    </row>
    <row r="580" spans="1:44" x14ac:dyDescent="0.2">
      <c r="A580" s="370">
        <v>561</v>
      </c>
      <c r="B580" s="380">
        <v>351</v>
      </c>
      <c r="C580" s="371" t="s">
        <v>2269</v>
      </c>
      <c r="D580" s="371" t="s">
        <v>2270</v>
      </c>
      <c r="E580" s="206"/>
      <c r="F580" s="206" t="s">
        <v>76</v>
      </c>
      <c r="G580" s="206" t="s">
        <v>76</v>
      </c>
      <c r="H580" s="371" t="s">
        <v>2271</v>
      </c>
      <c r="I580" s="206" t="s">
        <v>1340</v>
      </c>
      <c r="J580" s="206" t="s">
        <v>1340</v>
      </c>
      <c r="K580" s="371" t="s">
        <v>2271</v>
      </c>
      <c r="L580" s="206" t="s">
        <v>2154</v>
      </c>
      <c r="M580" s="206" t="s">
        <v>1347</v>
      </c>
      <c r="N580" s="206" t="s">
        <v>78</v>
      </c>
      <c r="O580" s="372">
        <v>46007</v>
      </c>
      <c r="P580" s="372">
        <v>46007</v>
      </c>
      <c r="Q580" s="371" t="s">
        <v>2271</v>
      </c>
      <c r="R580" s="373">
        <v>45740</v>
      </c>
      <c r="S580" s="373">
        <v>45740</v>
      </c>
      <c r="T580" s="371" t="s">
        <v>2271</v>
      </c>
      <c r="U580" s="373">
        <v>17780</v>
      </c>
      <c r="V580" s="373">
        <v>17780</v>
      </c>
      <c r="W580" s="371" t="s">
        <v>2271</v>
      </c>
      <c r="X580" s="373">
        <v>27960</v>
      </c>
      <c r="Y580" s="373">
        <v>27960</v>
      </c>
      <c r="Z580" s="371" t="s">
        <v>2271</v>
      </c>
      <c r="AA580" s="373">
        <v>0</v>
      </c>
      <c r="AB580" s="373">
        <v>28000</v>
      </c>
      <c r="AC580" s="373">
        <v>28000</v>
      </c>
      <c r="AD580" s="371" t="s">
        <v>2271</v>
      </c>
      <c r="AE580" s="373">
        <v>0</v>
      </c>
      <c r="AF580" s="382">
        <v>0.55972222222222201</v>
      </c>
      <c r="AG580" s="382">
        <v>0.55972222222222201</v>
      </c>
      <c r="AH580" s="371" t="s">
        <v>2271</v>
      </c>
      <c r="AI580" s="382">
        <v>0.62916666666666698</v>
      </c>
      <c r="AJ580" s="382">
        <v>0.62916666666666698</v>
      </c>
      <c r="AK580" s="371" t="s">
        <v>2271</v>
      </c>
      <c r="AL580" s="206" t="s">
        <v>137</v>
      </c>
      <c r="AM580" s="206" t="s">
        <v>137</v>
      </c>
      <c r="AN580" s="371" t="s">
        <v>2271</v>
      </c>
      <c r="AO580" s="206" t="s">
        <v>2747</v>
      </c>
      <c r="AP580" s="206" t="s">
        <v>1372</v>
      </c>
      <c r="AQ580" s="206" t="s">
        <v>1133</v>
      </c>
      <c r="AR580" s="207" t="s">
        <v>88</v>
      </c>
    </row>
    <row r="581" spans="1:44" x14ac:dyDescent="0.2">
      <c r="A581" s="370">
        <v>562</v>
      </c>
      <c r="B581" s="380">
        <v>352</v>
      </c>
      <c r="C581" s="371" t="s">
        <v>2269</v>
      </c>
      <c r="D581" s="371" t="s">
        <v>2270</v>
      </c>
      <c r="E581" s="206"/>
      <c r="F581" s="206" t="s">
        <v>84</v>
      </c>
      <c r="G581" s="206" t="s">
        <v>84</v>
      </c>
      <c r="H581" s="371" t="s">
        <v>2271</v>
      </c>
      <c r="I581" s="206" t="s">
        <v>1340</v>
      </c>
      <c r="J581" s="206" t="s">
        <v>1340</v>
      </c>
      <c r="K581" s="371" t="s">
        <v>2271</v>
      </c>
      <c r="L581" s="206" t="s">
        <v>2154</v>
      </c>
      <c r="M581" s="206" t="s">
        <v>1347</v>
      </c>
      <c r="N581" s="206" t="s">
        <v>78</v>
      </c>
      <c r="O581" s="372">
        <v>46007</v>
      </c>
      <c r="P581" s="372">
        <v>46007</v>
      </c>
      <c r="Q581" s="371" t="s">
        <v>2271</v>
      </c>
      <c r="R581" s="373">
        <v>26550</v>
      </c>
      <c r="S581" s="373">
        <v>26550</v>
      </c>
      <c r="T581" s="371" t="s">
        <v>2271</v>
      </c>
      <c r="U581" s="373">
        <v>12150</v>
      </c>
      <c r="V581" s="373">
        <v>12150</v>
      </c>
      <c r="W581" s="371" t="s">
        <v>2271</v>
      </c>
      <c r="X581" s="373">
        <v>14400</v>
      </c>
      <c r="Y581" s="373">
        <v>14400</v>
      </c>
      <c r="Z581" s="371" t="s">
        <v>2271</v>
      </c>
      <c r="AA581" s="373">
        <v>0</v>
      </c>
      <c r="AB581" s="373">
        <v>14480</v>
      </c>
      <c r="AC581" s="373">
        <v>14480</v>
      </c>
      <c r="AD581" s="371" t="s">
        <v>2271</v>
      </c>
      <c r="AE581" s="373">
        <v>0</v>
      </c>
      <c r="AF581" s="382">
        <v>0.60069444444444398</v>
      </c>
      <c r="AG581" s="382">
        <v>0.60069444444444398</v>
      </c>
      <c r="AH581" s="371" t="s">
        <v>2271</v>
      </c>
      <c r="AI581" s="382">
        <v>0.67361111111111105</v>
      </c>
      <c r="AJ581" s="382">
        <v>0.67361111111111105</v>
      </c>
      <c r="AK581" s="371" t="s">
        <v>2271</v>
      </c>
      <c r="AL581" s="206" t="s">
        <v>137</v>
      </c>
      <c r="AM581" s="206" t="s">
        <v>137</v>
      </c>
      <c r="AN581" s="371" t="s">
        <v>2271</v>
      </c>
      <c r="AO581" s="206" t="s">
        <v>2748</v>
      </c>
      <c r="AP581" s="206" t="s">
        <v>1782</v>
      </c>
      <c r="AQ581" s="206" t="s">
        <v>1132</v>
      </c>
      <c r="AR581" s="207" t="s">
        <v>88</v>
      </c>
    </row>
    <row r="582" spans="1:44" x14ac:dyDescent="0.2">
      <c r="A582" s="370">
        <v>563</v>
      </c>
      <c r="B582" s="380">
        <v>353</v>
      </c>
      <c r="C582" s="371" t="s">
        <v>2269</v>
      </c>
      <c r="D582" s="371" t="s">
        <v>2270</v>
      </c>
      <c r="E582" s="206"/>
      <c r="F582" s="206" t="s">
        <v>46</v>
      </c>
      <c r="G582" s="206" t="s">
        <v>46</v>
      </c>
      <c r="H582" s="371" t="s">
        <v>2271</v>
      </c>
      <c r="I582" s="206" t="s">
        <v>1340</v>
      </c>
      <c r="J582" s="206" t="s">
        <v>1340</v>
      </c>
      <c r="K582" s="371" t="s">
        <v>2271</v>
      </c>
      <c r="L582" s="206" t="s">
        <v>2154</v>
      </c>
      <c r="M582" s="206" t="s">
        <v>1347</v>
      </c>
      <c r="N582" s="206" t="s">
        <v>78</v>
      </c>
      <c r="O582" s="372">
        <v>46007</v>
      </c>
      <c r="P582" s="372">
        <v>46007</v>
      </c>
      <c r="Q582" s="371" t="s">
        <v>2271</v>
      </c>
      <c r="R582" s="373">
        <v>26630</v>
      </c>
      <c r="S582" s="373">
        <v>26630</v>
      </c>
      <c r="T582" s="371" t="s">
        <v>2271</v>
      </c>
      <c r="U582" s="373">
        <v>11870</v>
      </c>
      <c r="V582" s="373">
        <v>11870</v>
      </c>
      <c r="W582" s="371" t="s">
        <v>2271</v>
      </c>
      <c r="X582" s="373">
        <v>14760</v>
      </c>
      <c r="Y582" s="373">
        <v>14760</v>
      </c>
      <c r="Z582" s="371" t="s">
        <v>2271</v>
      </c>
      <c r="AA582" s="373">
        <v>0</v>
      </c>
      <c r="AB582" s="373">
        <v>14780</v>
      </c>
      <c r="AC582" s="373">
        <v>14780</v>
      </c>
      <c r="AD582" s="371" t="s">
        <v>2271</v>
      </c>
      <c r="AE582" s="373">
        <v>0</v>
      </c>
      <c r="AF582" s="382">
        <v>0.60416666666666696</v>
      </c>
      <c r="AG582" s="382">
        <v>0.60416666666666696</v>
      </c>
      <c r="AH582" s="371" t="s">
        <v>2271</v>
      </c>
      <c r="AI582" s="382">
        <v>0.66458333333333297</v>
      </c>
      <c r="AJ582" s="382">
        <v>0.66458333333333297</v>
      </c>
      <c r="AK582" s="371" t="s">
        <v>2271</v>
      </c>
      <c r="AL582" s="206" t="s">
        <v>137</v>
      </c>
      <c r="AM582" s="206" t="s">
        <v>137</v>
      </c>
      <c r="AN582" s="371" t="s">
        <v>2271</v>
      </c>
      <c r="AO582" s="206" t="s">
        <v>2749</v>
      </c>
      <c r="AP582" s="206" t="s">
        <v>1393</v>
      </c>
      <c r="AQ582" s="206" t="s">
        <v>1132</v>
      </c>
      <c r="AR582" s="207" t="s">
        <v>88</v>
      </c>
    </row>
    <row r="583" spans="1:44" x14ac:dyDescent="0.2">
      <c r="A583" s="370">
        <v>564</v>
      </c>
      <c r="B583" s="380">
        <v>354</v>
      </c>
      <c r="C583" s="371" t="s">
        <v>2269</v>
      </c>
      <c r="D583" s="371" t="s">
        <v>2270</v>
      </c>
      <c r="E583" s="206"/>
      <c r="F583" s="206" t="s">
        <v>70</v>
      </c>
      <c r="G583" s="206" t="s">
        <v>70</v>
      </c>
      <c r="H583" s="371" t="s">
        <v>2271</v>
      </c>
      <c r="I583" s="206" t="s">
        <v>1340</v>
      </c>
      <c r="J583" s="206" t="s">
        <v>1340</v>
      </c>
      <c r="K583" s="371" t="s">
        <v>2271</v>
      </c>
      <c r="L583" s="206" t="s">
        <v>2154</v>
      </c>
      <c r="M583" s="206" t="s">
        <v>1347</v>
      </c>
      <c r="N583" s="206" t="s">
        <v>78</v>
      </c>
      <c r="O583" s="372">
        <v>46007</v>
      </c>
      <c r="P583" s="372">
        <v>46007</v>
      </c>
      <c r="Q583" s="371" t="s">
        <v>2271</v>
      </c>
      <c r="R583" s="373">
        <v>45720</v>
      </c>
      <c r="S583" s="373">
        <v>45720</v>
      </c>
      <c r="T583" s="371" t="s">
        <v>2271</v>
      </c>
      <c r="U583" s="373">
        <v>17660</v>
      </c>
      <c r="V583" s="373">
        <v>17660</v>
      </c>
      <c r="W583" s="371" t="s">
        <v>2271</v>
      </c>
      <c r="X583" s="373">
        <v>28060</v>
      </c>
      <c r="Y583" s="373">
        <v>28060</v>
      </c>
      <c r="Z583" s="371" t="s">
        <v>2271</v>
      </c>
      <c r="AA583" s="373">
        <v>0</v>
      </c>
      <c r="AB583" s="373">
        <v>28210</v>
      </c>
      <c r="AC583" s="373">
        <v>28210</v>
      </c>
      <c r="AD583" s="371" t="s">
        <v>2271</v>
      </c>
      <c r="AE583" s="373">
        <v>0</v>
      </c>
      <c r="AF583" s="382">
        <v>0.60694444444444395</v>
      </c>
      <c r="AG583" s="382">
        <v>0.60694444444444395</v>
      </c>
      <c r="AH583" s="371" t="s">
        <v>2271</v>
      </c>
      <c r="AI583" s="382">
        <v>0.65277777777777801</v>
      </c>
      <c r="AJ583" s="382">
        <v>0.65277777777777801</v>
      </c>
      <c r="AK583" s="371" t="s">
        <v>2271</v>
      </c>
      <c r="AL583" s="206" t="s">
        <v>137</v>
      </c>
      <c r="AM583" s="206" t="s">
        <v>137</v>
      </c>
      <c r="AN583" s="371" t="s">
        <v>2271</v>
      </c>
      <c r="AO583" s="206" t="s">
        <v>2750</v>
      </c>
      <c r="AP583" s="206" t="s">
        <v>1499</v>
      </c>
      <c r="AQ583" s="206" t="s">
        <v>1133</v>
      </c>
      <c r="AR583" s="207" t="s">
        <v>88</v>
      </c>
    </row>
    <row r="584" spans="1:44" x14ac:dyDescent="0.2">
      <c r="A584" s="370">
        <v>565</v>
      </c>
      <c r="B584" s="380">
        <v>355</v>
      </c>
      <c r="C584" s="371" t="s">
        <v>2269</v>
      </c>
      <c r="D584" s="371" t="s">
        <v>2270</v>
      </c>
      <c r="E584" s="206"/>
      <c r="F584" s="206" t="s">
        <v>53</v>
      </c>
      <c r="G584" s="206" t="s">
        <v>53</v>
      </c>
      <c r="H584" s="371" t="s">
        <v>2271</v>
      </c>
      <c r="I584" s="206" t="s">
        <v>1335</v>
      </c>
      <c r="J584" s="206" t="s">
        <v>1335</v>
      </c>
      <c r="K584" s="371" t="s">
        <v>2271</v>
      </c>
      <c r="L584" s="206" t="s">
        <v>2161</v>
      </c>
      <c r="M584" s="206" t="s">
        <v>1334</v>
      </c>
      <c r="N584" s="206" t="s">
        <v>40</v>
      </c>
      <c r="O584" s="372">
        <v>46007</v>
      </c>
      <c r="P584" s="372">
        <v>46007</v>
      </c>
      <c r="Q584" s="371" t="s">
        <v>2271</v>
      </c>
      <c r="R584" s="373">
        <v>13320</v>
      </c>
      <c r="S584" s="373">
        <v>13320</v>
      </c>
      <c r="T584" s="371" t="s">
        <v>2271</v>
      </c>
      <c r="U584" s="373">
        <v>3750</v>
      </c>
      <c r="V584" s="373">
        <v>3750</v>
      </c>
      <c r="W584" s="371" t="s">
        <v>2271</v>
      </c>
      <c r="X584" s="373">
        <v>9570</v>
      </c>
      <c r="Y584" s="373">
        <v>9570</v>
      </c>
      <c r="Z584" s="371" t="s">
        <v>2271</v>
      </c>
      <c r="AA584" s="373">
        <v>0</v>
      </c>
      <c r="AB584" s="373">
        <v>9550</v>
      </c>
      <c r="AC584" s="373">
        <v>9550</v>
      </c>
      <c r="AD584" s="371" t="s">
        <v>2271</v>
      </c>
      <c r="AE584" s="373">
        <v>0</v>
      </c>
      <c r="AF584" s="382">
        <v>0.905555555555556</v>
      </c>
      <c r="AG584" s="382">
        <v>0.905555555555556</v>
      </c>
      <c r="AH584" s="371" t="s">
        <v>2271</v>
      </c>
      <c r="AI584" s="382">
        <v>0.93333333333333302</v>
      </c>
      <c r="AJ584" s="382">
        <v>0.93333333333333302</v>
      </c>
      <c r="AK584" s="371" t="s">
        <v>2271</v>
      </c>
      <c r="AL584" s="206" t="s">
        <v>42</v>
      </c>
      <c r="AM584" s="206" t="s">
        <v>42</v>
      </c>
      <c r="AN584" s="371" t="s">
        <v>2271</v>
      </c>
      <c r="AO584" s="206" t="s">
        <v>2751</v>
      </c>
      <c r="AP584" s="206"/>
      <c r="AQ584" s="206" t="s">
        <v>1131</v>
      </c>
      <c r="AR584" s="207" t="s">
        <v>82</v>
      </c>
    </row>
    <row r="585" spans="1:44" x14ac:dyDescent="0.2">
      <c r="A585" s="370">
        <v>566</v>
      </c>
      <c r="B585" s="380">
        <v>356</v>
      </c>
      <c r="C585" s="371" t="s">
        <v>2269</v>
      </c>
      <c r="D585" s="371" t="s">
        <v>2235</v>
      </c>
      <c r="E585" s="206"/>
      <c r="F585" s="206" t="s">
        <v>160</v>
      </c>
      <c r="G585" s="206" t="s">
        <v>160</v>
      </c>
      <c r="H585" s="371" t="s">
        <v>2271</v>
      </c>
      <c r="I585" s="206" t="s">
        <v>1335</v>
      </c>
      <c r="J585" s="206" t="s">
        <v>1335</v>
      </c>
      <c r="K585" s="371" t="s">
        <v>2271</v>
      </c>
      <c r="L585" s="206" t="s">
        <v>2161</v>
      </c>
      <c r="M585" s="206" t="s">
        <v>1334</v>
      </c>
      <c r="N585" s="206" t="s">
        <v>40</v>
      </c>
      <c r="O585" s="372" t="s">
        <v>2163</v>
      </c>
      <c r="P585" s="372">
        <v>46008</v>
      </c>
      <c r="Q585" s="371" t="s">
        <v>2276</v>
      </c>
      <c r="R585" s="373">
        <v>13370</v>
      </c>
      <c r="S585" s="373">
        <v>13370</v>
      </c>
      <c r="T585" s="371" t="s">
        <v>2271</v>
      </c>
      <c r="U585" s="373">
        <v>3630</v>
      </c>
      <c r="V585" s="373">
        <v>3630</v>
      </c>
      <c r="W585" s="371" t="s">
        <v>2271</v>
      </c>
      <c r="X585" s="373">
        <v>9740</v>
      </c>
      <c r="Y585" s="373">
        <v>9740</v>
      </c>
      <c r="Z585" s="371" t="s">
        <v>2271</v>
      </c>
      <c r="AA585" s="373">
        <v>0</v>
      </c>
      <c r="AB585" s="373">
        <v>9690</v>
      </c>
      <c r="AC585" s="373">
        <v>9690</v>
      </c>
      <c r="AD585" s="371" t="s">
        <v>2271</v>
      </c>
      <c r="AE585" s="373">
        <v>0</v>
      </c>
      <c r="AF585" s="382">
        <v>0.38819444444444401</v>
      </c>
      <c r="AG585" s="382">
        <v>0.38819444444444501</v>
      </c>
      <c r="AH585" s="371" t="s">
        <v>2276</v>
      </c>
      <c r="AI585" s="382">
        <v>0.436805555555556</v>
      </c>
      <c r="AJ585" s="382">
        <v>0.436805555555556</v>
      </c>
      <c r="AK585" s="371" t="s">
        <v>2271</v>
      </c>
      <c r="AL585" s="206" t="s">
        <v>137</v>
      </c>
      <c r="AM585" s="206" t="s">
        <v>137</v>
      </c>
      <c r="AN585" s="371" t="s">
        <v>2271</v>
      </c>
      <c r="AO585" s="206" t="s">
        <v>2752</v>
      </c>
      <c r="AP585" s="206"/>
      <c r="AQ585" s="206" t="s">
        <v>1131</v>
      </c>
      <c r="AR585" s="207" t="s">
        <v>82</v>
      </c>
    </row>
    <row r="586" spans="1:44" x14ac:dyDescent="0.2">
      <c r="A586" s="370">
        <v>567</v>
      </c>
      <c r="B586" s="380">
        <v>357</v>
      </c>
      <c r="C586" s="371" t="s">
        <v>2269</v>
      </c>
      <c r="D586" s="371" t="s">
        <v>2235</v>
      </c>
      <c r="E586" s="206"/>
      <c r="F586" s="206" t="s">
        <v>171</v>
      </c>
      <c r="G586" s="206" t="s">
        <v>171</v>
      </c>
      <c r="H586" s="371" t="s">
        <v>2271</v>
      </c>
      <c r="I586" s="206" t="s">
        <v>1335</v>
      </c>
      <c r="J586" s="206" t="s">
        <v>1335</v>
      </c>
      <c r="K586" s="371" t="s">
        <v>2271</v>
      </c>
      <c r="L586" s="206" t="s">
        <v>2161</v>
      </c>
      <c r="M586" s="206" t="s">
        <v>1334</v>
      </c>
      <c r="N586" s="206" t="s">
        <v>40</v>
      </c>
      <c r="O586" s="372" t="s">
        <v>2163</v>
      </c>
      <c r="P586" s="372">
        <v>46008</v>
      </c>
      <c r="Q586" s="371" t="s">
        <v>2276</v>
      </c>
      <c r="R586" s="373">
        <v>13120</v>
      </c>
      <c r="S586" s="373">
        <v>13120</v>
      </c>
      <c r="T586" s="371" t="s">
        <v>2271</v>
      </c>
      <c r="U586" s="373">
        <v>3660</v>
      </c>
      <c r="V586" s="373">
        <v>3660</v>
      </c>
      <c r="W586" s="371" t="s">
        <v>2271</v>
      </c>
      <c r="X586" s="373">
        <v>9460</v>
      </c>
      <c r="Y586" s="373">
        <v>9460</v>
      </c>
      <c r="Z586" s="371" t="s">
        <v>2271</v>
      </c>
      <c r="AA586" s="373">
        <v>0</v>
      </c>
      <c r="AB586" s="373">
        <v>9500</v>
      </c>
      <c r="AC586" s="373">
        <v>9500</v>
      </c>
      <c r="AD586" s="371" t="s">
        <v>2271</v>
      </c>
      <c r="AE586" s="373">
        <v>0</v>
      </c>
      <c r="AF586" s="382">
        <v>0.390277777777778</v>
      </c>
      <c r="AG586" s="382">
        <v>0.390277777777778</v>
      </c>
      <c r="AH586" s="371" t="s">
        <v>2271</v>
      </c>
      <c r="AI586" s="382">
        <v>0.43472222222222201</v>
      </c>
      <c r="AJ586" s="382">
        <v>0.43472222222222201</v>
      </c>
      <c r="AK586" s="371" t="s">
        <v>2271</v>
      </c>
      <c r="AL586" s="206" t="s">
        <v>137</v>
      </c>
      <c r="AM586" s="206" t="s">
        <v>137</v>
      </c>
      <c r="AN586" s="371" t="s">
        <v>2271</v>
      </c>
      <c r="AO586" s="206" t="s">
        <v>2753</v>
      </c>
      <c r="AP586" s="206"/>
      <c r="AQ586" s="206" t="s">
        <v>1131</v>
      </c>
      <c r="AR586" s="207" t="s">
        <v>82</v>
      </c>
    </row>
    <row r="587" spans="1:44" x14ac:dyDescent="0.2">
      <c r="A587" s="370">
        <v>568</v>
      </c>
      <c r="B587" s="380">
        <v>358</v>
      </c>
      <c r="C587" s="371" t="s">
        <v>2269</v>
      </c>
      <c r="D587" s="371" t="s">
        <v>2235</v>
      </c>
      <c r="E587" s="206"/>
      <c r="F587" s="206" t="s">
        <v>158</v>
      </c>
      <c r="G587" s="206" t="s">
        <v>158</v>
      </c>
      <c r="H587" s="371" t="s">
        <v>2271</v>
      </c>
      <c r="I587" s="206" t="s">
        <v>1335</v>
      </c>
      <c r="J587" s="206" t="s">
        <v>1335</v>
      </c>
      <c r="K587" s="371" t="s">
        <v>2271</v>
      </c>
      <c r="L587" s="206" t="s">
        <v>2161</v>
      </c>
      <c r="M587" s="206" t="s">
        <v>1334</v>
      </c>
      <c r="N587" s="206" t="s">
        <v>40</v>
      </c>
      <c r="O587" s="372" t="s">
        <v>2163</v>
      </c>
      <c r="P587" s="372">
        <v>46008</v>
      </c>
      <c r="Q587" s="371" t="s">
        <v>2276</v>
      </c>
      <c r="R587" s="373">
        <v>14090</v>
      </c>
      <c r="S587" s="373">
        <v>14090</v>
      </c>
      <c r="T587" s="371" t="s">
        <v>2271</v>
      </c>
      <c r="U587" s="373">
        <v>4120</v>
      </c>
      <c r="V587" s="373">
        <v>4120</v>
      </c>
      <c r="W587" s="371" t="s">
        <v>2271</v>
      </c>
      <c r="X587" s="373">
        <v>9970</v>
      </c>
      <c r="Y587" s="373">
        <v>9970</v>
      </c>
      <c r="Z587" s="371" t="s">
        <v>2271</v>
      </c>
      <c r="AA587" s="373">
        <v>0</v>
      </c>
      <c r="AB587" s="373">
        <v>9930</v>
      </c>
      <c r="AC587" s="373">
        <v>9930</v>
      </c>
      <c r="AD587" s="371" t="s">
        <v>2271</v>
      </c>
      <c r="AE587" s="373">
        <v>0</v>
      </c>
      <c r="AF587" s="382">
        <v>0.390972222222222</v>
      </c>
      <c r="AG587" s="382">
        <v>0.390972222222222</v>
      </c>
      <c r="AH587" s="371" t="s">
        <v>2271</v>
      </c>
      <c r="AI587" s="382">
        <v>0.43888888888888899</v>
      </c>
      <c r="AJ587" s="382">
        <v>0.43888888888888899</v>
      </c>
      <c r="AK587" s="371" t="s">
        <v>2271</v>
      </c>
      <c r="AL587" s="206" t="s">
        <v>137</v>
      </c>
      <c r="AM587" s="206" t="s">
        <v>137</v>
      </c>
      <c r="AN587" s="371" t="s">
        <v>2271</v>
      </c>
      <c r="AO587" s="206" t="s">
        <v>2754</v>
      </c>
      <c r="AP587" s="206"/>
      <c r="AQ587" s="206" t="s">
        <v>1131</v>
      </c>
      <c r="AR587" s="207" t="s">
        <v>82</v>
      </c>
    </row>
    <row r="588" spans="1:44" x14ac:dyDescent="0.2">
      <c r="A588" s="370">
        <v>569</v>
      </c>
      <c r="B588" s="380">
        <v>359</v>
      </c>
      <c r="C588" s="371" t="s">
        <v>2269</v>
      </c>
      <c r="D588" s="371" t="s">
        <v>2235</v>
      </c>
      <c r="E588" s="206"/>
      <c r="F588" s="206" t="s">
        <v>56</v>
      </c>
      <c r="G588" s="206" t="s">
        <v>56</v>
      </c>
      <c r="H588" s="371" t="s">
        <v>2271</v>
      </c>
      <c r="I588" s="206" t="s">
        <v>1340</v>
      </c>
      <c r="J588" s="206" t="s">
        <v>1340</v>
      </c>
      <c r="K588" s="371" t="s">
        <v>2271</v>
      </c>
      <c r="L588" s="206" t="s">
        <v>2154</v>
      </c>
      <c r="M588" s="206" t="s">
        <v>1347</v>
      </c>
      <c r="N588" s="206" t="s">
        <v>78</v>
      </c>
      <c r="O588" s="372" t="s">
        <v>2163</v>
      </c>
      <c r="P588" s="372">
        <v>46008</v>
      </c>
      <c r="Q588" s="371" t="s">
        <v>2276</v>
      </c>
      <c r="R588" s="373">
        <v>25010</v>
      </c>
      <c r="S588" s="373">
        <v>25010</v>
      </c>
      <c r="T588" s="371" t="s">
        <v>2271</v>
      </c>
      <c r="U588" s="373">
        <v>10860</v>
      </c>
      <c r="V588" s="373">
        <v>10860</v>
      </c>
      <c r="W588" s="371" t="s">
        <v>2271</v>
      </c>
      <c r="X588" s="373">
        <v>14150</v>
      </c>
      <c r="Y588" s="373">
        <v>14150</v>
      </c>
      <c r="Z588" s="371" t="s">
        <v>2271</v>
      </c>
      <c r="AA588" s="373">
        <v>0</v>
      </c>
      <c r="AB588" s="373">
        <v>14210</v>
      </c>
      <c r="AC588" s="373">
        <v>14210</v>
      </c>
      <c r="AD588" s="371" t="s">
        <v>2271</v>
      </c>
      <c r="AE588" s="373">
        <v>0</v>
      </c>
      <c r="AF588" s="382">
        <v>0.61319444444444404</v>
      </c>
      <c r="AG588" s="382">
        <v>0.61319444444444504</v>
      </c>
      <c r="AH588" s="371" t="s">
        <v>2276</v>
      </c>
      <c r="AI588" s="382">
        <v>0.68958333333333299</v>
      </c>
      <c r="AJ588" s="382">
        <v>0.68958333333333299</v>
      </c>
      <c r="AK588" s="371" t="s">
        <v>2271</v>
      </c>
      <c r="AL588" s="206" t="s">
        <v>137</v>
      </c>
      <c r="AM588" s="206" t="s">
        <v>137</v>
      </c>
      <c r="AN588" s="371" t="s">
        <v>2271</v>
      </c>
      <c r="AO588" s="206" t="s">
        <v>2755</v>
      </c>
      <c r="AP588" s="206" t="s">
        <v>1781</v>
      </c>
      <c r="AQ588" s="206" t="s">
        <v>1132</v>
      </c>
      <c r="AR588" s="207" t="s">
        <v>88</v>
      </c>
    </row>
    <row r="589" spans="1:44" x14ac:dyDescent="0.2">
      <c r="A589" s="370">
        <v>570</v>
      </c>
      <c r="B589" s="380">
        <v>360</v>
      </c>
      <c r="C589" s="371" t="s">
        <v>2269</v>
      </c>
      <c r="D589" s="371" t="s">
        <v>2235</v>
      </c>
      <c r="E589" s="206"/>
      <c r="F589" s="206" t="s">
        <v>84</v>
      </c>
      <c r="G589" s="206" t="s">
        <v>84</v>
      </c>
      <c r="H589" s="371" t="s">
        <v>2271</v>
      </c>
      <c r="I589" s="206" t="s">
        <v>1340</v>
      </c>
      <c r="J589" s="206" t="s">
        <v>1340</v>
      </c>
      <c r="K589" s="371" t="s">
        <v>2271</v>
      </c>
      <c r="L589" s="206" t="s">
        <v>2154</v>
      </c>
      <c r="M589" s="206" t="s">
        <v>1347</v>
      </c>
      <c r="N589" s="206" t="s">
        <v>78</v>
      </c>
      <c r="O589" s="372" t="s">
        <v>2163</v>
      </c>
      <c r="P589" s="372">
        <v>46008</v>
      </c>
      <c r="Q589" s="371" t="s">
        <v>2276</v>
      </c>
      <c r="R589" s="373">
        <v>26640</v>
      </c>
      <c r="S589" s="373">
        <v>26640</v>
      </c>
      <c r="T589" s="371" t="s">
        <v>2271</v>
      </c>
      <c r="U589" s="373">
        <v>12260</v>
      </c>
      <c r="V589" s="373">
        <v>12260</v>
      </c>
      <c r="W589" s="371" t="s">
        <v>2271</v>
      </c>
      <c r="X589" s="373">
        <v>14380</v>
      </c>
      <c r="Y589" s="373">
        <v>14380</v>
      </c>
      <c r="Z589" s="371" t="s">
        <v>2271</v>
      </c>
      <c r="AA589" s="373">
        <v>0</v>
      </c>
      <c r="AB589" s="373">
        <v>14400</v>
      </c>
      <c r="AC589" s="373">
        <v>14400</v>
      </c>
      <c r="AD589" s="371" t="s">
        <v>2271</v>
      </c>
      <c r="AE589" s="373">
        <v>0</v>
      </c>
      <c r="AF589" s="382">
        <v>0.61666666666666703</v>
      </c>
      <c r="AG589" s="382">
        <v>0.61666666666666703</v>
      </c>
      <c r="AH589" s="371" t="s">
        <v>2271</v>
      </c>
      <c r="AI589" s="382">
        <v>0.69444444444444497</v>
      </c>
      <c r="AJ589" s="382">
        <v>0.69444444444444398</v>
      </c>
      <c r="AK589" s="371" t="s">
        <v>2276</v>
      </c>
      <c r="AL589" s="206" t="s">
        <v>137</v>
      </c>
      <c r="AM589" s="206" t="s">
        <v>137</v>
      </c>
      <c r="AN589" s="371" t="s">
        <v>2271</v>
      </c>
      <c r="AO589" s="206" t="s">
        <v>2756</v>
      </c>
      <c r="AP589" s="206" t="s">
        <v>1782</v>
      </c>
      <c r="AQ589" s="206" t="s">
        <v>1132</v>
      </c>
      <c r="AR589" s="207" t="s">
        <v>88</v>
      </c>
    </row>
    <row r="590" spans="1:44" x14ac:dyDescent="0.2">
      <c r="A590" s="370">
        <v>571</v>
      </c>
      <c r="B590" s="380">
        <v>361</v>
      </c>
      <c r="C590" s="371" t="s">
        <v>2269</v>
      </c>
      <c r="D590" s="371" t="s">
        <v>2235</v>
      </c>
      <c r="E590" s="206"/>
      <c r="F590" s="206" t="s">
        <v>70</v>
      </c>
      <c r="G590" s="206" t="s">
        <v>70</v>
      </c>
      <c r="H590" s="371" t="s">
        <v>2271</v>
      </c>
      <c r="I590" s="206" t="s">
        <v>1340</v>
      </c>
      <c r="J590" s="206" t="s">
        <v>1340</v>
      </c>
      <c r="K590" s="371" t="s">
        <v>2271</v>
      </c>
      <c r="L590" s="206" t="s">
        <v>2154</v>
      </c>
      <c r="M590" s="206" t="s">
        <v>1347</v>
      </c>
      <c r="N590" s="206" t="s">
        <v>78</v>
      </c>
      <c r="O590" s="372" t="s">
        <v>2163</v>
      </c>
      <c r="P590" s="372">
        <v>46008</v>
      </c>
      <c r="Q590" s="371" t="s">
        <v>2276</v>
      </c>
      <c r="R590" s="373">
        <v>45840</v>
      </c>
      <c r="S590" s="373">
        <v>45840</v>
      </c>
      <c r="T590" s="371" t="s">
        <v>2271</v>
      </c>
      <c r="U590" s="373">
        <v>17820</v>
      </c>
      <c r="V590" s="373">
        <v>17820</v>
      </c>
      <c r="W590" s="371" t="s">
        <v>2271</v>
      </c>
      <c r="X590" s="373">
        <v>28020</v>
      </c>
      <c r="Y590" s="373">
        <v>28020</v>
      </c>
      <c r="Z590" s="371" t="s">
        <v>2271</v>
      </c>
      <c r="AA590" s="373">
        <v>0</v>
      </c>
      <c r="AB590" s="373">
        <v>28110</v>
      </c>
      <c r="AC590" s="373">
        <v>28110</v>
      </c>
      <c r="AD590" s="371" t="s">
        <v>2271</v>
      </c>
      <c r="AE590" s="373">
        <v>0</v>
      </c>
      <c r="AF590" s="382">
        <v>0.62361111111111101</v>
      </c>
      <c r="AG590" s="382">
        <v>0.62361111111111101</v>
      </c>
      <c r="AH590" s="371" t="s">
        <v>2271</v>
      </c>
      <c r="AI590" s="382">
        <v>0.6875</v>
      </c>
      <c r="AJ590" s="382">
        <v>0.6875</v>
      </c>
      <c r="AK590" s="371" t="s">
        <v>2271</v>
      </c>
      <c r="AL590" s="206" t="s">
        <v>137</v>
      </c>
      <c r="AM590" s="206" t="s">
        <v>137</v>
      </c>
      <c r="AN590" s="371" t="s">
        <v>2271</v>
      </c>
      <c r="AO590" s="206" t="s">
        <v>2757</v>
      </c>
      <c r="AP590" s="206" t="s">
        <v>1499</v>
      </c>
      <c r="AQ590" s="206" t="s">
        <v>1133</v>
      </c>
      <c r="AR590" s="207" t="s">
        <v>88</v>
      </c>
    </row>
    <row r="591" spans="1:44" x14ac:dyDescent="0.2">
      <c r="A591" s="370">
        <v>572</v>
      </c>
      <c r="B591" s="380">
        <v>362</v>
      </c>
      <c r="C591" s="371" t="s">
        <v>2269</v>
      </c>
      <c r="D591" s="371" t="s">
        <v>2235</v>
      </c>
      <c r="E591" s="206"/>
      <c r="F591" s="206" t="s">
        <v>46</v>
      </c>
      <c r="G591" s="206" t="s">
        <v>46</v>
      </c>
      <c r="H591" s="371" t="s">
        <v>2271</v>
      </c>
      <c r="I591" s="206" t="s">
        <v>1340</v>
      </c>
      <c r="J591" s="206" t="s">
        <v>1340</v>
      </c>
      <c r="K591" s="371" t="s">
        <v>2271</v>
      </c>
      <c r="L591" s="206" t="s">
        <v>2154</v>
      </c>
      <c r="M591" s="206" t="s">
        <v>1347</v>
      </c>
      <c r="N591" s="206" t="s">
        <v>78</v>
      </c>
      <c r="O591" s="372" t="s">
        <v>2163</v>
      </c>
      <c r="P591" s="372">
        <v>46008</v>
      </c>
      <c r="Q591" s="371" t="s">
        <v>2276</v>
      </c>
      <c r="R591" s="373">
        <v>26550</v>
      </c>
      <c r="S591" s="373">
        <v>26550</v>
      </c>
      <c r="T591" s="371" t="s">
        <v>2271</v>
      </c>
      <c r="U591" s="373">
        <v>11870</v>
      </c>
      <c r="V591" s="373">
        <v>11870</v>
      </c>
      <c r="W591" s="371" t="s">
        <v>2271</v>
      </c>
      <c r="X591" s="373">
        <v>14680</v>
      </c>
      <c r="Y591" s="373">
        <v>14680</v>
      </c>
      <c r="Z591" s="371" t="s">
        <v>2271</v>
      </c>
      <c r="AA591" s="373">
        <v>0</v>
      </c>
      <c r="AB591" s="373">
        <v>14760</v>
      </c>
      <c r="AC591" s="373">
        <v>14760</v>
      </c>
      <c r="AD591" s="371" t="s">
        <v>2271</v>
      </c>
      <c r="AE591" s="373">
        <v>0</v>
      </c>
      <c r="AF591" s="382">
        <v>0.62916666666666698</v>
      </c>
      <c r="AG591" s="382">
        <v>0.62916666666666698</v>
      </c>
      <c r="AH591" s="371" t="s">
        <v>2271</v>
      </c>
      <c r="AI591" s="382">
        <v>0.73819444444444404</v>
      </c>
      <c r="AJ591" s="382">
        <v>0.73819444444444504</v>
      </c>
      <c r="AK591" s="371" t="s">
        <v>2276</v>
      </c>
      <c r="AL591" s="206" t="s">
        <v>137</v>
      </c>
      <c r="AM591" s="206" t="s">
        <v>137</v>
      </c>
      <c r="AN591" s="371" t="s">
        <v>2271</v>
      </c>
      <c r="AO591" s="206" t="s">
        <v>2758</v>
      </c>
      <c r="AP591" s="206" t="s">
        <v>1393</v>
      </c>
      <c r="AQ591" s="206" t="s">
        <v>1132</v>
      </c>
      <c r="AR591" s="207" t="s">
        <v>88</v>
      </c>
    </row>
    <row r="592" spans="1:44" x14ac:dyDescent="0.2">
      <c r="A592" s="370">
        <v>573</v>
      </c>
      <c r="B592" s="380">
        <v>363</v>
      </c>
      <c r="C592" s="371" t="s">
        <v>2269</v>
      </c>
      <c r="D592" s="371" t="s">
        <v>2235</v>
      </c>
      <c r="E592" s="206"/>
      <c r="F592" s="206" t="s">
        <v>76</v>
      </c>
      <c r="G592" s="206" t="s">
        <v>76</v>
      </c>
      <c r="H592" s="371" t="s">
        <v>2271</v>
      </c>
      <c r="I592" s="206" t="s">
        <v>1340</v>
      </c>
      <c r="J592" s="206" t="s">
        <v>1340</v>
      </c>
      <c r="K592" s="371" t="s">
        <v>2271</v>
      </c>
      <c r="L592" s="206" t="s">
        <v>2154</v>
      </c>
      <c r="M592" s="206" t="s">
        <v>1347</v>
      </c>
      <c r="N592" s="206" t="s">
        <v>78</v>
      </c>
      <c r="O592" s="372" t="s">
        <v>2163</v>
      </c>
      <c r="P592" s="372">
        <v>46008</v>
      </c>
      <c r="Q592" s="371" t="s">
        <v>2276</v>
      </c>
      <c r="R592" s="373">
        <v>45880</v>
      </c>
      <c r="S592" s="373">
        <v>45880</v>
      </c>
      <c r="T592" s="371" t="s">
        <v>2271</v>
      </c>
      <c r="U592" s="373">
        <v>17920</v>
      </c>
      <c r="V592" s="373">
        <v>17920</v>
      </c>
      <c r="W592" s="371" t="s">
        <v>2271</v>
      </c>
      <c r="X592" s="373">
        <v>27960</v>
      </c>
      <c r="Y592" s="373">
        <v>27960</v>
      </c>
      <c r="Z592" s="371" t="s">
        <v>2271</v>
      </c>
      <c r="AA592" s="373">
        <v>0</v>
      </c>
      <c r="AB592" s="373">
        <v>27990</v>
      </c>
      <c r="AC592" s="373">
        <v>27990</v>
      </c>
      <c r="AD592" s="371" t="s">
        <v>2271</v>
      </c>
      <c r="AE592" s="373">
        <v>0</v>
      </c>
      <c r="AF592" s="382">
        <v>0.65347222222222201</v>
      </c>
      <c r="AG592" s="382">
        <v>0.65347222222222201</v>
      </c>
      <c r="AH592" s="371" t="s">
        <v>2271</v>
      </c>
      <c r="AI592" s="382">
        <v>0.70625000000000004</v>
      </c>
      <c r="AJ592" s="382">
        <v>0.70625000000000004</v>
      </c>
      <c r="AK592" s="371" t="s">
        <v>2271</v>
      </c>
      <c r="AL592" s="206" t="s">
        <v>137</v>
      </c>
      <c r="AM592" s="206" t="s">
        <v>137</v>
      </c>
      <c r="AN592" s="371" t="s">
        <v>2271</v>
      </c>
      <c r="AO592" s="206" t="s">
        <v>2759</v>
      </c>
      <c r="AP592" s="206" t="s">
        <v>1372</v>
      </c>
      <c r="AQ592" s="206" t="s">
        <v>1133</v>
      </c>
      <c r="AR592" s="207" t="s">
        <v>88</v>
      </c>
    </row>
    <row r="593" spans="1:44" x14ac:dyDescent="0.2">
      <c r="A593" s="370">
        <v>574</v>
      </c>
      <c r="B593" s="380">
        <v>364</v>
      </c>
      <c r="C593" s="371" t="s">
        <v>2269</v>
      </c>
      <c r="D593" s="371" t="s">
        <v>2235</v>
      </c>
      <c r="E593" s="206"/>
      <c r="F593" s="206" t="s">
        <v>183</v>
      </c>
      <c r="G593" s="206" t="s">
        <v>183</v>
      </c>
      <c r="H593" s="371" t="s">
        <v>2271</v>
      </c>
      <c r="I593" s="206" t="s">
        <v>1335</v>
      </c>
      <c r="J593" s="206" t="s">
        <v>1335</v>
      </c>
      <c r="K593" s="371" t="s">
        <v>2271</v>
      </c>
      <c r="L593" s="206" t="s">
        <v>2161</v>
      </c>
      <c r="M593" s="206" t="s">
        <v>1334</v>
      </c>
      <c r="N593" s="206" t="s">
        <v>40</v>
      </c>
      <c r="O593" s="372" t="s">
        <v>2163</v>
      </c>
      <c r="P593" s="372">
        <v>46008</v>
      </c>
      <c r="Q593" s="371" t="s">
        <v>2276</v>
      </c>
      <c r="R593" s="373">
        <v>14150</v>
      </c>
      <c r="S593" s="373">
        <v>14150</v>
      </c>
      <c r="T593" s="371" t="s">
        <v>2271</v>
      </c>
      <c r="U593" s="373">
        <v>4270</v>
      </c>
      <c r="V593" s="373">
        <v>4270</v>
      </c>
      <c r="W593" s="371" t="s">
        <v>2271</v>
      </c>
      <c r="X593" s="373">
        <v>9880</v>
      </c>
      <c r="Y593" s="373">
        <v>9880</v>
      </c>
      <c r="Z593" s="371" t="s">
        <v>2271</v>
      </c>
      <c r="AA593" s="373">
        <v>0</v>
      </c>
      <c r="AB593" s="373">
        <v>9930</v>
      </c>
      <c r="AC593" s="373">
        <v>9930</v>
      </c>
      <c r="AD593" s="371" t="s">
        <v>2271</v>
      </c>
      <c r="AE593" s="373">
        <v>0</v>
      </c>
      <c r="AF593" s="382">
        <v>0.68263888888888902</v>
      </c>
      <c r="AG593" s="382">
        <v>0.68263888888888902</v>
      </c>
      <c r="AH593" s="371" t="s">
        <v>2271</v>
      </c>
      <c r="AI593" s="382">
        <v>0.71458333333333302</v>
      </c>
      <c r="AJ593" s="382">
        <v>0.71458333333333302</v>
      </c>
      <c r="AK593" s="371" t="s">
        <v>2271</v>
      </c>
      <c r="AL593" s="206" t="s">
        <v>137</v>
      </c>
      <c r="AM593" s="206" t="s">
        <v>137</v>
      </c>
      <c r="AN593" s="371" t="s">
        <v>2271</v>
      </c>
      <c r="AO593" s="206" t="s">
        <v>2760</v>
      </c>
      <c r="AP593" s="206"/>
      <c r="AQ593" s="206" t="s">
        <v>1131</v>
      </c>
      <c r="AR593" s="207" t="s">
        <v>82</v>
      </c>
    </row>
    <row r="594" spans="1:44" x14ac:dyDescent="0.2">
      <c r="A594" s="370">
        <v>575</v>
      </c>
      <c r="B594" s="380">
        <v>365</v>
      </c>
      <c r="C594" s="371" t="s">
        <v>2269</v>
      </c>
      <c r="D594" s="371" t="s">
        <v>2235</v>
      </c>
      <c r="E594" s="206"/>
      <c r="F594" s="206" t="s">
        <v>151</v>
      </c>
      <c r="G594" s="206" t="s">
        <v>151</v>
      </c>
      <c r="H594" s="371" t="s">
        <v>2271</v>
      </c>
      <c r="I594" s="206" t="s">
        <v>1335</v>
      </c>
      <c r="J594" s="206" t="s">
        <v>1335</v>
      </c>
      <c r="K594" s="371" t="s">
        <v>2271</v>
      </c>
      <c r="L594" s="206" t="s">
        <v>2161</v>
      </c>
      <c r="M594" s="206" t="s">
        <v>1334</v>
      </c>
      <c r="N594" s="206" t="s">
        <v>40</v>
      </c>
      <c r="O594" s="372" t="s">
        <v>2163</v>
      </c>
      <c r="P594" s="372">
        <v>46007</v>
      </c>
      <c r="Q594" s="371" t="s">
        <v>2276</v>
      </c>
      <c r="R594" s="373">
        <v>13480</v>
      </c>
      <c r="S594" s="373">
        <v>13480</v>
      </c>
      <c r="T594" s="371" t="s">
        <v>2271</v>
      </c>
      <c r="U594" s="373">
        <v>4090</v>
      </c>
      <c r="V594" s="373">
        <v>4090</v>
      </c>
      <c r="W594" s="371" t="s">
        <v>2271</v>
      </c>
      <c r="X594" s="373">
        <v>9390</v>
      </c>
      <c r="Y594" s="373">
        <v>9390</v>
      </c>
      <c r="Z594" s="371" t="s">
        <v>2271</v>
      </c>
      <c r="AA594" s="373">
        <v>0</v>
      </c>
      <c r="AB594" s="373">
        <v>9360</v>
      </c>
      <c r="AC594" s="373">
        <v>9360</v>
      </c>
      <c r="AD594" s="371" t="s">
        <v>2271</v>
      </c>
      <c r="AE594" s="373">
        <v>0</v>
      </c>
      <c r="AF594" s="382">
        <v>0.69583333333333297</v>
      </c>
      <c r="AG594" s="382">
        <v>0.69583333333333297</v>
      </c>
      <c r="AH594" s="371" t="s">
        <v>2271</v>
      </c>
      <c r="AI594" s="382">
        <v>0.72499999999999998</v>
      </c>
      <c r="AJ594" s="382">
        <v>0.72499999999999998</v>
      </c>
      <c r="AK594" s="371" t="s">
        <v>2271</v>
      </c>
      <c r="AL594" s="206" t="s">
        <v>137</v>
      </c>
      <c r="AM594" s="206" t="s">
        <v>137</v>
      </c>
      <c r="AN594" s="371" t="s">
        <v>2271</v>
      </c>
      <c r="AO594" s="206" t="s">
        <v>2761</v>
      </c>
      <c r="AP594" s="206"/>
      <c r="AQ594" s="206" t="s">
        <v>1131</v>
      </c>
      <c r="AR594" s="207" t="s">
        <v>82</v>
      </c>
    </row>
    <row r="595" spans="1:44" x14ac:dyDescent="0.2">
      <c r="A595" s="370">
        <v>576</v>
      </c>
      <c r="B595" s="380">
        <v>366</v>
      </c>
      <c r="C595" s="371" t="s">
        <v>2269</v>
      </c>
      <c r="D595" s="371" t="s">
        <v>2235</v>
      </c>
      <c r="E595" s="206"/>
      <c r="F595" s="206" t="s">
        <v>186</v>
      </c>
      <c r="G595" s="206" t="s">
        <v>186</v>
      </c>
      <c r="H595" s="371" t="s">
        <v>2271</v>
      </c>
      <c r="I595" s="206" t="s">
        <v>1335</v>
      </c>
      <c r="J595" s="206" t="s">
        <v>1335</v>
      </c>
      <c r="K595" s="371" t="s">
        <v>2271</v>
      </c>
      <c r="L595" s="206" t="s">
        <v>2161</v>
      </c>
      <c r="M595" s="206" t="s">
        <v>1334</v>
      </c>
      <c r="N595" s="206" t="s">
        <v>40</v>
      </c>
      <c r="O595" s="372" t="s">
        <v>2163</v>
      </c>
      <c r="P595" s="372">
        <v>46008</v>
      </c>
      <c r="Q595" s="371" t="s">
        <v>2276</v>
      </c>
      <c r="R595" s="373">
        <v>13410</v>
      </c>
      <c r="S595" s="373">
        <v>13410</v>
      </c>
      <c r="T595" s="371" t="s">
        <v>2271</v>
      </c>
      <c r="U595" s="373">
        <v>3950</v>
      </c>
      <c r="V595" s="373">
        <v>3950</v>
      </c>
      <c r="W595" s="371" t="s">
        <v>2271</v>
      </c>
      <c r="X595" s="373">
        <v>9460</v>
      </c>
      <c r="Y595" s="373">
        <v>9460</v>
      </c>
      <c r="Z595" s="371" t="s">
        <v>2271</v>
      </c>
      <c r="AA595" s="373">
        <v>0</v>
      </c>
      <c r="AB595" s="373">
        <v>9430</v>
      </c>
      <c r="AC595" s="373">
        <v>9430</v>
      </c>
      <c r="AD595" s="371" t="s">
        <v>2271</v>
      </c>
      <c r="AE595" s="373">
        <v>0</v>
      </c>
      <c r="AF595" s="382">
        <v>0.88888888888888895</v>
      </c>
      <c r="AG595" s="382">
        <v>0.88888888888888895</v>
      </c>
      <c r="AH595" s="371" t="s">
        <v>2271</v>
      </c>
      <c r="AI595" s="382">
        <v>0.91597222222222197</v>
      </c>
      <c r="AJ595" s="382">
        <v>0.91597222222222197</v>
      </c>
      <c r="AK595" s="371" t="s">
        <v>2271</v>
      </c>
      <c r="AL595" s="206" t="s">
        <v>137</v>
      </c>
      <c r="AM595" s="206" t="s">
        <v>137</v>
      </c>
      <c r="AN595" s="371" t="s">
        <v>2271</v>
      </c>
      <c r="AO595" s="206" t="s">
        <v>2762</v>
      </c>
      <c r="AP595" s="206"/>
      <c r="AQ595" s="206" t="s">
        <v>1131</v>
      </c>
      <c r="AR595" s="207" t="s">
        <v>82</v>
      </c>
    </row>
    <row r="596" spans="1:44" x14ac:dyDescent="0.2">
      <c r="A596" s="370">
        <v>577</v>
      </c>
      <c r="B596" s="380">
        <v>367</v>
      </c>
      <c r="C596" s="371" t="s">
        <v>2269</v>
      </c>
      <c r="D596" s="371" t="s">
        <v>2235</v>
      </c>
      <c r="E596" s="206"/>
      <c r="F596" s="206" t="s">
        <v>147</v>
      </c>
      <c r="G596" s="206" t="s">
        <v>147</v>
      </c>
      <c r="H596" s="371" t="s">
        <v>2271</v>
      </c>
      <c r="I596" s="206" t="s">
        <v>1335</v>
      </c>
      <c r="J596" s="206" t="s">
        <v>1335</v>
      </c>
      <c r="K596" s="371" t="s">
        <v>2271</v>
      </c>
      <c r="L596" s="206" t="s">
        <v>2161</v>
      </c>
      <c r="M596" s="206" t="s">
        <v>1334</v>
      </c>
      <c r="N596" s="206" t="s">
        <v>40</v>
      </c>
      <c r="O596" s="372" t="s">
        <v>2164</v>
      </c>
      <c r="P596" s="372">
        <v>46009</v>
      </c>
      <c r="Q596" s="371" t="s">
        <v>2276</v>
      </c>
      <c r="R596" s="373">
        <v>13920</v>
      </c>
      <c r="S596" s="373">
        <v>13920</v>
      </c>
      <c r="T596" s="371" t="s">
        <v>2271</v>
      </c>
      <c r="U596" s="373">
        <v>4150</v>
      </c>
      <c r="V596" s="373">
        <v>4150</v>
      </c>
      <c r="W596" s="371" t="s">
        <v>2271</v>
      </c>
      <c r="X596" s="373">
        <v>9770</v>
      </c>
      <c r="Y596" s="373">
        <v>9770</v>
      </c>
      <c r="Z596" s="371" t="s">
        <v>2271</v>
      </c>
      <c r="AA596" s="373">
        <v>0</v>
      </c>
      <c r="AB596" s="373">
        <v>9910</v>
      </c>
      <c r="AC596" s="373">
        <v>9910</v>
      </c>
      <c r="AD596" s="371" t="s">
        <v>2271</v>
      </c>
      <c r="AE596" s="373">
        <v>0</v>
      </c>
      <c r="AF596" s="382">
        <v>0.34166666666666701</v>
      </c>
      <c r="AG596" s="382">
        <v>0.34166666666666701</v>
      </c>
      <c r="AH596" s="371" t="s">
        <v>2271</v>
      </c>
      <c r="AI596" s="382">
        <v>0.38472222222222202</v>
      </c>
      <c r="AJ596" s="382">
        <v>0.38472222222222202</v>
      </c>
      <c r="AK596" s="371" t="s">
        <v>2271</v>
      </c>
      <c r="AL596" s="206" t="s">
        <v>137</v>
      </c>
      <c r="AM596" s="206" t="s">
        <v>137</v>
      </c>
      <c r="AN596" s="371" t="s">
        <v>2271</v>
      </c>
      <c r="AO596" s="206" t="s">
        <v>2763</v>
      </c>
      <c r="AP596" s="206"/>
      <c r="AQ596" s="206" t="s">
        <v>1131</v>
      </c>
      <c r="AR596" s="207" t="s">
        <v>82</v>
      </c>
    </row>
    <row r="597" spans="1:44" x14ac:dyDescent="0.2">
      <c r="A597" s="370">
        <v>578</v>
      </c>
      <c r="B597" s="380">
        <v>368</v>
      </c>
      <c r="C597" s="371" t="s">
        <v>2269</v>
      </c>
      <c r="D597" s="371" t="s">
        <v>2235</v>
      </c>
      <c r="E597" s="206"/>
      <c r="F597" s="206" t="s">
        <v>473</v>
      </c>
      <c r="G597" s="206" t="s">
        <v>473</v>
      </c>
      <c r="H597" s="371" t="s">
        <v>2271</v>
      </c>
      <c r="I597" s="206" t="s">
        <v>1335</v>
      </c>
      <c r="J597" s="206" t="s">
        <v>1335</v>
      </c>
      <c r="K597" s="371" t="s">
        <v>2271</v>
      </c>
      <c r="L597" s="206" t="s">
        <v>2161</v>
      </c>
      <c r="M597" s="206" t="s">
        <v>1334</v>
      </c>
      <c r="N597" s="206" t="s">
        <v>40</v>
      </c>
      <c r="O597" s="372" t="s">
        <v>2164</v>
      </c>
      <c r="P597" s="372">
        <v>46009</v>
      </c>
      <c r="Q597" s="371" t="s">
        <v>2276</v>
      </c>
      <c r="R597" s="373">
        <v>14440</v>
      </c>
      <c r="S597" s="373">
        <v>14440</v>
      </c>
      <c r="T597" s="371" t="s">
        <v>2271</v>
      </c>
      <c r="U597" s="373">
        <v>4420</v>
      </c>
      <c r="V597" s="373">
        <v>4420</v>
      </c>
      <c r="W597" s="371" t="s">
        <v>2271</v>
      </c>
      <c r="X597" s="373">
        <v>10020</v>
      </c>
      <c r="Y597" s="373">
        <v>10020</v>
      </c>
      <c r="Z597" s="371" t="s">
        <v>2271</v>
      </c>
      <c r="AA597" s="373">
        <v>0</v>
      </c>
      <c r="AB597" s="373">
        <v>10070</v>
      </c>
      <c r="AC597" s="373">
        <v>10070</v>
      </c>
      <c r="AD597" s="371" t="s">
        <v>2271</v>
      </c>
      <c r="AE597" s="373">
        <v>0</v>
      </c>
      <c r="AF597" s="382">
        <v>0.343055555555556</v>
      </c>
      <c r="AG597" s="382">
        <v>0.343055555555556</v>
      </c>
      <c r="AH597" s="371" t="s">
        <v>2271</v>
      </c>
      <c r="AI597" s="382">
        <v>0.39374999999999999</v>
      </c>
      <c r="AJ597" s="382">
        <v>0.39374999999999999</v>
      </c>
      <c r="AK597" s="371" t="s">
        <v>2271</v>
      </c>
      <c r="AL597" s="206" t="s">
        <v>137</v>
      </c>
      <c r="AM597" s="206" t="s">
        <v>137</v>
      </c>
      <c r="AN597" s="371" t="s">
        <v>2271</v>
      </c>
      <c r="AO597" s="206" t="s">
        <v>2764</v>
      </c>
      <c r="AP597" s="206"/>
      <c r="AQ597" s="206" t="s">
        <v>1131</v>
      </c>
      <c r="AR597" s="207" t="s">
        <v>82</v>
      </c>
    </row>
    <row r="598" spans="1:44" x14ac:dyDescent="0.2">
      <c r="A598" s="370">
        <v>579</v>
      </c>
      <c r="B598" s="380">
        <v>369</v>
      </c>
      <c r="C598" s="371" t="s">
        <v>2269</v>
      </c>
      <c r="D598" s="371" t="s">
        <v>2235</v>
      </c>
      <c r="E598" s="206"/>
      <c r="F598" s="206" t="s">
        <v>513</v>
      </c>
      <c r="G598" s="206" t="s">
        <v>513</v>
      </c>
      <c r="H598" s="371" t="s">
        <v>2271</v>
      </c>
      <c r="I598" s="206" t="s">
        <v>1335</v>
      </c>
      <c r="J598" s="206" t="s">
        <v>1335</v>
      </c>
      <c r="K598" s="371" t="s">
        <v>2271</v>
      </c>
      <c r="L598" s="206" t="s">
        <v>2161</v>
      </c>
      <c r="M598" s="206" t="s">
        <v>1334</v>
      </c>
      <c r="N598" s="206" t="s">
        <v>40</v>
      </c>
      <c r="O598" s="372" t="s">
        <v>2164</v>
      </c>
      <c r="P598" s="372">
        <v>46009</v>
      </c>
      <c r="Q598" s="371" t="s">
        <v>2276</v>
      </c>
      <c r="R598" s="373">
        <v>13730</v>
      </c>
      <c r="S598" s="373">
        <v>13730</v>
      </c>
      <c r="T598" s="371" t="s">
        <v>2271</v>
      </c>
      <c r="U598" s="373">
        <v>3960</v>
      </c>
      <c r="V598" s="373">
        <v>3960</v>
      </c>
      <c r="W598" s="371" t="s">
        <v>2271</v>
      </c>
      <c r="X598" s="373">
        <v>9770</v>
      </c>
      <c r="Y598" s="373">
        <v>9770</v>
      </c>
      <c r="Z598" s="371" t="s">
        <v>2271</v>
      </c>
      <c r="AA598" s="373">
        <v>0</v>
      </c>
      <c r="AB598" s="373">
        <v>9750</v>
      </c>
      <c r="AC598" s="373">
        <v>9750</v>
      </c>
      <c r="AD598" s="371" t="s">
        <v>2271</v>
      </c>
      <c r="AE598" s="373">
        <v>0</v>
      </c>
      <c r="AF598" s="382">
        <v>0.34861111111111098</v>
      </c>
      <c r="AG598" s="382">
        <v>0.34861111111111098</v>
      </c>
      <c r="AH598" s="371" t="s">
        <v>2271</v>
      </c>
      <c r="AI598" s="382">
        <v>0.38888888888888901</v>
      </c>
      <c r="AJ598" s="382">
        <v>0.38888888888888901</v>
      </c>
      <c r="AK598" s="371" t="s">
        <v>2271</v>
      </c>
      <c r="AL598" s="206" t="s">
        <v>137</v>
      </c>
      <c r="AM598" s="206" t="s">
        <v>137</v>
      </c>
      <c r="AN598" s="371" t="s">
        <v>2271</v>
      </c>
      <c r="AO598" s="206" t="s">
        <v>2765</v>
      </c>
      <c r="AP598" s="206"/>
      <c r="AQ598" s="206" t="s">
        <v>1131</v>
      </c>
      <c r="AR598" s="207" t="s">
        <v>82</v>
      </c>
    </row>
    <row r="599" spans="1:44" x14ac:dyDescent="0.2">
      <c r="A599" s="370">
        <v>580</v>
      </c>
      <c r="B599" s="380">
        <v>370</v>
      </c>
      <c r="C599" s="371" t="s">
        <v>2269</v>
      </c>
      <c r="D599" s="371" t="s">
        <v>2235</v>
      </c>
      <c r="E599" s="206"/>
      <c r="F599" s="206" t="s">
        <v>73</v>
      </c>
      <c r="G599" s="206" t="s">
        <v>73</v>
      </c>
      <c r="H599" s="371" t="s">
        <v>2271</v>
      </c>
      <c r="I599" s="206" t="s">
        <v>1335</v>
      </c>
      <c r="J599" s="206" t="s">
        <v>1335</v>
      </c>
      <c r="K599" s="371" t="s">
        <v>2271</v>
      </c>
      <c r="L599" s="206" t="s">
        <v>2161</v>
      </c>
      <c r="M599" s="206" t="s">
        <v>1334</v>
      </c>
      <c r="N599" s="206" t="s">
        <v>40</v>
      </c>
      <c r="O599" s="372" t="s">
        <v>2164</v>
      </c>
      <c r="P599" s="372">
        <v>46009</v>
      </c>
      <c r="Q599" s="371" t="s">
        <v>2276</v>
      </c>
      <c r="R599" s="373">
        <v>13380</v>
      </c>
      <c r="S599" s="373">
        <v>13380</v>
      </c>
      <c r="T599" s="371" t="s">
        <v>2271</v>
      </c>
      <c r="U599" s="373">
        <v>4040</v>
      </c>
      <c r="V599" s="373">
        <v>4040</v>
      </c>
      <c r="W599" s="371" t="s">
        <v>2271</v>
      </c>
      <c r="X599" s="373">
        <v>9340</v>
      </c>
      <c r="Y599" s="373">
        <v>9340</v>
      </c>
      <c r="Z599" s="371" t="s">
        <v>2271</v>
      </c>
      <c r="AA599" s="373">
        <v>0</v>
      </c>
      <c r="AB599" s="373">
        <v>9300</v>
      </c>
      <c r="AC599" s="373">
        <v>9300</v>
      </c>
      <c r="AD599" s="371" t="s">
        <v>2271</v>
      </c>
      <c r="AE599" s="373">
        <v>0</v>
      </c>
      <c r="AF599" s="382">
        <v>0.35208333333333303</v>
      </c>
      <c r="AG599" s="382">
        <v>0.35208333333333303</v>
      </c>
      <c r="AH599" s="371" t="s">
        <v>2271</v>
      </c>
      <c r="AI599" s="382">
        <v>0.38819444444444401</v>
      </c>
      <c r="AJ599" s="382">
        <v>0.38819444444444501</v>
      </c>
      <c r="AK599" s="371" t="s">
        <v>2276</v>
      </c>
      <c r="AL599" s="206" t="s">
        <v>137</v>
      </c>
      <c r="AM599" s="206" t="s">
        <v>137</v>
      </c>
      <c r="AN599" s="371" t="s">
        <v>2271</v>
      </c>
      <c r="AO599" s="206" t="s">
        <v>2766</v>
      </c>
      <c r="AP599" s="206"/>
      <c r="AQ599" s="206" t="s">
        <v>1131</v>
      </c>
      <c r="AR599" s="207" t="s">
        <v>82</v>
      </c>
    </row>
    <row r="600" spans="1:44" x14ac:dyDescent="0.2">
      <c r="A600" s="370">
        <v>581</v>
      </c>
      <c r="B600" s="380">
        <v>371</v>
      </c>
      <c r="C600" s="371" t="s">
        <v>2269</v>
      </c>
      <c r="D600" s="371" t="s">
        <v>2235</v>
      </c>
      <c r="E600" s="206"/>
      <c r="F600" s="206" t="s">
        <v>39</v>
      </c>
      <c r="G600" s="206" t="s">
        <v>39</v>
      </c>
      <c r="H600" s="371" t="s">
        <v>2271</v>
      </c>
      <c r="I600" s="206" t="s">
        <v>1335</v>
      </c>
      <c r="J600" s="206" t="s">
        <v>1335</v>
      </c>
      <c r="K600" s="371" t="s">
        <v>2271</v>
      </c>
      <c r="L600" s="206" t="s">
        <v>2161</v>
      </c>
      <c r="M600" s="206" t="s">
        <v>1334</v>
      </c>
      <c r="N600" s="206" t="s">
        <v>40</v>
      </c>
      <c r="O600" s="372" t="s">
        <v>2164</v>
      </c>
      <c r="P600" s="372">
        <v>46009</v>
      </c>
      <c r="Q600" s="371" t="s">
        <v>2276</v>
      </c>
      <c r="R600" s="373">
        <v>13670</v>
      </c>
      <c r="S600" s="373">
        <v>13670</v>
      </c>
      <c r="T600" s="371" t="s">
        <v>2271</v>
      </c>
      <c r="U600" s="373">
        <v>4140</v>
      </c>
      <c r="V600" s="373">
        <v>4140</v>
      </c>
      <c r="W600" s="371" t="s">
        <v>2271</v>
      </c>
      <c r="X600" s="373">
        <v>9530</v>
      </c>
      <c r="Y600" s="373">
        <v>9530</v>
      </c>
      <c r="Z600" s="371" t="s">
        <v>2271</v>
      </c>
      <c r="AA600" s="373">
        <v>0</v>
      </c>
      <c r="AB600" s="373">
        <v>9520</v>
      </c>
      <c r="AC600" s="373">
        <v>9520</v>
      </c>
      <c r="AD600" s="371" t="s">
        <v>2271</v>
      </c>
      <c r="AE600" s="373">
        <v>0</v>
      </c>
      <c r="AF600" s="382">
        <v>0.35277777777777802</v>
      </c>
      <c r="AG600" s="382">
        <v>0.35277777777777802</v>
      </c>
      <c r="AH600" s="371" t="s">
        <v>2271</v>
      </c>
      <c r="AI600" s="382">
        <v>0.40763888888888899</v>
      </c>
      <c r="AJ600" s="382">
        <v>0.40763888888888899</v>
      </c>
      <c r="AK600" s="371" t="s">
        <v>2271</v>
      </c>
      <c r="AL600" s="206" t="s">
        <v>137</v>
      </c>
      <c r="AM600" s="206" t="s">
        <v>137</v>
      </c>
      <c r="AN600" s="371" t="s">
        <v>2271</v>
      </c>
      <c r="AO600" s="206" t="s">
        <v>2767</v>
      </c>
      <c r="AP600" s="206"/>
      <c r="AQ600" s="206" t="s">
        <v>1131</v>
      </c>
      <c r="AR600" s="207" t="s">
        <v>82</v>
      </c>
    </row>
    <row r="601" spans="1:44" x14ac:dyDescent="0.2">
      <c r="A601" s="370">
        <v>582</v>
      </c>
      <c r="B601" s="380">
        <v>372</v>
      </c>
      <c r="C601" s="371" t="s">
        <v>2269</v>
      </c>
      <c r="D601" s="371" t="s">
        <v>2235</v>
      </c>
      <c r="E601" s="206"/>
      <c r="F601" s="206" t="s">
        <v>76</v>
      </c>
      <c r="G601" s="206" t="s">
        <v>76</v>
      </c>
      <c r="H601" s="371" t="s">
        <v>2271</v>
      </c>
      <c r="I601" s="206" t="s">
        <v>1453</v>
      </c>
      <c r="J601" s="206" t="s">
        <v>1453</v>
      </c>
      <c r="K601" s="371" t="s">
        <v>2271</v>
      </c>
      <c r="L601" s="206" t="s">
        <v>2165</v>
      </c>
      <c r="M601" s="206" t="s">
        <v>1348</v>
      </c>
      <c r="N601" s="206" t="s">
        <v>59</v>
      </c>
      <c r="O601" s="372" t="s">
        <v>2164</v>
      </c>
      <c r="P601" s="372">
        <v>46009</v>
      </c>
      <c r="Q601" s="371" t="s">
        <v>2276</v>
      </c>
      <c r="R601" s="373">
        <v>45870</v>
      </c>
      <c r="S601" s="373">
        <v>45870</v>
      </c>
      <c r="T601" s="371" t="s">
        <v>2271</v>
      </c>
      <c r="U601" s="373">
        <v>17910</v>
      </c>
      <c r="V601" s="373">
        <v>17910</v>
      </c>
      <c r="W601" s="371" t="s">
        <v>2271</v>
      </c>
      <c r="X601" s="373">
        <v>27960</v>
      </c>
      <c r="Y601" s="373">
        <v>27960</v>
      </c>
      <c r="Z601" s="371" t="s">
        <v>2271</v>
      </c>
      <c r="AA601" s="373">
        <v>0</v>
      </c>
      <c r="AB601" s="373">
        <v>27980</v>
      </c>
      <c r="AC601" s="373">
        <v>27980</v>
      </c>
      <c r="AD601" s="371" t="s">
        <v>2271</v>
      </c>
      <c r="AE601" s="373">
        <v>0</v>
      </c>
      <c r="AF601" s="382">
        <v>0.390972222222222</v>
      </c>
      <c r="AG601" s="382">
        <v>0.390972222222222</v>
      </c>
      <c r="AH601" s="371" t="s">
        <v>2271</v>
      </c>
      <c r="AI601" s="382">
        <v>0.47361111111111098</v>
      </c>
      <c r="AJ601" s="382">
        <v>0.47361111111111098</v>
      </c>
      <c r="AK601" s="371" t="s">
        <v>2271</v>
      </c>
      <c r="AL601" s="206" t="s">
        <v>137</v>
      </c>
      <c r="AM601" s="206" t="s">
        <v>137</v>
      </c>
      <c r="AN601" s="371" t="s">
        <v>2271</v>
      </c>
      <c r="AO601" s="206" t="s">
        <v>2768</v>
      </c>
      <c r="AP601" s="206" t="s">
        <v>1372</v>
      </c>
      <c r="AQ601" s="206" t="s">
        <v>1133</v>
      </c>
      <c r="AR601" s="207" t="s">
        <v>75</v>
      </c>
    </row>
    <row r="602" spans="1:44" x14ac:dyDescent="0.2">
      <c r="A602" s="370">
        <v>583</v>
      </c>
      <c r="B602" s="380">
        <v>373</v>
      </c>
      <c r="C602" s="371" t="s">
        <v>2269</v>
      </c>
      <c r="D602" s="371" t="s">
        <v>2235</v>
      </c>
      <c r="E602" s="206"/>
      <c r="F602" s="206" t="s">
        <v>70</v>
      </c>
      <c r="G602" s="206" t="s">
        <v>70</v>
      </c>
      <c r="H602" s="371" t="s">
        <v>2271</v>
      </c>
      <c r="I602" s="206" t="s">
        <v>1453</v>
      </c>
      <c r="J602" s="206" t="s">
        <v>1453</v>
      </c>
      <c r="K602" s="371" t="s">
        <v>2271</v>
      </c>
      <c r="L602" s="206" t="s">
        <v>2165</v>
      </c>
      <c r="M602" s="206" t="s">
        <v>1348</v>
      </c>
      <c r="N602" s="206" t="s">
        <v>59</v>
      </c>
      <c r="O602" s="372" t="s">
        <v>2164</v>
      </c>
      <c r="P602" s="372">
        <v>46009</v>
      </c>
      <c r="Q602" s="371" t="s">
        <v>2276</v>
      </c>
      <c r="R602" s="373">
        <v>45740</v>
      </c>
      <c r="S602" s="373">
        <v>45740</v>
      </c>
      <c r="T602" s="371" t="s">
        <v>2271</v>
      </c>
      <c r="U602" s="373">
        <v>17780</v>
      </c>
      <c r="V602" s="373">
        <v>17780</v>
      </c>
      <c r="W602" s="371" t="s">
        <v>2271</v>
      </c>
      <c r="X602" s="373">
        <v>27960</v>
      </c>
      <c r="Y602" s="373">
        <v>27960</v>
      </c>
      <c r="Z602" s="371" t="s">
        <v>2271</v>
      </c>
      <c r="AA602" s="373">
        <v>0</v>
      </c>
      <c r="AB602" s="373">
        <v>27940</v>
      </c>
      <c r="AC602" s="373">
        <v>27940</v>
      </c>
      <c r="AD602" s="371" t="s">
        <v>2271</v>
      </c>
      <c r="AE602" s="373">
        <v>0</v>
      </c>
      <c r="AF602" s="382">
        <v>0.41875000000000001</v>
      </c>
      <c r="AG602" s="382">
        <v>0.41875000000000001</v>
      </c>
      <c r="AH602" s="371" t="s">
        <v>2271</v>
      </c>
      <c r="AI602" s="382">
        <v>0.47152777777777799</v>
      </c>
      <c r="AJ602" s="382">
        <v>0.47152777777777799</v>
      </c>
      <c r="AK602" s="371" t="s">
        <v>2271</v>
      </c>
      <c r="AL602" s="206" t="s">
        <v>137</v>
      </c>
      <c r="AM602" s="206" t="s">
        <v>137</v>
      </c>
      <c r="AN602" s="371" t="s">
        <v>2271</v>
      </c>
      <c r="AO602" s="206" t="s">
        <v>2769</v>
      </c>
      <c r="AP602" s="206" t="s">
        <v>1499</v>
      </c>
      <c r="AQ602" s="206" t="s">
        <v>1133</v>
      </c>
      <c r="AR602" s="207" t="s">
        <v>75</v>
      </c>
    </row>
    <row r="603" spans="1:44" x14ac:dyDescent="0.2">
      <c r="A603" s="370">
        <v>584</v>
      </c>
      <c r="B603" s="380">
        <v>374</v>
      </c>
      <c r="C603" s="371" t="s">
        <v>2269</v>
      </c>
      <c r="D603" s="371" t="s">
        <v>2235</v>
      </c>
      <c r="E603" s="206"/>
      <c r="F603" s="206" t="s">
        <v>46</v>
      </c>
      <c r="G603" s="206" t="s">
        <v>46</v>
      </c>
      <c r="H603" s="371" t="s">
        <v>2271</v>
      </c>
      <c r="I603" s="206" t="s">
        <v>1453</v>
      </c>
      <c r="J603" s="206" t="s">
        <v>1453</v>
      </c>
      <c r="K603" s="371" t="s">
        <v>2271</v>
      </c>
      <c r="L603" s="206" t="s">
        <v>2165</v>
      </c>
      <c r="M603" s="206" t="s">
        <v>1348</v>
      </c>
      <c r="N603" s="206" t="s">
        <v>59</v>
      </c>
      <c r="O603" s="372" t="s">
        <v>2164</v>
      </c>
      <c r="P603" s="372">
        <v>46009</v>
      </c>
      <c r="Q603" s="371" t="s">
        <v>2276</v>
      </c>
      <c r="R603" s="373">
        <v>26430</v>
      </c>
      <c r="S603" s="373">
        <v>26430</v>
      </c>
      <c r="T603" s="371" t="s">
        <v>2271</v>
      </c>
      <c r="U603" s="373">
        <v>11750</v>
      </c>
      <c r="V603" s="373">
        <v>11750</v>
      </c>
      <c r="W603" s="371" t="s">
        <v>2271</v>
      </c>
      <c r="X603" s="373">
        <v>14680</v>
      </c>
      <c r="Y603" s="373">
        <v>14680</v>
      </c>
      <c r="Z603" s="371" t="s">
        <v>2271</v>
      </c>
      <c r="AA603" s="373">
        <v>0</v>
      </c>
      <c r="AB603" s="373">
        <v>14620</v>
      </c>
      <c r="AC603" s="373">
        <v>14620</v>
      </c>
      <c r="AD603" s="371" t="s">
        <v>2271</v>
      </c>
      <c r="AE603" s="373">
        <v>0</v>
      </c>
      <c r="AF603" s="382">
        <v>0.42013888888888901</v>
      </c>
      <c r="AG603" s="382">
        <v>0.42013888888888901</v>
      </c>
      <c r="AH603" s="371" t="s">
        <v>2271</v>
      </c>
      <c r="AI603" s="382">
        <v>0.46597222222222201</v>
      </c>
      <c r="AJ603" s="382">
        <v>0.46597222222222201</v>
      </c>
      <c r="AK603" s="371" t="s">
        <v>2271</v>
      </c>
      <c r="AL603" s="206" t="s">
        <v>137</v>
      </c>
      <c r="AM603" s="206" t="s">
        <v>137</v>
      </c>
      <c r="AN603" s="371" t="s">
        <v>2271</v>
      </c>
      <c r="AO603" s="206" t="s">
        <v>2770</v>
      </c>
      <c r="AP603" s="206" t="s">
        <v>1393</v>
      </c>
      <c r="AQ603" s="206" t="s">
        <v>1132</v>
      </c>
      <c r="AR603" s="207" t="s">
        <v>75</v>
      </c>
    </row>
    <row r="604" spans="1:44" x14ac:dyDescent="0.2">
      <c r="A604" s="370">
        <v>585</v>
      </c>
      <c r="B604" s="380">
        <v>375</v>
      </c>
      <c r="C604" s="371" t="s">
        <v>2269</v>
      </c>
      <c r="D604" s="371" t="s">
        <v>2235</v>
      </c>
      <c r="E604" s="206"/>
      <c r="F604" s="206" t="s">
        <v>56</v>
      </c>
      <c r="G604" s="206" t="s">
        <v>56</v>
      </c>
      <c r="H604" s="371" t="s">
        <v>2271</v>
      </c>
      <c r="I604" s="206" t="s">
        <v>1453</v>
      </c>
      <c r="J604" s="206" t="s">
        <v>1453</v>
      </c>
      <c r="K604" s="371" t="s">
        <v>2271</v>
      </c>
      <c r="L604" s="206" t="s">
        <v>2165</v>
      </c>
      <c r="M604" s="206" t="s">
        <v>1348</v>
      </c>
      <c r="N604" s="206" t="s">
        <v>59</v>
      </c>
      <c r="O604" s="372" t="s">
        <v>2164</v>
      </c>
      <c r="P604" s="372">
        <v>46009</v>
      </c>
      <c r="Q604" s="371" t="s">
        <v>2276</v>
      </c>
      <c r="R604" s="373">
        <v>25050</v>
      </c>
      <c r="S604" s="373">
        <v>25050</v>
      </c>
      <c r="T604" s="371" t="s">
        <v>2271</v>
      </c>
      <c r="U604" s="373">
        <v>10970</v>
      </c>
      <c r="V604" s="373">
        <v>10970</v>
      </c>
      <c r="W604" s="371" t="s">
        <v>2271</v>
      </c>
      <c r="X604" s="373">
        <v>14080</v>
      </c>
      <c r="Y604" s="373">
        <v>14080</v>
      </c>
      <c r="Z604" s="371" t="s">
        <v>2271</v>
      </c>
      <c r="AA604" s="373">
        <v>0</v>
      </c>
      <c r="AB604" s="373">
        <v>14080</v>
      </c>
      <c r="AC604" s="373">
        <v>14080</v>
      </c>
      <c r="AD604" s="371" t="s">
        <v>2271</v>
      </c>
      <c r="AE604" s="373">
        <v>0</v>
      </c>
      <c r="AF604" s="382">
        <v>0.42638888888888898</v>
      </c>
      <c r="AG604" s="382">
        <v>0.42638888888888898</v>
      </c>
      <c r="AH604" s="371" t="s">
        <v>2271</v>
      </c>
      <c r="AI604" s="382">
        <v>0.49375000000000002</v>
      </c>
      <c r="AJ604" s="382">
        <v>0.49375000000000002</v>
      </c>
      <c r="AK604" s="371" t="s">
        <v>2271</v>
      </c>
      <c r="AL604" s="206" t="s">
        <v>137</v>
      </c>
      <c r="AM604" s="206" t="s">
        <v>137</v>
      </c>
      <c r="AN604" s="371" t="s">
        <v>2271</v>
      </c>
      <c r="AO604" s="206" t="s">
        <v>2771</v>
      </c>
      <c r="AP604" s="206" t="s">
        <v>1781</v>
      </c>
      <c r="AQ604" s="206" t="s">
        <v>1132</v>
      </c>
      <c r="AR604" s="207" t="s">
        <v>75</v>
      </c>
    </row>
    <row r="605" spans="1:44" x14ac:dyDescent="0.2">
      <c r="A605" s="370">
        <v>586</v>
      </c>
      <c r="B605" s="380">
        <v>376</v>
      </c>
      <c r="C605" s="371" t="s">
        <v>2269</v>
      </c>
      <c r="D605" s="371" t="s">
        <v>2235</v>
      </c>
      <c r="E605" s="206"/>
      <c r="F605" s="206" t="s">
        <v>84</v>
      </c>
      <c r="G605" s="206" t="s">
        <v>84</v>
      </c>
      <c r="H605" s="371" t="s">
        <v>2271</v>
      </c>
      <c r="I605" s="206" t="s">
        <v>1453</v>
      </c>
      <c r="J605" s="206" t="s">
        <v>1453</v>
      </c>
      <c r="K605" s="371" t="s">
        <v>2271</v>
      </c>
      <c r="L605" s="206" t="s">
        <v>2165</v>
      </c>
      <c r="M605" s="206" t="s">
        <v>1348</v>
      </c>
      <c r="N605" s="206" t="s">
        <v>59</v>
      </c>
      <c r="O605" s="372" t="s">
        <v>2164</v>
      </c>
      <c r="P605" s="372">
        <v>46009</v>
      </c>
      <c r="Q605" s="371" t="s">
        <v>2276</v>
      </c>
      <c r="R605" s="373">
        <v>26560</v>
      </c>
      <c r="S605" s="373">
        <v>26560</v>
      </c>
      <c r="T605" s="371" t="s">
        <v>2271</v>
      </c>
      <c r="U605" s="373">
        <v>12210</v>
      </c>
      <c r="V605" s="373">
        <v>12210</v>
      </c>
      <c r="W605" s="371" t="s">
        <v>2271</v>
      </c>
      <c r="X605" s="373">
        <v>14350</v>
      </c>
      <c r="Y605" s="373">
        <v>14350</v>
      </c>
      <c r="Z605" s="371" t="s">
        <v>2271</v>
      </c>
      <c r="AA605" s="373">
        <v>0</v>
      </c>
      <c r="AB605" s="373">
        <v>14300</v>
      </c>
      <c r="AC605" s="373">
        <v>14300</v>
      </c>
      <c r="AD605" s="371" t="s">
        <v>2271</v>
      </c>
      <c r="AE605" s="373">
        <v>0</v>
      </c>
      <c r="AF605" s="382">
        <v>0.43611111111111101</v>
      </c>
      <c r="AG605" s="382">
        <v>0.43611111111111101</v>
      </c>
      <c r="AH605" s="371" t="s">
        <v>2271</v>
      </c>
      <c r="AI605" s="382">
        <v>0.50347222222222199</v>
      </c>
      <c r="AJ605" s="382">
        <v>0.50347222222222199</v>
      </c>
      <c r="AK605" s="371" t="s">
        <v>2271</v>
      </c>
      <c r="AL605" s="206" t="s">
        <v>137</v>
      </c>
      <c r="AM605" s="206" t="s">
        <v>137</v>
      </c>
      <c r="AN605" s="371" t="s">
        <v>2271</v>
      </c>
      <c r="AO605" s="206" t="s">
        <v>2772</v>
      </c>
      <c r="AP605" s="206" t="s">
        <v>1782</v>
      </c>
      <c r="AQ605" s="206" t="s">
        <v>1132</v>
      </c>
      <c r="AR605" s="207" t="s">
        <v>75</v>
      </c>
    </row>
    <row r="606" spans="1:44" x14ac:dyDescent="0.2">
      <c r="A606" s="370">
        <v>587</v>
      </c>
      <c r="B606" s="380">
        <v>377</v>
      </c>
      <c r="C606" s="371" t="s">
        <v>2269</v>
      </c>
      <c r="D606" s="371" t="s">
        <v>2235</v>
      </c>
      <c r="E606" s="206"/>
      <c r="F606" s="206" t="s">
        <v>76</v>
      </c>
      <c r="G606" s="206" t="s">
        <v>76</v>
      </c>
      <c r="H606" s="371" t="s">
        <v>2271</v>
      </c>
      <c r="I606" s="206" t="s">
        <v>1340</v>
      </c>
      <c r="J606" s="206" t="s">
        <v>1340</v>
      </c>
      <c r="K606" s="371" t="s">
        <v>2271</v>
      </c>
      <c r="L606" s="206" t="s">
        <v>2158</v>
      </c>
      <c r="M606" s="206" t="s">
        <v>1347</v>
      </c>
      <c r="N606" s="206" t="s">
        <v>78</v>
      </c>
      <c r="O606" s="372" t="s">
        <v>2164</v>
      </c>
      <c r="P606" s="372">
        <v>46009</v>
      </c>
      <c r="Q606" s="371" t="s">
        <v>2276</v>
      </c>
      <c r="R606" s="373">
        <v>45850</v>
      </c>
      <c r="S606" s="373">
        <v>45850</v>
      </c>
      <c r="T606" s="371" t="s">
        <v>2271</v>
      </c>
      <c r="U606" s="373">
        <v>18170</v>
      </c>
      <c r="V606" s="373">
        <v>18170</v>
      </c>
      <c r="W606" s="371" t="s">
        <v>2271</v>
      </c>
      <c r="X606" s="373">
        <v>27680</v>
      </c>
      <c r="Y606" s="373">
        <v>27680</v>
      </c>
      <c r="Z606" s="371" t="s">
        <v>2271</v>
      </c>
      <c r="AA606" s="373">
        <v>0</v>
      </c>
      <c r="AB606" s="373">
        <v>28040</v>
      </c>
      <c r="AC606" s="373">
        <v>28040</v>
      </c>
      <c r="AD606" s="371" t="s">
        <v>2271</v>
      </c>
      <c r="AE606" s="373">
        <v>0</v>
      </c>
      <c r="AF606" s="382">
        <v>0.79652777777777795</v>
      </c>
      <c r="AG606" s="382">
        <v>0.79652777777777795</v>
      </c>
      <c r="AH606" s="371" t="s">
        <v>2271</v>
      </c>
      <c r="AI606" s="382">
        <v>0.85138888888888897</v>
      </c>
      <c r="AJ606" s="382">
        <v>0.85138888888888897</v>
      </c>
      <c r="AK606" s="371" t="s">
        <v>2271</v>
      </c>
      <c r="AL606" s="206" t="s">
        <v>42</v>
      </c>
      <c r="AM606" s="206" t="s">
        <v>42</v>
      </c>
      <c r="AN606" s="371" t="s">
        <v>2271</v>
      </c>
      <c r="AO606" s="206" t="s">
        <v>2773</v>
      </c>
      <c r="AP606" s="206" t="s">
        <v>1372</v>
      </c>
      <c r="AQ606" s="206" t="s">
        <v>1133</v>
      </c>
      <c r="AR606" s="207" t="s">
        <v>88</v>
      </c>
    </row>
    <row r="607" spans="1:44" x14ac:dyDescent="0.2">
      <c r="A607" s="370">
        <v>588</v>
      </c>
      <c r="B607" s="380">
        <v>378</v>
      </c>
      <c r="C607" s="371" t="s">
        <v>2269</v>
      </c>
      <c r="D607" s="371" t="s">
        <v>2235</v>
      </c>
      <c r="E607" s="206"/>
      <c r="F607" s="206" t="s">
        <v>56</v>
      </c>
      <c r="G607" s="206" t="s">
        <v>56</v>
      </c>
      <c r="H607" s="371" t="s">
        <v>2271</v>
      </c>
      <c r="I607" s="206" t="s">
        <v>1340</v>
      </c>
      <c r="J607" s="206" t="s">
        <v>1340</v>
      </c>
      <c r="K607" s="371" t="s">
        <v>2271</v>
      </c>
      <c r="L607" s="206" t="s">
        <v>2158</v>
      </c>
      <c r="M607" s="206" t="s">
        <v>1347</v>
      </c>
      <c r="N607" s="206" t="s">
        <v>78</v>
      </c>
      <c r="O607" s="372" t="s">
        <v>2164</v>
      </c>
      <c r="P607" s="372">
        <v>46009</v>
      </c>
      <c r="Q607" s="371" t="s">
        <v>2276</v>
      </c>
      <c r="R607" s="373">
        <v>25010</v>
      </c>
      <c r="S607" s="373">
        <v>25010</v>
      </c>
      <c r="T607" s="371" t="s">
        <v>2271</v>
      </c>
      <c r="U607" s="373">
        <v>10850</v>
      </c>
      <c r="V607" s="373">
        <v>10850</v>
      </c>
      <c r="W607" s="371" t="s">
        <v>2271</v>
      </c>
      <c r="X607" s="373">
        <v>14160</v>
      </c>
      <c r="Y607" s="373">
        <v>14160</v>
      </c>
      <c r="Z607" s="371" t="s">
        <v>2271</v>
      </c>
      <c r="AA607" s="373">
        <v>0</v>
      </c>
      <c r="AB607" s="373">
        <v>14120</v>
      </c>
      <c r="AC607" s="373">
        <v>14120</v>
      </c>
      <c r="AD607" s="371" t="s">
        <v>2271</v>
      </c>
      <c r="AE607" s="373">
        <v>0</v>
      </c>
      <c r="AF607" s="382">
        <v>0.79791666666666705</v>
      </c>
      <c r="AG607" s="382">
        <v>0.79791666666666705</v>
      </c>
      <c r="AH607" s="371" t="s">
        <v>2271</v>
      </c>
      <c r="AI607" s="382">
        <v>0.87083333333333302</v>
      </c>
      <c r="AJ607" s="382">
        <v>0.87083333333333302</v>
      </c>
      <c r="AK607" s="371" t="s">
        <v>2271</v>
      </c>
      <c r="AL607" s="206" t="s">
        <v>42</v>
      </c>
      <c r="AM607" s="206" t="s">
        <v>42</v>
      </c>
      <c r="AN607" s="371" t="s">
        <v>2271</v>
      </c>
      <c r="AO607" s="206" t="s">
        <v>2774</v>
      </c>
      <c r="AP607" s="206" t="s">
        <v>1781</v>
      </c>
      <c r="AQ607" s="206" t="s">
        <v>1132</v>
      </c>
      <c r="AR607" s="207" t="s">
        <v>88</v>
      </c>
    </row>
    <row r="608" spans="1:44" x14ac:dyDescent="0.2">
      <c r="A608" s="370">
        <v>589</v>
      </c>
      <c r="B608" s="380">
        <v>379</v>
      </c>
      <c r="C608" s="371" t="s">
        <v>2269</v>
      </c>
      <c r="D608" s="371" t="s">
        <v>2235</v>
      </c>
      <c r="E608" s="206"/>
      <c r="F608" s="206" t="s">
        <v>46</v>
      </c>
      <c r="G608" s="206" t="s">
        <v>46</v>
      </c>
      <c r="H608" s="371" t="s">
        <v>2271</v>
      </c>
      <c r="I608" s="206" t="s">
        <v>1340</v>
      </c>
      <c r="J608" s="206" t="s">
        <v>1340</v>
      </c>
      <c r="K608" s="371" t="s">
        <v>2271</v>
      </c>
      <c r="L608" s="206" t="s">
        <v>2158</v>
      </c>
      <c r="M608" s="206" t="s">
        <v>1347</v>
      </c>
      <c r="N608" s="206" t="s">
        <v>78</v>
      </c>
      <c r="O608" s="372" t="s">
        <v>2164</v>
      </c>
      <c r="P608" s="372">
        <v>46009</v>
      </c>
      <c r="Q608" s="371" t="s">
        <v>2276</v>
      </c>
      <c r="R608" s="373">
        <v>26600</v>
      </c>
      <c r="S608" s="373">
        <v>26600</v>
      </c>
      <c r="T608" s="371" t="s">
        <v>2271</v>
      </c>
      <c r="U608" s="373">
        <v>11870</v>
      </c>
      <c r="V608" s="373">
        <v>11870</v>
      </c>
      <c r="W608" s="371" t="s">
        <v>2271</v>
      </c>
      <c r="X608" s="373">
        <v>14730</v>
      </c>
      <c r="Y608" s="373">
        <v>14730</v>
      </c>
      <c r="Z608" s="371" t="s">
        <v>2271</v>
      </c>
      <c r="AA608" s="373">
        <v>0</v>
      </c>
      <c r="AB608" s="373">
        <v>14780</v>
      </c>
      <c r="AC608" s="373">
        <v>14780</v>
      </c>
      <c r="AD608" s="371" t="s">
        <v>2271</v>
      </c>
      <c r="AE608" s="373">
        <v>0</v>
      </c>
      <c r="AF608" s="382">
        <v>0.82013888888888897</v>
      </c>
      <c r="AG608" s="382">
        <v>0.82013888888888897</v>
      </c>
      <c r="AH608" s="371" t="s">
        <v>2271</v>
      </c>
      <c r="AI608" s="382">
        <v>0.87708333333333299</v>
      </c>
      <c r="AJ608" s="382">
        <v>0.87708333333333299</v>
      </c>
      <c r="AK608" s="371" t="s">
        <v>2271</v>
      </c>
      <c r="AL608" s="206" t="s">
        <v>42</v>
      </c>
      <c r="AM608" s="206" t="s">
        <v>42</v>
      </c>
      <c r="AN608" s="371" t="s">
        <v>2271</v>
      </c>
      <c r="AO608" s="206" t="s">
        <v>2775</v>
      </c>
      <c r="AP608" s="206" t="s">
        <v>1393</v>
      </c>
      <c r="AQ608" s="206" t="s">
        <v>1132</v>
      </c>
      <c r="AR608" s="207" t="s">
        <v>88</v>
      </c>
    </row>
    <row r="609" spans="1:44" x14ac:dyDescent="0.2">
      <c r="A609" s="370">
        <v>590</v>
      </c>
      <c r="B609" s="380">
        <v>380</v>
      </c>
      <c r="C609" s="371" t="s">
        <v>2269</v>
      </c>
      <c r="D609" s="371" t="s">
        <v>2235</v>
      </c>
      <c r="E609" s="206"/>
      <c r="F609" s="206" t="s">
        <v>84</v>
      </c>
      <c r="G609" s="206" t="s">
        <v>84</v>
      </c>
      <c r="H609" s="371" t="s">
        <v>2271</v>
      </c>
      <c r="I609" s="206" t="s">
        <v>1340</v>
      </c>
      <c r="J609" s="206" t="s">
        <v>1340</v>
      </c>
      <c r="K609" s="371" t="s">
        <v>2271</v>
      </c>
      <c r="L609" s="206" t="s">
        <v>2158</v>
      </c>
      <c r="M609" s="206" t="s">
        <v>1347</v>
      </c>
      <c r="N609" s="206" t="s">
        <v>78</v>
      </c>
      <c r="O609" s="372" t="s">
        <v>2164</v>
      </c>
      <c r="P609" s="372">
        <v>46009</v>
      </c>
      <c r="Q609" s="371" t="s">
        <v>2276</v>
      </c>
      <c r="R609" s="373">
        <v>26560</v>
      </c>
      <c r="S609" s="373">
        <v>26560</v>
      </c>
      <c r="T609" s="371" t="s">
        <v>2271</v>
      </c>
      <c r="U609" s="373">
        <v>12150</v>
      </c>
      <c r="V609" s="373">
        <v>12150</v>
      </c>
      <c r="W609" s="371" t="s">
        <v>2271</v>
      </c>
      <c r="X609" s="373">
        <v>14410</v>
      </c>
      <c r="Y609" s="373">
        <v>14410</v>
      </c>
      <c r="Z609" s="371" t="s">
        <v>2271</v>
      </c>
      <c r="AA609" s="373">
        <v>0</v>
      </c>
      <c r="AB609" s="373">
        <v>14420</v>
      </c>
      <c r="AC609" s="373">
        <v>14420</v>
      </c>
      <c r="AD609" s="371" t="s">
        <v>2271</v>
      </c>
      <c r="AE609" s="373">
        <v>0</v>
      </c>
      <c r="AF609" s="382">
        <v>0.82361111111111096</v>
      </c>
      <c r="AG609" s="382">
        <v>0.82361111111111096</v>
      </c>
      <c r="AH609" s="371" t="s">
        <v>2271</v>
      </c>
      <c r="AI609" s="382">
        <v>0.92083333333333295</v>
      </c>
      <c r="AJ609" s="382">
        <v>0.92083333333333295</v>
      </c>
      <c r="AK609" s="371" t="s">
        <v>2271</v>
      </c>
      <c r="AL609" s="206" t="s">
        <v>42</v>
      </c>
      <c r="AM609" s="206" t="s">
        <v>42</v>
      </c>
      <c r="AN609" s="371" t="s">
        <v>2271</v>
      </c>
      <c r="AO609" s="206" t="s">
        <v>2776</v>
      </c>
      <c r="AP609" s="206" t="s">
        <v>1782</v>
      </c>
      <c r="AQ609" s="206" t="s">
        <v>1132</v>
      </c>
      <c r="AR609" s="207" t="s">
        <v>88</v>
      </c>
    </row>
    <row r="610" spans="1:44" x14ac:dyDescent="0.2">
      <c r="A610" s="370">
        <v>591</v>
      </c>
      <c r="B610" s="380">
        <v>381</v>
      </c>
      <c r="C610" s="371" t="s">
        <v>2269</v>
      </c>
      <c r="D610" s="371" t="s">
        <v>2235</v>
      </c>
      <c r="E610" s="206"/>
      <c r="F610" s="206" t="s">
        <v>70</v>
      </c>
      <c r="G610" s="206" t="s">
        <v>70</v>
      </c>
      <c r="H610" s="371" t="s">
        <v>2271</v>
      </c>
      <c r="I610" s="206" t="s">
        <v>1340</v>
      </c>
      <c r="J610" s="206" t="s">
        <v>1340</v>
      </c>
      <c r="K610" s="371" t="s">
        <v>2271</v>
      </c>
      <c r="L610" s="206" t="s">
        <v>2158</v>
      </c>
      <c r="M610" s="206" t="s">
        <v>1347</v>
      </c>
      <c r="N610" s="206" t="s">
        <v>78</v>
      </c>
      <c r="O610" s="372" t="s">
        <v>2164</v>
      </c>
      <c r="P610" s="372">
        <v>46009</v>
      </c>
      <c r="Q610" s="371" t="s">
        <v>2276</v>
      </c>
      <c r="R610" s="373">
        <v>45740</v>
      </c>
      <c r="S610" s="373">
        <v>45740</v>
      </c>
      <c r="T610" s="371" t="s">
        <v>2271</v>
      </c>
      <c r="U610" s="373">
        <v>17710</v>
      </c>
      <c r="V610" s="373">
        <v>17710</v>
      </c>
      <c r="W610" s="371" t="s">
        <v>2271</v>
      </c>
      <c r="X610" s="373">
        <v>28030</v>
      </c>
      <c r="Y610" s="373">
        <v>28030</v>
      </c>
      <c r="Z610" s="371" t="s">
        <v>2271</v>
      </c>
      <c r="AA610" s="373">
        <v>0</v>
      </c>
      <c r="AB610" s="373">
        <v>28080</v>
      </c>
      <c r="AC610" s="373">
        <v>28080</v>
      </c>
      <c r="AD610" s="371" t="s">
        <v>2271</v>
      </c>
      <c r="AE610" s="373">
        <v>0</v>
      </c>
      <c r="AF610" s="382">
        <v>0.82777777777777795</v>
      </c>
      <c r="AG610" s="382">
        <v>0.82777777777777795</v>
      </c>
      <c r="AH610" s="371" t="s">
        <v>2271</v>
      </c>
      <c r="AI610" s="382">
        <v>0.88194444444444497</v>
      </c>
      <c r="AJ610" s="382">
        <v>0.88194444444444398</v>
      </c>
      <c r="AK610" s="371" t="s">
        <v>2276</v>
      </c>
      <c r="AL610" s="206" t="s">
        <v>42</v>
      </c>
      <c r="AM610" s="206" t="s">
        <v>42</v>
      </c>
      <c r="AN610" s="371" t="s">
        <v>2271</v>
      </c>
      <c r="AO610" s="206" t="s">
        <v>2777</v>
      </c>
      <c r="AP610" s="206" t="s">
        <v>1499</v>
      </c>
      <c r="AQ610" s="206" t="s">
        <v>1133</v>
      </c>
      <c r="AR610" s="207" t="s">
        <v>88</v>
      </c>
    </row>
    <row r="611" spans="1:44" x14ac:dyDescent="0.2">
      <c r="A611" s="370">
        <v>592</v>
      </c>
      <c r="B611" s="380">
        <v>382</v>
      </c>
      <c r="C611" s="371" t="s">
        <v>2337</v>
      </c>
      <c r="D611" s="371" t="s">
        <v>2235</v>
      </c>
      <c r="E611" s="206"/>
      <c r="F611" s="206" t="s">
        <v>155</v>
      </c>
      <c r="G611" s="206" t="s">
        <v>155</v>
      </c>
      <c r="H611" s="371" t="s">
        <v>2271</v>
      </c>
      <c r="I611" s="206"/>
      <c r="J611" s="206" t="s">
        <v>1335</v>
      </c>
      <c r="K611" s="371" t="s">
        <v>2276</v>
      </c>
      <c r="L611" s="206" t="s">
        <v>2151</v>
      </c>
      <c r="M611" s="206" t="s">
        <v>1334</v>
      </c>
      <c r="N611" s="206" t="s">
        <v>40</v>
      </c>
      <c r="O611" s="372" t="s">
        <v>2166</v>
      </c>
      <c r="P611" s="372">
        <v>46010</v>
      </c>
      <c r="Q611" s="371" t="s">
        <v>2276</v>
      </c>
      <c r="R611" s="373">
        <v>13530</v>
      </c>
      <c r="S611" s="373">
        <v>13530</v>
      </c>
      <c r="T611" s="371" t="s">
        <v>2271</v>
      </c>
      <c r="U611" s="373">
        <v>3970</v>
      </c>
      <c r="V611" s="373">
        <v>3970</v>
      </c>
      <c r="W611" s="371" t="s">
        <v>2271</v>
      </c>
      <c r="X611" s="373">
        <v>9560</v>
      </c>
      <c r="Y611" s="373">
        <v>9560</v>
      </c>
      <c r="Z611" s="371" t="s">
        <v>2271</v>
      </c>
      <c r="AA611" s="373">
        <v>0</v>
      </c>
      <c r="AB611" s="373">
        <v>9650</v>
      </c>
      <c r="AC611" s="373">
        <v>9650</v>
      </c>
      <c r="AD611" s="371" t="s">
        <v>2271</v>
      </c>
      <c r="AE611" s="373">
        <v>0</v>
      </c>
      <c r="AF611" s="382">
        <v>0.35138888888888897</v>
      </c>
      <c r="AG611" s="382">
        <v>0.35138888888888897</v>
      </c>
      <c r="AH611" s="371" t="s">
        <v>2271</v>
      </c>
      <c r="AI611" s="382">
        <v>0.420833333333333</v>
      </c>
      <c r="AJ611" s="382">
        <v>0.420833333333333</v>
      </c>
      <c r="AK611" s="371" t="s">
        <v>2271</v>
      </c>
      <c r="AL611" s="206" t="s">
        <v>137</v>
      </c>
      <c r="AM611" s="206" t="s">
        <v>137</v>
      </c>
      <c r="AN611" s="371" t="s">
        <v>2271</v>
      </c>
      <c r="AO611" s="206" t="s">
        <v>2778</v>
      </c>
      <c r="AP611" s="206"/>
      <c r="AQ611" s="206" t="s">
        <v>1131</v>
      </c>
      <c r="AR611" s="207" t="s">
        <v>82</v>
      </c>
    </row>
    <row r="612" spans="1:44" x14ac:dyDescent="0.2">
      <c r="A612" s="370">
        <v>593</v>
      </c>
      <c r="B612" s="380">
        <v>383</v>
      </c>
      <c r="C612" s="371" t="s">
        <v>2337</v>
      </c>
      <c r="D612" s="371" t="s">
        <v>2235</v>
      </c>
      <c r="E612" s="206"/>
      <c r="F612" s="206" t="s">
        <v>149</v>
      </c>
      <c r="G612" s="206" t="s">
        <v>149</v>
      </c>
      <c r="H612" s="371" t="s">
        <v>2271</v>
      </c>
      <c r="I612" s="206"/>
      <c r="J612" s="206" t="s">
        <v>1335</v>
      </c>
      <c r="K612" s="371" t="s">
        <v>2276</v>
      </c>
      <c r="L612" s="206" t="s">
        <v>2151</v>
      </c>
      <c r="M612" s="206" t="s">
        <v>1334</v>
      </c>
      <c r="N612" s="206" t="s">
        <v>40</v>
      </c>
      <c r="O612" s="372" t="s">
        <v>2166</v>
      </c>
      <c r="P612" s="372">
        <v>46010</v>
      </c>
      <c r="Q612" s="371" t="s">
        <v>2276</v>
      </c>
      <c r="R612" s="373">
        <v>13880</v>
      </c>
      <c r="S612" s="373">
        <v>13880</v>
      </c>
      <c r="T612" s="371" t="s">
        <v>2271</v>
      </c>
      <c r="U612" s="373">
        <v>4050</v>
      </c>
      <c r="V612" s="373">
        <v>4050</v>
      </c>
      <c r="W612" s="371" t="s">
        <v>2271</v>
      </c>
      <c r="X612" s="373">
        <v>9830</v>
      </c>
      <c r="Y612" s="373">
        <v>9830</v>
      </c>
      <c r="Z612" s="371" t="s">
        <v>2271</v>
      </c>
      <c r="AA612" s="373">
        <v>0</v>
      </c>
      <c r="AB612" s="373">
        <v>9840</v>
      </c>
      <c r="AC612" s="373">
        <v>9840</v>
      </c>
      <c r="AD612" s="371" t="s">
        <v>2271</v>
      </c>
      <c r="AE612" s="373">
        <v>0</v>
      </c>
      <c r="AF612" s="382">
        <v>0.35277777777777802</v>
      </c>
      <c r="AG612" s="382">
        <v>0.35277777777777802</v>
      </c>
      <c r="AH612" s="371" t="s">
        <v>2271</v>
      </c>
      <c r="AI612" s="382">
        <v>0.41944444444444401</v>
      </c>
      <c r="AJ612" s="382">
        <v>0.41944444444444501</v>
      </c>
      <c r="AK612" s="371" t="s">
        <v>2276</v>
      </c>
      <c r="AL612" s="206" t="s">
        <v>137</v>
      </c>
      <c r="AM612" s="206" t="s">
        <v>137</v>
      </c>
      <c r="AN612" s="371" t="s">
        <v>2271</v>
      </c>
      <c r="AO612" s="206" t="s">
        <v>2779</v>
      </c>
      <c r="AP612" s="206"/>
      <c r="AQ612" s="206" t="s">
        <v>1131</v>
      </c>
      <c r="AR612" s="207" t="s">
        <v>82</v>
      </c>
    </row>
    <row r="613" spans="1:44" x14ac:dyDescent="0.2">
      <c r="A613" s="370">
        <v>594</v>
      </c>
      <c r="B613" s="380">
        <v>384</v>
      </c>
      <c r="C613" s="371" t="s">
        <v>2337</v>
      </c>
      <c r="D613" s="371" t="s">
        <v>2235</v>
      </c>
      <c r="E613" s="206"/>
      <c r="F613" s="206" t="s">
        <v>153</v>
      </c>
      <c r="G613" s="206" t="s">
        <v>153</v>
      </c>
      <c r="H613" s="371" t="s">
        <v>2271</v>
      </c>
      <c r="I613" s="206"/>
      <c r="J613" s="206" t="s">
        <v>1335</v>
      </c>
      <c r="K613" s="371" t="s">
        <v>2276</v>
      </c>
      <c r="L613" s="206" t="s">
        <v>2151</v>
      </c>
      <c r="M613" s="206" t="s">
        <v>1334</v>
      </c>
      <c r="N613" s="206" t="s">
        <v>40</v>
      </c>
      <c r="O613" s="372" t="s">
        <v>2166</v>
      </c>
      <c r="P613" s="372">
        <v>46010</v>
      </c>
      <c r="Q613" s="371" t="s">
        <v>2276</v>
      </c>
      <c r="R613" s="373">
        <v>13590</v>
      </c>
      <c r="S613" s="373">
        <v>13590</v>
      </c>
      <c r="T613" s="371" t="s">
        <v>2271</v>
      </c>
      <c r="U613" s="373">
        <v>4000</v>
      </c>
      <c r="V613" s="373">
        <v>4000</v>
      </c>
      <c r="W613" s="371" t="s">
        <v>2271</v>
      </c>
      <c r="X613" s="373">
        <v>9590</v>
      </c>
      <c r="Y613" s="373">
        <v>9590</v>
      </c>
      <c r="Z613" s="371" t="s">
        <v>2271</v>
      </c>
      <c r="AA613" s="373">
        <v>0</v>
      </c>
      <c r="AB613" s="373">
        <v>9550</v>
      </c>
      <c r="AC613" s="373">
        <v>9550</v>
      </c>
      <c r="AD613" s="371" t="s">
        <v>2271</v>
      </c>
      <c r="AE613" s="373">
        <v>0</v>
      </c>
      <c r="AF613" s="382">
        <v>0.35416666666666702</v>
      </c>
      <c r="AG613" s="382">
        <v>0.35416666666666702</v>
      </c>
      <c r="AH613" s="371" t="s">
        <v>2271</v>
      </c>
      <c r="AI613" s="382">
        <v>0.41875000000000001</v>
      </c>
      <c r="AJ613" s="382">
        <v>0.41875000000000001</v>
      </c>
      <c r="AK613" s="371" t="s">
        <v>2271</v>
      </c>
      <c r="AL613" s="206" t="s">
        <v>137</v>
      </c>
      <c r="AM613" s="206" t="s">
        <v>137</v>
      </c>
      <c r="AN613" s="371" t="s">
        <v>2271</v>
      </c>
      <c r="AO613" s="206" t="s">
        <v>2780</v>
      </c>
      <c r="AP613" s="206"/>
      <c r="AQ613" s="206" t="s">
        <v>1131</v>
      </c>
      <c r="AR613" s="207" t="s">
        <v>82</v>
      </c>
    </row>
    <row r="614" spans="1:44" x14ac:dyDescent="0.2">
      <c r="A614" s="370">
        <v>595</v>
      </c>
      <c r="B614" s="380">
        <v>385</v>
      </c>
      <c r="C614" s="371" t="s">
        <v>2337</v>
      </c>
      <c r="D614" s="371" t="s">
        <v>2235</v>
      </c>
      <c r="E614" s="206"/>
      <c r="F614" s="206" t="s">
        <v>56</v>
      </c>
      <c r="G614" s="206" t="s">
        <v>56</v>
      </c>
      <c r="H614" s="371" t="s">
        <v>2271</v>
      </c>
      <c r="I614" s="206"/>
      <c r="J614" s="206" t="s">
        <v>1453</v>
      </c>
      <c r="K614" s="371" t="s">
        <v>2276</v>
      </c>
      <c r="L614" s="206" t="s">
        <v>2167</v>
      </c>
      <c r="M614" s="206" t="s">
        <v>1348</v>
      </c>
      <c r="N614" s="206" t="s">
        <v>59</v>
      </c>
      <c r="O614" s="372" t="s">
        <v>2166</v>
      </c>
      <c r="P614" s="372">
        <v>46010</v>
      </c>
      <c r="Q614" s="371" t="s">
        <v>2276</v>
      </c>
      <c r="R614" s="373">
        <v>25110</v>
      </c>
      <c r="S614" s="373">
        <v>25110</v>
      </c>
      <c r="T614" s="371" t="s">
        <v>2271</v>
      </c>
      <c r="U614" s="373">
        <v>10940</v>
      </c>
      <c r="V614" s="373">
        <v>10940</v>
      </c>
      <c r="W614" s="371" t="s">
        <v>2271</v>
      </c>
      <c r="X614" s="373">
        <v>14170</v>
      </c>
      <c r="Y614" s="373">
        <v>14170</v>
      </c>
      <c r="Z614" s="371" t="s">
        <v>2271</v>
      </c>
      <c r="AA614" s="373">
        <v>0</v>
      </c>
      <c r="AB614" s="373">
        <v>14180</v>
      </c>
      <c r="AC614" s="373">
        <v>14180</v>
      </c>
      <c r="AD614" s="371" t="s">
        <v>2271</v>
      </c>
      <c r="AE614" s="373">
        <v>0</v>
      </c>
      <c r="AF614" s="382">
        <v>0.38194444444444398</v>
      </c>
      <c r="AG614" s="382">
        <v>0.38194444444444398</v>
      </c>
      <c r="AH614" s="371" t="s">
        <v>2271</v>
      </c>
      <c r="AI614" s="382">
        <v>0.47152777777777799</v>
      </c>
      <c r="AJ614" s="382">
        <v>0.47152777777777799</v>
      </c>
      <c r="AK614" s="371" t="s">
        <v>2271</v>
      </c>
      <c r="AL614" s="206" t="s">
        <v>137</v>
      </c>
      <c r="AM614" s="206" t="s">
        <v>137</v>
      </c>
      <c r="AN614" s="371" t="s">
        <v>2271</v>
      </c>
      <c r="AO614" s="206" t="s">
        <v>2781</v>
      </c>
      <c r="AP614" s="206" t="s">
        <v>1781</v>
      </c>
      <c r="AQ614" s="206" t="s">
        <v>1132</v>
      </c>
      <c r="AR614" s="207" t="s">
        <v>75</v>
      </c>
    </row>
    <row r="615" spans="1:44" x14ac:dyDescent="0.2">
      <c r="A615" s="370">
        <v>596</v>
      </c>
      <c r="B615" s="380">
        <v>386</v>
      </c>
      <c r="C615" s="371" t="s">
        <v>2337</v>
      </c>
      <c r="D615" s="371" t="s">
        <v>2235</v>
      </c>
      <c r="E615" s="206"/>
      <c r="F615" s="206" t="s">
        <v>46</v>
      </c>
      <c r="G615" s="206" t="s">
        <v>46</v>
      </c>
      <c r="H615" s="371" t="s">
        <v>2271</v>
      </c>
      <c r="I615" s="206"/>
      <c r="J615" s="206" t="s">
        <v>1453</v>
      </c>
      <c r="K615" s="371" t="s">
        <v>2276</v>
      </c>
      <c r="L615" s="206" t="s">
        <v>2167</v>
      </c>
      <c r="M615" s="206" t="s">
        <v>1348</v>
      </c>
      <c r="N615" s="206" t="s">
        <v>59</v>
      </c>
      <c r="O615" s="372" t="s">
        <v>2166</v>
      </c>
      <c r="P615" s="372">
        <v>46010</v>
      </c>
      <c r="Q615" s="371" t="s">
        <v>2276</v>
      </c>
      <c r="R615" s="373">
        <v>26520</v>
      </c>
      <c r="S615" s="373">
        <v>26520</v>
      </c>
      <c r="T615" s="371" t="s">
        <v>2271</v>
      </c>
      <c r="U615" s="373">
        <v>11840</v>
      </c>
      <c r="V615" s="373">
        <v>11840</v>
      </c>
      <c r="W615" s="371" t="s">
        <v>2271</v>
      </c>
      <c r="X615" s="373">
        <v>14680</v>
      </c>
      <c r="Y615" s="373">
        <v>14680</v>
      </c>
      <c r="Z615" s="371" t="s">
        <v>2271</v>
      </c>
      <c r="AA615" s="373">
        <v>0</v>
      </c>
      <c r="AB615" s="373">
        <v>14660</v>
      </c>
      <c r="AC615" s="373">
        <v>14660</v>
      </c>
      <c r="AD615" s="371" t="s">
        <v>2271</v>
      </c>
      <c r="AE615" s="373">
        <v>0</v>
      </c>
      <c r="AF615" s="382">
        <v>0.38888888888888901</v>
      </c>
      <c r="AG615" s="382">
        <v>0.38888888888888901</v>
      </c>
      <c r="AH615" s="371" t="s">
        <v>2271</v>
      </c>
      <c r="AI615" s="382">
        <v>0.55069444444444404</v>
      </c>
      <c r="AJ615" s="382">
        <v>0.55069444444444504</v>
      </c>
      <c r="AK615" s="371" t="s">
        <v>2276</v>
      </c>
      <c r="AL615" s="206" t="s">
        <v>137</v>
      </c>
      <c r="AM615" s="206" t="s">
        <v>137</v>
      </c>
      <c r="AN615" s="371" t="s">
        <v>2271</v>
      </c>
      <c r="AO615" s="206" t="s">
        <v>2782</v>
      </c>
      <c r="AP615" s="206" t="s">
        <v>1393</v>
      </c>
      <c r="AQ615" s="206" t="s">
        <v>1132</v>
      </c>
      <c r="AR615" s="207" t="s">
        <v>75</v>
      </c>
    </row>
    <row r="616" spans="1:44" x14ac:dyDescent="0.2">
      <c r="A616" s="370">
        <v>597</v>
      </c>
      <c r="B616" s="380">
        <v>387</v>
      </c>
      <c r="C616" s="371" t="s">
        <v>2337</v>
      </c>
      <c r="D616" s="371" t="s">
        <v>2235</v>
      </c>
      <c r="E616" s="206"/>
      <c r="F616" s="206" t="s">
        <v>84</v>
      </c>
      <c r="G616" s="206" t="s">
        <v>84</v>
      </c>
      <c r="H616" s="371" t="s">
        <v>2271</v>
      </c>
      <c r="I616" s="206"/>
      <c r="J616" s="206" t="s">
        <v>1453</v>
      </c>
      <c r="K616" s="371" t="s">
        <v>2276</v>
      </c>
      <c r="L616" s="206" t="s">
        <v>2167</v>
      </c>
      <c r="M616" s="206" t="s">
        <v>1348</v>
      </c>
      <c r="N616" s="206" t="s">
        <v>59</v>
      </c>
      <c r="O616" s="372" t="s">
        <v>2166</v>
      </c>
      <c r="P616" s="372">
        <v>46010</v>
      </c>
      <c r="Q616" s="371" t="s">
        <v>2276</v>
      </c>
      <c r="R616" s="373">
        <v>26670</v>
      </c>
      <c r="S616" s="373">
        <v>26670</v>
      </c>
      <c r="T616" s="371" t="s">
        <v>2271</v>
      </c>
      <c r="U616" s="373">
        <v>12280</v>
      </c>
      <c r="V616" s="373">
        <v>12280</v>
      </c>
      <c r="W616" s="371" t="s">
        <v>2271</v>
      </c>
      <c r="X616" s="373">
        <v>14390</v>
      </c>
      <c r="Y616" s="373">
        <v>14390</v>
      </c>
      <c r="Z616" s="371" t="s">
        <v>2271</v>
      </c>
      <c r="AA616" s="373">
        <v>0</v>
      </c>
      <c r="AB616" s="373">
        <v>14360</v>
      </c>
      <c r="AC616" s="373">
        <v>14360</v>
      </c>
      <c r="AD616" s="371" t="s">
        <v>2271</v>
      </c>
      <c r="AE616" s="373">
        <v>0</v>
      </c>
      <c r="AF616" s="382">
        <v>0.422222222222222</v>
      </c>
      <c r="AG616" s="382">
        <v>0.422222222222222</v>
      </c>
      <c r="AH616" s="371" t="s">
        <v>2271</v>
      </c>
      <c r="AI616" s="382">
        <v>0.55138888888888904</v>
      </c>
      <c r="AJ616" s="382">
        <v>0.55138888888888904</v>
      </c>
      <c r="AK616" s="371" t="s">
        <v>2271</v>
      </c>
      <c r="AL616" s="206" t="s">
        <v>137</v>
      </c>
      <c r="AM616" s="206" t="s">
        <v>137</v>
      </c>
      <c r="AN616" s="371" t="s">
        <v>2271</v>
      </c>
      <c r="AO616" s="206" t="s">
        <v>2783</v>
      </c>
      <c r="AP616" s="206" t="s">
        <v>1782</v>
      </c>
      <c r="AQ616" s="206" t="s">
        <v>1132</v>
      </c>
      <c r="AR616" s="207" t="s">
        <v>75</v>
      </c>
    </row>
    <row r="617" spans="1:44" x14ac:dyDescent="0.2">
      <c r="A617" s="370">
        <v>598</v>
      </c>
      <c r="B617" s="380">
        <v>388</v>
      </c>
      <c r="C617" s="371" t="s">
        <v>2337</v>
      </c>
      <c r="D617" s="371" t="s">
        <v>2235</v>
      </c>
      <c r="E617" s="206"/>
      <c r="F617" s="206" t="s">
        <v>70</v>
      </c>
      <c r="G617" s="206" t="s">
        <v>70</v>
      </c>
      <c r="H617" s="371" t="s">
        <v>2271</v>
      </c>
      <c r="I617" s="206"/>
      <c r="J617" s="206" t="s">
        <v>1453</v>
      </c>
      <c r="K617" s="371" t="s">
        <v>2276</v>
      </c>
      <c r="L617" s="206" t="s">
        <v>2167</v>
      </c>
      <c r="M617" s="206" t="s">
        <v>1348</v>
      </c>
      <c r="N617" s="206" t="s">
        <v>59</v>
      </c>
      <c r="O617" s="372" t="s">
        <v>2166</v>
      </c>
      <c r="P617" s="372">
        <v>46010</v>
      </c>
      <c r="Q617" s="371" t="s">
        <v>2276</v>
      </c>
      <c r="R617" s="373">
        <v>45600</v>
      </c>
      <c r="S617" s="373">
        <v>45600</v>
      </c>
      <c r="T617" s="371" t="s">
        <v>2271</v>
      </c>
      <c r="U617" s="373">
        <v>17650</v>
      </c>
      <c r="V617" s="373">
        <v>17650</v>
      </c>
      <c r="W617" s="371" t="s">
        <v>2271</v>
      </c>
      <c r="X617" s="373">
        <v>27950</v>
      </c>
      <c r="Y617" s="373">
        <v>27950</v>
      </c>
      <c r="Z617" s="371" t="s">
        <v>2271</v>
      </c>
      <c r="AA617" s="373">
        <v>0</v>
      </c>
      <c r="AB617" s="373">
        <v>27880</v>
      </c>
      <c r="AC617" s="373">
        <v>27880</v>
      </c>
      <c r="AD617" s="371" t="s">
        <v>2271</v>
      </c>
      <c r="AE617" s="373">
        <v>0</v>
      </c>
      <c r="AF617" s="382">
        <v>0.43263888888888902</v>
      </c>
      <c r="AG617" s="382">
        <v>0.43263888888888902</v>
      </c>
      <c r="AH617" s="371" t="s">
        <v>2271</v>
      </c>
      <c r="AI617" s="382">
        <v>0.55416666666666703</v>
      </c>
      <c r="AJ617" s="382">
        <v>0.55416666666666703</v>
      </c>
      <c r="AK617" s="371" t="s">
        <v>2271</v>
      </c>
      <c r="AL617" s="206" t="s">
        <v>137</v>
      </c>
      <c r="AM617" s="206" t="s">
        <v>137</v>
      </c>
      <c r="AN617" s="371" t="s">
        <v>2271</v>
      </c>
      <c r="AO617" s="206" t="s">
        <v>2784</v>
      </c>
      <c r="AP617" s="206" t="s">
        <v>1499</v>
      </c>
      <c r="AQ617" s="206" t="s">
        <v>1133</v>
      </c>
      <c r="AR617" s="207" t="s">
        <v>75</v>
      </c>
    </row>
    <row r="618" spans="1:44" x14ac:dyDescent="0.2">
      <c r="A618" s="370">
        <v>599</v>
      </c>
      <c r="B618" s="380">
        <v>389</v>
      </c>
      <c r="C618" s="371" t="s">
        <v>2337</v>
      </c>
      <c r="D618" s="371" t="s">
        <v>2235</v>
      </c>
      <c r="E618" s="206"/>
      <c r="F618" s="206" t="s">
        <v>76</v>
      </c>
      <c r="G618" s="206" t="s">
        <v>76</v>
      </c>
      <c r="H618" s="371" t="s">
        <v>2271</v>
      </c>
      <c r="I618" s="206"/>
      <c r="J618" s="206" t="s">
        <v>1453</v>
      </c>
      <c r="K618" s="371" t="s">
        <v>2276</v>
      </c>
      <c r="L618" s="206" t="s">
        <v>2167</v>
      </c>
      <c r="M618" s="206" t="s">
        <v>1348</v>
      </c>
      <c r="N618" s="206" t="s">
        <v>59</v>
      </c>
      <c r="O618" s="372" t="s">
        <v>2166</v>
      </c>
      <c r="P618" s="372">
        <v>46010</v>
      </c>
      <c r="Q618" s="371" t="s">
        <v>2276</v>
      </c>
      <c r="R618" s="373">
        <v>45770</v>
      </c>
      <c r="S618" s="373">
        <v>45770</v>
      </c>
      <c r="T618" s="371" t="s">
        <v>2271</v>
      </c>
      <c r="U618" s="373">
        <v>18060</v>
      </c>
      <c r="V618" s="373">
        <v>18060</v>
      </c>
      <c r="W618" s="371" t="s">
        <v>2271</v>
      </c>
      <c r="X618" s="373">
        <v>27710</v>
      </c>
      <c r="Y618" s="373">
        <v>27710</v>
      </c>
      <c r="Z618" s="371" t="s">
        <v>2271</v>
      </c>
      <c r="AA618" s="373">
        <v>0</v>
      </c>
      <c r="AB618" s="373">
        <v>27600</v>
      </c>
      <c r="AC618" s="373">
        <v>27600</v>
      </c>
      <c r="AD618" s="371" t="s">
        <v>2271</v>
      </c>
      <c r="AE618" s="373">
        <v>0</v>
      </c>
      <c r="AF618" s="382">
        <v>0.44374999999999998</v>
      </c>
      <c r="AG618" s="382">
        <v>0.44374999999999998</v>
      </c>
      <c r="AH618" s="371" t="s">
        <v>2271</v>
      </c>
      <c r="AI618" s="382">
        <v>0.55208333333333304</v>
      </c>
      <c r="AJ618" s="382">
        <v>0.55208333333333304</v>
      </c>
      <c r="AK618" s="371" t="s">
        <v>2271</v>
      </c>
      <c r="AL618" s="206" t="s">
        <v>137</v>
      </c>
      <c r="AM618" s="206" t="s">
        <v>137</v>
      </c>
      <c r="AN618" s="371" t="s">
        <v>2271</v>
      </c>
      <c r="AO618" s="206" t="s">
        <v>2785</v>
      </c>
      <c r="AP618" s="206" t="s">
        <v>1372</v>
      </c>
      <c r="AQ618" s="206" t="s">
        <v>1133</v>
      </c>
      <c r="AR618" s="207" t="s">
        <v>75</v>
      </c>
    </row>
    <row r="619" spans="1:44" x14ac:dyDescent="0.2">
      <c r="A619" s="370">
        <v>600</v>
      </c>
      <c r="B619" s="380">
        <v>390</v>
      </c>
      <c r="C619" s="371" t="s">
        <v>2337</v>
      </c>
      <c r="D619" s="371" t="s">
        <v>2235</v>
      </c>
      <c r="E619" s="206"/>
      <c r="F619" s="206" t="s">
        <v>56</v>
      </c>
      <c r="G619" s="206" t="s">
        <v>56</v>
      </c>
      <c r="H619" s="371" t="s">
        <v>2271</v>
      </c>
      <c r="I619" s="206"/>
      <c r="J619" s="206" t="s">
        <v>1433</v>
      </c>
      <c r="K619" s="371" t="s">
        <v>2276</v>
      </c>
      <c r="L619" s="206" t="s">
        <v>49</v>
      </c>
      <c r="M619" s="206" t="s">
        <v>1337</v>
      </c>
      <c r="N619" s="206" t="s">
        <v>49</v>
      </c>
      <c r="O619" s="372" t="s">
        <v>2166</v>
      </c>
      <c r="P619" s="372">
        <v>46010</v>
      </c>
      <c r="Q619" s="371" t="s">
        <v>2276</v>
      </c>
      <c r="R619" s="373">
        <v>25050</v>
      </c>
      <c r="S619" s="373">
        <v>25050</v>
      </c>
      <c r="T619" s="371" t="s">
        <v>2271</v>
      </c>
      <c r="U619" s="373">
        <v>11240</v>
      </c>
      <c r="V619" s="373">
        <v>11240</v>
      </c>
      <c r="W619" s="371" t="s">
        <v>2271</v>
      </c>
      <c r="X619" s="373">
        <v>13810</v>
      </c>
      <c r="Y619" s="373">
        <v>13810</v>
      </c>
      <c r="Z619" s="371" t="s">
        <v>2271</v>
      </c>
      <c r="AA619" s="373">
        <v>0</v>
      </c>
      <c r="AB619" s="373">
        <v>14120</v>
      </c>
      <c r="AC619" s="373">
        <v>14120</v>
      </c>
      <c r="AD619" s="371" t="s">
        <v>2271</v>
      </c>
      <c r="AE619" s="373">
        <v>0</v>
      </c>
      <c r="AF619" s="382">
        <v>0.69930555555555596</v>
      </c>
      <c r="AG619" s="382">
        <v>0.69930555555555596</v>
      </c>
      <c r="AH619" s="371" t="s">
        <v>2271</v>
      </c>
      <c r="AI619" s="382">
        <v>0.75</v>
      </c>
      <c r="AJ619" s="382">
        <v>0.75</v>
      </c>
      <c r="AK619" s="371" t="s">
        <v>2271</v>
      </c>
      <c r="AL619" s="206" t="s">
        <v>42</v>
      </c>
      <c r="AM619" s="206" t="s">
        <v>42</v>
      </c>
      <c r="AN619" s="371" t="s">
        <v>2271</v>
      </c>
      <c r="AO619" s="206" t="s">
        <v>2786</v>
      </c>
      <c r="AP619" s="206" t="s">
        <v>1781</v>
      </c>
      <c r="AQ619" s="206" t="s">
        <v>1132</v>
      </c>
      <c r="AR619" s="207" t="s">
        <v>68</v>
      </c>
    </row>
    <row r="620" spans="1:44" x14ac:dyDescent="0.2">
      <c r="A620" s="370">
        <v>601</v>
      </c>
      <c r="B620" s="380">
        <v>391</v>
      </c>
      <c r="C620" s="371" t="s">
        <v>2337</v>
      </c>
      <c r="D620" s="371" t="s">
        <v>2235</v>
      </c>
      <c r="E620" s="206"/>
      <c r="F620" s="206" t="s">
        <v>84</v>
      </c>
      <c r="G620" s="206" t="s">
        <v>84</v>
      </c>
      <c r="H620" s="371" t="s">
        <v>2271</v>
      </c>
      <c r="I620" s="206"/>
      <c r="J620" s="206" t="s">
        <v>1435</v>
      </c>
      <c r="K620" s="371" t="s">
        <v>2276</v>
      </c>
      <c r="L620" s="206" t="s">
        <v>49</v>
      </c>
      <c r="M620" s="206" t="s">
        <v>1349</v>
      </c>
      <c r="N620" s="206" t="s">
        <v>49</v>
      </c>
      <c r="O620" s="372" t="s">
        <v>2166</v>
      </c>
      <c r="P620" s="372">
        <v>46010</v>
      </c>
      <c r="Q620" s="371" t="s">
        <v>2276</v>
      </c>
      <c r="R620" s="373">
        <v>26680</v>
      </c>
      <c r="S620" s="373">
        <v>26680</v>
      </c>
      <c r="T620" s="371" t="s">
        <v>2271</v>
      </c>
      <c r="U620" s="373">
        <v>12240</v>
      </c>
      <c r="V620" s="373">
        <v>12240</v>
      </c>
      <c r="W620" s="371" t="s">
        <v>2271</v>
      </c>
      <c r="X620" s="373">
        <v>14440</v>
      </c>
      <c r="Y620" s="373">
        <v>14440</v>
      </c>
      <c r="Z620" s="371" t="s">
        <v>2271</v>
      </c>
      <c r="AA620" s="373">
        <v>0</v>
      </c>
      <c r="AB620" s="373">
        <v>14360</v>
      </c>
      <c r="AC620" s="373">
        <v>14360</v>
      </c>
      <c r="AD620" s="371" t="s">
        <v>2271</v>
      </c>
      <c r="AE620" s="373">
        <v>0</v>
      </c>
      <c r="AF620" s="382">
        <v>0.75416666666666698</v>
      </c>
      <c r="AG620" s="382">
        <v>0.75416666666666698</v>
      </c>
      <c r="AH620" s="371" t="s">
        <v>2271</v>
      </c>
      <c r="AI620" s="382">
        <v>0.843055555555556</v>
      </c>
      <c r="AJ620" s="382">
        <v>0.843055555555556</v>
      </c>
      <c r="AK620" s="371" t="s">
        <v>2271</v>
      </c>
      <c r="AL620" s="206" t="s">
        <v>42</v>
      </c>
      <c r="AM620" s="206" t="s">
        <v>42</v>
      </c>
      <c r="AN620" s="371" t="s">
        <v>2271</v>
      </c>
      <c r="AO620" s="206" t="s">
        <v>2787</v>
      </c>
      <c r="AP620" s="206" t="s">
        <v>1782</v>
      </c>
      <c r="AQ620" s="206" t="s">
        <v>1132</v>
      </c>
      <c r="AR620" s="207" t="s">
        <v>68</v>
      </c>
    </row>
    <row r="621" spans="1:44" x14ac:dyDescent="0.2">
      <c r="A621" s="370">
        <v>602</v>
      </c>
      <c r="B621" s="380">
        <v>392</v>
      </c>
      <c r="C621" s="371" t="s">
        <v>2337</v>
      </c>
      <c r="D621" s="371" t="s">
        <v>2235</v>
      </c>
      <c r="E621" s="206"/>
      <c r="F621" s="206" t="s">
        <v>46</v>
      </c>
      <c r="G621" s="206" t="s">
        <v>46</v>
      </c>
      <c r="H621" s="371" t="s">
        <v>2271</v>
      </c>
      <c r="I621" s="206"/>
      <c r="J621" s="206" t="s">
        <v>1435</v>
      </c>
      <c r="K621" s="371" t="s">
        <v>2276</v>
      </c>
      <c r="L621" s="206" t="s">
        <v>49</v>
      </c>
      <c r="M621" s="206" t="s">
        <v>1349</v>
      </c>
      <c r="N621" s="206" t="s">
        <v>49</v>
      </c>
      <c r="O621" s="372" t="s">
        <v>2166</v>
      </c>
      <c r="P621" s="372">
        <v>46010</v>
      </c>
      <c r="Q621" s="371" t="s">
        <v>2276</v>
      </c>
      <c r="R621" s="373">
        <v>26480</v>
      </c>
      <c r="S621" s="373">
        <v>26480</v>
      </c>
      <c r="T621" s="371" t="s">
        <v>2271</v>
      </c>
      <c r="U621" s="373">
        <v>11790</v>
      </c>
      <c r="V621" s="373">
        <v>11790</v>
      </c>
      <c r="W621" s="371" t="s">
        <v>2271</v>
      </c>
      <c r="X621" s="373">
        <v>14690</v>
      </c>
      <c r="Y621" s="373">
        <v>14690</v>
      </c>
      <c r="Z621" s="371" t="s">
        <v>2271</v>
      </c>
      <c r="AA621" s="373">
        <v>0</v>
      </c>
      <c r="AB621" s="373">
        <v>14610</v>
      </c>
      <c r="AC621" s="373">
        <v>14610</v>
      </c>
      <c r="AD621" s="371" t="s">
        <v>2271</v>
      </c>
      <c r="AE621" s="373">
        <v>0</v>
      </c>
      <c r="AF621" s="382">
        <v>0.75972222222222197</v>
      </c>
      <c r="AG621" s="382">
        <v>0.75972222222222197</v>
      </c>
      <c r="AH621" s="371" t="s">
        <v>2271</v>
      </c>
      <c r="AI621" s="382">
        <v>0.84513888888888899</v>
      </c>
      <c r="AJ621" s="382">
        <v>0.84513888888888899</v>
      </c>
      <c r="AK621" s="371" t="s">
        <v>2271</v>
      </c>
      <c r="AL621" s="206" t="s">
        <v>42</v>
      </c>
      <c r="AM621" s="206" t="s">
        <v>42</v>
      </c>
      <c r="AN621" s="371" t="s">
        <v>2271</v>
      </c>
      <c r="AO621" s="206" t="s">
        <v>2788</v>
      </c>
      <c r="AP621" s="206" t="s">
        <v>1393</v>
      </c>
      <c r="AQ621" s="206" t="s">
        <v>1132</v>
      </c>
      <c r="AR621" s="207" t="s">
        <v>68</v>
      </c>
    </row>
    <row r="622" spans="1:44" x14ac:dyDescent="0.2">
      <c r="A622" s="370">
        <v>603</v>
      </c>
      <c r="B622" s="380">
        <v>393</v>
      </c>
      <c r="C622" s="371" t="s">
        <v>2337</v>
      </c>
      <c r="D622" s="371" t="s">
        <v>2235</v>
      </c>
      <c r="E622" s="206"/>
      <c r="F622" s="206" t="s">
        <v>70</v>
      </c>
      <c r="G622" s="206" t="s">
        <v>70</v>
      </c>
      <c r="H622" s="371" t="s">
        <v>2271</v>
      </c>
      <c r="I622" s="206"/>
      <c r="J622" s="206" t="s">
        <v>1435</v>
      </c>
      <c r="K622" s="371" t="s">
        <v>2276</v>
      </c>
      <c r="L622" s="206" t="s">
        <v>49</v>
      </c>
      <c r="M622" s="206" t="s">
        <v>1349</v>
      </c>
      <c r="N622" s="206" t="s">
        <v>49</v>
      </c>
      <c r="O622" s="372" t="s">
        <v>2166</v>
      </c>
      <c r="P622" s="372">
        <v>46010</v>
      </c>
      <c r="Q622" s="371" t="s">
        <v>2276</v>
      </c>
      <c r="R622" s="373">
        <v>45820</v>
      </c>
      <c r="S622" s="373">
        <v>45820</v>
      </c>
      <c r="T622" s="371" t="s">
        <v>2271</v>
      </c>
      <c r="U622" s="373">
        <v>17840</v>
      </c>
      <c r="V622" s="373">
        <v>17840</v>
      </c>
      <c r="W622" s="371" t="s">
        <v>2271</v>
      </c>
      <c r="X622" s="373">
        <v>27980</v>
      </c>
      <c r="Y622" s="373">
        <v>27980</v>
      </c>
      <c r="Z622" s="371" t="s">
        <v>2271</v>
      </c>
      <c r="AA622" s="373">
        <v>0</v>
      </c>
      <c r="AB622" s="373">
        <v>27920</v>
      </c>
      <c r="AC622" s="373">
        <v>27920</v>
      </c>
      <c r="AD622" s="371" t="s">
        <v>2271</v>
      </c>
      <c r="AE622" s="373">
        <v>0</v>
      </c>
      <c r="AF622" s="382">
        <v>0.84027777777777801</v>
      </c>
      <c r="AG622" s="382">
        <v>0.84027777777777801</v>
      </c>
      <c r="AH622" s="371" t="s">
        <v>2271</v>
      </c>
      <c r="AI622" s="382">
        <v>0.88749999999999996</v>
      </c>
      <c r="AJ622" s="382">
        <v>0.88749999999999996</v>
      </c>
      <c r="AK622" s="371" t="s">
        <v>2271</v>
      </c>
      <c r="AL622" s="206" t="s">
        <v>42</v>
      </c>
      <c r="AM622" s="206" t="s">
        <v>42</v>
      </c>
      <c r="AN622" s="371" t="s">
        <v>2271</v>
      </c>
      <c r="AO622" s="206" t="s">
        <v>2789</v>
      </c>
      <c r="AP622" s="206" t="s">
        <v>1499</v>
      </c>
      <c r="AQ622" s="206" t="s">
        <v>1133</v>
      </c>
      <c r="AR622" s="207" t="s">
        <v>68</v>
      </c>
    </row>
    <row r="623" spans="1:44" x14ac:dyDescent="0.2">
      <c r="A623" s="370">
        <v>604</v>
      </c>
      <c r="B623" s="380">
        <v>394</v>
      </c>
      <c r="C623" s="371" t="s">
        <v>2337</v>
      </c>
      <c r="D623" s="371" t="s">
        <v>2235</v>
      </c>
      <c r="E623" s="206"/>
      <c r="F623" s="206" t="s">
        <v>76</v>
      </c>
      <c r="G623" s="206" t="s">
        <v>76</v>
      </c>
      <c r="H623" s="371" t="s">
        <v>2271</v>
      </c>
      <c r="I623" s="206"/>
      <c r="J623" s="206" t="s">
        <v>1435</v>
      </c>
      <c r="K623" s="371" t="s">
        <v>2276</v>
      </c>
      <c r="L623" s="206" t="s">
        <v>49</v>
      </c>
      <c r="M623" s="206" t="s">
        <v>1349</v>
      </c>
      <c r="N623" s="206" t="s">
        <v>49</v>
      </c>
      <c r="O623" s="372" t="s">
        <v>2166</v>
      </c>
      <c r="P623" s="372">
        <v>46010</v>
      </c>
      <c r="Q623" s="371" t="s">
        <v>2276</v>
      </c>
      <c r="R623" s="373">
        <v>45930</v>
      </c>
      <c r="S623" s="373">
        <v>45930</v>
      </c>
      <c r="T623" s="371" t="s">
        <v>2271</v>
      </c>
      <c r="U623" s="373">
        <v>18000</v>
      </c>
      <c r="V623" s="373">
        <v>18000</v>
      </c>
      <c r="W623" s="371" t="s">
        <v>2271</v>
      </c>
      <c r="X623" s="373">
        <v>27930</v>
      </c>
      <c r="Y623" s="373">
        <v>27930</v>
      </c>
      <c r="Z623" s="371" t="s">
        <v>2271</v>
      </c>
      <c r="AA623" s="373">
        <v>0</v>
      </c>
      <c r="AB623" s="373">
        <v>27660</v>
      </c>
      <c r="AC623" s="373">
        <v>27660</v>
      </c>
      <c r="AD623" s="371" t="s">
        <v>2271</v>
      </c>
      <c r="AE623" s="373">
        <v>0</v>
      </c>
      <c r="AF623" s="382">
        <v>0.84166666666666701</v>
      </c>
      <c r="AG623" s="382">
        <v>0.84166666666666701</v>
      </c>
      <c r="AH623" s="371" t="s">
        <v>2271</v>
      </c>
      <c r="AI623" s="382">
        <v>0.88819444444444395</v>
      </c>
      <c r="AJ623" s="382">
        <v>0.88819444444444395</v>
      </c>
      <c r="AK623" s="371" t="s">
        <v>2271</v>
      </c>
      <c r="AL623" s="206" t="s">
        <v>42</v>
      </c>
      <c r="AM623" s="206" t="s">
        <v>42</v>
      </c>
      <c r="AN623" s="371" t="s">
        <v>2271</v>
      </c>
      <c r="AO623" s="206" t="s">
        <v>2790</v>
      </c>
      <c r="AP623" s="206" t="s">
        <v>1372</v>
      </c>
      <c r="AQ623" s="206" t="s">
        <v>1133</v>
      </c>
      <c r="AR623" s="207" t="s">
        <v>68</v>
      </c>
    </row>
    <row r="624" spans="1:44" x14ac:dyDescent="0.2">
      <c r="A624" s="370">
        <v>605</v>
      </c>
      <c r="B624" s="380">
        <v>395</v>
      </c>
      <c r="C624" s="371" t="s">
        <v>2337</v>
      </c>
      <c r="D624" s="371" t="s">
        <v>2235</v>
      </c>
      <c r="E624" s="206"/>
      <c r="F624" s="206" t="s">
        <v>163</v>
      </c>
      <c r="G624" s="206" t="s">
        <v>163</v>
      </c>
      <c r="H624" s="371" t="s">
        <v>2271</v>
      </c>
      <c r="I624" s="206"/>
      <c r="J624" s="206" t="s">
        <v>1335</v>
      </c>
      <c r="K624" s="371" t="s">
        <v>2276</v>
      </c>
      <c r="L624" s="206" t="s">
        <v>2151</v>
      </c>
      <c r="M624" s="206" t="s">
        <v>1334</v>
      </c>
      <c r="N624" s="206" t="s">
        <v>40</v>
      </c>
      <c r="O624" s="372" t="s">
        <v>2166</v>
      </c>
      <c r="P624" s="372">
        <v>46010</v>
      </c>
      <c r="Q624" s="371" t="s">
        <v>2276</v>
      </c>
      <c r="R624" s="373">
        <v>13900</v>
      </c>
      <c r="S624" s="373">
        <v>13900</v>
      </c>
      <c r="T624" s="371" t="s">
        <v>2271</v>
      </c>
      <c r="U624" s="373">
        <v>3990</v>
      </c>
      <c r="V624" s="373">
        <v>3990</v>
      </c>
      <c r="W624" s="371" t="s">
        <v>2271</v>
      </c>
      <c r="X624" s="373">
        <v>9910</v>
      </c>
      <c r="Y624" s="373">
        <v>9910</v>
      </c>
      <c r="Z624" s="371" t="s">
        <v>2271</v>
      </c>
      <c r="AA624" s="373">
        <v>0</v>
      </c>
      <c r="AB624" s="373">
        <v>9970</v>
      </c>
      <c r="AC624" s="373">
        <v>9970</v>
      </c>
      <c r="AD624" s="371" t="s">
        <v>2271</v>
      </c>
      <c r="AE624" s="373">
        <v>0</v>
      </c>
      <c r="AF624" s="382">
        <v>0.90625</v>
      </c>
      <c r="AG624" s="382">
        <v>0.90625</v>
      </c>
      <c r="AH624" s="371" t="s">
        <v>2271</v>
      </c>
      <c r="AI624" s="382">
        <v>0.93333333333333302</v>
      </c>
      <c r="AJ624" s="382">
        <v>0.93333333333333302</v>
      </c>
      <c r="AK624" s="371" t="s">
        <v>2271</v>
      </c>
      <c r="AL624" s="206" t="s">
        <v>42</v>
      </c>
      <c r="AM624" s="206" t="s">
        <v>42</v>
      </c>
      <c r="AN624" s="371" t="s">
        <v>2271</v>
      </c>
      <c r="AO624" s="206" t="s">
        <v>2791</v>
      </c>
      <c r="AP624" s="206"/>
      <c r="AQ624" s="206" t="s">
        <v>1131</v>
      </c>
      <c r="AR624" s="207" t="s">
        <v>82</v>
      </c>
    </row>
    <row r="625" spans="1:44" x14ac:dyDescent="0.2">
      <c r="A625" s="370">
        <v>606</v>
      </c>
      <c r="B625" s="380">
        <v>396</v>
      </c>
      <c r="C625" s="371" t="s">
        <v>2337</v>
      </c>
      <c r="D625" s="371" t="s">
        <v>2235</v>
      </c>
      <c r="E625" s="206"/>
      <c r="F625" s="206" t="s">
        <v>171</v>
      </c>
      <c r="G625" s="206" t="s">
        <v>171</v>
      </c>
      <c r="H625" s="371" t="s">
        <v>2271</v>
      </c>
      <c r="I625" s="206"/>
      <c r="J625" s="206" t="s">
        <v>1335</v>
      </c>
      <c r="K625" s="371" t="s">
        <v>2276</v>
      </c>
      <c r="L625" s="206" t="s">
        <v>2151</v>
      </c>
      <c r="M625" s="206" t="s">
        <v>1334</v>
      </c>
      <c r="N625" s="206" t="s">
        <v>40</v>
      </c>
      <c r="O625" s="372" t="s">
        <v>2166</v>
      </c>
      <c r="P625" s="372">
        <v>46010</v>
      </c>
      <c r="Q625" s="371" t="s">
        <v>2276</v>
      </c>
      <c r="R625" s="373">
        <v>13140</v>
      </c>
      <c r="S625" s="373">
        <v>13140</v>
      </c>
      <c r="T625" s="371" t="s">
        <v>2271</v>
      </c>
      <c r="U625" s="373">
        <v>3640</v>
      </c>
      <c r="V625" s="373">
        <v>3640</v>
      </c>
      <c r="W625" s="371" t="s">
        <v>2271</v>
      </c>
      <c r="X625" s="373">
        <v>9500</v>
      </c>
      <c r="Y625" s="373">
        <v>9500</v>
      </c>
      <c r="Z625" s="371" t="s">
        <v>2271</v>
      </c>
      <c r="AA625" s="373">
        <v>0</v>
      </c>
      <c r="AB625" s="373">
        <v>9440</v>
      </c>
      <c r="AC625" s="373">
        <v>9440</v>
      </c>
      <c r="AD625" s="371" t="s">
        <v>2271</v>
      </c>
      <c r="AE625" s="373">
        <v>0</v>
      </c>
      <c r="AF625" s="382">
        <v>0.90833333333333299</v>
      </c>
      <c r="AG625" s="382">
        <v>0.90833333333333299</v>
      </c>
      <c r="AH625" s="371" t="s">
        <v>2271</v>
      </c>
      <c r="AI625" s="382">
        <v>0.94097222222222199</v>
      </c>
      <c r="AJ625" s="382">
        <v>0.94097222222222199</v>
      </c>
      <c r="AK625" s="371" t="s">
        <v>2271</v>
      </c>
      <c r="AL625" s="206" t="s">
        <v>42</v>
      </c>
      <c r="AM625" s="206" t="s">
        <v>42</v>
      </c>
      <c r="AN625" s="371" t="s">
        <v>2271</v>
      </c>
      <c r="AO625" s="206" t="s">
        <v>2792</v>
      </c>
      <c r="AP625" s="206"/>
      <c r="AQ625" s="206" t="s">
        <v>1131</v>
      </c>
      <c r="AR625" s="207" t="s">
        <v>82</v>
      </c>
    </row>
    <row r="626" spans="1:44" x14ac:dyDescent="0.2">
      <c r="A626" s="370">
        <v>607</v>
      </c>
      <c r="B626" s="380">
        <v>397</v>
      </c>
      <c r="C626" s="371" t="s">
        <v>2337</v>
      </c>
      <c r="D626" s="371" t="s">
        <v>2235</v>
      </c>
      <c r="E626" s="206"/>
      <c r="F626" s="206" t="s">
        <v>160</v>
      </c>
      <c r="G626" s="206" t="s">
        <v>160</v>
      </c>
      <c r="H626" s="371" t="s">
        <v>2271</v>
      </c>
      <c r="I626" s="206"/>
      <c r="J626" s="206" t="s">
        <v>1335</v>
      </c>
      <c r="K626" s="371" t="s">
        <v>2276</v>
      </c>
      <c r="L626" s="206" t="s">
        <v>2151</v>
      </c>
      <c r="M626" s="206" t="s">
        <v>1334</v>
      </c>
      <c r="N626" s="206" t="s">
        <v>40</v>
      </c>
      <c r="O626" s="372" t="s">
        <v>2166</v>
      </c>
      <c r="P626" s="372">
        <v>46010</v>
      </c>
      <c r="Q626" s="371" t="s">
        <v>2276</v>
      </c>
      <c r="R626" s="373">
        <v>13400</v>
      </c>
      <c r="S626" s="373">
        <v>13400</v>
      </c>
      <c r="T626" s="371" t="s">
        <v>2271</v>
      </c>
      <c r="U626" s="373">
        <v>3640</v>
      </c>
      <c r="V626" s="373">
        <v>3640</v>
      </c>
      <c r="W626" s="371" t="s">
        <v>2271</v>
      </c>
      <c r="X626" s="373">
        <v>9760</v>
      </c>
      <c r="Y626" s="373">
        <v>9760</v>
      </c>
      <c r="Z626" s="371" t="s">
        <v>2271</v>
      </c>
      <c r="AA626" s="373">
        <v>0</v>
      </c>
      <c r="AB626" s="373">
        <v>9710</v>
      </c>
      <c r="AC626" s="373">
        <v>9710</v>
      </c>
      <c r="AD626" s="371" t="s">
        <v>2271</v>
      </c>
      <c r="AE626" s="373">
        <v>0</v>
      </c>
      <c r="AF626" s="382">
        <v>0.90902777777777799</v>
      </c>
      <c r="AG626" s="382">
        <v>0.90902777777777799</v>
      </c>
      <c r="AH626" s="371" t="s">
        <v>2271</v>
      </c>
      <c r="AI626" s="382">
        <v>0.94305555555555598</v>
      </c>
      <c r="AJ626" s="382">
        <v>0.94305555555555598</v>
      </c>
      <c r="AK626" s="371" t="s">
        <v>2271</v>
      </c>
      <c r="AL626" s="206" t="s">
        <v>42</v>
      </c>
      <c r="AM626" s="206" t="s">
        <v>42</v>
      </c>
      <c r="AN626" s="371" t="s">
        <v>2271</v>
      </c>
      <c r="AO626" s="206" t="s">
        <v>2793</v>
      </c>
      <c r="AP626" s="206"/>
      <c r="AQ626" s="206" t="s">
        <v>1131</v>
      </c>
      <c r="AR626" s="207" t="s">
        <v>82</v>
      </c>
    </row>
    <row r="627" spans="1:44" x14ac:dyDescent="0.2">
      <c r="A627" s="370">
        <v>608</v>
      </c>
      <c r="B627" s="380">
        <v>398</v>
      </c>
      <c r="C627" s="371" t="s">
        <v>2269</v>
      </c>
      <c r="D627" s="371" t="s">
        <v>2235</v>
      </c>
      <c r="E627" s="206"/>
      <c r="F627" s="206" t="s">
        <v>181</v>
      </c>
      <c r="G627" s="206" t="s">
        <v>181</v>
      </c>
      <c r="H627" s="371" t="s">
        <v>2271</v>
      </c>
      <c r="I627" s="206" t="s">
        <v>1335</v>
      </c>
      <c r="J627" s="206" t="s">
        <v>1335</v>
      </c>
      <c r="K627" s="371" t="s">
        <v>2271</v>
      </c>
      <c r="L627" s="206" t="s">
        <v>2161</v>
      </c>
      <c r="M627" s="206" t="s">
        <v>1334</v>
      </c>
      <c r="N627" s="206" t="s">
        <v>40</v>
      </c>
      <c r="O627" s="372" t="s">
        <v>2168</v>
      </c>
      <c r="P627" s="372">
        <v>46011</v>
      </c>
      <c r="Q627" s="371" t="s">
        <v>2276</v>
      </c>
      <c r="R627" s="373">
        <v>13510</v>
      </c>
      <c r="S627" s="373">
        <v>13510</v>
      </c>
      <c r="T627" s="371" t="s">
        <v>2271</v>
      </c>
      <c r="U627" s="373">
        <v>4140</v>
      </c>
      <c r="V627" s="373">
        <v>4140</v>
      </c>
      <c r="W627" s="371" t="s">
        <v>2271</v>
      </c>
      <c r="X627" s="373">
        <v>9370</v>
      </c>
      <c r="Y627" s="373">
        <v>9370</v>
      </c>
      <c r="Z627" s="371" t="s">
        <v>2271</v>
      </c>
      <c r="AA627" s="373">
        <v>0</v>
      </c>
      <c r="AB627" s="373">
        <v>9500</v>
      </c>
      <c r="AC627" s="373">
        <v>9500</v>
      </c>
      <c r="AD627" s="371" t="s">
        <v>2271</v>
      </c>
      <c r="AE627" s="373">
        <v>0</v>
      </c>
      <c r="AF627" s="382">
        <v>0.360416666666667</v>
      </c>
      <c r="AG627" s="382">
        <v>0.360416666666667</v>
      </c>
      <c r="AH627" s="371" t="s">
        <v>2271</v>
      </c>
      <c r="AI627" s="382">
        <v>0.41041666666666698</v>
      </c>
      <c r="AJ627" s="382">
        <v>0.41041666666666698</v>
      </c>
      <c r="AK627" s="371" t="s">
        <v>2271</v>
      </c>
      <c r="AL627" s="206" t="s">
        <v>137</v>
      </c>
      <c r="AM627" s="206" t="s">
        <v>137</v>
      </c>
      <c r="AN627" s="371" t="s">
        <v>2271</v>
      </c>
      <c r="AO627" s="206" t="s">
        <v>2794</v>
      </c>
      <c r="AP627" s="206"/>
      <c r="AQ627" s="206" t="s">
        <v>1131</v>
      </c>
      <c r="AR627" s="207" t="s">
        <v>82</v>
      </c>
    </row>
    <row r="628" spans="1:44" x14ac:dyDescent="0.2">
      <c r="A628" s="370">
        <v>609</v>
      </c>
      <c r="B628" s="380">
        <v>399</v>
      </c>
      <c r="C628" s="371" t="s">
        <v>2269</v>
      </c>
      <c r="D628" s="371" t="s">
        <v>2235</v>
      </c>
      <c r="E628" s="206"/>
      <c r="F628" s="206" t="s">
        <v>166</v>
      </c>
      <c r="G628" s="206" t="s">
        <v>166</v>
      </c>
      <c r="H628" s="371" t="s">
        <v>2271</v>
      </c>
      <c r="I628" s="206" t="s">
        <v>1335</v>
      </c>
      <c r="J628" s="206" t="s">
        <v>1335</v>
      </c>
      <c r="K628" s="371" t="s">
        <v>2271</v>
      </c>
      <c r="L628" s="206" t="s">
        <v>2161</v>
      </c>
      <c r="M628" s="206" t="s">
        <v>1334</v>
      </c>
      <c r="N628" s="206" t="s">
        <v>40</v>
      </c>
      <c r="O628" s="372" t="s">
        <v>2168</v>
      </c>
      <c r="P628" s="372">
        <v>46011</v>
      </c>
      <c r="Q628" s="371" t="s">
        <v>2276</v>
      </c>
      <c r="R628" s="373">
        <v>13050</v>
      </c>
      <c r="S628" s="373">
        <v>13050</v>
      </c>
      <c r="T628" s="371" t="s">
        <v>2271</v>
      </c>
      <c r="U628" s="373">
        <v>3980</v>
      </c>
      <c r="V628" s="373">
        <v>3980</v>
      </c>
      <c r="W628" s="371" t="s">
        <v>2271</v>
      </c>
      <c r="X628" s="373">
        <v>9070</v>
      </c>
      <c r="Y628" s="373">
        <v>9070</v>
      </c>
      <c r="Z628" s="371" t="s">
        <v>2271</v>
      </c>
      <c r="AA628" s="373">
        <v>0</v>
      </c>
      <c r="AB628" s="373">
        <v>9210</v>
      </c>
      <c r="AC628" s="373">
        <v>9210</v>
      </c>
      <c r="AD628" s="371" t="s">
        <v>2271</v>
      </c>
      <c r="AE628" s="373">
        <v>0</v>
      </c>
      <c r="AF628" s="382">
        <v>0.36111111111111099</v>
      </c>
      <c r="AG628" s="382">
        <v>0.36111111111111099</v>
      </c>
      <c r="AH628" s="371" t="s">
        <v>2271</v>
      </c>
      <c r="AI628" s="382">
        <v>0.405555555555556</v>
      </c>
      <c r="AJ628" s="382">
        <v>0.405555555555556</v>
      </c>
      <c r="AK628" s="371" t="s">
        <v>2271</v>
      </c>
      <c r="AL628" s="206" t="s">
        <v>137</v>
      </c>
      <c r="AM628" s="206" t="s">
        <v>137</v>
      </c>
      <c r="AN628" s="371" t="s">
        <v>2271</v>
      </c>
      <c r="AO628" s="206" t="s">
        <v>2795</v>
      </c>
      <c r="AP628" s="206"/>
      <c r="AQ628" s="206" t="s">
        <v>1131</v>
      </c>
      <c r="AR628" s="207" t="s">
        <v>82</v>
      </c>
    </row>
    <row r="629" spans="1:44" x14ac:dyDescent="0.2">
      <c r="A629" s="370">
        <v>610</v>
      </c>
      <c r="B629" s="380">
        <v>400</v>
      </c>
      <c r="C629" s="371" t="s">
        <v>2269</v>
      </c>
      <c r="D629" s="371" t="s">
        <v>2235</v>
      </c>
      <c r="E629" s="206"/>
      <c r="F629" s="206" t="s">
        <v>169</v>
      </c>
      <c r="G629" s="206" t="s">
        <v>169</v>
      </c>
      <c r="H629" s="371" t="s">
        <v>2271</v>
      </c>
      <c r="I629" s="206" t="s">
        <v>1335</v>
      </c>
      <c r="J629" s="206" t="s">
        <v>1335</v>
      </c>
      <c r="K629" s="371" t="s">
        <v>2271</v>
      </c>
      <c r="L629" s="206" t="s">
        <v>2161</v>
      </c>
      <c r="M629" s="206" t="s">
        <v>1334</v>
      </c>
      <c r="N629" s="206" t="s">
        <v>40</v>
      </c>
      <c r="O629" s="372" t="s">
        <v>2168</v>
      </c>
      <c r="P629" s="372">
        <v>46011</v>
      </c>
      <c r="Q629" s="371" t="s">
        <v>2276</v>
      </c>
      <c r="R629" s="373">
        <v>13350</v>
      </c>
      <c r="S629" s="373">
        <v>13350</v>
      </c>
      <c r="T629" s="371" t="s">
        <v>2271</v>
      </c>
      <c r="U629" s="373">
        <v>3990</v>
      </c>
      <c r="V629" s="373">
        <v>3990</v>
      </c>
      <c r="W629" s="371" t="s">
        <v>2271</v>
      </c>
      <c r="X629" s="373">
        <v>9360</v>
      </c>
      <c r="Y629" s="373">
        <v>9360</v>
      </c>
      <c r="Z629" s="371" t="s">
        <v>2271</v>
      </c>
      <c r="AA629" s="373">
        <v>0</v>
      </c>
      <c r="AB629" s="373">
        <v>9360</v>
      </c>
      <c r="AC629" s="373">
        <v>9360</v>
      </c>
      <c r="AD629" s="371" t="s">
        <v>2271</v>
      </c>
      <c r="AE629" s="373">
        <v>0</v>
      </c>
      <c r="AF629" s="382">
        <v>0.36249999999999999</v>
      </c>
      <c r="AG629" s="382">
        <v>0.36249999999999999</v>
      </c>
      <c r="AH629" s="371" t="s">
        <v>2271</v>
      </c>
      <c r="AI629" s="382">
        <v>0.41319444444444398</v>
      </c>
      <c r="AJ629" s="382">
        <v>0.41319444444444398</v>
      </c>
      <c r="AK629" s="371" t="s">
        <v>2271</v>
      </c>
      <c r="AL629" s="206" t="s">
        <v>137</v>
      </c>
      <c r="AM629" s="206" t="s">
        <v>137</v>
      </c>
      <c r="AN629" s="371" t="s">
        <v>2271</v>
      </c>
      <c r="AO629" s="206" t="s">
        <v>2796</v>
      </c>
      <c r="AP629" s="206"/>
      <c r="AQ629" s="206" t="s">
        <v>1131</v>
      </c>
      <c r="AR629" s="207" t="s">
        <v>82</v>
      </c>
    </row>
    <row r="630" spans="1:44" x14ac:dyDescent="0.2">
      <c r="A630" s="370">
        <v>611</v>
      </c>
      <c r="B630" s="380">
        <v>401</v>
      </c>
      <c r="C630" s="371" t="s">
        <v>2337</v>
      </c>
      <c r="D630" s="371" t="s">
        <v>2235</v>
      </c>
      <c r="E630" s="206"/>
      <c r="F630" s="206" t="s">
        <v>56</v>
      </c>
      <c r="G630" s="206" t="s">
        <v>56</v>
      </c>
      <c r="H630" s="371" t="s">
        <v>2271</v>
      </c>
      <c r="I630" s="206" t="s">
        <v>2169</v>
      </c>
      <c r="J630" s="206" t="s">
        <v>1435</v>
      </c>
      <c r="K630" s="371" t="s">
        <v>2276</v>
      </c>
      <c r="L630" s="206" t="s">
        <v>2170</v>
      </c>
      <c r="M630" s="206" t="s">
        <v>1349</v>
      </c>
      <c r="N630" s="206" t="s">
        <v>49</v>
      </c>
      <c r="O630" s="372" t="s">
        <v>2168</v>
      </c>
      <c r="P630" s="372">
        <v>46011</v>
      </c>
      <c r="Q630" s="371" t="s">
        <v>2276</v>
      </c>
      <c r="R630" s="373">
        <v>25020</v>
      </c>
      <c r="S630" s="373">
        <v>25020</v>
      </c>
      <c r="T630" s="371" t="s">
        <v>2271</v>
      </c>
      <c r="U630" s="373">
        <v>11170</v>
      </c>
      <c r="V630" s="373">
        <v>11170</v>
      </c>
      <c r="W630" s="371" t="s">
        <v>2271</v>
      </c>
      <c r="X630" s="373">
        <v>13850</v>
      </c>
      <c r="Y630" s="373">
        <v>13850</v>
      </c>
      <c r="Z630" s="371" t="s">
        <v>2271</v>
      </c>
      <c r="AA630" s="373">
        <v>0</v>
      </c>
      <c r="AB630" s="373">
        <v>13770</v>
      </c>
      <c r="AC630" s="373">
        <v>13770</v>
      </c>
      <c r="AD630" s="371" t="s">
        <v>2271</v>
      </c>
      <c r="AE630" s="373">
        <v>0</v>
      </c>
      <c r="AF630" s="382">
        <v>0.41180555555555598</v>
      </c>
      <c r="AG630" s="382">
        <v>0.41180555555555598</v>
      </c>
      <c r="AH630" s="371" t="s">
        <v>2271</v>
      </c>
      <c r="AI630" s="382">
        <v>0.49444444444444402</v>
      </c>
      <c r="AJ630" s="382">
        <v>0.49444444444444502</v>
      </c>
      <c r="AK630" s="371" t="s">
        <v>2276</v>
      </c>
      <c r="AL630" s="206" t="s">
        <v>137</v>
      </c>
      <c r="AM630" s="206" t="s">
        <v>137</v>
      </c>
      <c r="AN630" s="371" t="s">
        <v>2271</v>
      </c>
      <c r="AO630" s="206" t="s">
        <v>2797</v>
      </c>
      <c r="AP630" s="206" t="s">
        <v>1781</v>
      </c>
      <c r="AQ630" s="206" t="s">
        <v>1132</v>
      </c>
      <c r="AR630" s="207" t="s">
        <v>68</v>
      </c>
    </row>
    <row r="631" spans="1:44" x14ac:dyDescent="0.2">
      <c r="A631" s="370">
        <v>612</v>
      </c>
      <c r="B631" s="380">
        <v>402</v>
      </c>
      <c r="C631" s="371" t="s">
        <v>2337</v>
      </c>
      <c r="D631" s="371" t="s">
        <v>2235</v>
      </c>
      <c r="E631" s="206"/>
      <c r="F631" s="206" t="s">
        <v>46</v>
      </c>
      <c r="G631" s="206" t="s">
        <v>46</v>
      </c>
      <c r="H631" s="371" t="s">
        <v>2271</v>
      </c>
      <c r="I631" s="206" t="s">
        <v>2169</v>
      </c>
      <c r="J631" s="206" t="s">
        <v>1435</v>
      </c>
      <c r="K631" s="371" t="s">
        <v>2276</v>
      </c>
      <c r="L631" s="206" t="s">
        <v>2170</v>
      </c>
      <c r="M631" s="206" t="s">
        <v>1349</v>
      </c>
      <c r="N631" s="206" t="s">
        <v>49</v>
      </c>
      <c r="O631" s="372" t="s">
        <v>2168</v>
      </c>
      <c r="P631" s="372">
        <v>46011</v>
      </c>
      <c r="Q631" s="371" t="s">
        <v>2276</v>
      </c>
      <c r="R631" s="373">
        <v>26450</v>
      </c>
      <c r="S631" s="373">
        <v>26450</v>
      </c>
      <c r="T631" s="371" t="s">
        <v>2271</v>
      </c>
      <c r="U631" s="373">
        <v>11770</v>
      </c>
      <c r="V631" s="373">
        <v>11770</v>
      </c>
      <c r="W631" s="371" t="s">
        <v>2271</v>
      </c>
      <c r="X631" s="373">
        <v>14680</v>
      </c>
      <c r="Y631" s="373">
        <v>14680</v>
      </c>
      <c r="Z631" s="371" t="s">
        <v>2271</v>
      </c>
      <c r="AA631" s="373">
        <v>0</v>
      </c>
      <c r="AB631" s="373">
        <v>14650</v>
      </c>
      <c r="AC631" s="373">
        <v>14650</v>
      </c>
      <c r="AD631" s="371" t="s">
        <v>2271</v>
      </c>
      <c r="AE631" s="373">
        <v>0</v>
      </c>
      <c r="AF631" s="382">
        <v>0.44236111111111098</v>
      </c>
      <c r="AG631" s="382">
        <v>0.44236111111111098</v>
      </c>
      <c r="AH631" s="371" t="s">
        <v>2271</v>
      </c>
      <c r="AI631" s="382">
        <v>0.49305555555555602</v>
      </c>
      <c r="AJ631" s="382">
        <v>0.49305555555555602</v>
      </c>
      <c r="AK631" s="371" t="s">
        <v>2271</v>
      </c>
      <c r="AL631" s="206" t="s">
        <v>137</v>
      </c>
      <c r="AM631" s="206" t="s">
        <v>137</v>
      </c>
      <c r="AN631" s="371" t="s">
        <v>2271</v>
      </c>
      <c r="AO631" s="206" t="s">
        <v>2798</v>
      </c>
      <c r="AP631" s="206" t="s">
        <v>1393</v>
      </c>
      <c r="AQ631" s="206" t="s">
        <v>1132</v>
      </c>
      <c r="AR631" s="207" t="s">
        <v>68</v>
      </c>
    </row>
    <row r="632" spans="1:44" x14ac:dyDescent="0.2">
      <c r="A632" s="370">
        <v>613</v>
      </c>
      <c r="B632" s="380">
        <v>403</v>
      </c>
      <c r="C632" s="371" t="s">
        <v>2337</v>
      </c>
      <c r="D632" s="371" t="s">
        <v>2235</v>
      </c>
      <c r="E632" s="206"/>
      <c r="F632" s="206" t="s">
        <v>70</v>
      </c>
      <c r="G632" s="206" t="s">
        <v>70</v>
      </c>
      <c r="H632" s="371" t="s">
        <v>2271</v>
      </c>
      <c r="I632" s="206" t="s">
        <v>2169</v>
      </c>
      <c r="J632" s="206" t="s">
        <v>1435</v>
      </c>
      <c r="K632" s="371" t="s">
        <v>2276</v>
      </c>
      <c r="L632" s="206" t="s">
        <v>2170</v>
      </c>
      <c r="M632" s="206" t="s">
        <v>1349</v>
      </c>
      <c r="N632" s="206" t="s">
        <v>49</v>
      </c>
      <c r="O632" s="372" t="s">
        <v>2168</v>
      </c>
      <c r="P632" s="372">
        <v>46011</v>
      </c>
      <c r="Q632" s="371" t="s">
        <v>2276</v>
      </c>
      <c r="R632" s="373">
        <v>45760</v>
      </c>
      <c r="S632" s="373">
        <v>45760</v>
      </c>
      <c r="T632" s="371" t="s">
        <v>2271</v>
      </c>
      <c r="U632" s="373">
        <v>17790</v>
      </c>
      <c r="V632" s="373">
        <v>17790</v>
      </c>
      <c r="W632" s="371" t="s">
        <v>2271</v>
      </c>
      <c r="X632" s="373">
        <v>27970</v>
      </c>
      <c r="Y632" s="373">
        <v>27970</v>
      </c>
      <c r="Z632" s="371" t="s">
        <v>2271</v>
      </c>
      <c r="AA632" s="373">
        <v>0</v>
      </c>
      <c r="AB632" s="373">
        <v>27900</v>
      </c>
      <c r="AC632" s="373">
        <v>27900</v>
      </c>
      <c r="AD632" s="371" t="s">
        <v>2271</v>
      </c>
      <c r="AE632" s="373">
        <v>0</v>
      </c>
      <c r="AF632" s="382">
        <v>0.44444444444444398</v>
      </c>
      <c r="AG632" s="382">
        <v>0.44444444444444398</v>
      </c>
      <c r="AH632" s="371" t="s">
        <v>2271</v>
      </c>
      <c r="AI632" s="382">
        <v>0.49861111111111101</v>
      </c>
      <c r="AJ632" s="382">
        <v>0.49861111111111101</v>
      </c>
      <c r="AK632" s="371" t="s">
        <v>2271</v>
      </c>
      <c r="AL632" s="206" t="s">
        <v>137</v>
      </c>
      <c r="AM632" s="206" t="s">
        <v>137</v>
      </c>
      <c r="AN632" s="371" t="s">
        <v>2271</v>
      </c>
      <c r="AO632" s="206" t="s">
        <v>2799</v>
      </c>
      <c r="AP632" s="206" t="s">
        <v>1499</v>
      </c>
      <c r="AQ632" s="206" t="s">
        <v>1133</v>
      </c>
      <c r="AR632" s="207" t="s">
        <v>68</v>
      </c>
    </row>
    <row r="633" spans="1:44" x14ac:dyDescent="0.2">
      <c r="A633" s="370">
        <v>614</v>
      </c>
      <c r="B633" s="380">
        <v>404</v>
      </c>
      <c r="C633" s="371" t="s">
        <v>2337</v>
      </c>
      <c r="D633" s="371" t="s">
        <v>2235</v>
      </c>
      <c r="E633" s="206"/>
      <c r="F633" s="206" t="s">
        <v>84</v>
      </c>
      <c r="G633" s="206" t="s">
        <v>84</v>
      </c>
      <c r="H633" s="371" t="s">
        <v>2271</v>
      </c>
      <c r="I633" s="206" t="s">
        <v>2169</v>
      </c>
      <c r="J633" s="206" t="s">
        <v>1435</v>
      </c>
      <c r="K633" s="371" t="s">
        <v>2276</v>
      </c>
      <c r="L633" s="206" t="s">
        <v>2170</v>
      </c>
      <c r="M633" s="206" t="s">
        <v>1349</v>
      </c>
      <c r="N633" s="206" t="s">
        <v>49</v>
      </c>
      <c r="O633" s="372" t="s">
        <v>2168</v>
      </c>
      <c r="P633" s="372">
        <v>46011</v>
      </c>
      <c r="Q633" s="371" t="s">
        <v>2276</v>
      </c>
      <c r="R633" s="373">
        <v>26570</v>
      </c>
      <c r="S633" s="373">
        <v>26570</v>
      </c>
      <c r="T633" s="371" t="s">
        <v>2271</v>
      </c>
      <c r="U633" s="373">
        <v>12210</v>
      </c>
      <c r="V633" s="373">
        <v>12210</v>
      </c>
      <c r="W633" s="371" t="s">
        <v>2271</v>
      </c>
      <c r="X633" s="373">
        <v>14360</v>
      </c>
      <c r="Y633" s="373">
        <v>14360</v>
      </c>
      <c r="Z633" s="371" t="s">
        <v>2271</v>
      </c>
      <c r="AA633" s="373">
        <v>0</v>
      </c>
      <c r="AB633" s="373">
        <v>14330</v>
      </c>
      <c r="AC633" s="373">
        <v>14330</v>
      </c>
      <c r="AD633" s="371" t="s">
        <v>2271</v>
      </c>
      <c r="AE633" s="373">
        <v>0</v>
      </c>
      <c r="AF633" s="382">
        <v>0.46041666666666697</v>
      </c>
      <c r="AG633" s="382">
        <v>0.46041666666666697</v>
      </c>
      <c r="AH633" s="371" t="s">
        <v>2271</v>
      </c>
      <c r="AI633" s="382">
        <v>0.51388888888888895</v>
      </c>
      <c r="AJ633" s="382">
        <v>0.51388888888888895</v>
      </c>
      <c r="AK633" s="371" t="s">
        <v>2271</v>
      </c>
      <c r="AL633" s="206" t="s">
        <v>137</v>
      </c>
      <c r="AM633" s="206" t="s">
        <v>137</v>
      </c>
      <c r="AN633" s="371" t="s">
        <v>2271</v>
      </c>
      <c r="AO633" s="206" t="s">
        <v>2800</v>
      </c>
      <c r="AP633" s="206" t="s">
        <v>1782</v>
      </c>
      <c r="AQ633" s="206" t="s">
        <v>1132</v>
      </c>
      <c r="AR633" s="207" t="s">
        <v>68</v>
      </c>
    </row>
    <row r="634" spans="1:44" x14ac:dyDescent="0.2">
      <c r="A634" s="370">
        <v>615</v>
      </c>
      <c r="B634" s="380">
        <v>405</v>
      </c>
      <c r="C634" s="371" t="s">
        <v>2269</v>
      </c>
      <c r="D634" s="371" t="s">
        <v>2235</v>
      </c>
      <c r="E634" s="206"/>
      <c r="F634" s="206" t="s">
        <v>151</v>
      </c>
      <c r="G634" s="206" t="s">
        <v>151</v>
      </c>
      <c r="H634" s="371" t="s">
        <v>2271</v>
      </c>
      <c r="I634" s="206" t="s">
        <v>1335</v>
      </c>
      <c r="J634" s="206" t="s">
        <v>1335</v>
      </c>
      <c r="K634" s="371" t="s">
        <v>2271</v>
      </c>
      <c r="L634" s="206" t="s">
        <v>2161</v>
      </c>
      <c r="M634" s="206" t="s">
        <v>1334</v>
      </c>
      <c r="N634" s="206" t="s">
        <v>40</v>
      </c>
      <c r="O634" s="372" t="s">
        <v>2168</v>
      </c>
      <c r="P634" s="372">
        <v>46011</v>
      </c>
      <c r="Q634" s="371" t="s">
        <v>2276</v>
      </c>
      <c r="R634" s="373">
        <v>13490</v>
      </c>
      <c r="S634" s="373">
        <v>13490</v>
      </c>
      <c r="T634" s="371" t="s">
        <v>2271</v>
      </c>
      <c r="U634" s="373">
        <v>4140</v>
      </c>
      <c r="V634" s="373">
        <v>4140</v>
      </c>
      <c r="W634" s="371" t="s">
        <v>2271</v>
      </c>
      <c r="X634" s="373">
        <v>9350</v>
      </c>
      <c r="Y634" s="373">
        <v>9350</v>
      </c>
      <c r="Z634" s="371" t="s">
        <v>2271</v>
      </c>
      <c r="AA634" s="373">
        <v>0</v>
      </c>
      <c r="AB634" s="373">
        <v>9400</v>
      </c>
      <c r="AC634" s="373">
        <v>9400</v>
      </c>
      <c r="AD634" s="371" t="s">
        <v>2271</v>
      </c>
      <c r="AE634" s="373">
        <v>0</v>
      </c>
      <c r="AF634" s="382">
        <v>0.66944444444444395</v>
      </c>
      <c r="AG634" s="382">
        <v>0.66944444444444395</v>
      </c>
      <c r="AH634" s="371" t="s">
        <v>2271</v>
      </c>
      <c r="AI634" s="382">
        <v>0.70902777777777803</v>
      </c>
      <c r="AJ634" s="382">
        <v>0.70902777777777803</v>
      </c>
      <c r="AK634" s="371" t="s">
        <v>2271</v>
      </c>
      <c r="AL634" s="206" t="s">
        <v>42</v>
      </c>
      <c r="AM634" s="206" t="s">
        <v>42</v>
      </c>
      <c r="AN634" s="371" t="s">
        <v>2271</v>
      </c>
      <c r="AO634" s="206" t="s">
        <v>2801</v>
      </c>
      <c r="AP634" s="206"/>
      <c r="AQ634" s="206" t="s">
        <v>1131</v>
      </c>
      <c r="AR634" s="207" t="s">
        <v>82</v>
      </c>
    </row>
    <row r="635" spans="1:44" x14ac:dyDescent="0.2">
      <c r="A635" s="370">
        <v>616</v>
      </c>
      <c r="B635" s="380">
        <v>406</v>
      </c>
      <c r="C635" s="371" t="s">
        <v>2337</v>
      </c>
      <c r="D635" s="371" t="s">
        <v>2235</v>
      </c>
      <c r="E635" s="206"/>
      <c r="F635" s="206" t="s">
        <v>76</v>
      </c>
      <c r="G635" s="206" t="s">
        <v>76</v>
      </c>
      <c r="H635" s="371" t="s">
        <v>2271</v>
      </c>
      <c r="I635" s="206" t="s">
        <v>2169</v>
      </c>
      <c r="J635" s="206" t="s">
        <v>1435</v>
      </c>
      <c r="K635" s="371" t="s">
        <v>2276</v>
      </c>
      <c r="L635" s="206" t="s">
        <v>2170</v>
      </c>
      <c r="M635" s="206" t="s">
        <v>1349</v>
      </c>
      <c r="N635" s="206" t="s">
        <v>49</v>
      </c>
      <c r="O635" s="372" t="s">
        <v>2168</v>
      </c>
      <c r="P635" s="372">
        <v>46011</v>
      </c>
      <c r="Q635" s="371" t="s">
        <v>2276</v>
      </c>
      <c r="R635" s="373">
        <v>45760</v>
      </c>
      <c r="S635" s="373">
        <v>45760</v>
      </c>
      <c r="T635" s="371" t="s">
        <v>2271</v>
      </c>
      <c r="U635" s="373">
        <v>17420</v>
      </c>
      <c r="V635" s="373">
        <v>17420</v>
      </c>
      <c r="W635" s="371" t="s">
        <v>2271</v>
      </c>
      <c r="X635" s="373">
        <v>28340</v>
      </c>
      <c r="Y635" s="373">
        <v>28340</v>
      </c>
      <c r="Z635" s="371" t="s">
        <v>2271</v>
      </c>
      <c r="AA635" s="373">
        <v>0</v>
      </c>
      <c r="AB635" s="373">
        <v>28300</v>
      </c>
      <c r="AC635" s="373">
        <v>28300</v>
      </c>
      <c r="AD635" s="371" t="s">
        <v>2271</v>
      </c>
      <c r="AE635" s="373">
        <v>0</v>
      </c>
      <c r="AF635" s="382">
        <v>0.67430555555555605</v>
      </c>
      <c r="AG635" s="382">
        <v>0.67430555555555605</v>
      </c>
      <c r="AH635" s="371" t="s">
        <v>2271</v>
      </c>
      <c r="AI635" s="382">
        <v>0.72986111111111096</v>
      </c>
      <c r="AJ635" s="382">
        <v>0.72986111111111096</v>
      </c>
      <c r="AK635" s="371" t="s">
        <v>2271</v>
      </c>
      <c r="AL635" s="206" t="s">
        <v>42</v>
      </c>
      <c r="AM635" s="206" t="s">
        <v>42</v>
      </c>
      <c r="AN635" s="371" t="s">
        <v>2271</v>
      </c>
      <c r="AO635" s="206" t="s">
        <v>2802</v>
      </c>
      <c r="AP635" s="206" t="s">
        <v>1372</v>
      </c>
      <c r="AQ635" s="206" t="s">
        <v>1133</v>
      </c>
      <c r="AR635" s="207" t="s">
        <v>68</v>
      </c>
    </row>
    <row r="636" spans="1:44" x14ac:dyDescent="0.2">
      <c r="A636" s="370">
        <v>617</v>
      </c>
      <c r="B636" s="380">
        <v>407</v>
      </c>
      <c r="C636" s="371" t="s">
        <v>2337</v>
      </c>
      <c r="D636" s="371" t="s">
        <v>2235</v>
      </c>
      <c r="E636" s="206"/>
      <c r="F636" s="206" t="s">
        <v>70</v>
      </c>
      <c r="G636" s="206" t="s">
        <v>70</v>
      </c>
      <c r="H636" s="371" t="s">
        <v>2271</v>
      </c>
      <c r="I636" s="206" t="s">
        <v>2169</v>
      </c>
      <c r="J636" s="206" t="s">
        <v>1435</v>
      </c>
      <c r="K636" s="371" t="s">
        <v>2276</v>
      </c>
      <c r="L636" s="206" t="s">
        <v>2170</v>
      </c>
      <c r="M636" s="206" t="s">
        <v>1349</v>
      </c>
      <c r="N636" s="206" t="s">
        <v>49</v>
      </c>
      <c r="O636" s="372" t="s">
        <v>2168</v>
      </c>
      <c r="P636" s="372">
        <v>46011</v>
      </c>
      <c r="Q636" s="371" t="s">
        <v>2276</v>
      </c>
      <c r="R636" s="373">
        <v>45800</v>
      </c>
      <c r="S636" s="373">
        <v>45800</v>
      </c>
      <c r="T636" s="371" t="s">
        <v>2271</v>
      </c>
      <c r="U636" s="373">
        <v>17710</v>
      </c>
      <c r="V636" s="373">
        <v>17710</v>
      </c>
      <c r="W636" s="371" t="s">
        <v>2271</v>
      </c>
      <c r="X636" s="373">
        <v>28090</v>
      </c>
      <c r="Y636" s="373">
        <v>28090</v>
      </c>
      <c r="Z636" s="371" t="s">
        <v>2271</v>
      </c>
      <c r="AA636" s="373">
        <v>0</v>
      </c>
      <c r="AB636" s="373">
        <v>28010</v>
      </c>
      <c r="AC636" s="373">
        <v>28010</v>
      </c>
      <c r="AD636" s="371" t="s">
        <v>2271</v>
      </c>
      <c r="AE636" s="373">
        <v>0</v>
      </c>
      <c r="AF636" s="382">
        <v>0.70833333333333304</v>
      </c>
      <c r="AG636" s="382">
        <v>0.70833333333333304</v>
      </c>
      <c r="AH636" s="371" t="s">
        <v>2271</v>
      </c>
      <c r="AI636" s="382">
        <v>0.74791666666666701</v>
      </c>
      <c r="AJ636" s="382">
        <v>0.74791666666666701</v>
      </c>
      <c r="AK636" s="371" t="s">
        <v>2271</v>
      </c>
      <c r="AL636" s="206" t="s">
        <v>42</v>
      </c>
      <c r="AM636" s="206" t="s">
        <v>42</v>
      </c>
      <c r="AN636" s="371" t="s">
        <v>2271</v>
      </c>
      <c r="AO636" s="206" t="s">
        <v>2803</v>
      </c>
      <c r="AP636" s="206" t="s">
        <v>1499</v>
      </c>
      <c r="AQ636" s="206" t="s">
        <v>1133</v>
      </c>
      <c r="AR636" s="207" t="s">
        <v>68</v>
      </c>
    </row>
    <row r="637" spans="1:44" x14ac:dyDescent="0.2">
      <c r="A637" s="370">
        <v>618</v>
      </c>
      <c r="B637" s="380">
        <v>408</v>
      </c>
      <c r="C637" s="371" t="s">
        <v>2337</v>
      </c>
      <c r="D637" s="371" t="s">
        <v>2235</v>
      </c>
      <c r="E637" s="206"/>
      <c r="F637" s="206" t="s">
        <v>46</v>
      </c>
      <c r="G637" s="206" t="s">
        <v>46</v>
      </c>
      <c r="H637" s="371" t="s">
        <v>2271</v>
      </c>
      <c r="I637" s="206" t="s">
        <v>2169</v>
      </c>
      <c r="J637" s="206" t="s">
        <v>1435</v>
      </c>
      <c r="K637" s="371" t="s">
        <v>2276</v>
      </c>
      <c r="L637" s="206" t="s">
        <v>2170</v>
      </c>
      <c r="M637" s="206" t="s">
        <v>1349</v>
      </c>
      <c r="N637" s="206" t="s">
        <v>49</v>
      </c>
      <c r="O637" s="372" t="s">
        <v>2168</v>
      </c>
      <c r="P637" s="372">
        <v>46011</v>
      </c>
      <c r="Q637" s="371" t="s">
        <v>2276</v>
      </c>
      <c r="R637" s="373">
        <v>26540</v>
      </c>
      <c r="S637" s="373">
        <v>26540</v>
      </c>
      <c r="T637" s="371" t="s">
        <v>2271</v>
      </c>
      <c r="U637" s="373">
        <v>11870</v>
      </c>
      <c r="V637" s="373">
        <v>11870</v>
      </c>
      <c r="W637" s="371" t="s">
        <v>2271</v>
      </c>
      <c r="X637" s="373">
        <v>14670</v>
      </c>
      <c r="Y637" s="373">
        <v>14670</v>
      </c>
      <c r="Z637" s="371" t="s">
        <v>2271</v>
      </c>
      <c r="AA637" s="373">
        <v>0</v>
      </c>
      <c r="AB637" s="373">
        <v>14600</v>
      </c>
      <c r="AC637" s="373">
        <v>14600</v>
      </c>
      <c r="AD637" s="371" t="s">
        <v>2271</v>
      </c>
      <c r="AE637" s="373">
        <v>0</v>
      </c>
      <c r="AF637" s="382">
        <v>0.71319444444444402</v>
      </c>
      <c r="AG637" s="382">
        <v>0.71319444444444502</v>
      </c>
      <c r="AH637" s="371" t="s">
        <v>2276</v>
      </c>
      <c r="AI637" s="382">
        <v>0.75277777777777799</v>
      </c>
      <c r="AJ637" s="382">
        <v>0.75277777777777799</v>
      </c>
      <c r="AK637" s="371" t="s">
        <v>2271</v>
      </c>
      <c r="AL637" s="206" t="s">
        <v>42</v>
      </c>
      <c r="AM637" s="206" t="s">
        <v>42</v>
      </c>
      <c r="AN637" s="371" t="s">
        <v>2271</v>
      </c>
      <c r="AO637" s="206" t="s">
        <v>2804</v>
      </c>
      <c r="AP637" s="206" t="s">
        <v>1393</v>
      </c>
      <c r="AQ637" s="206" t="s">
        <v>1132</v>
      </c>
      <c r="AR637" s="207" t="s">
        <v>68</v>
      </c>
    </row>
    <row r="638" spans="1:44" x14ac:dyDescent="0.2">
      <c r="A638" s="370">
        <v>619</v>
      </c>
      <c r="B638" s="380">
        <v>409</v>
      </c>
      <c r="C638" s="371" t="s">
        <v>2269</v>
      </c>
      <c r="D638" s="371" t="s">
        <v>2235</v>
      </c>
      <c r="E638" s="206"/>
      <c r="F638" s="206" t="s">
        <v>183</v>
      </c>
      <c r="G638" s="206" t="s">
        <v>183</v>
      </c>
      <c r="H638" s="371" t="s">
        <v>2271</v>
      </c>
      <c r="I638" s="206" t="s">
        <v>1335</v>
      </c>
      <c r="J638" s="206" t="s">
        <v>1335</v>
      </c>
      <c r="K638" s="371" t="s">
        <v>2271</v>
      </c>
      <c r="L638" s="206" t="s">
        <v>2161</v>
      </c>
      <c r="M638" s="206" t="s">
        <v>1334</v>
      </c>
      <c r="N638" s="206" t="s">
        <v>40</v>
      </c>
      <c r="O638" s="372" t="s">
        <v>2168</v>
      </c>
      <c r="P638" s="372">
        <v>46011</v>
      </c>
      <c r="Q638" s="371" t="s">
        <v>2276</v>
      </c>
      <c r="R638" s="373">
        <v>14220</v>
      </c>
      <c r="S638" s="373">
        <v>14220</v>
      </c>
      <c r="T638" s="371" t="s">
        <v>2271</v>
      </c>
      <c r="U638" s="373">
        <v>4200</v>
      </c>
      <c r="V638" s="373">
        <v>4200</v>
      </c>
      <c r="W638" s="371" t="s">
        <v>2271</v>
      </c>
      <c r="X638" s="373">
        <v>10020</v>
      </c>
      <c r="Y638" s="373">
        <v>10020</v>
      </c>
      <c r="Z638" s="371" t="s">
        <v>2271</v>
      </c>
      <c r="AA638" s="373">
        <v>0</v>
      </c>
      <c r="AB638" s="373">
        <v>10000</v>
      </c>
      <c r="AC638" s="373">
        <v>10000</v>
      </c>
      <c r="AD638" s="371" t="s">
        <v>2271</v>
      </c>
      <c r="AE638" s="373">
        <v>0</v>
      </c>
      <c r="AF638" s="382">
        <v>0.73402777777777795</v>
      </c>
      <c r="AG638" s="382">
        <v>0.73402777777777795</v>
      </c>
      <c r="AH638" s="371" t="s">
        <v>2271</v>
      </c>
      <c r="AI638" s="382">
        <v>0.75416666666666698</v>
      </c>
      <c r="AJ638" s="382">
        <v>0.75416666666666698</v>
      </c>
      <c r="AK638" s="371" t="s">
        <v>2271</v>
      </c>
      <c r="AL638" s="206" t="s">
        <v>42</v>
      </c>
      <c r="AM638" s="206" t="s">
        <v>42</v>
      </c>
      <c r="AN638" s="371" t="s">
        <v>2271</v>
      </c>
      <c r="AO638" s="206" t="s">
        <v>2805</v>
      </c>
      <c r="AP638" s="206"/>
      <c r="AQ638" s="206" t="s">
        <v>1131</v>
      </c>
      <c r="AR638" s="207" t="s">
        <v>82</v>
      </c>
    </row>
    <row r="639" spans="1:44" x14ac:dyDescent="0.2">
      <c r="A639" s="370">
        <v>620</v>
      </c>
      <c r="B639" s="380">
        <v>410</v>
      </c>
      <c r="C639" s="371" t="s">
        <v>2337</v>
      </c>
      <c r="D639" s="371" t="s">
        <v>2235</v>
      </c>
      <c r="E639" s="206"/>
      <c r="F639" s="206" t="s">
        <v>56</v>
      </c>
      <c r="G639" s="206" t="s">
        <v>56</v>
      </c>
      <c r="H639" s="371" t="s">
        <v>2271</v>
      </c>
      <c r="I639" s="206" t="s">
        <v>2169</v>
      </c>
      <c r="J639" s="206" t="s">
        <v>1435</v>
      </c>
      <c r="K639" s="371" t="s">
        <v>2276</v>
      </c>
      <c r="L639" s="206" t="s">
        <v>2170</v>
      </c>
      <c r="M639" s="206" t="s">
        <v>1349</v>
      </c>
      <c r="N639" s="206" t="s">
        <v>49</v>
      </c>
      <c r="O639" s="372" t="s">
        <v>2168</v>
      </c>
      <c r="P639" s="372">
        <v>46011</v>
      </c>
      <c r="Q639" s="371" t="s">
        <v>2276</v>
      </c>
      <c r="R639" s="373">
        <v>25080</v>
      </c>
      <c r="S639" s="373">
        <v>25080</v>
      </c>
      <c r="T639" s="371" t="s">
        <v>2271</v>
      </c>
      <c r="U639" s="373">
        <v>10880</v>
      </c>
      <c r="V639" s="373">
        <v>10880</v>
      </c>
      <c r="W639" s="371" t="s">
        <v>2271</v>
      </c>
      <c r="X639" s="373">
        <v>14200</v>
      </c>
      <c r="Y639" s="373">
        <v>14200</v>
      </c>
      <c r="Z639" s="371" t="s">
        <v>2271</v>
      </c>
      <c r="AA639" s="373">
        <v>0</v>
      </c>
      <c r="AB639" s="373">
        <v>13800</v>
      </c>
      <c r="AC639" s="373">
        <v>13800</v>
      </c>
      <c r="AD639" s="371" t="s">
        <v>2271</v>
      </c>
      <c r="AE639" s="373">
        <v>0</v>
      </c>
      <c r="AF639" s="382">
        <v>0.74652777777777801</v>
      </c>
      <c r="AG639" s="382">
        <v>0.74652777777777801</v>
      </c>
      <c r="AH639" s="371" t="s">
        <v>2271</v>
      </c>
      <c r="AI639" s="382">
        <v>0.79374999999999996</v>
      </c>
      <c r="AJ639" s="382">
        <v>0.79374999999999996</v>
      </c>
      <c r="AK639" s="371" t="s">
        <v>2271</v>
      </c>
      <c r="AL639" s="206" t="s">
        <v>42</v>
      </c>
      <c r="AM639" s="206" t="s">
        <v>42</v>
      </c>
      <c r="AN639" s="371" t="s">
        <v>2271</v>
      </c>
      <c r="AO639" s="206" t="s">
        <v>2806</v>
      </c>
      <c r="AP639" s="206" t="s">
        <v>1781</v>
      </c>
      <c r="AQ639" s="206" t="s">
        <v>1132</v>
      </c>
      <c r="AR639" s="207" t="s">
        <v>68</v>
      </c>
    </row>
    <row r="640" spans="1:44" x14ac:dyDescent="0.2">
      <c r="A640" s="370">
        <v>621</v>
      </c>
      <c r="B640" s="380">
        <v>411</v>
      </c>
      <c r="C640" s="371" t="s">
        <v>2337</v>
      </c>
      <c r="D640" s="371" t="s">
        <v>2235</v>
      </c>
      <c r="E640" s="206"/>
      <c r="F640" s="206" t="s">
        <v>56</v>
      </c>
      <c r="G640" s="206" t="s">
        <v>56</v>
      </c>
      <c r="H640" s="371" t="s">
        <v>2271</v>
      </c>
      <c r="I640" s="206" t="s">
        <v>2169</v>
      </c>
      <c r="J640" s="206" t="s">
        <v>1435</v>
      </c>
      <c r="K640" s="371" t="s">
        <v>2276</v>
      </c>
      <c r="L640" s="206" t="s">
        <v>2170</v>
      </c>
      <c r="M640" s="206" t="s">
        <v>1349</v>
      </c>
      <c r="N640" s="206" t="s">
        <v>49</v>
      </c>
      <c r="O640" s="372" t="s">
        <v>2171</v>
      </c>
      <c r="P640" s="372">
        <v>46013</v>
      </c>
      <c r="Q640" s="371" t="s">
        <v>2276</v>
      </c>
      <c r="R640" s="373">
        <v>25060</v>
      </c>
      <c r="S640" s="373">
        <v>25060</v>
      </c>
      <c r="T640" s="371" t="s">
        <v>2271</v>
      </c>
      <c r="U640" s="373">
        <v>10790</v>
      </c>
      <c r="V640" s="373">
        <v>10790</v>
      </c>
      <c r="W640" s="371" t="s">
        <v>2271</v>
      </c>
      <c r="X640" s="373">
        <v>14270</v>
      </c>
      <c r="Y640" s="373">
        <v>14270</v>
      </c>
      <c r="Z640" s="371" t="s">
        <v>2271</v>
      </c>
      <c r="AA640" s="373">
        <v>0</v>
      </c>
      <c r="AB640" s="373">
        <v>14190</v>
      </c>
      <c r="AC640" s="373">
        <v>14190</v>
      </c>
      <c r="AD640" s="371" t="s">
        <v>2271</v>
      </c>
      <c r="AE640" s="373">
        <v>0</v>
      </c>
      <c r="AF640" s="382">
        <v>0.46458333333333302</v>
      </c>
      <c r="AG640" s="382">
        <v>0.46458333333333302</v>
      </c>
      <c r="AH640" s="371" t="s">
        <v>2271</v>
      </c>
      <c r="AI640" s="382">
        <v>0.54930555555555605</v>
      </c>
      <c r="AJ640" s="382">
        <v>0.54930555555555605</v>
      </c>
      <c r="AK640" s="371" t="s">
        <v>2271</v>
      </c>
      <c r="AL640" s="206" t="s">
        <v>137</v>
      </c>
      <c r="AM640" s="206" t="s">
        <v>137</v>
      </c>
      <c r="AN640" s="371" t="s">
        <v>2271</v>
      </c>
      <c r="AO640" s="206" t="s">
        <v>2807</v>
      </c>
      <c r="AP640" s="206" t="s">
        <v>1781</v>
      </c>
      <c r="AQ640" s="206" t="s">
        <v>1132</v>
      </c>
      <c r="AR640" s="207" t="s">
        <v>68</v>
      </c>
    </row>
    <row r="641" spans="1:44" x14ac:dyDescent="0.2">
      <c r="A641" s="370">
        <v>622</v>
      </c>
      <c r="B641" s="380">
        <v>412</v>
      </c>
      <c r="C641" s="371" t="s">
        <v>2337</v>
      </c>
      <c r="D641" s="371" t="s">
        <v>2235</v>
      </c>
      <c r="E641" s="206"/>
      <c r="F641" s="206" t="s">
        <v>46</v>
      </c>
      <c r="G641" s="206" t="s">
        <v>46</v>
      </c>
      <c r="H641" s="371" t="s">
        <v>2271</v>
      </c>
      <c r="I641" s="206" t="s">
        <v>2169</v>
      </c>
      <c r="J641" s="206" t="s">
        <v>1435</v>
      </c>
      <c r="K641" s="371" t="s">
        <v>2276</v>
      </c>
      <c r="L641" s="206" t="s">
        <v>2170</v>
      </c>
      <c r="M641" s="206" t="s">
        <v>1349</v>
      </c>
      <c r="N641" s="206" t="s">
        <v>49</v>
      </c>
      <c r="O641" s="372" t="s">
        <v>2171</v>
      </c>
      <c r="P641" s="372">
        <v>46013</v>
      </c>
      <c r="Q641" s="371" t="s">
        <v>2276</v>
      </c>
      <c r="R641" s="373">
        <v>26560</v>
      </c>
      <c r="S641" s="373">
        <v>26560</v>
      </c>
      <c r="T641" s="371" t="s">
        <v>2271</v>
      </c>
      <c r="U641" s="373">
        <v>11840</v>
      </c>
      <c r="V641" s="373">
        <v>11840</v>
      </c>
      <c r="W641" s="371" t="s">
        <v>2271</v>
      </c>
      <c r="X641" s="373">
        <v>14720</v>
      </c>
      <c r="Y641" s="373">
        <v>14720</v>
      </c>
      <c r="Z641" s="371" t="s">
        <v>2271</v>
      </c>
      <c r="AA641" s="373">
        <v>0</v>
      </c>
      <c r="AB641" s="373">
        <v>14690</v>
      </c>
      <c r="AC641" s="373">
        <v>14690</v>
      </c>
      <c r="AD641" s="371" t="s">
        <v>2271</v>
      </c>
      <c r="AE641" s="373">
        <v>0</v>
      </c>
      <c r="AF641" s="382">
        <v>0.48125000000000001</v>
      </c>
      <c r="AG641" s="382">
        <v>0.48125000000000001</v>
      </c>
      <c r="AH641" s="371" t="s">
        <v>2271</v>
      </c>
      <c r="AI641" s="382">
        <v>0.55416666666666703</v>
      </c>
      <c r="AJ641" s="382">
        <v>0.55416666666666703</v>
      </c>
      <c r="AK641" s="371" t="s">
        <v>2271</v>
      </c>
      <c r="AL641" s="206" t="s">
        <v>137</v>
      </c>
      <c r="AM641" s="206" t="s">
        <v>137</v>
      </c>
      <c r="AN641" s="371" t="s">
        <v>2271</v>
      </c>
      <c r="AO641" s="206" t="s">
        <v>2808</v>
      </c>
      <c r="AP641" s="206" t="s">
        <v>1393</v>
      </c>
      <c r="AQ641" s="206" t="s">
        <v>1132</v>
      </c>
      <c r="AR641" s="207" t="s">
        <v>68</v>
      </c>
    </row>
    <row r="642" spans="1:44" x14ac:dyDescent="0.2">
      <c r="A642" s="370">
        <v>623</v>
      </c>
      <c r="B642" s="380">
        <v>413</v>
      </c>
      <c r="C642" s="371" t="s">
        <v>2337</v>
      </c>
      <c r="D642" s="371" t="s">
        <v>2235</v>
      </c>
      <c r="E642" s="206"/>
      <c r="F642" s="206" t="s">
        <v>76</v>
      </c>
      <c r="G642" s="206" t="s">
        <v>76</v>
      </c>
      <c r="H642" s="371" t="s">
        <v>2271</v>
      </c>
      <c r="I642" s="206" t="s">
        <v>2169</v>
      </c>
      <c r="J642" s="206" t="s">
        <v>1435</v>
      </c>
      <c r="K642" s="371" t="s">
        <v>2276</v>
      </c>
      <c r="L642" s="206" t="s">
        <v>2170</v>
      </c>
      <c r="M642" s="206" t="s">
        <v>1349</v>
      </c>
      <c r="N642" s="206" t="s">
        <v>49</v>
      </c>
      <c r="O642" s="372" t="s">
        <v>2171</v>
      </c>
      <c r="P642" s="372">
        <v>46013</v>
      </c>
      <c r="Q642" s="371" t="s">
        <v>2276</v>
      </c>
      <c r="R642" s="373">
        <v>45740</v>
      </c>
      <c r="S642" s="373">
        <v>45740</v>
      </c>
      <c r="T642" s="371" t="s">
        <v>2271</v>
      </c>
      <c r="U642" s="373">
        <v>17370</v>
      </c>
      <c r="V642" s="373">
        <v>17370</v>
      </c>
      <c r="W642" s="371" t="s">
        <v>2271</v>
      </c>
      <c r="X642" s="373">
        <v>28370</v>
      </c>
      <c r="Y642" s="373">
        <v>28370</v>
      </c>
      <c r="Z642" s="371" t="s">
        <v>2271</v>
      </c>
      <c r="AA642" s="373">
        <v>0</v>
      </c>
      <c r="AB642" s="373">
        <v>28320</v>
      </c>
      <c r="AC642" s="373">
        <v>28320</v>
      </c>
      <c r="AD642" s="371" t="s">
        <v>2271</v>
      </c>
      <c r="AE642" s="373">
        <v>0</v>
      </c>
      <c r="AF642" s="382">
        <v>0.50694444444444398</v>
      </c>
      <c r="AG642" s="382">
        <v>0.50694444444444398</v>
      </c>
      <c r="AH642" s="371" t="s">
        <v>2271</v>
      </c>
      <c r="AI642" s="382">
        <v>0.58055555555555605</v>
      </c>
      <c r="AJ642" s="382">
        <v>0.58055555555555605</v>
      </c>
      <c r="AK642" s="371" t="s">
        <v>2271</v>
      </c>
      <c r="AL642" s="206" t="s">
        <v>137</v>
      </c>
      <c r="AM642" s="206" t="s">
        <v>137</v>
      </c>
      <c r="AN642" s="371" t="s">
        <v>2271</v>
      </c>
      <c r="AO642" s="206" t="s">
        <v>2809</v>
      </c>
      <c r="AP642" s="206" t="s">
        <v>1372</v>
      </c>
      <c r="AQ642" s="206" t="s">
        <v>1133</v>
      </c>
      <c r="AR642" s="207" t="s">
        <v>68</v>
      </c>
    </row>
    <row r="643" spans="1:44" x14ac:dyDescent="0.2">
      <c r="A643" s="370">
        <v>624</v>
      </c>
      <c r="B643" s="380">
        <v>414</v>
      </c>
      <c r="C643" s="371" t="s">
        <v>2337</v>
      </c>
      <c r="D643" s="371" t="s">
        <v>2235</v>
      </c>
      <c r="E643" s="206"/>
      <c r="F643" s="206" t="s">
        <v>70</v>
      </c>
      <c r="G643" s="206" t="s">
        <v>70</v>
      </c>
      <c r="H643" s="371" t="s">
        <v>2271</v>
      </c>
      <c r="I643" s="206" t="s">
        <v>2169</v>
      </c>
      <c r="J643" s="206" t="s">
        <v>1435</v>
      </c>
      <c r="K643" s="371" t="s">
        <v>2276</v>
      </c>
      <c r="L643" s="206" t="s">
        <v>2170</v>
      </c>
      <c r="M643" s="206" t="s">
        <v>1349</v>
      </c>
      <c r="N643" s="206" t="s">
        <v>49</v>
      </c>
      <c r="O643" s="372" t="s">
        <v>2171</v>
      </c>
      <c r="P643" s="372">
        <v>46013</v>
      </c>
      <c r="Q643" s="371" t="s">
        <v>2276</v>
      </c>
      <c r="R643" s="373">
        <v>45670</v>
      </c>
      <c r="S643" s="373">
        <v>45670</v>
      </c>
      <c r="T643" s="371" t="s">
        <v>2271</v>
      </c>
      <c r="U643" s="373">
        <v>17640</v>
      </c>
      <c r="V643" s="373">
        <v>17640</v>
      </c>
      <c r="W643" s="371" t="s">
        <v>2271</v>
      </c>
      <c r="X643" s="373">
        <v>28030</v>
      </c>
      <c r="Y643" s="373">
        <v>28030</v>
      </c>
      <c r="Z643" s="371" t="s">
        <v>2271</v>
      </c>
      <c r="AA643" s="373">
        <v>0</v>
      </c>
      <c r="AB643" s="373">
        <v>27980</v>
      </c>
      <c r="AC643" s="373">
        <v>27980</v>
      </c>
      <c r="AD643" s="371" t="s">
        <v>2271</v>
      </c>
      <c r="AE643" s="373">
        <v>0</v>
      </c>
      <c r="AF643" s="382">
        <v>0.54374999999999996</v>
      </c>
      <c r="AG643" s="382">
        <v>0.54374999999999996</v>
      </c>
      <c r="AH643" s="371" t="s">
        <v>2271</v>
      </c>
      <c r="AI643" s="382">
        <v>0.58819444444444402</v>
      </c>
      <c r="AJ643" s="382">
        <v>0.58819444444444502</v>
      </c>
      <c r="AK643" s="371" t="s">
        <v>2276</v>
      </c>
      <c r="AL643" s="206" t="s">
        <v>137</v>
      </c>
      <c r="AM643" s="206" t="s">
        <v>137</v>
      </c>
      <c r="AN643" s="371" t="s">
        <v>2271</v>
      </c>
      <c r="AO643" s="206" t="s">
        <v>2810</v>
      </c>
      <c r="AP643" s="206" t="s">
        <v>1499</v>
      </c>
      <c r="AQ643" s="206" t="s">
        <v>1133</v>
      </c>
      <c r="AR643" s="207" t="s">
        <v>68</v>
      </c>
    </row>
    <row r="644" spans="1:44" x14ac:dyDescent="0.2">
      <c r="A644" s="370">
        <v>625</v>
      </c>
      <c r="B644" s="380">
        <v>415</v>
      </c>
      <c r="C644" s="371" t="s">
        <v>2337</v>
      </c>
      <c r="D644" s="371" t="s">
        <v>2235</v>
      </c>
      <c r="E644" s="206"/>
      <c r="F644" s="206" t="s">
        <v>56</v>
      </c>
      <c r="G644" s="206" t="s">
        <v>56</v>
      </c>
      <c r="H644" s="371" t="s">
        <v>2271</v>
      </c>
      <c r="I644" s="206" t="s">
        <v>2169</v>
      </c>
      <c r="J644" s="206" t="s">
        <v>1435</v>
      </c>
      <c r="K644" s="371" t="s">
        <v>2276</v>
      </c>
      <c r="L644" s="206" t="s">
        <v>2170</v>
      </c>
      <c r="M644" s="206" t="s">
        <v>1349</v>
      </c>
      <c r="N644" s="206" t="s">
        <v>49</v>
      </c>
      <c r="O644" s="372" t="s">
        <v>2171</v>
      </c>
      <c r="P644" s="372">
        <v>46013</v>
      </c>
      <c r="Q644" s="371" t="s">
        <v>2276</v>
      </c>
      <c r="R644" s="373">
        <v>24980</v>
      </c>
      <c r="S644" s="373">
        <v>24980</v>
      </c>
      <c r="T644" s="371" t="s">
        <v>2271</v>
      </c>
      <c r="U644" s="373">
        <v>10730</v>
      </c>
      <c r="V644" s="373">
        <v>10730</v>
      </c>
      <c r="W644" s="371" t="s">
        <v>2271</v>
      </c>
      <c r="X644" s="373">
        <v>14250</v>
      </c>
      <c r="Y644" s="373">
        <v>14250</v>
      </c>
      <c r="Z644" s="371" t="s">
        <v>2271</v>
      </c>
      <c r="AA644" s="373">
        <v>0</v>
      </c>
      <c r="AB644" s="373">
        <v>14170</v>
      </c>
      <c r="AC644" s="373">
        <v>14170</v>
      </c>
      <c r="AD644" s="371" t="s">
        <v>2271</v>
      </c>
      <c r="AE644" s="373">
        <v>0</v>
      </c>
      <c r="AF644" s="382">
        <v>0.74444444444444402</v>
      </c>
      <c r="AG644" s="382">
        <v>0.74444444444444502</v>
      </c>
      <c r="AH644" s="371" t="s">
        <v>2276</v>
      </c>
      <c r="AI644" s="382">
        <v>0.81388888888888899</v>
      </c>
      <c r="AJ644" s="382">
        <v>0.81388888888888899</v>
      </c>
      <c r="AK644" s="371" t="s">
        <v>2271</v>
      </c>
      <c r="AL644" s="206" t="s">
        <v>42</v>
      </c>
      <c r="AM644" s="206" t="s">
        <v>42</v>
      </c>
      <c r="AN644" s="371" t="s">
        <v>2271</v>
      </c>
      <c r="AO644" s="206" t="s">
        <v>2811</v>
      </c>
      <c r="AP644" s="206" t="s">
        <v>1781</v>
      </c>
      <c r="AQ644" s="206" t="s">
        <v>1132</v>
      </c>
      <c r="AR644" s="207" t="s">
        <v>68</v>
      </c>
    </row>
    <row r="645" spans="1:44" x14ac:dyDescent="0.2">
      <c r="A645" s="370">
        <v>626</v>
      </c>
      <c r="B645" s="380">
        <v>416</v>
      </c>
      <c r="C645" s="371" t="s">
        <v>2337</v>
      </c>
      <c r="D645" s="371" t="s">
        <v>2235</v>
      </c>
      <c r="E645" s="206"/>
      <c r="F645" s="206" t="s">
        <v>46</v>
      </c>
      <c r="G645" s="206" t="s">
        <v>46</v>
      </c>
      <c r="H645" s="371" t="s">
        <v>2271</v>
      </c>
      <c r="I645" s="206" t="s">
        <v>2169</v>
      </c>
      <c r="J645" s="206" t="s">
        <v>1435</v>
      </c>
      <c r="K645" s="371" t="s">
        <v>2276</v>
      </c>
      <c r="L645" s="206" t="s">
        <v>2170</v>
      </c>
      <c r="M645" s="206" t="s">
        <v>1349</v>
      </c>
      <c r="N645" s="206" t="s">
        <v>49</v>
      </c>
      <c r="O645" s="372" t="s">
        <v>2171</v>
      </c>
      <c r="P645" s="372">
        <v>46013</v>
      </c>
      <c r="Q645" s="371" t="s">
        <v>2276</v>
      </c>
      <c r="R645" s="373">
        <v>26530</v>
      </c>
      <c r="S645" s="373">
        <v>26530</v>
      </c>
      <c r="T645" s="371" t="s">
        <v>2271</v>
      </c>
      <c r="U645" s="373">
        <v>11810</v>
      </c>
      <c r="V645" s="373">
        <v>11810</v>
      </c>
      <c r="W645" s="371" t="s">
        <v>2271</v>
      </c>
      <c r="X645" s="373">
        <v>14720</v>
      </c>
      <c r="Y645" s="373">
        <v>14720</v>
      </c>
      <c r="Z645" s="371" t="s">
        <v>2271</v>
      </c>
      <c r="AA645" s="373">
        <v>0</v>
      </c>
      <c r="AB645" s="373">
        <v>14680</v>
      </c>
      <c r="AC645" s="373">
        <v>14680</v>
      </c>
      <c r="AD645" s="371" t="s">
        <v>2271</v>
      </c>
      <c r="AE645" s="373">
        <v>0</v>
      </c>
      <c r="AF645" s="382">
        <v>0.76597222222222205</v>
      </c>
      <c r="AG645" s="382">
        <v>0.76597222222222205</v>
      </c>
      <c r="AH645" s="371" t="s">
        <v>2271</v>
      </c>
      <c r="AI645" s="382">
        <v>0.82847222222222205</v>
      </c>
      <c r="AJ645" s="382">
        <v>0.82847222222222205</v>
      </c>
      <c r="AK645" s="371" t="s">
        <v>2271</v>
      </c>
      <c r="AL645" s="206" t="s">
        <v>42</v>
      </c>
      <c r="AM645" s="206" t="s">
        <v>42</v>
      </c>
      <c r="AN645" s="371" t="s">
        <v>2271</v>
      </c>
      <c r="AO645" s="206" t="s">
        <v>2812</v>
      </c>
      <c r="AP645" s="206" t="s">
        <v>1393</v>
      </c>
      <c r="AQ645" s="206" t="s">
        <v>1132</v>
      </c>
      <c r="AR645" s="207" t="s">
        <v>68</v>
      </c>
    </row>
    <row r="646" spans="1:44" x14ac:dyDescent="0.2">
      <c r="A646" s="370">
        <v>627</v>
      </c>
      <c r="B646" s="380">
        <v>417</v>
      </c>
      <c r="C646" s="371" t="s">
        <v>2337</v>
      </c>
      <c r="D646" s="371" t="s">
        <v>2235</v>
      </c>
      <c r="E646" s="206"/>
      <c r="F646" s="206" t="s">
        <v>76</v>
      </c>
      <c r="G646" s="206" t="s">
        <v>76</v>
      </c>
      <c r="H646" s="371" t="s">
        <v>2271</v>
      </c>
      <c r="I646" s="206" t="s">
        <v>2169</v>
      </c>
      <c r="J646" s="206" t="s">
        <v>1435</v>
      </c>
      <c r="K646" s="371" t="s">
        <v>2276</v>
      </c>
      <c r="L646" s="206" t="s">
        <v>2170</v>
      </c>
      <c r="M646" s="206" t="s">
        <v>1349</v>
      </c>
      <c r="N646" s="206" t="s">
        <v>49</v>
      </c>
      <c r="O646" s="372" t="s">
        <v>2171</v>
      </c>
      <c r="P646" s="372">
        <v>46013</v>
      </c>
      <c r="Q646" s="371" t="s">
        <v>2276</v>
      </c>
      <c r="R646" s="373">
        <v>45660</v>
      </c>
      <c r="S646" s="373">
        <v>45660</v>
      </c>
      <c r="T646" s="371" t="s">
        <v>2271</v>
      </c>
      <c r="U646" s="373">
        <v>17340</v>
      </c>
      <c r="V646" s="373">
        <v>17340</v>
      </c>
      <c r="W646" s="371" t="s">
        <v>2271</v>
      </c>
      <c r="X646" s="373">
        <v>28320</v>
      </c>
      <c r="Y646" s="373">
        <v>28320</v>
      </c>
      <c r="Z646" s="371" t="s">
        <v>2271</v>
      </c>
      <c r="AA646" s="373">
        <v>0</v>
      </c>
      <c r="AB646" s="373">
        <v>28240</v>
      </c>
      <c r="AC646" s="373">
        <v>28240</v>
      </c>
      <c r="AD646" s="371" t="s">
        <v>2271</v>
      </c>
      <c r="AE646" s="373">
        <v>0</v>
      </c>
      <c r="AF646" s="382">
        <v>0.79791666666666705</v>
      </c>
      <c r="AG646" s="382">
        <v>0.79791666666666705</v>
      </c>
      <c r="AH646" s="371" t="s">
        <v>2271</v>
      </c>
      <c r="AI646" s="382">
        <v>0.84027777777777801</v>
      </c>
      <c r="AJ646" s="382">
        <v>0.84027777777777801</v>
      </c>
      <c r="AK646" s="371" t="s">
        <v>2271</v>
      </c>
      <c r="AL646" s="206" t="s">
        <v>42</v>
      </c>
      <c r="AM646" s="206" t="s">
        <v>42</v>
      </c>
      <c r="AN646" s="371" t="s">
        <v>2271</v>
      </c>
      <c r="AO646" s="206" t="s">
        <v>2813</v>
      </c>
      <c r="AP646" s="206" t="s">
        <v>1372</v>
      </c>
      <c r="AQ646" s="206" t="s">
        <v>1133</v>
      </c>
      <c r="AR646" s="207" t="s">
        <v>68</v>
      </c>
    </row>
    <row r="647" spans="1:44" x14ac:dyDescent="0.2">
      <c r="A647" s="370">
        <v>628</v>
      </c>
      <c r="B647" s="380">
        <v>418</v>
      </c>
      <c r="C647" s="371" t="s">
        <v>2337</v>
      </c>
      <c r="D647" s="371" t="s">
        <v>2235</v>
      </c>
      <c r="E647" s="206"/>
      <c r="F647" s="206" t="s">
        <v>70</v>
      </c>
      <c r="G647" s="206" t="s">
        <v>70</v>
      </c>
      <c r="H647" s="371" t="s">
        <v>2271</v>
      </c>
      <c r="I647" s="206" t="s">
        <v>2169</v>
      </c>
      <c r="J647" s="206" t="s">
        <v>1435</v>
      </c>
      <c r="K647" s="371" t="s">
        <v>2276</v>
      </c>
      <c r="L647" s="206" t="s">
        <v>2170</v>
      </c>
      <c r="M647" s="206" t="s">
        <v>1349</v>
      </c>
      <c r="N647" s="206" t="s">
        <v>49</v>
      </c>
      <c r="O647" s="372" t="s">
        <v>2171</v>
      </c>
      <c r="P647" s="372">
        <v>46013</v>
      </c>
      <c r="Q647" s="371" t="s">
        <v>2276</v>
      </c>
      <c r="R647" s="373">
        <v>45890</v>
      </c>
      <c r="S647" s="373">
        <v>45890</v>
      </c>
      <c r="T647" s="371" t="s">
        <v>2271</v>
      </c>
      <c r="U647" s="373">
        <v>17830</v>
      </c>
      <c r="V647" s="373">
        <v>17830</v>
      </c>
      <c r="W647" s="371" t="s">
        <v>2271</v>
      </c>
      <c r="X647" s="373">
        <v>28060</v>
      </c>
      <c r="Y647" s="373">
        <v>28060</v>
      </c>
      <c r="Z647" s="371" t="s">
        <v>2271</v>
      </c>
      <c r="AA647" s="373">
        <v>0</v>
      </c>
      <c r="AB647" s="373">
        <v>28000</v>
      </c>
      <c r="AC647" s="373">
        <v>28000</v>
      </c>
      <c r="AD647" s="371" t="s">
        <v>2271</v>
      </c>
      <c r="AE647" s="373">
        <v>0</v>
      </c>
      <c r="AF647" s="382">
        <v>0.82638888888888895</v>
      </c>
      <c r="AG647" s="382">
        <v>0.82638888888888895</v>
      </c>
      <c r="AH647" s="371" t="s">
        <v>2271</v>
      </c>
      <c r="AI647" s="382">
        <v>0.85972222222222205</v>
      </c>
      <c r="AJ647" s="382">
        <v>0.85972222222222205</v>
      </c>
      <c r="AK647" s="371" t="s">
        <v>2271</v>
      </c>
      <c r="AL647" s="206" t="s">
        <v>42</v>
      </c>
      <c r="AM647" s="206" t="s">
        <v>42</v>
      </c>
      <c r="AN647" s="371" t="s">
        <v>2271</v>
      </c>
      <c r="AO647" s="206" t="s">
        <v>2814</v>
      </c>
      <c r="AP647" s="206" t="s">
        <v>1499</v>
      </c>
      <c r="AQ647" s="206" t="s">
        <v>1133</v>
      </c>
      <c r="AR647" s="207" t="s">
        <v>68</v>
      </c>
    </row>
    <row r="648" spans="1:44" x14ac:dyDescent="0.2">
      <c r="A648" s="370">
        <v>629</v>
      </c>
      <c r="B648" s="380">
        <v>419</v>
      </c>
      <c r="C648" s="371" t="s">
        <v>2269</v>
      </c>
      <c r="D648" s="371" t="s">
        <v>2235</v>
      </c>
      <c r="E648" s="206"/>
      <c r="F648" s="206" t="s">
        <v>147</v>
      </c>
      <c r="G648" s="206" t="s">
        <v>147</v>
      </c>
      <c r="H648" s="371" t="s">
        <v>2271</v>
      </c>
      <c r="I648" s="206" t="s">
        <v>1335</v>
      </c>
      <c r="J648" s="206" t="s">
        <v>1335</v>
      </c>
      <c r="K648" s="371" t="s">
        <v>2271</v>
      </c>
      <c r="L648" s="206" t="s">
        <v>2161</v>
      </c>
      <c r="M648" s="206" t="s">
        <v>1334</v>
      </c>
      <c r="N648" s="206" t="s">
        <v>40</v>
      </c>
      <c r="O648" s="372" t="s">
        <v>2172</v>
      </c>
      <c r="P648" s="372">
        <v>46014</v>
      </c>
      <c r="Q648" s="371" t="s">
        <v>2276</v>
      </c>
      <c r="R648" s="373">
        <v>13960</v>
      </c>
      <c r="S648" s="373">
        <v>13960</v>
      </c>
      <c r="T648" s="371" t="s">
        <v>2271</v>
      </c>
      <c r="U648" s="373">
        <v>3980</v>
      </c>
      <c r="V648" s="373">
        <v>3980</v>
      </c>
      <c r="W648" s="371" t="s">
        <v>2271</v>
      </c>
      <c r="X648" s="373">
        <v>9980</v>
      </c>
      <c r="Y648" s="373">
        <v>9980</v>
      </c>
      <c r="Z648" s="371" t="s">
        <v>2271</v>
      </c>
      <c r="AA648" s="373">
        <v>0</v>
      </c>
      <c r="AB648" s="373">
        <v>9970</v>
      </c>
      <c r="AC648" s="373">
        <v>9970</v>
      </c>
      <c r="AD648" s="371" t="s">
        <v>2271</v>
      </c>
      <c r="AE648" s="373">
        <v>0</v>
      </c>
      <c r="AF648" s="382">
        <v>0.34722222222222199</v>
      </c>
      <c r="AG648" s="382">
        <v>0.34722222222222199</v>
      </c>
      <c r="AH648" s="371" t="s">
        <v>2271</v>
      </c>
      <c r="AI648" s="382">
        <v>0.40138888888888902</v>
      </c>
      <c r="AJ648" s="382">
        <v>0.40138888888888902</v>
      </c>
      <c r="AK648" s="371" t="s">
        <v>2271</v>
      </c>
      <c r="AL648" s="206" t="s">
        <v>137</v>
      </c>
      <c r="AM648" s="206" t="s">
        <v>137</v>
      </c>
      <c r="AN648" s="371" t="s">
        <v>2271</v>
      </c>
      <c r="AO648" s="206" t="s">
        <v>2815</v>
      </c>
      <c r="AP648" s="206"/>
      <c r="AQ648" s="206" t="s">
        <v>1131</v>
      </c>
      <c r="AR648" s="207" t="s">
        <v>82</v>
      </c>
    </row>
    <row r="649" spans="1:44" x14ac:dyDescent="0.2">
      <c r="A649" s="370">
        <v>630</v>
      </c>
      <c r="B649" s="380">
        <v>420</v>
      </c>
      <c r="C649" s="371" t="s">
        <v>2269</v>
      </c>
      <c r="D649" s="371" t="s">
        <v>2235</v>
      </c>
      <c r="E649" s="206"/>
      <c r="F649" s="206" t="s">
        <v>565</v>
      </c>
      <c r="G649" s="206" t="s">
        <v>565</v>
      </c>
      <c r="H649" s="371" t="s">
        <v>2271</v>
      </c>
      <c r="I649" s="206" t="s">
        <v>1335</v>
      </c>
      <c r="J649" s="206" t="s">
        <v>1335</v>
      </c>
      <c r="K649" s="371" t="s">
        <v>2271</v>
      </c>
      <c r="L649" s="206" t="s">
        <v>2161</v>
      </c>
      <c r="M649" s="206" t="s">
        <v>1334</v>
      </c>
      <c r="N649" s="206" t="s">
        <v>40</v>
      </c>
      <c r="O649" s="372" t="s">
        <v>2172</v>
      </c>
      <c r="P649" s="372">
        <v>46014</v>
      </c>
      <c r="Q649" s="371" t="s">
        <v>2276</v>
      </c>
      <c r="R649" s="373">
        <v>14520</v>
      </c>
      <c r="S649" s="373">
        <v>14520</v>
      </c>
      <c r="T649" s="371" t="s">
        <v>2271</v>
      </c>
      <c r="U649" s="373">
        <v>4390</v>
      </c>
      <c r="V649" s="373">
        <v>4390</v>
      </c>
      <c r="W649" s="371" t="s">
        <v>2271</v>
      </c>
      <c r="X649" s="373">
        <v>10130</v>
      </c>
      <c r="Y649" s="373">
        <v>10130</v>
      </c>
      <c r="Z649" s="371" t="s">
        <v>2271</v>
      </c>
      <c r="AA649" s="373">
        <v>0</v>
      </c>
      <c r="AB649" s="373">
        <v>10030</v>
      </c>
      <c r="AC649" s="373">
        <v>10030</v>
      </c>
      <c r="AD649" s="371" t="s">
        <v>2271</v>
      </c>
      <c r="AE649" s="373">
        <v>0</v>
      </c>
      <c r="AF649" s="382">
        <v>0.34861111111111098</v>
      </c>
      <c r="AG649" s="382">
        <v>0.34861111111111098</v>
      </c>
      <c r="AH649" s="371" t="s">
        <v>2271</v>
      </c>
      <c r="AI649" s="382">
        <v>0.39722222222222198</v>
      </c>
      <c r="AJ649" s="382">
        <v>0.39722222222222198</v>
      </c>
      <c r="AK649" s="371" t="s">
        <v>2271</v>
      </c>
      <c r="AL649" s="206" t="s">
        <v>137</v>
      </c>
      <c r="AM649" s="206" t="s">
        <v>137</v>
      </c>
      <c r="AN649" s="371" t="s">
        <v>2271</v>
      </c>
      <c r="AO649" s="206" t="s">
        <v>2816</v>
      </c>
      <c r="AP649" s="206"/>
      <c r="AQ649" s="206" t="s">
        <v>1131</v>
      </c>
      <c r="AR649" s="207" t="s">
        <v>82</v>
      </c>
    </row>
    <row r="650" spans="1:44" x14ac:dyDescent="0.2">
      <c r="A650" s="370">
        <v>631</v>
      </c>
      <c r="B650" s="380">
        <v>421</v>
      </c>
      <c r="C650" s="371" t="s">
        <v>2269</v>
      </c>
      <c r="D650" s="371" t="s">
        <v>2235</v>
      </c>
      <c r="E650" s="206"/>
      <c r="F650" s="206" t="s">
        <v>149</v>
      </c>
      <c r="G650" s="206" t="s">
        <v>149</v>
      </c>
      <c r="H650" s="371" t="s">
        <v>2271</v>
      </c>
      <c r="I650" s="206" t="s">
        <v>1335</v>
      </c>
      <c r="J650" s="206" t="s">
        <v>1335</v>
      </c>
      <c r="K650" s="371" t="s">
        <v>2271</v>
      </c>
      <c r="L650" s="206" t="s">
        <v>2161</v>
      </c>
      <c r="M650" s="206" t="s">
        <v>1334</v>
      </c>
      <c r="N650" s="206" t="s">
        <v>40</v>
      </c>
      <c r="O650" s="372" t="s">
        <v>2172</v>
      </c>
      <c r="P650" s="372">
        <v>46014</v>
      </c>
      <c r="Q650" s="371" t="s">
        <v>2276</v>
      </c>
      <c r="R650" s="373">
        <v>13900</v>
      </c>
      <c r="S650" s="373">
        <v>13900</v>
      </c>
      <c r="T650" s="371" t="s">
        <v>2271</v>
      </c>
      <c r="U650" s="373">
        <v>4040</v>
      </c>
      <c r="V650" s="373">
        <v>4040</v>
      </c>
      <c r="W650" s="371" t="s">
        <v>2271</v>
      </c>
      <c r="X650" s="373">
        <v>9860</v>
      </c>
      <c r="Y650" s="373">
        <v>9860</v>
      </c>
      <c r="Z650" s="371" t="s">
        <v>2271</v>
      </c>
      <c r="AA650" s="373">
        <v>0</v>
      </c>
      <c r="AB650" s="373">
        <v>9850</v>
      </c>
      <c r="AC650" s="373">
        <v>9850</v>
      </c>
      <c r="AD650" s="371" t="s">
        <v>2271</v>
      </c>
      <c r="AE650" s="373">
        <v>0</v>
      </c>
      <c r="AF650" s="382">
        <v>0.35277777777777802</v>
      </c>
      <c r="AG650" s="382">
        <v>0.35277777777777802</v>
      </c>
      <c r="AH650" s="371" t="s">
        <v>2271</v>
      </c>
      <c r="AI650" s="382">
        <v>0.41805555555555601</v>
      </c>
      <c r="AJ650" s="382">
        <v>0.41805555555555601</v>
      </c>
      <c r="AK650" s="371" t="s">
        <v>2271</v>
      </c>
      <c r="AL650" s="206" t="s">
        <v>137</v>
      </c>
      <c r="AM650" s="206" t="s">
        <v>137</v>
      </c>
      <c r="AN650" s="371" t="s">
        <v>2271</v>
      </c>
      <c r="AO650" s="206" t="s">
        <v>2817</v>
      </c>
      <c r="AP650" s="206"/>
      <c r="AQ650" s="206" t="s">
        <v>1131</v>
      </c>
      <c r="AR650" s="207" t="s">
        <v>82</v>
      </c>
    </row>
    <row r="651" spans="1:44" x14ac:dyDescent="0.2">
      <c r="A651" s="370">
        <v>632</v>
      </c>
      <c r="B651" s="380">
        <v>422</v>
      </c>
      <c r="C651" s="371" t="s">
        <v>2269</v>
      </c>
      <c r="D651" s="371" t="s">
        <v>2235</v>
      </c>
      <c r="E651" s="206"/>
      <c r="F651" s="206" t="s">
        <v>224</v>
      </c>
      <c r="G651" s="206" t="s">
        <v>224</v>
      </c>
      <c r="H651" s="371" t="s">
        <v>2271</v>
      </c>
      <c r="I651" s="206" t="s">
        <v>1335</v>
      </c>
      <c r="J651" s="206" t="s">
        <v>1335</v>
      </c>
      <c r="K651" s="371" t="s">
        <v>2271</v>
      </c>
      <c r="L651" s="206" t="s">
        <v>2161</v>
      </c>
      <c r="M651" s="206" t="s">
        <v>1334</v>
      </c>
      <c r="N651" s="206" t="s">
        <v>40</v>
      </c>
      <c r="O651" s="372" t="s">
        <v>2172</v>
      </c>
      <c r="P651" s="372">
        <v>46014</v>
      </c>
      <c r="Q651" s="371" t="s">
        <v>2276</v>
      </c>
      <c r="R651" s="373">
        <v>12290</v>
      </c>
      <c r="S651" s="373">
        <v>12290</v>
      </c>
      <c r="T651" s="371" t="s">
        <v>2271</v>
      </c>
      <c r="U651" s="373">
        <v>3810</v>
      </c>
      <c r="V651" s="373">
        <v>3810</v>
      </c>
      <c r="W651" s="371" t="s">
        <v>2271</v>
      </c>
      <c r="X651" s="373">
        <v>8480</v>
      </c>
      <c r="Y651" s="373">
        <v>8480</v>
      </c>
      <c r="Z651" s="371" t="s">
        <v>2271</v>
      </c>
      <c r="AA651" s="373">
        <v>0</v>
      </c>
      <c r="AB651" s="373">
        <v>8450</v>
      </c>
      <c r="AC651" s="373">
        <v>8450</v>
      </c>
      <c r="AD651" s="371" t="s">
        <v>2271</v>
      </c>
      <c r="AE651" s="373">
        <v>0</v>
      </c>
      <c r="AF651" s="382">
        <v>0.35486111111111102</v>
      </c>
      <c r="AG651" s="382">
        <v>0.35486111111111102</v>
      </c>
      <c r="AH651" s="371" t="s">
        <v>2271</v>
      </c>
      <c r="AI651" s="382">
        <v>0.42499999999999999</v>
      </c>
      <c r="AJ651" s="382">
        <v>0.42499999999999999</v>
      </c>
      <c r="AK651" s="371" t="s">
        <v>2271</v>
      </c>
      <c r="AL651" s="206" t="s">
        <v>137</v>
      </c>
      <c r="AM651" s="206" t="s">
        <v>137</v>
      </c>
      <c r="AN651" s="371" t="s">
        <v>2271</v>
      </c>
      <c r="AO651" s="206" t="s">
        <v>2818</v>
      </c>
      <c r="AP651" s="206"/>
      <c r="AQ651" s="206" t="s">
        <v>1131</v>
      </c>
      <c r="AR651" s="207" t="s">
        <v>82</v>
      </c>
    </row>
    <row r="652" spans="1:44" x14ac:dyDescent="0.2">
      <c r="A652" s="370">
        <v>633</v>
      </c>
      <c r="B652" s="380">
        <v>423</v>
      </c>
      <c r="C652" s="371" t="s">
        <v>2269</v>
      </c>
      <c r="D652" s="371" t="s">
        <v>2235</v>
      </c>
      <c r="E652" s="206"/>
      <c r="F652" s="206" t="s">
        <v>569</v>
      </c>
      <c r="G652" s="206" t="s">
        <v>569</v>
      </c>
      <c r="H652" s="371" t="s">
        <v>2271</v>
      </c>
      <c r="I652" s="206" t="s">
        <v>1335</v>
      </c>
      <c r="J652" s="206" t="s">
        <v>1335</v>
      </c>
      <c r="K652" s="371" t="s">
        <v>2271</v>
      </c>
      <c r="L652" s="206" t="s">
        <v>2161</v>
      </c>
      <c r="M652" s="206" t="s">
        <v>1334</v>
      </c>
      <c r="N652" s="206" t="s">
        <v>40</v>
      </c>
      <c r="O652" s="372" t="s">
        <v>2172</v>
      </c>
      <c r="P652" s="372">
        <v>46014</v>
      </c>
      <c r="Q652" s="371" t="s">
        <v>2276</v>
      </c>
      <c r="R652" s="373">
        <v>13570</v>
      </c>
      <c r="S652" s="373">
        <v>13570</v>
      </c>
      <c r="T652" s="371" t="s">
        <v>2271</v>
      </c>
      <c r="U652" s="373">
        <v>3840</v>
      </c>
      <c r="V652" s="373">
        <v>3840</v>
      </c>
      <c r="W652" s="371" t="s">
        <v>2271</v>
      </c>
      <c r="X652" s="373">
        <v>9730</v>
      </c>
      <c r="Y652" s="373">
        <v>9730</v>
      </c>
      <c r="Z652" s="371" t="s">
        <v>2271</v>
      </c>
      <c r="AA652" s="373">
        <v>0</v>
      </c>
      <c r="AB652" s="373">
        <v>9640</v>
      </c>
      <c r="AC652" s="373">
        <v>9640</v>
      </c>
      <c r="AD652" s="371" t="s">
        <v>2271</v>
      </c>
      <c r="AE652" s="373">
        <v>0</v>
      </c>
      <c r="AF652" s="382">
        <v>0.35555555555555601</v>
      </c>
      <c r="AG652" s="382">
        <v>0.35555555555555601</v>
      </c>
      <c r="AH652" s="371" t="s">
        <v>2271</v>
      </c>
      <c r="AI652" s="382">
        <v>0.42847222222222198</v>
      </c>
      <c r="AJ652" s="382">
        <v>0.42847222222222198</v>
      </c>
      <c r="AK652" s="371" t="s">
        <v>2271</v>
      </c>
      <c r="AL652" s="206" t="s">
        <v>137</v>
      </c>
      <c r="AM652" s="206" t="s">
        <v>137</v>
      </c>
      <c r="AN652" s="371" t="s">
        <v>2271</v>
      </c>
      <c r="AO652" s="206" t="s">
        <v>2819</v>
      </c>
      <c r="AP652" s="206"/>
      <c r="AQ652" s="206" t="s">
        <v>1131</v>
      </c>
      <c r="AR652" s="207" t="s">
        <v>82</v>
      </c>
    </row>
    <row r="653" spans="1:44" x14ac:dyDescent="0.2">
      <c r="A653" s="370">
        <v>634</v>
      </c>
      <c r="B653" s="380">
        <v>424</v>
      </c>
      <c r="C653" s="371" t="s">
        <v>2337</v>
      </c>
      <c r="D653" s="371" t="s">
        <v>2235</v>
      </c>
      <c r="E653" s="206"/>
      <c r="F653" s="206" t="s">
        <v>56</v>
      </c>
      <c r="G653" s="206" t="s">
        <v>56</v>
      </c>
      <c r="H653" s="371" t="s">
        <v>2271</v>
      </c>
      <c r="I653" s="206" t="s">
        <v>2169</v>
      </c>
      <c r="J653" s="206" t="s">
        <v>1435</v>
      </c>
      <c r="K653" s="371" t="s">
        <v>2276</v>
      </c>
      <c r="L653" s="206" t="s">
        <v>2170</v>
      </c>
      <c r="M653" s="206" t="s">
        <v>1349</v>
      </c>
      <c r="N653" s="206" t="s">
        <v>49</v>
      </c>
      <c r="O653" s="372" t="s">
        <v>2172</v>
      </c>
      <c r="P653" s="372">
        <v>46014</v>
      </c>
      <c r="Q653" s="371" t="s">
        <v>2276</v>
      </c>
      <c r="R653" s="373">
        <v>25150</v>
      </c>
      <c r="S653" s="373">
        <v>25150</v>
      </c>
      <c r="T653" s="371" t="s">
        <v>2271</v>
      </c>
      <c r="U653" s="373">
        <v>10850</v>
      </c>
      <c r="V653" s="373">
        <v>10850</v>
      </c>
      <c r="W653" s="371" t="s">
        <v>2271</v>
      </c>
      <c r="X653" s="373">
        <v>14300</v>
      </c>
      <c r="Y653" s="373">
        <v>14300</v>
      </c>
      <c r="Z653" s="371" t="s">
        <v>2271</v>
      </c>
      <c r="AA653" s="373">
        <v>0</v>
      </c>
      <c r="AB653" s="373">
        <v>14250</v>
      </c>
      <c r="AC653" s="373">
        <v>14250</v>
      </c>
      <c r="AD653" s="371" t="s">
        <v>2271</v>
      </c>
      <c r="AE653" s="373">
        <v>0</v>
      </c>
      <c r="AF653" s="382">
        <v>0.46250000000000002</v>
      </c>
      <c r="AG653" s="382">
        <v>0.46250000000000002</v>
      </c>
      <c r="AH653" s="371" t="s">
        <v>2271</v>
      </c>
      <c r="AI653" s="382">
        <v>0.55902777777777801</v>
      </c>
      <c r="AJ653" s="382">
        <v>0.55902777777777801</v>
      </c>
      <c r="AK653" s="371" t="s">
        <v>2271</v>
      </c>
      <c r="AL653" s="206" t="s">
        <v>137</v>
      </c>
      <c r="AM653" s="206" t="s">
        <v>137</v>
      </c>
      <c r="AN653" s="371" t="s">
        <v>2271</v>
      </c>
      <c r="AO653" s="206" t="s">
        <v>2820</v>
      </c>
      <c r="AP653" s="206" t="s">
        <v>1781</v>
      </c>
      <c r="AQ653" s="206" t="s">
        <v>1132</v>
      </c>
      <c r="AR653" s="207" t="s">
        <v>68</v>
      </c>
    </row>
    <row r="654" spans="1:44" x14ac:dyDescent="0.2">
      <c r="A654" s="370">
        <v>635</v>
      </c>
      <c r="B654" s="380">
        <v>425</v>
      </c>
      <c r="C654" s="371" t="s">
        <v>2337</v>
      </c>
      <c r="D654" s="371" t="s">
        <v>2235</v>
      </c>
      <c r="E654" s="206"/>
      <c r="F654" s="206" t="s">
        <v>76</v>
      </c>
      <c r="G654" s="206" t="s">
        <v>76</v>
      </c>
      <c r="H654" s="371" t="s">
        <v>2271</v>
      </c>
      <c r="I654" s="206" t="s">
        <v>2169</v>
      </c>
      <c r="J654" s="206" t="s">
        <v>1435</v>
      </c>
      <c r="K654" s="371" t="s">
        <v>2276</v>
      </c>
      <c r="L654" s="206" t="s">
        <v>2170</v>
      </c>
      <c r="M654" s="206" t="s">
        <v>1349</v>
      </c>
      <c r="N654" s="206" t="s">
        <v>49</v>
      </c>
      <c r="O654" s="372" t="s">
        <v>2172</v>
      </c>
      <c r="P654" s="372">
        <v>46014</v>
      </c>
      <c r="Q654" s="371" t="s">
        <v>2276</v>
      </c>
      <c r="R654" s="373">
        <v>45900</v>
      </c>
      <c r="S654" s="373">
        <v>45900</v>
      </c>
      <c r="T654" s="371" t="s">
        <v>2271</v>
      </c>
      <c r="U654" s="373">
        <v>17520</v>
      </c>
      <c r="V654" s="373">
        <v>17520</v>
      </c>
      <c r="W654" s="371" t="s">
        <v>2271</v>
      </c>
      <c r="X654" s="373">
        <v>28380</v>
      </c>
      <c r="Y654" s="373">
        <v>28380</v>
      </c>
      <c r="Z654" s="371" t="s">
        <v>2271</v>
      </c>
      <c r="AA654" s="373">
        <v>0</v>
      </c>
      <c r="AB654" s="373">
        <v>28310</v>
      </c>
      <c r="AC654" s="373">
        <v>28310</v>
      </c>
      <c r="AD654" s="371" t="s">
        <v>2271</v>
      </c>
      <c r="AE654" s="373">
        <v>0</v>
      </c>
      <c r="AF654" s="382">
        <v>0.53125</v>
      </c>
      <c r="AG654" s="382">
        <v>0.53125</v>
      </c>
      <c r="AH654" s="371" t="s">
        <v>2271</v>
      </c>
      <c r="AI654" s="382">
        <v>0.593055555555556</v>
      </c>
      <c r="AJ654" s="382">
        <v>0.593055555555556</v>
      </c>
      <c r="AK654" s="371" t="s">
        <v>2271</v>
      </c>
      <c r="AL654" s="206" t="s">
        <v>137</v>
      </c>
      <c r="AM654" s="206" t="s">
        <v>137</v>
      </c>
      <c r="AN654" s="371" t="s">
        <v>2271</v>
      </c>
      <c r="AO654" s="206" t="s">
        <v>2821</v>
      </c>
      <c r="AP654" s="206" t="s">
        <v>1372</v>
      </c>
      <c r="AQ654" s="206" t="s">
        <v>1133</v>
      </c>
      <c r="AR654" s="207" t="s">
        <v>68</v>
      </c>
    </row>
    <row r="655" spans="1:44" x14ac:dyDescent="0.2">
      <c r="A655" s="370">
        <v>636</v>
      </c>
      <c r="B655" s="380">
        <v>426</v>
      </c>
      <c r="C655" s="371" t="s">
        <v>2337</v>
      </c>
      <c r="D655" s="371" t="s">
        <v>2235</v>
      </c>
      <c r="E655" s="206"/>
      <c r="F655" s="206" t="s">
        <v>46</v>
      </c>
      <c r="G655" s="206" t="s">
        <v>46</v>
      </c>
      <c r="H655" s="371" t="s">
        <v>2271</v>
      </c>
      <c r="I655" s="206" t="s">
        <v>2169</v>
      </c>
      <c r="J655" s="206" t="s">
        <v>1435</v>
      </c>
      <c r="K655" s="371" t="s">
        <v>2276</v>
      </c>
      <c r="L655" s="206" t="s">
        <v>2170</v>
      </c>
      <c r="M655" s="206" t="s">
        <v>1349</v>
      </c>
      <c r="N655" s="206" t="s">
        <v>49</v>
      </c>
      <c r="O655" s="372" t="s">
        <v>2172</v>
      </c>
      <c r="P655" s="372">
        <v>46014</v>
      </c>
      <c r="Q655" s="371" t="s">
        <v>2276</v>
      </c>
      <c r="R655" s="373">
        <v>26450</v>
      </c>
      <c r="S655" s="373">
        <v>26450</v>
      </c>
      <c r="T655" s="371" t="s">
        <v>2271</v>
      </c>
      <c r="U655" s="373">
        <v>11770</v>
      </c>
      <c r="V655" s="373">
        <v>11770</v>
      </c>
      <c r="W655" s="371" t="s">
        <v>2271</v>
      </c>
      <c r="X655" s="373">
        <v>14680</v>
      </c>
      <c r="Y655" s="373">
        <v>14680</v>
      </c>
      <c r="Z655" s="371" t="s">
        <v>2271</v>
      </c>
      <c r="AA655" s="373">
        <v>0</v>
      </c>
      <c r="AB655" s="373">
        <v>14670</v>
      </c>
      <c r="AC655" s="373">
        <v>14670</v>
      </c>
      <c r="AD655" s="371" t="s">
        <v>2271</v>
      </c>
      <c r="AE655" s="373">
        <v>0</v>
      </c>
      <c r="AF655" s="382">
        <v>0.55486111111111103</v>
      </c>
      <c r="AG655" s="382">
        <v>0.55486111111111103</v>
      </c>
      <c r="AH655" s="371" t="s">
        <v>2271</v>
      </c>
      <c r="AI655" s="382">
        <v>0.59791666666666698</v>
      </c>
      <c r="AJ655" s="382">
        <v>0.59791666666666698</v>
      </c>
      <c r="AK655" s="371" t="s">
        <v>2271</v>
      </c>
      <c r="AL655" s="206" t="s">
        <v>137</v>
      </c>
      <c r="AM655" s="206" t="s">
        <v>137</v>
      </c>
      <c r="AN655" s="371" t="s">
        <v>2271</v>
      </c>
      <c r="AO655" s="206" t="s">
        <v>2822</v>
      </c>
      <c r="AP655" s="206" t="s">
        <v>1393</v>
      </c>
      <c r="AQ655" s="206" t="s">
        <v>1132</v>
      </c>
      <c r="AR655" s="207" t="s">
        <v>68</v>
      </c>
    </row>
    <row r="656" spans="1:44" x14ac:dyDescent="0.2">
      <c r="A656" s="370">
        <v>637</v>
      </c>
      <c r="B656" s="380">
        <v>427</v>
      </c>
      <c r="C656" s="371" t="s">
        <v>2337</v>
      </c>
      <c r="D656" s="371" t="s">
        <v>2235</v>
      </c>
      <c r="E656" s="206"/>
      <c r="F656" s="206" t="s">
        <v>70</v>
      </c>
      <c r="G656" s="206" t="s">
        <v>70</v>
      </c>
      <c r="H656" s="371" t="s">
        <v>2271</v>
      </c>
      <c r="I656" s="206" t="s">
        <v>2169</v>
      </c>
      <c r="J656" s="206" t="s">
        <v>1435</v>
      </c>
      <c r="K656" s="371" t="s">
        <v>2276</v>
      </c>
      <c r="L656" s="206" t="s">
        <v>2170</v>
      </c>
      <c r="M656" s="206" t="s">
        <v>1349</v>
      </c>
      <c r="N656" s="206" t="s">
        <v>49</v>
      </c>
      <c r="O656" s="372" t="s">
        <v>2172</v>
      </c>
      <c r="P656" s="372">
        <v>46014</v>
      </c>
      <c r="Q656" s="371" t="s">
        <v>2276</v>
      </c>
      <c r="R656" s="373">
        <v>45880</v>
      </c>
      <c r="S656" s="373">
        <v>45880</v>
      </c>
      <c r="T656" s="371" t="s">
        <v>2271</v>
      </c>
      <c r="U656" s="373">
        <v>17770</v>
      </c>
      <c r="V656" s="373">
        <v>17770</v>
      </c>
      <c r="W656" s="371" t="s">
        <v>2271</v>
      </c>
      <c r="X656" s="373">
        <v>28110</v>
      </c>
      <c r="Y656" s="373">
        <v>28110</v>
      </c>
      <c r="Z656" s="371" t="s">
        <v>2271</v>
      </c>
      <c r="AA656" s="373">
        <v>0</v>
      </c>
      <c r="AB656" s="373">
        <v>28030</v>
      </c>
      <c r="AC656" s="373">
        <v>28030</v>
      </c>
      <c r="AD656" s="371" t="s">
        <v>2271</v>
      </c>
      <c r="AE656" s="373">
        <v>0</v>
      </c>
      <c r="AF656" s="382">
        <v>0.55694444444444402</v>
      </c>
      <c r="AG656" s="382">
        <v>0.55694444444444502</v>
      </c>
      <c r="AH656" s="371" t="s">
        <v>2276</v>
      </c>
      <c r="AI656" s="382">
        <v>0.59583333333333299</v>
      </c>
      <c r="AJ656" s="382">
        <v>0.59583333333333299</v>
      </c>
      <c r="AK656" s="371" t="s">
        <v>2271</v>
      </c>
      <c r="AL656" s="206" t="s">
        <v>137</v>
      </c>
      <c r="AM656" s="206" t="s">
        <v>137</v>
      </c>
      <c r="AN656" s="371" t="s">
        <v>2271</v>
      </c>
      <c r="AO656" s="206" t="s">
        <v>2823</v>
      </c>
      <c r="AP656" s="206" t="s">
        <v>1499</v>
      </c>
      <c r="AQ656" s="206" t="s">
        <v>1133</v>
      </c>
      <c r="AR656" s="207" t="s">
        <v>68</v>
      </c>
    </row>
    <row r="657" spans="1:44" x14ac:dyDescent="0.2">
      <c r="A657" s="370">
        <v>638</v>
      </c>
      <c r="B657" s="380">
        <v>428</v>
      </c>
      <c r="C657" s="371" t="s">
        <v>2269</v>
      </c>
      <c r="D657" s="371" t="s">
        <v>2235</v>
      </c>
      <c r="E657" s="206"/>
      <c r="F657" s="206" t="s">
        <v>169</v>
      </c>
      <c r="G657" s="206" t="s">
        <v>169</v>
      </c>
      <c r="H657" s="371" t="s">
        <v>2271</v>
      </c>
      <c r="I657" s="206" t="s">
        <v>1335</v>
      </c>
      <c r="J657" s="206" t="s">
        <v>1335</v>
      </c>
      <c r="K657" s="371" t="s">
        <v>2271</v>
      </c>
      <c r="L657" s="206" t="s">
        <v>2161</v>
      </c>
      <c r="M657" s="206" t="s">
        <v>1334</v>
      </c>
      <c r="N657" s="206" t="s">
        <v>40</v>
      </c>
      <c r="O657" s="372" t="s">
        <v>2172</v>
      </c>
      <c r="P657" s="372">
        <v>46014</v>
      </c>
      <c r="Q657" s="371" t="s">
        <v>2276</v>
      </c>
      <c r="R657" s="373">
        <v>13500</v>
      </c>
      <c r="S657" s="373">
        <v>13500</v>
      </c>
      <c r="T657" s="371" t="s">
        <v>2271</v>
      </c>
      <c r="U657" s="373">
        <v>3970</v>
      </c>
      <c r="V657" s="373">
        <v>3970</v>
      </c>
      <c r="W657" s="371" t="s">
        <v>2271</v>
      </c>
      <c r="X657" s="373">
        <v>9530</v>
      </c>
      <c r="Y657" s="373">
        <v>9530</v>
      </c>
      <c r="Z657" s="371" t="s">
        <v>2271</v>
      </c>
      <c r="AA657" s="373">
        <v>0</v>
      </c>
      <c r="AB657" s="373">
        <v>9460</v>
      </c>
      <c r="AC657" s="373">
        <v>9460</v>
      </c>
      <c r="AD657" s="371" t="s">
        <v>2271</v>
      </c>
      <c r="AE657" s="373">
        <v>0</v>
      </c>
      <c r="AF657" s="382">
        <v>0.80277777777777803</v>
      </c>
      <c r="AG657" s="382">
        <v>0.80277777777777803</v>
      </c>
      <c r="AH657" s="371" t="s">
        <v>2271</v>
      </c>
      <c r="AI657" s="382">
        <v>0.83680555555555503</v>
      </c>
      <c r="AJ657" s="382">
        <v>0.83680555555555602</v>
      </c>
      <c r="AK657" s="371" t="s">
        <v>2276</v>
      </c>
      <c r="AL657" s="206" t="s">
        <v>42</v>
      </c>
      <c r="AM657" s="206" t="s">
        <v>42</v>
      </c>
      <c r="AN657" s="371" t="s">
        <v>2271</v>
      </c>
      <c r="AO657" s="206" t="s">
        <v>2824</v>
      </c>
      <c r="AP657" s="206"/>
      <c r="AQ657" s="206" t="s">
        <v>1131</v>
      </c>
      <c r="AR657" s="207" t="s">
        <v>82</v>
      </c>
    </row>
    <row r="658" spans="1:44" x14ac:dyDescent="0.2">
      <c r="A658" s="370">
        <v>639</v>
      </c>
      <c r="B658" s="380">
        <v>429</v>
      </c>
      <c r="C658" s="371" t="s">
        <v>2269</v>
      </c>
      <c r="D658" s="371" t="s">
        <v>2235</v>
      </c>
      <c r="E658" s="206"/>
      <c r="F658" s="206" t="s">
        <v>163</v>
      </c>
      <c r="G658" s="206" t="s">
        <v>163</v>
      </c>
      <c r="H658" s="371" t="s">
        <v>2271</v>
      </c>
      <c r="I658" s="206" t="s">
        <v>1335</v>
      </c>
      <c r="J658" s="206" t="s">
        <v>1335</v>
      </c>
      <c r="K658" s="371" t="s">
        <v>2271</v>
      </c>
      <c r="L658" s="206" t="s">
        <v>2161</v>
      </c>
      <c r="M658" s="206" t="s">
        <v>1334</v>
      </c>
      <c r="N658" s="206" t="s">
        <v>40</v>
      </c>
      <c r="O658" s="372" t="s">
        <v>2172</v>
      </c>
      <c r="P658" s="372">
        <v>46014</v>
      </c>
      <c r="Q658" s="371" t="s">
        <v>2276</v>
      </c>
      <c r="R658" s="373">
        <v>14040</v>
      </c>
      <c r="S658" s="373">
        <v>14040</v>
      </c>
      <c r="T658" s="371" t="s">
        <v>2271</v>
      </c>
      <c r="U658" s="373">
        <v>4030</v>
      </c>
      <c r="V658" s="373">
        <v>4030</v>
      </c>
      <c r="W658" s="371" t="s">
        <v>2271</v>
      </c>
      <c r="X658" s="373">
        <v>10010</v>
      </c>
      <c r="Y658" s="373">
        <v>10010</v>
      </c>
      <c r="Z658" s="371" t="s">
        <v>2271</v>
      </c>
      <c r="AA658" s="373">
        <v>0</v>
      </c>
      <c r="AB658" s="373">
        <v>10140</v>
      </c>
      <c r="AC658" s="373">
        <v>10140</v>
      </c>
      <c r="AD658" s="371" t="s">
        <v>2271</v>
      </c>
      <c r="AE658" s="373">
        <v>0</v>
      </c>
      <c r="AF658" s="382">
        <v>0.93611111111111101</v>
      </c>
      <c r="AG658" s="382">
        <v>0.93611111111111101</v>
      </c>
      <c r="AH658" s="371" t="s">
        <v>2271</v>
      </c>
      <c r="AI658" s="382">
        <v>0.95555555555555605</v>
      </c>
      <c r="AJ658" s="382">
        <v>0.95555555555555605</v>
      </c>
      <c r="AK658" s="371" t="s">
        <v>2271</v>
      </c>
      <c r="AL658" s="206" t="s">
        <v>42</v>
      </c>
      <c r="AM658" s="206" t="s">
        <v>42</v>
      </c>
      <c r="AN658" s="371" t="s">
        <v>2271</v>
      </c>
      <c r="AO658" s="206" t="s">
        <v>2825</v>
      </c>
      <c r="AP658" s="206"/>
      <c r="AQ658" s="206" t="s">
        <v>1131</v>
      </c>
      <c r="AR658" s="207" t="s">
        <v>82</v>
      </c>
    </row>
    <row r="659" spans="1:44" x14ac:dyDescent="0.2">
      <c r="A659" s="370">
        <v>640</v>
      </c>
      <c r="B659" s="380">
        <v>430</v>
      </c>
      <c r="C659" s="371" t="s">
        <v>2269</v>
      </c>
      <c r="D659" s="371" t="s">
        <v>2235</v>
      </c>
      <c r="E659" s="206"/>
      <c r="F659" s="206" t="s">
        <v>166</v>
      </c>
      <c r="G659" s="206" t="s">
        <v>166</v>
      </c>
      <c r="H659" s="371" t="s">
        <v>2271</v>
      </c>
      <c r="I659" s="206" t="s">
        <v>1335</v>
      </c>
      <c r="J659" s="206" t="s">
        <v>1335</v>
      </c>
      <c r="K659" s="371" t="s">
        <v>2271</v>
      </c>
      <c r="L659" s="206" t="s">
        <v>2161</v>
      </c>
      <c r="M659" s="206" t="s">
        <v>1334</v>
      </c>
      <c r="N659" s="206" t="s">
        <v>40</v>
      </c>
      <c r="O659" s="372" t="s">
        <v>2172</v>
      </c>
      <c r="P659" s="372">
        <v>46014</v>
      </c>
      <c r="Q659" s="371" t="s">
        <v>2276</v>
      </c>
      <c r="R659" s="373">
        <v>13170</v>
      </c>
      <c r="S659" s="373">
        <v>13170</v>
      </c>
      <c r="T659" s="371" t="s">
        <v>2271</v>
      </c>
      <c r="U659" s="373">
        <v>3760</v>
      </c>
      <c r="V659" s="373">
        <v>3760</v>
      </c>
      <c r="W659" s="371" t="s">
        <v>2271</v>
      </c>
      <c r="X659" s="373">
        <v>9410</v>
      </c>
      <c r="Y659" s="373">
        <v>9410</v>
      </c>
      <c r="Z659" s="371" t="s">
        <v>2271</v>
      </c>
      <c r="AA659" s="373">
        <v>0</v>
      </c>
      <c r="AB659" s="373">
        <v>9300</v>
      </c>
      <c r="AC659" s="373">
        <v>9300</v>
      </c>
      <c r="AD659" s="371" t="s">
        <v>2271</v>
      </c>
      <c r="AE659" s="373">
        <v>0</v>
      </c>
      <c r="AF659" s="382">
        <v>0.9375</v>
      </c>
      <c r="AG659" s="382">
        <v>0.9375</v>
      </c>
      <c r="AH659" s="371" t="s">
        <v>2271</v>
      </c>
      <c r="AI659" s="382">
        <v>0.96180555555555503</v>
      </c>
      <c r="AJ659" s="382">
        <v>0.96180555555555602</v>
      </c>
      <c r="AK659" s="371" t="s">
        <v>2276</v>
      </c>
      <c r="AL659" s="206" t="s">
        <v>42</v>
      </c>
      <c r="AM659" s="206" t="s">
        <v>42</v>
      </c>
      <c r="AN659" s="371" t="s">
        <v>2271</v>
      </c>
      <c r="AO659" s="206" t="s">
        <v>2826</v>
      </c>
      <c r="AP659" s="206"/>
      <c r="AQ659" s="206" t="s">
        <v>1131</v>
      </c>
      <c r="AR659" s="207" t="s">
        <v>82</v>
      </c>
    </row>
    <row r="660" spans="1:44" x14ac:dyDescent="0.2">
      <c r="A660" s="370">
        <v>641</v>
      </c>
      <c r="B660" s="380">
        <v>432</v>
      </c>
      <c r="C660" s="371" t="s">
        <v>2269</v>
      </c>
      <c r="D660" s="371" t="s">
        <v>2235</v>
      </c>
      <c r="E660" s="206"/>
      <c r="F660" s="206" t="s">
        <v>76</v>
      </c>
      <c r="G660" s="206" t="s">
        <v>76</v>
      </c>
      <c r="H660" s="371" t="s">
        <v>2271</v>
      </c>
      <c r="I660" s="206" t="s">
        <v>1437</v>
      </c>
      <c r="J660" s="206" t="s">
        <v>1437</v>
      </c>
      <c r="K660" s="371" t="s">
        <v>2271</v>
      </c>
      <c r="L660" s="206" t="s">
        <v>2173</v>
      </c>
      <c r="M660" s="206" t="s">
        <v>1350</v>
      </c>
      <c r="N660" s="206" t="s">
        <v>49</v>
      </c>
      <c r="O660" s="372" t="s">
        <v>2174</v>
      </c>
      <c r="P660" s="372">
        <v>46018</v>
      </c>
      <c r="Q660" s="371" t="s">
        <v>2276</v>
      </c>
      <c r="R660" s="373">
        <v>45940</v>
      </c>
      <c r="S660" s="373">
        <v>45940</v>
      </c>
      <c r="T660" s="371" t="s">
        <v>2271</v>
      </c>
      <c r="U660" s="373">
        <v>17510</v>
      </c>
      <c r="V660" s="373">
        <v>17510</v>
      </c>
      <c r="W660" s="371" t="s">
        <v>2271</v>
      </c>
      <c r="X660" s="373">
        <v>28430</v>
      </c>
      <c r="Y660" s="373">
        <v>28430</v>
      </c>
      <c r="Z660" s="371" t="s">
        <v>2271</v>
      </c>
      <c r="AA660" s="373">
        <v>0</v>
      </c>
      <c r="AB660" s="373">
        <v>28390</v>
      </c>
      <c r="AC660" s="373">
        <v>28390</v>
      </c>
      <c r="AD660" s="371" t="s">
        <v>2271</v>
      </c>
      <c r="AE660" s="373">
        <v>0</v>
      </c>
      <c r="AF660" s="382">
        <v>0.54861111111111105</v>
      </c>
      <c r="AG660" s="382">
        <v>0.54861111111111105</v>
      </c>
      <c r="AH660" s="371" t="s">
        <v>2271</v>
      </c>
      <c r="AI660" s="382">
        <v>0.61527777777777803</v>
      </c>
      <c r="AJ660" s="382">
        <v>0.61527777777777803</v>
      </c>
      <c r="AK660" s="371" t="s">
        <v>2271</v>
      </c>
      <c r="AL660" s="206" t="s">
        <v>137</v>
      </c>
      <c r="AM660" s="206" t="s">
        <v>137</v>
      </c>
      <c r="AN660" s="371" t="s">
        <v>2271</v>
      </c>
      <c r="AO660" s="206" t="s">
        <v>2827</v>
      </c>
      <c r="AP660" s="206" t="s">
        <v>1372</v>
      </c>
      <c r="AQ660" s="206" t="s">
        <v>1133</v>
      </c>
      <c r="AR660" s="207" t="s">
        <v>68</v>
      </c>
    </row>
    <row r="661" spans="1:44" x14ac:dyDescent="0.2">
      <c r="A661" s="370">
        <v>642</v>
      </c>
      <c r="B661" s="380">
        <v>433</v>
      </c>
      <c r="C661" s="371" t="s">
        <v>2269</v>
      </c>
      <c r="D661" s="371" t="s">
        <v>2235</v>
      </c>
      <c r="E661" s="206"/>
      <c r="F661" s="206" t="s">
        <v>70</v>
      </c>
      <c r="G661" s="206" t="s">
        <v>70</v>
      </c>
      <c r="H661" s="371" t="s">
        <v>2271</v>
      </c>
      <c r="I661" s="206" t="s">
        <v>1437</v>
      </c>
      <c r="J661" s="206" t="s">
        <v>1437</v>
      </c>
      <c r="K661" s="371" t="s">
        <v>2271</v>
      </c>
      <c r="L661" s="206" t="s">
        <v>2173</v>
      </c>
      <c r="M661" s="206" t="s">
        <v>1350</v>
      </c>
      <c r="N661" s="206" t="s">
        <v>49</v>
      </c>
      <c r="O661" s="372" t="s">
        <v>2174</v>
      </c>
      <c r="P661" s="372">
        <v>46018</v>
      </c>
      <c r="Q661" s="371" t="s">
        <v>2276</v>
      </c>
      <c r="R661" s="373">
        <v>45820</v>
      </c>
      <c r="S661" s="373">
        <v>45820</v>
      </c>
      <c r="T661" s="371" t="s">
        <v>2271</v>
      </c>
      <c r="U661" s="373">
        <v>17720</v>
      </c>
      <c r="V661" s="373">
        <v>17720</v>
      </c>
      <c r="W661" s="371" t="s">
        <v>2271</v>
      </c>
      <c r="X661" s="373">
        <v>28100</v>
      </c>
      <c r="Y661" s="373">
        <v>28100</v>
      </c>
      <c r="Z661" s="371" t="s">
        <v>2271</v>
      </c>
      <c r="AA661" s="373">
        <v>0</v>
      </c>
      <c r="AB661" s="373">
        <v>28040</v>
      </c>
      <c r="AC661" s="373">
        <v>28040</v>
      </c>
      <c r="AD661" s="371" t="s">
        <v>2271</v>
      </c>
      <c r="AE661" s="373">
        <v>0</v>
      </c>
      <c r="AF661" s="382">
        <v>0.56805555555555598</v>
      </c>
      <c r="AG661" s="382">
        <v>0.56805555555555598</v>
      </c>
      <c r="AH661" s="371" t="s">
        <v>2271</v>
      </c>
      <c r="AI661" s="382">
        <v>0.60972222222222205</v>
      </c>
      <c r="AJ661" s="382">
        <v>0.60972222222222205</v>
      </c>
      <c r="AK661" s="371" t="s">
        <v>2271</v>
      </c>
      <c r="AL661" s="206" t="s">
        <v>137</v>
      </c>
      <c r="AM661" s="206" t="s">
        <v>137</v>
      </c>
      <c r="AN661" s="371" t="s">
        <v>2271</v>
      </c>
      <c r="AO661" s="206" t="s">
        <v>2828</v>
      </c>
      <c r="AP661" s="206" t="s">
        <v>1499</v>
      </c>
      <c r="AQ661" s="206" t="s">
        <v>1133</v>
      </c>
      <c r="AR661" s="207" t="s">
        <v>68</v>
      </c>
    </row>
    <row r="662" spans="1:44" x14ac:dyDescent="0.2">
      <c r="A662" s="370">
        <v>643</v>
      </c>
      <c r="B662" s="380">
        <v>434</v>
      </c>
      <c r="C662" s="371" t="s">
        <v>2269</v>
      </c>
      <c r="D662" s="371" t="s">
        <v>2235</v>
      </c>
      <c r="E662" s="206"/>
      <c r="F662" s="206" t="s">
        <v>56</v>
      </c>
      <c r="G662" s="206" t="s">
        <v>56</v>
      </c>
      <c r="H662" s="371" t="s">
        <v>2271</v>
      </c>
      <c r="I662" s="206" t="s">
        <v>1437</v>
      </c>
      <c r="J662" s="206" t="s">
        <v>1437</v>
      </c>
      <c r="K662" s="371" t="s">
        <v>2271</v>
      </c>
      <c r="L662" s="206" t="s">
        <v>2173</v>
      </c>
      <c r="M662" s="206" t="s">
        <v>1350</v>
      </c>
      <c r="N662" s="206" t="s">
        <v>49</v>
      </c>
      <c r="O662" s="372" t="s">
        <v>2174</v>
      </c>
      <c r="P662" s="372">
        <v>46018</v>
      </c>
      <c r="Q662" s="371" t="s">
        <v>2276</v>
      </c>
      <c r="R662" s="373">
        <v>25020</v>
      </c>
      <c r="S662" s="373">
        <v>25020</v>
      </c>
      <c r="T662" s="371" t="s">
        <v>2271</v>
      </c>
      <c r="U662" s="373">
        <v>10730</v>
      </c>
      <c r="V662" s="373">
        <v>10730</v>
      </c>
      <c r="W662" s="371" t="s">
        <v>2271</v>
      </c>
      <c r="X662" s="373">
        <v>14290</v>
      </c>
      <c r="Y662" s="373">
        <v>14290</v>
      </c>
      <c r="Z662" s="371" t="s">
        <v>2271</v>
      </c>
      <c r="AA662" s="373">
        <v>0</v>
      </c>
      <c r="AB662" s="373">
        <v>14240</v>
      </c>
      <c r="AC662" s="373">
        <v>14240</v>
      </c>
      <c r="AD662" s="371" t="s">
        <v>2271</v>
      </c>
      <c r="AE662" s="373">
        <v>0</v>
      </c>
      <c r="AF662" s="382">
        <v>0.58472222222222203</v>
      </c>
      <c r="AG662" s="382">
        <v>0.58472222222222203</v>
      </c>
      <c r="AH662" s="371" t="s">
        <v>2271</v>
      </c>
      <c r="AI662" s="382">
        <v>0.65416666666666701</v>
      </c>
      <c r="AJ662" s="382">
        <v>0.65416666666666701</v>
      </c>
      <c r="AK662" s="371" t="s">
        <v>2271</v>
      </c>
      <c r="AL662" s="206" t="s">
        <v>137</v>
      </c>
      <c r="AM662" s="206" t="s">
        <v>137</v>
      </c>
      <c r="AN662" s="371" t="s">
        <v>2271</v>
      </c>
      <c r="AO662" s="206" t="s">
        <v>2829</v>
      </c>
      <c r="AP662" s="206" t="s">
        <v>1781</v>
      </c>
      <c r="AQ662" s="206" t="s">
        <v>1132</v>
      </c>
      <c r="AR662" s="207" t="s">
        <v>68</v>
      </c>
    </row>
    <row r="663" spans="1:44" x14ac:dyDescent="0.2">
      <c r="A663" s="370">
        <v>644</v>
      </c>
      <c r="B663" s="380">
        <v>435</v>
      </c>
      <c r="C663" s="371" t="s">
        <v>2269</v>
      </c>
      <c r="D663" s="371" t="s">
        <v>2235</v>
      </c>
      <c r="E663" s="206"/>
      <c r="F663" s="206" t="s">
        <v>84</v>
      </c>
      <c r="G663" s="206" t="s">
        <v>84</v>
      </c>
      <c r="H663" s="371" t="s">
        <v>2271</v>
      </c>
      <c r="I663" s="206" t="s">
        <v>1437</v>
      </c>
      <c r="J663" s="206" t="s">
        <v>1437</v>
      </c>
      <c r="K663" s="371" t="s">
        <v>2271</v>
      </c>
      <c r="L663" s="206" t="s">
        <v>2173</v>
      </c>
      <c r="M663" s="206" t="s">
        <v>1350</v>
      </c>
      <c r="N663" s="206" t="s">
        <v>49</v>
      </c>
      <c r="O663" s="372" t="s">
        <v>2174</v>
      </c>
      <c r="P663" s="372">
        <v>46018</v>
      </c>
      <c r="Q663" s="371" t="s">
        <v>2276</v>
      </c>
      <c r="R663" s="373">
        <v>26730</v>
      </c>
      <c r="S663" s="373">
        <v>26730</v>
      </c>
      <c r="T663" s="371" t="s">
        <v>2271</v>
      </c>
      <c r="U663" s="373">
        <v>12290</v>
      </c>
      <c r="V663" s="373">
        <v>12290</v>
      </c>
      <c r="W663" s="371" t="s">
        <v>2271</v>
      </c>
      <c r="X663" s="373">
        <v>14440</v>
      </c>
      <c r="Y663" s="373">
        <v>14440</v>
      </c>
      <c r="Z663" s="371" t="s">
        <v>2271</v>
      </c>
      <c r="AA663" s="373">
        <v>0</v>
      </c>
      <c r="AB663" s="373">
        <v>14390</v>
      </c>
      <c r="AC663" s="373">
        <v>14390</v>
      </c>
      <c r="AD663" s="371" t="s">
        <v>2271</v>
      </c>
      <c r="AE663" s="373">
        <v>0</v>
      </c>
      <c r="AF663" s="382">
        <v>0.72083333333333299</v>
      </c>
      <c r="AG663" s="382">
        <v>0.72083333333333299</v>
      </c>
      <c r="AH663" s="371" t="s">
        <v>2271</v>
      </c>
      <c r="AI663" s="382">
        <v>0.77569444444444402</v>
      </c>
      <c r="AJ663" s="382">
        <v>0.77569444444444502</v>
      </c>
      <c r="AK663" s="371" t="s">
        <v>2276</v>
      </c>
      <c r="AL663" s="206" t="s">
        <v>137</v>
      </c>
      <c r="AM663" s="206" t="s">
        <v>137</v>
      </c>
      <c r="AN663" s="371" t="s">
        <v>2271</v>
      </c>
      <c r="AO663" s="206" t="s">
        <v>2830</v>
      </c>
      <c r="AP663" s="206" t="s">
        <v>1782</v>
      </c>
      <c r="AQ663" s="206" t="s">
        <v>1132</v>
      </c>
      <c r="AR663" s="207" t="s">
        <v>68</v>
      </c>
    </row>
    <row r="664" spans="1:44" x14ac:dyDescent="0.2">
      <c r="A664" s="370">
        <v>645</v>
      </c>
      <c r="B664" s="380">
        <v>437</v>
      </c>
      <c r="C664" s="371" t="s">
        <v>2269</v>
      </c>
      <c r="D664" s="371" t="s">
        <v>2235</v>
      </c>
      <c r="E664" s="206"/>
      <c r="F664" s="206" t="s">
        <v>76</v>
      </c>
      <c r="G664" s="206" t="s">
        <v>76</v>
      </c>
      <c r="H664" s="371" t="s">
        <v>2271</v>
      </c>
      <c r="I664" s="206" t="s">
        <v>1437</v>
      </c>
      <c r="J664" s="206" t="s">
        <v>1437</v>
      </c>
      <c r="K664" s="371" t="s">
        <v>2271</v>
      </c>
      <c r="L664" s="206" t="s">
        <v>2173</v>
      </c>
      <c r="M664" s="206" t="s">
        <v>1350</v>
      </c>
      <c r="N664" s="206" t="s">
        <v>49</v>
      </c>
      <c r="O664" s="372" t="s">
        <v>2174</v>
      </c>
      <c r="P664" s="372">
        <v>46018</v>
      </c>
      <c r="Q664" s="371" t="s">
        <v>2276</v>
      </c>
      <c r="R664" s="373">
        <v>45840</v>
      </c>
      <c r="S664" s="373">
        <v>45840</v>
      </c>
      <c r="T664" s="371" t="s">
        <v>2271</v>
      </c>
      <c r="U664" s="373">
        <v>17470</v>
      </c>
      <c r="V664" s="373">
        <v>17470</v>
      </c>
      <c r="W664" s="371" t="s">
        <v>2271</v>
      </c>
      <c r="X664" s="373">
        <v>28370</v>
      </c>
      <c r="Y664" s="373">
        <v>28370</v>
      </c>
      <c r="Z664" s="371" t="s">
        <v>2271</v>
      </c>
      <c r="AA664" s="373">
        <v>0</v>
      </c>
      <c r="AB664" s="373">
        <v>28290</v>
      </c>
      <c r="AC664" s="373">
        <v>28290</v>
      </c>
      <c r="AD664" s="371" t="s">
        <v>2271</v>
      </c>
      <c r="AE664" s="373">
        <v>0</v>
      </c>
      <c r="AF664" s="382">
        <v>0.88958333333333295</v>
      </c>
      <c r="AG664" s="382">
        <v>0.88958333333333295</v>
      </c>
      <c r="AH664" s="371" t="s">
        <v>2271</v>
      </c>
      <c r="AI664" s="382">
        <v>0.95277777777777795</v>
      </c>
      <c r="AJ664" s="382">
        <v>0.95277777777777795</v>
      </c>
      <c r="AK664" s="371" t="s">
        <v>2271</v>
      </c>
      <c r="AL664" s="206" t="s">
        <v>137</v>
      </c>
      <c r="AM664" s="206" t="s">
        <v>137</v>
      </c>
      <c r="AN664" s="371" t="s">
        <v>2271</v>
      </c>
      <c r="AO664" s="206" t="s">
        <v>2831</v>
      </c>
      <c r="AP664" s="206" t="s">
        <v>1372</v>
      </c>
      <c r="AQ664" s="206" t="s">
        <v>1133</v>
      </c>
      <c r="AR664" s="207" t="s">
        <v>68</v>
      </c>
    </row>
    <row r="665" spans="1:44" x14ac:dyDescent="0.2">
      <c r="A665" s="370">
        <v>646</v>
      </c>
      <c r="B665" s="380">
        <v>438</v>
      </c>
      <c r="C665" s="371" t="s">
        <v>2269</v>
      </c>
      <c r="D665" s="371" t="s">
        <v>2235</v>
      </c>
      <c r="E665" s="206"/>
      <c r="F665" s="206" t="s">
        <v>70</v>
      </c>
      <c r="G665" s="206" t="s">
        <v>70</v>
      </c>
      <c r="H665" s="371" t="s">
        <v>2271</v>
      </c>
      <c r="I665" s="206" t="s">
        <v>1437</v>
      </c>
      <c r="J665" s="206" t="s">
        <v>1437</v>
      </c>
      <c r="K665" s="371" t="s">
        <v>2271</v>
      </c>
      <c r="L665" s="206" t="s">
        <v>2173</v>
      </c>
      <c r="M665" s="206" t="s">
        <v>1350</v>
      </c>
      <c r="N665" s="206" t="s">
        <v>49</v>
      </c>
      <c r="O665" s="372" t="s">
        <v>2174</v>
      </c>
      <c r="P665" s="372">
        <v>46018</v>
      </c>
      <c r="Q665" s="371" t="s">
        <v>2276</v>
      </c>
      <c r="R665" s="373">
        <v>45770</v>
      </c>
      <c r="S665" s="373">
        <v>45770</v>
      </c>
      <c r="T665" s="371" t="s">
        <v>2271</v>
      </c>
      <c r="U665" s="373">
        <v>17700</v>
      </c>
      <c r="V665" s="373">
        <v>17700</v>
      </c>
      <c r="W665" s="371" t="s">
        <v>2271</v>
      </c>
      <c r="X665" s="373">
        <v>28070</v>
      </c>
      <c r="Y665" s="373">
        <v>28070</v>
      </c>
      <c r="Z665" s="371" t="s">
        <v>2271</v>
      </c>
      <c r="AA665" s="373">
        <v>0</v>
      </c>
      <c r="AB665" s="373">
        <v>28040</v>
      </c>
      <c r="AC665" s="373">
        <v>28040</v>
      </c>
      <c r="AD665" s="371" t="s">
        <v>2271</v>
      </c>
      <c r="AE665" s="373">
        <v>0</v>
      </c>
      <c r="AF665" s="382">
        <v>0.89236111111111105</v>
      </c>
      <c r="AG665" s="382">
        <v>0.89236111111111105</v>
      </c>
      <c r="AH665" s="371" t="s">
        <v>2271</v>
      </c>
      <c r="AI665" s="382">
        <v>0.95416666666666705</v>
      </c>
      <c r="AJ665" s="382">
        <v>0.95416666666666705</v>
      </c>
      <c r="AK665" s="371" t="s">
        <v>2271</v>
      </c>
      <c r="AL665" s="206" t="s">
        <v>137</v>
      </c>
      <c r="AM665" s="206" t="s">
        <v>137</v>
      </c>
      <c r="AN665" s="371" t="s">
        <v>2271</v>
      </c>
      <c r="AO665" s="206" t="s">
        <v>2832</v>
      </c>
      <c r="AP665" s="206" t="s">
        <v>1499</v>
      </c>
      <c r="AQ665" s="206" t="s">
        <v>1133</v>
      </c>
      <c r="AR665" s="207" t="s">
        <v>68</v>
      </c>
    </row>
    <row r="666" spans="1:44" x14ac:dyDescent="0.2">
      <c r="A666" s="370">
        <v>647</v>
      </c>
      <c r="B666" s="380">
        <v>439</v>
      </c>
      <c r="C666" s="371" t="s">
        <v>2269</v>
      </c>
      <c r="D666" s="371" t="s">
        <v>2235</v>
      </c>
      <c r="E666" s="206"/>
      <c r="F666" s="206" t="s">
        <v>46</v>
      </c>
      <c r="G666" s="206" t="s">
        <v>46</v>
      </c>
      <c r="H666" s="371" t="s">
        <v>2271</v>
      </c>
      <c r="I666" s="206" t="s">
        <v>1437</v>
      </c>
      <c r="J666" s="206" t="s">
        <v>1437</v>
      </c>
      <c r="K666" s="371" t="s">
        <v>2271</v>
      </c>
      <c r="L666" s="206" t="s">
        <v>2173</v>
      </c>
      <c r="M666" s="206" t="s">
        <v>1350</v>
      </c>
      <c r="N666" s="206" t="s">
        <v>49</v>
      </c>
      <c r="O666" s="372" t="s">
        <v>2174</v>
      </c>
      <c r="P666" s="372">
        <v>46018</v>
      </c>
      <c r="Q666" s="371" t="s">
        <v>2276</v>
      </c>
      <c r="R666" s="373">
        <v>26650</v>
      </c>
      <c r="S666" s="373">
        <v>26650</v>
      </c>
      <c r="T666" s="371" t="s">
        <v>2271</v>
      </c>
      <c r="U666" s="373">
        <v>11900</v>
      </c>
      <c r="V666" s="373">
        <v>11900</v>
      </c>
      <c r="W666" s="371" t="s">
        <v>2271</v>
      </c>
      <c r="X666" s="373">
        <v>14750</v>
      </c>
      <c r="Y666" s="373">
        <v>14750</v>
      </c>
      <c r="Z666" s="371" t="s">
        <v>2271</v>
      </c>
      <c r="AA666" s="373">
        <v>0</v>
      </c>
      <c r="AB666" s="373">
        <v>14720</v>
      </c>
      <c r="AC666" s="373">
        <v>14720</v>
      </c>
      <c r="AD666" s="371" t="s">
        <v>2271</v>
      </c>
      <c r="AE666" s="373">
        <v>0</v>
      </c>
      <c r="AF666" s="382">
        <v>0.89375000000000004</v>
      </c>
      <c r="AG666" s="382">
        <v>0.89375000000000004</v>
      </c>
      <c r="AH666" s="371" t="s">
        <v>2271</v>
      </c>
      <c r="AI666" s="382">
        <v>0.95694444444444404</v>
      </c>
      <c r="AJ666" s="382">
        <v>0.95694444444444504</v>
      </c>
      <c r="AK666" s="371" t="s">
        <v>2276</v>
      </c>
      <c r="AL666" s="206" t="s">
        <v>137</v>
      </c>
      <c r="AM666" s="206" t="s">
        <v>137</v>
      </c>
      <c r="AN666" s="371" t="s">
        <v>2271</v>
      </c>
      <c r="AO666" s="206" t="s">
        <v>2833</v>
      </c>
      <c r="AP666" s="206" t="s">
        <v>1393</v>
      </c>
      <c r="AQ666" s="206" t="s">
        <v>1132</v>
      </c>
      <c r="AR666" s="207" t="s">
        <v>68</v>
      </c>
    </row>
    <row r="667" spans="1:44" x14ac:dyDescent="0.2">
      <c r="A667" s="370">
        <v>648</v>
      </c>
      <c r="B667" s="380">
        <v>440</v>
      </c>
      <c r="C667" s="371" t="s">
        <v>2269</v>
      </c>
      <c r="D667" s="371" t="s">
        <v>2235</v>
      </c>
      <c r="E667" s="206"/>
      <c r="F667" s="206" t="s">
        <v>56</v>
      </c>
      <c r="G667" s="206" t="s">
        <v>56</v>
      </c>
      <c r="H667" s="371" t="s">
        <v>2271</v>
      </c>
      <c r="I667" s="206" t="s">
        <v>1437</v>
      </c>
      <c r="J667" s="206" t="s">
        <v>1437</v>
      </c>
      <c r="K667" s="371" t="s">
        <v>2271</v>
      </c>
      <c r="L667" s="206" t="s">
        <v>2173</v>
      </c>
      <c r="M667" s="206" t="s">
        <v>1350</v>
      </c>
      <c r="N667" s="206" t="s">
        <v>49</v>
      </c>
      <c r="O667" s="372" t="s">
        <v>2175</v>
      </c>
      <c r="P667" s="372">
        <v>46020</v>
      </c>
      <c r="Q667" s="371" t="s">
        <v>2276</v>
      </c>
      <c r="R667" s="373">
        <v>24970</v>
      </c>
      <c r="S667" s="373">
        <v>24970</v>
      </c>
      <c r="T667" s="371" t="s">
        <v>2271</v>
      </c>
      <c r="U667" s="373">
        <v>10670</v>
      </c>
      <c r="V667" s="373">
        <v>10670</v>
      </c>
      <c r="W667" s="371" t="s">
        <v>2271</v>
      </c>
      <c r="X667" s="373">
        <v>14300</v>
      </c>
      <c r="Y667" s="373">
        <v>14300</v>
      </c>
      <c r="Z667" s="371" t="s">
        <v>2271</v>
      </c>
      <c r="AA667" s="373">
        <v>0</v>
      </c>
      <c r="AB667" s="373">
        <v>14260</v>
      </c>
      <c r="AC667" s="373">
        <v>14260</v>
      </c>
      <c r="AD667" s="371" t="s">
        <v>2271</v>
      </c>
      <c r="AE667" s="373">
        <v>0</v>
      </c>
      <c r="AF667" s="382">
        <v>0.58055555555555605</v>
      </c>
      <c r="AG667" s="382">
        <v>0.58055555555555605</v>
      </c>
      <c r="AH667" s="371" t="s">
        <v>2271</v>
      </c>
      <c r="AI667" s="382">
        <v>0.65208333333333302</v>
      </c>
      <c r="AJ667" s="382">
        <v>0.65208333333333302</v>
      </c>
      <c r="AK667" s="371" t="s">
        <v>2271</v>
      </c>
      <c r="AL667" s="206" t="s">
        <v>137</v>
      </c>
      <c r="AM667" s="206" t="s">
        <v>137</v>
      </c>
      <c r="AN667" s="371" t="s">
        <v>2271</v>
      </c>
      <c r="AO667" s="206" t="s">
        <v>2834</v>
      </c>
      <c r="AP667" s="206" t="s">
        <v>1781</v>
      </c>
      <c r="AQ667" s="206" t="s">
        <v>1132</v>
      </c>
      <c r="AR667" s="207" t="s">
        <v>68</v>
      </c>
    </row>
    <row r="668" spans="1:44" x14ac:dyDescent="0.2">
      <c r="A668" s="370">
        <v>649</v>
      </c>
      <c r="B668" s="380">
        <v>441</v>
      </c>
      <c r="C668" s="371" t="s">
        <v>2269</v>
      </c>
      <c r="D668" s="371" t="s">
        <v>2235</v>
      </c>
      <c r="E668" s="206"/>
      <c r="F668" s="206" t="s">
        <v>46</v>
      </c>
      <c r="G668" s="206" t="s">
        <v>46</v>
      </c>
      <c r="H668" s="371" t="s">
        <v>2271</v>
      </c>
      <c r="I668" s="206" t="s">
        <v>1437</v>
      </c>
      <c r="J668" s="206" t="s">
        <v>1437</v>
      </c>
      <c r="K668" s="371" t="s">
        <v>2271</v>
      </c>
      <c r="L668" s="206" t="s">
        <v>2173</v>
      </c>
      <c r="M668" s="206" t="s">
        <v>1350</v>
      </c>
      <c r="N668" s="206" t="s">
        <v>49</v>
      </c>
      <c r="O668" s="372" t="s">
        <v>2175</v>
      </c>
      <c r="P668" s="372">
        <v>46020</v>
      </c>
      <c r="Q668" s="371" t="s">
        <v>2276</v>
      </c>
      <c r="R668" s="373">
        <v>26550</v>
      </c>
      <c r="S668" s="373">
        <v>26550</v>
      </c>
      <c r="T668" s="371" t="s">
        <v>2271</v>
      </c>
      <c r="U668" s="373">
        <v>11830</v>
      </c>
      <c r="V668" s="373">
        <v>11830</v>
      </c>
      <c r="W668" s="371" t="s">
        <v>2271</v>
      </c>
      <c r="X668" s="373">
        <v>14720</v>
      </c>
      <c r="Y668" s="373">
        <v>14720</v>
      </c>
      <c r="Z668" s="371" t="s">
        <v>2271</v>
      </c>
      <c r="AA668" s="373">
        <v>0</v>
      </c>
      <c r="AB668" s="373">
        <v>14670</v>
      </c>
      <c r="AC668" s="373">
        <v>14670</v>
      </c>
      <c r="AD668" s="371" t="s">
        <v>2271</v>
      </c>
      <c r="AE668" s="373">
        <v>0</v>
      </c>
      <c r="AF668" s="382">
        <v>0.60902777777777795</v>
      </c>
      <c r="AG668" s="382">
        <v>0.60902777777777795</v>
      </c>
      <c r="AH668" s="371" t="s">
        <v>2271</v>
      </c>
      <c r="AI668" s="382">
        <v>0.68541666666666701</v>
      </c>
      <c r="AJ668" s="382">
        <v>0.68541666666666701</v>
      </c>
      <c r="AK668" s="371" t="s">
        <v>2271</v>
      </c>
      <c r="AL668" s="206" t="s">
        <v>137</v>
      </c>
      <c r="AM668" s="206" t="s">
        <v>137</v>
      </c>
      <c r="AN668" s="371" t="s">
        <v>2271</v>
      </c>
      <c r="AO668" s="206" t="s">
        <v>2835</v>
      </c>
      <c r="AP668" s="206" t="s">
        <v>1393</v>
      </c>
      <c r="AQ668" s="206" t="s">
        <v>1132</v>
      </c>
      <c r="AR668" s="207" t="s">
        <v>68</v>
      </c>
    </row>
    <row r="669" spans="1:44" x14ac:dyDescent="0.2">
      <c r="A669" s="370">
        <v>650</v>
      </c>
      <c r="B669" s="380">
        <v>442</v>
      </c>
      <c r="C669" s="371" t="s">
        <v>2269</v>
      </c>
      <c r="D669" s="371" t="s">
        <v>2235</v>
      </c>
      <c r="E669" s="206"/>
      <c r="F669" s="206" t="s">
        <v>76</v>
      </c>
      <c r="G669" s="206" t="s">
        <v>76</v>
      </c>
      <c r="H669" s="371" t="s">
        <v>2271</v>
      </c>
      <c r="I669" s="206" t="s">
        <v>1437</v>
      </c>
      <c r="J669" s="206" t="s">
        <v>1437</v>
      </c>
      <c r="K669" s="371" t="s">
        <v>2271</v>
      </c>
      <c r="L669" s="206" t="s">
        <v>2173</v>
      </c>
      <c r="M669" s="206" t="s">
        <v>1350</v>
      </c>
      <c r="N669" s="206" t="s">
        <v>49</v>
      </c>
      <c r="O669" s="372" t="s">
        <v>2175</v>
      </c>
      <c r="P669" s="372">
        <v>46020</v>
      </c>
      <c r="Q669" s="371" t="s">
        <v>2276</v>
      </c>
      <c r="R669" s="373">
        <v>45770</v>
      </c>
      <c r="S669" s="373">
        <v>45770</v>
      </c>
      <c r="T669" s="371" t="s">
        <v>2271</v>
      </c>
      <c r="U669" s="373">
        <v>17400</v>
      </c>
      <c r="V669" s="373">
        <v>17400</v>
      </c>
      <c r="W669" s="371" t="s">
        <v>2271</v>
      </c>
      <c r="X669" s="373">
        <v>28370</v>
      </c>
      <c r="Y669" s="373">
        <v>28370</v>
      </c>
      <c r="Z669" s="371" t="s">
        <v>2271</v>
      </c>
      <c r="AA669" s="373">
        <v>0</v>
      </c>
      <c r="AB669" s="373">
        <v>28290</v>
      </c>
      <c r="AC669" s="373">
        <v>28290</v>
      </c>
      <c r="AD669" s="371" t="s">
        <v>2271</v>
      </c>
      <c r="AE669" s="373">
        <v>0</v>
      </c>
      <c r="AF669" s="382">
        <v>0.64097222222222205</v>
      </c>
      <c r="AG669" s="382">
        <v>0.64097222222222205</v>
      </c>
      <c r="AH669" s="371" t="s">
        <v>2271</v>
      </c>
      <c r="AI669" s="382">
        <v>0.7</v>
      </c>
      <c r="AJ669" s="382">
        <v>0.7</v>
      </c>
      <c r="AK669" s="371" t="s">
        <v>2271</v>
      </c>
      <c r="AL669" s="206" t="s">
        <v>137</v>
      </c>
      <c r="AM669" s="206" t="s">
        <v>137</v>
      </c>
      <c r="AN669" s="371" t="s">
        <v>2271</v>
      </c>
      <c r="AO669" s="206" t="s">
        <v>2836</v>
      </c>
      <c r="AP669" s="206" t="s">
        <v>1372</v>
      </c>
      <c r="AQ669" s="206" t="s">
        <v>1133</v>
      </c>
      <c r="AR669" s="207" t="s">
        <v>68</v>
      </c>
    </row>
    <row r="670" spans="1:44" x14ac:dyDescent="0.2">
      <c r="A670" s="370">
        <v>651</v>
      </c>
      <c r="B670" s="380">
        <v>443</v>
      </c>
      <c r="C670" s="371" t="s">
        <v>2269</v>
      </c>
      <c r="D670" s="371" t="s">
        <v>2235</v>
      </c>
      <c r="E670" s="206"/>
      <c r="F670" s="206" t="s">
        <v>84</v>
      </c>
      <c r="G670" s="206" t="s">
        <v>84</v>
      </c>
      <c r="H670" s="371" t="s">
        <v>2271</v>
      </c>
      <c r="I670" s="206" t="s">
        <v>1437</v>
      </c>
      <c r="J670" s="206" t="s">
        <v>1437</v>
      </c>
      <c r="K670" s="371" t="s">
        <v>2271</v>
      </c>
      <c r="L670" s="206" t="s">
        <v>2173</v>
      </c>
      <c r="M670" s="206" t="s">
        <v>1350</v>
      </c>
      <c r="N670" s="206" t="s">
        <v>49</v>
      </c>
      <c r="O670" s="372" t="s">
        <v>2175</v>
      </c>
      <c r="P670" s="372">
        <v>46020</v>
      </c>
      <c r="Q670" s="371" t="s">
        <v>2276</v>
      </c>
      <c r="R670" s="373">
        <v>26630</v>
      </c>
      <c r="S670" s="373">
        <v>26630</v>
      </c>
      <c r="T670" s="371" t="s">
        <v>2271</v>
      </c>
      <c r="U670" s="373">
        <v>12220</v>
      </c>
      <c r="V670" s="373">
        <v>12220</v>
      </c>
      <c r="W670" s="371" t="s">
        <v>2271</v>
      </c>
      <c r="X670" s="373">
        <v>14410</v>
      </c>
      <c r="Y670" s="373">
        <v>14410</v>
      </c>
      <c r="Z670" s="371" t="s">
        <v>2271</v>
      </c>
      <c r="AA670" s="373">
        <v>0</v>
      </c>
      <c r="AB670" s="373">
        <v>14370</v>
      </c>
      <c r="AC670" s="373">
        <v>14370</v>
      </c>
      <c r="AD670" s="371" t="s">
        <v>2271</v>
      </c>
      <c r="AE670" s="373">
        <v>0</v>
      </c>
      <c r="AF670" s="382">
        <v>0.66319444444444398</v>
      </c>
      <c r="AG670" s="382">
        <v>0.66319444444444398</v>
      </c>
      <c r="AH670" s="371" t="s">
        <v>2271</v>
      </c>
      <c r="AI670" s="382">
        <v>0.71250000000000002</v>
      </c>
      <c r="AJ670" s="382">
        <v>0.71250000000000002</v>
      </c>
      <c r="AK670" s="371" t="s">
        <v>2271</v>
      </c>
      <c r="AL670" s="206" t="s">
        <v>137</v>
      </c>
      <c r="AM670" s="206" t="s">
        <v>137</v>
      </c>
      <c r="AN670" s="371" t="s">
        <v>2271</v>
      </c>
      <c r="AO670" s="206" t="s">
        <v>2837</v>
      </c>
      <c r="AP670" s="206" t="s">
        <v>1782</v>
      </c>
      <c r="AQ670" s="206" t="s">
        <v>1132</v>
      </c>
      <c r="AR670" s="207" t="s">
        <v>68</v>
      </c>
    </row>
    <row r="671" spans="1:44" x14ac:dyDescent="0.2">
      <c r="A671" s="370">
        <v>652</v>
      </c>
      <c r="B671" s="380">
        <v>444</v>
      </c>
      <c r="C671" s="371" t="s">
        <v>2269</v>
      </c>
      <c r="D671" s="371" t="s">
        <v>2235</v>
      </c>
      <c r="E671" s="206"/>
      <c r="F671" s="206" t="s">
        <v>70</v>
      </c>
      <c r="G671" s="206" t="s">
        <v>70</v>
      </c>
      <c r="H671" s="371" t="s">
        <v>2271</v>
      </c>
      <c r="I671" s="206" t="s">
        <v>1437</v>
      </c>
      <c r="J671" s="206" t="s">
        <v>1437</v>
      </c>
      <c r="K671" s="371" t="s">
        <v>2271</v>
      </c>
      <c r="L671" s="206" t="s">
        <v>2173</v>
      </c>
      <c r="M671" s="206" t="s">
        <v>1350</v>
      </c>
      <c r="N671" s="206" t="s">
        <v>49</v>
      </c>
      <c r="O671" s="372" t="s">
        <v>2175</v>
      </c>
      <c r="P671" s="372">
        <v>46020</v>
      </c>
      <c r="Q671" s="371" t="s">
        <v>2276</v>
      </c>
      <c r="R671" s="373">
        <v>45920</v>
      </c>
      <c r="S671" s="373">
        <v>45920</v>
      </c>
      <c r="T671" s="371" t="s">
        <v>2271</v>
      </c>
      <c r="U671" s="373">
        <v>17850</v>
      </c>
      <c r="V671" s="373">
        <v>17850</v>
      </c>
      <c r="W671" s="371" t="s">
        <v>2271</v>
      </c>
      <c r="X671" s="373">
        <v>28070</v>
      </c>
      <c r="Y671" s="373">
        <v>28070</v>
      </c>
      <c r="Z671" s="371" t="s">
        <v>2271</v>
      </c>
      <c r="AA671" s="373">
        <v>0</v>
      </c>
      <c r="AB671" s="373">
        <v>28010</v>
      </c>
      <c r="AC671" s="373">
        <v>28010</v>
      </c>
      <c r="AD671" s="371" t="s">
        <v>2271</v>
      </c>
      <c r="AE671" s="373">
        <v>0</v>
      </c>
      <c r="AF671" s="382">
        <v>0.71041666666666703</v>
      </c>
      <c r="AG671" s="382">
        <v>0.71041666666666703</v>
      </c>
      <c r="AH671" s="371" t="s">
        <v>2271</v>
      </c>
      <c r="AI671" s="382">
        <v>0.75763888888888897</v>
      </c>
      <c r="AJ671" s="382">
        <v>0.75763888888888897</v>
      </c>
      <c r="AK671" s="371" t="s">
        <v>2271</v>
      </c>
      <c r="AL671" s="206" t="s">
        <v>137</v>
      </c>
      <c r="AM671" s="206" t="s">
        <v>137</v>
      </c>
      <c r="AN671" s="371" t="s">
        <v>2271</v>
      </c>
      <c r="AO671" s="206" t="s">
        <v>2838</v>
      </c>
      <c r="AP671" s="206" t="s">
        <v>1499</v>
      </c>
      <c r="AQ671" s="206" t="s">
        <v>1133</v>
      </c>
      <c r="AR671" s="207" t="s">
        <v>68</v>
      </c>
    </row>
    <row r="672" spans="1:44" x14ac:dyDescent="0.2">
      <c r="A672" s="370">
        <v>653</v>
      </c>
      <c r="B672" s="380">
        <v>445</v>
      </c>
      <c r="C672" s="371" t="s">
        <v>2269</v>
      </c>
      <c r="D672" s="371" t="s">
        <v>2235</v>
      </c>
      <c r="E672" s="206"/>
      <c r="F672" s="206" t="s">
        <v>56</v>
      </c>
      <c r="G672" s="206" t="s">
        <v>56</v>
      </c>
      <c r="H672" s="371" t="s">
        <v>2271</v>
      </c>
      <c r="I672" s="206" t="s">
        <v>1437</v>
      </c>
      <c r="J672" s="206" t="s">
        <v>1437</v>
      </c>
      <c r="K672" s="371" t="s">
        <v>2271</v>
      </c>
      <c r="L672" s="206" t="s">
        <v>2173</v>
      </c>
      <c r="M672" s="206" t="s">
        <v>1350</v>
      </c>
      <c r="N672" s="206" t="s">
        <v>49</v>
      </c>
      <c r="O672" s="372" t="s">
        <v>2176</v>
      </c>
      <c r="P672" s="372">
        <v>46021</v>
      </c>
      <c r="Q672" s="371" t="s">
        <v>2276</v>
      </c>
      <c r="R672" s="373">
        <v>25080</v>
      </c>
      <c r="S672" s="373">
        <v>25080</v>
      </c>
      <c r="T672" s="371" t="s">
        <v>2271</v>
      </c>
      <c r="U672" s="373">
        <v>10780</v>
      </c>
      <c r="V672" s="373">
        <v>10780</v>
      </c>
      <c r="W672" s="371" t="s">
        <v>2271</v>
      </c>
      <c r="X672" s="373">
        <v>14300</v>
      </c>
      <c r="Y672" s="373">
        <v>14300</v>
      </c>
      <c r="Z672" s="371" t="s">
        <v>2271</v>
      </c>
      <c r="AA672" s="373">
        <v>0</v>
      </c>
      <c r="AB672" s="373">
        <v>14270</v>
      </c>
      <c r="AC672" s="373">
        <v>14270</v>
      </c>
      <c r="AD672" s="371" t="s">
        <v>2271</v>
      </c>
      <c r="AE672" s="373">
        <v>0</v>
      </c>
      <c r="AF672" s="382">
        <v>0.46597222222222201</v>
      </c>
      <c r="AG672" s="382">
        <v>0.46597222222222201</v>
      </c>
      <c r="AH672" s="371" t="s">
        <v>2271</v>
      </c>
      <c r="AI672" s="382">
        <v>0.53333333333333299</v>
      </c>
      <c r="AJ672" s="382">
        <v>0.53333333333333299</v>
      </c>
      <c r="AK672" s="371" t="s">
        <v>2271</v>
      </c>
      <c r="AL672" s="206" t="s">
        <v>137</v>
      </c>
      <c r="AM672" s="206" t="s">
        <v>137</v>
      </c>
      <c r="AN672" s="371" t="s">
        <v>2271</v>
      </c>
      <c r="AO672" s="206" t="s">
        <v>2839</v>
      </c>
      <c r="AP672" s="206" t="s">
        <v>1781</v>
      </c>
      <c r="AQ672" s="206" t="s">
        <v>1132</v>
      </c>
      <c r="AR672" s="207" t="s">
        <v>68</v>
      </c>
    </row>
    <row r="673" spans="1:44" x14ac:dyDescent="0.2">
      <c r="A673" s="370">
        <v>654</v>
      </c>
      <c r="B673" s="380">
        <v>446</v>
      </c>
      <c r="C673" s="371" t="s">
        <v>2269</v>
      </c>
      <c r="D673" s="371" t="s">
        <v>2235</v>
      </c>
      <c r="E673" s="206"/>
      <c r="F673" s="206" t="s">
        <v>70</v>
      </c>
      <c r="G673" s="206" t="s">
        <v>70</v>
      </c>
      <c r="H673" s="371" t="s">
        <v>2271</v>
      </c>
      <c r="I673" s="206" t="s">
        <v>1437</v>
      </c>
      <c r="J673" s="206" t="s">
        <v>1437</v>
      </c>
      <c r="K673" s="371" t="s">
        <v>2271</v>
      </c>
      <c r="L673" s="206" t="s">
        <v>2173</v>
      </c>
      <c r="M673" s="206" t="s">
        <v>1350</v>
      </c>
      <c r="N673" s="206" t="s">
        <v>49</v>
      </c>
      <c r="O673" s="372" t="s">
        <v>2176</v>
      </c>
      <c r="P673" s="372">
        <v>46021</v>
      </c>
      <c r="Q673" s="371" t="s">
        <v>2276</v>
      </c>
      <c r="R673" s="373">
        <v>45950</v>
      </c>
      <c r="S673" s="373">
        <v>45950</v>
      </c>
      <c r="T673" s="371" t="s">
        <v>2271</v>
      </c>
      <c r="U673" s="373">
        <v>17830</v>
      </c>
      <c r="V673" s="373">
        <v>17830</v>
      </c>
      <c r="W673" s="371" t="s">
        <v>2271</v>
      </c>
      <c r="X673" s="373">
        <v>28120</v>
      </c>
      <c r="Y673" s="373">
        <v>28120</v>
      </c>
      <c r="Z673" s="371" t="s">
        <v>2271</v>
      </c>
      <c r="AA673" s="373">
        <v>0</v>
      </c>
      <c r="AB673" s="373">
        <v>28100</v>
      </c>
      <c r="AC673" s="373">
        <v>28100</v>
      </c>
      <c r="AD673" s="371" t="s">
        <v>2271</v>
      </c>
      <c r="AE673" s="373">
        <v>0</v>
      </c>
      <c r="AF673" s="382">
        <v>0.50624999999999998</v>
      </c>
      <c r="AG673" s="382">
        <v>0.50624999999999998</v>
      </c>
      <c r="AH673" s="371" t="s">
        <v>2271</v>
      </c>
      <c r="AI673" s="382">
        <v>0.60069444444444398</v>
      </c>
      <c r="AJ673" s="382">
        <v>0.60069444444444398</v>
      </c>
      <c r="AK673" s="371" t="s">
        <v>2271</v>
      </c>
      <c r="AL673" s="206" t="s">
        <v>137</v>
      </c>
      <c r="AM673" s="206" t="s">
        <v>137</v>
      </c>
      <c r="AN673" s="371" t="s">
        <v>2271</v>
      </c>
      <c r="AO673" s="206" t="s">
        <v>2840</v>
      </c>
      <c r="AP673" s="206" t="s">
        <v>1499</v>
      </c>
      <c r="AQ673" s="206" t="s">
        <v>1133</v>
      </c>
      <c r="AR673" s="207" t="s">
        <v>68</v>
      </c>
    </row>
    <row r="674" spans="1:44" x14ac:dyDescent="0.2">
      <c r="A674" s="370">
        <v>655</v>
      </c>
      <c r="B674" s="380">
        <v>447</v>
      </c>
      <c r="C674" s="371" t="s">
        <v>2269</v>
      </c>
      <c r="D674" s="371" t="s">
        <v>2235</v>
      </c>
      <c r="E674" s="206"/>
      <c r="F674" s="206" t="s">
        <v>84</v>
      </c>
      <c r="G674" s="206" t="s">
        <v>84</v>
      </c>
      <c r="H674" s="371" t="s">
        <v>2271</v>
      </c>
      <c r="I674" s="206" t="s">
        <v>1437</v>
      </c>
      <c r="J674" s="206" t="s">
        <v>1437</v>
      </c>
      <c r="K674" s="371" t="s">
        <v>2271</v>
      </c>
      <c r="L674" s="206" t="s">
        <v>2173</v>
      </c>
      <c r="M674" s="206" t="s">
        <v>1350</v>
      </c>
      <c r="N674" s="206" t="s">
        <v>49</v>
      </c>
      <c r="O674" s="372" t="s">
        <v>2176</v>
      </c>
      <c r="P674" s="372">
        <v>46021</v>
      </c>
      <c r="Q674" s="371" t="s">
        <v>2276</v>
      </c>
      <c r="R674" s="373">
        <v>26610</v>
      </c>
      <c r="S674" s="373">
        <v>26610</v>
      </c>
      <c r="T674" s="371" t="s">
        <v>2271</v>
      </c>
      <c r="U674" s="373">
        <v>12190</v>
      </c>
      <c r="V674" s="373">
        <v>12190</v>
      </c>
      <c r="W674" s="371" t="s">
        <v>2271</v>
      </c>
      <c r="X674" s="373">
        <v>14420</v>
      </c>
      <c r="Y674" s="373">
        <v>14420</v>
      </c>
      <c r="Z674" s="371" t="s">
        <v>2271</v>
      </c>
      <c r="AA674" s="373">
        <v>0</v>
      </c>
      <c r="AB674" s="373">
        <v>14400</v>
      </c>
      <c r="AC674" s="373">
        <v>14400</v>
      </c>
      <c r="AD674" s="371" t="s">
        <v>2271</v>
      </c>
      <c r="AE674" s="373">
        <v>0</v>
      </c>
      <c r="AF674" s="382">
        <v>0.50833333333333297</v>
      </c>
      <c r="AG674" s="382">
        <v>0.50833333333333297</v>
      </c>
      <c r="AH674" s="371" t="s">
        <v>2271</v>
      </c>
      <c r="AI674" s="382">
        <v>0.60208333333333297</v>
      </c>
      <c r="AJ674" s="382">
        <v>0.60208333333333297</v>
      </c>
      <c r="AK674" s="371" t="s">
        <v>2271</v>
      </c>
      <c r="AL674" s="206" t="s">
        <v>137</v>
      </c>
      <c r="AM674" s="206" t="s">
        <v>137</v>
      </c>
      <c r="AN674" s="371" t="s">
        <v>2271</v>
      </c>
      <c r="AO674" s="206" t="s">
        <v>2841</v>
      </c>
      <c r="AP674" s="206" t="s">
        <v>1782</v>
      </c>
      <c r="AQ674" s="206" t="s">
        <v>1132</v>
      </c>
      <c r="AR674" s="207" t="s">
        <v>68</v>
      </c>
    </row>
    <row r="675" spans="1:44" x14ac:dyDescent="0.2">
      <c r="A675" s="370">
        <v>656</v>
      </c>
      <c r="B675" s="380">
        <v>449</v>
      </c>
      <c r="C675" s="371" t="s">
        <v>2269</v>
      </c>
      <c r="D675" s="371" t="s">
        <v>2235</v>
      </c>
      <c r="E675" s="206"/>
      <c r="F675" s="206" t="s">
        <v>76</v>
      </c>
      <c r="G675" s="206" t="s">
        <v>76</v>
      </c>
      <c r="H675" s="371" t="s">
        <v>2271</v>
      </c>
      <c r="I675" s="206" t="s">
        <v>1437</v>
      </c>
      <c r="J675" s="206" t="s">
        <v>1437</v>
      </c>
      <c r="K675" s="371" t="s">
        <v>2271</v>
      </c>
      <c r="L675" s="206" t="s">
        <v>2173</v>
      </c>
      <c r="M675" s="206" t="s">
        <v>1350</v>
      </c>
      <c r="N675" s="206" t="s">
        <v>49</v>
      </c>
      <c r="O675" s="372" t="s">
        <v>2176</v>
      </c>
      <c r="P675" s="372">
        <v>46021</v>
      </c>
      <c r="Q675" s="371" t="s">
        <v>2276</v>
      </c>
      <c r="R675" s="373">
        <v>45740</v>
      </c>
      <c r="S675" s="373">
        <v>45740</v>
      </c>
      <c r="T675" s="371" t="s">
        <v>2271</v>
      </c>
      <c r="U675" s="373">
        <v>17370</v>
      </c>
      <c r="V675" s="373">
        <v>17370</v>
      </c>
      <c r="W675" s="371" t="s">
        <v>2271</v>
      </c>
      <c r="X675" s="373">
        <v>28370</v>
      </c>
      <c r="Y675" s="373">
        <v>28370</v>
      </c>
      <c r="Z675" s="371" t="s">
        <v>2271</v>
      </c>
      <c r="AA675" s="373">
        <v>0</v>
      </c>
      <c r="AB675" s="373">
        <v>28310</v>
      </c>
      <c r="AC675" s="373">
        <v>28310</v>
      </c>
      <c r="AD675" s="371" t="s">
        <v>2271</v>
      </c>
      <c r="AE675" s="373">
        <v>0</v>
      </c>
      <c r="AF675" s="382">
        <v>0.54027777777777797</v>
      </c>
      <c r="AG675" s="382">
        <v>0.54027777777777797</v>
      </c>
      <c r="AH675" s="371" t="s">
        <v>2271</v>
      </c>
      <c r="AI675" s="382">
        <v>0.59930555555555598</v>
      </c>
      <c r="AJ675" s="382">
        <v>0.59930555555555598</v>
      </c>
      <c r="AK675" s="371" t="s">
        <v>2271</v>
      </c>
      <c r="AL675" s="206" t="s">
        <v>137</v>
      </c>
      <c r="AM675" s="206" t="s">
        <v>137</v>
      </c>
      <c r="AN675" s="371" t="s">
        <v>2271</v>
      </c>
      <c r="AO675" s="206" t="s">
        <v>2842</v>
      </c>
      <c r="AP675" s="206" t="s">
        <v>1372</v>
      </c>
      <c r="AQ675" s="206" t="s">
        <v>1133</v>
      </c>
      <c r="AR675" s="207" t="s">
        <v>68</v>
      </c>
    </row>
    <row r="676" spans="1:44" x14ac:dyDescent="0.2">
      <c r="A676" s="370">
        <v>657</v>
      </c>
      <c r="B676" s="380">
        <v>450</v>
      </c>
      <c r="C676" s="371" t="s">
        <v>2269</v>
      </c>
      <c r="D676" s="371" t="s">
        <v>2235</v>
      </c>
      <c r="E676" s="206"/>
      <c r="F676" s="206" t="s">
        <v>46</v>
      </c>
      <c r="G676" s="206" t="s">
        <v>46</v>
      </c>
      <c r="H676" s="371" t="s">
        <v>2271</v>
      </c>
      <c r="I676" s="206" t="s">
        <v>1437</v>
      </c>
      <c r="J676" s="206" t="s">
        <v>1437</v>
      </c>
      <c r="K676" s="371" t="s">
        <v>2271</v>
      </c>
      <c r="L676" s="206" t="s">
        <v>2173</v>
      </c>
      <c r="M676" s="206" t="s">
        <v>1350</v>
      </c>
      <c r="N676" s="206" t="s">
        <v>49</v>
      </c>
      <c r="O676" s="372" t="s">
        <v>2176</v>
      </c>
      <c r="P676" s="372">
        <v>46021</v>
      </c>
      <c r="Q676" s="371" t="s">
        <v>2276</v>
      </c>
      <c r="R676" s="373">
        <v>24340</v>
      </c>
      <c r="S676" s="373">
        <v>24340</v>
      </c>
      <c r="T676" s="371" t="s">
        <v>2271</v>
      </c>
      <c r="U676" s="373">
        <v>11800</v>
      </c>
      <c r="V676" s="373">
        <v>11800</v>
      </c>
      <c r="W676" s="371" t="s">
        <v>2271</v>
      </c>
      <c r="X676" s="373">
        <v>12540</v>
      </c>
      <c r="Y676" s="373">
        <v>12540</v>
      </c>
      <c r="Z676" s="371" t="s">
        <v>2271</v>
      </c>
      <c r="AA676" s="373">
        <v>0</v>
      </c>
      <c r="AB676" s="373">
        <v>12510</v>
      </c>
      <c r="AC676" s="373">
        <v>12510</v>
      </c>
      <c r="AD676" s="371" t="s">
        <v>2271</v>
      </c>
      <c r="AE676" s="373">
        <v>0</v>
      </c>
      <c r="AF676" s="382">
        <v>0.82361111111111096</v>
      </c>
      <c r="AG676" s="382">
        <v>0.82361111111111096</v>
      </c>
      <c r="AH676" s="371" t="s">
        <v>2271</v>
      </c>
      <c r="AI676" s="382">
        <v>0.87638888888888899</v>
      </c>
      <c r="AJ676" s="382">
        <v>0.87638888888888899</v>
      </c>
      <c r="AK676" s="371" t="s">
        <v>2271</v>
      </c>
      <c r="AL676" s="206" t="s">
        <v>137</v>
      </c>
      <c r="AM676" s="206" t="s">
        <v>137</v>
      </c>
      <c r="AN676" s="371" t="s">
        <v>2271</v>
      </c>
      <c r="AO676" s="206" t="s">
        <v>2843</v>
      </c>
      <c r="AP676" s="206" t="s">
        <v>1393</v>
      </c>
      <c r="AQ676" s="206" t="s">
        <v>1132</v>
      </c>
      <c r="AR676" s="207" t="s">
        <v>68</v>
      </c>
    </row>
    <row r="677" spans="1:44" x14ac:dyDescent="0.2">
      <c r="A677" s="370">
        <v>658</v>
      </c>
      <c r="B677" s="380">
        <v>450</v>
      </c>
      <c r="C677" s="371" t="s">
        <v>2269</v>
      </c>
      <c r="D677" s="371" t="s">
        <v>2235</v>
      </c>
      <c r="E677" s="206"/>
      <c r="F677" s="206" t="s">
        <v>46</v>
      </c>
      <c r="G677" s="206" t="s">
        <v>46</v>
      </c>
      <c r="H677" s="371" t="s">
        <v>2271</v>
      </c>
      <c r="I677" s="206" t="s">
        <v>1340</v>
      </c>
      <c r="J677" s="206" t="s">
        <v>1340</v>
      </c>
      <c r="K677" s="371" t="s">
        <v>2271</v>
      </c>
      <c r="L677" s="206" t="s">
        <v>2154</v>
      </c>
      <c r="M677" s="206" t="s">
        <v>1347</v>
      </c>
      <c r="N677" s="206" t="s">
        <v>78</v>
      </c>
      <c r="O677" s="372" t="s">
        <v>2176</v>
      </c>
      <c r="P677" s="372">
        <v>46021</v>
      </c>
      <c r="Q677" s="371" t="s">
        <v>2276</v>
      </c>
      <c r="R677" s="373">
        <v>13990</v>
      </c>
      <c r="S677" s="373">
        <v>13990</v>
      </c>
      <c r="T677" s="371" t="s">
        <v>2271</v>
      </c>
      <c r="U677" s="373">
        <v>11800</v>
      </c>
      <c r="V677" s="373">
        <v>11800</v>
      </c>
      <c r="W677" s="371" t="s">
        <v>2271</v>
      </c>
      <c r="X677" s="373">
        <v>2190</v>
      </c>
      <c r="Y677" s="373">
        <v>2190</v>
      </c>
      <c r="Z677" s="371" t="s">
        <v>2271</v>
      </c>
      <c r="AA677" s="373">
        <v>0</v>
      </c>
      <c r="AB677" s="373">
        <v>2190</v>
      </c>
      <c r="AC677" s="373">
        <v>2190</v>
      </c>
      <c r="AD677" s="371" t="s">
        <v>2271</v>
      </c>
      <c r="AE677" s="373">
        <v>0</v>
      </c>
      <c r="AF677" s="382">
        <v>0.82361111111111096</v>
      </c>
      <c r="AG677" s="382">
        <v>0.82361111111111096</v>
      </c>
      <c r="AH677" s="371" t="s">
        <v>2271</v>
      </c>
      <c r="AI677" s="382">
        <v>0.87638888888888899</v>
      </c>
      <c r="AJ677" s="382">
        <v>0.87638888888888899</v>
      </c>
      <c r="AK677" s="371" t="s">
        <v>2271</v>
      </c>
      <c r="AL677" s="206" t="s">
        <v>137</v>
      </c>
      <c r="AM677" s="206" t="s">
        <v>137</v>
      </c>
      <c r="AN677" s="371" t="s">
        <v>2271</v>
      </c>
      <c r="AO677" s="206" t="s">
        <v>2844</v>
      </c>
      <c r="AP677" s="206" t="s">
        <v>1393</v>
      </c>
      <c r="AQ677" s="206" t="s">
        <v>1132</v>
      </c>
      <c r="AR677" s="207" t="s">
        <v>88</v>
      </c>
    </row>
    <row r="678" spans="1:44" x14ac:dyDescent="0.2">
      <c r="A678" s="370">
        <v>659</v>
      </c>
      <c r="B678" s="380">
        <v>452</v>
      </c>
      <c r="C678" s="371" t="s">
        <v>2269</v>
      </c>
      <c r="D678" s="371" t="s">
        <v>2235</v>
      </c>
      <c r="E678" s="206"/>
      <c r="F678" s="206" t="s">
        <v>46</v>
      </c>
      <c r="G678" s="206" t="s">
        <v>46</v>
      </c>
      <c r="H678" s="371" t="s">
        <v>2271</v>
      </c>
      <c r="I678" s="206" t="s">
        <v>1437</v>
      </c>
      <c r="J678" s="206" t="s">
        <v>1437</v>
      </c>
      <c r="K678" s="371" t="s">
        <v>2271</v>
      </c>
      <c r="L678" s="206" t="s">
        <v>2173</v>
      </c>
      <c r="M678" s="206" t="s">
        <v>1350</v>
      </c>
      <c r="N678" s="206" t="s">
        <v>49</v>
      </c>
      <c r="O678" s="372">
        <v>46143</v>
      </c>
      <c r="P678" s="372">
        <v>46027</v>
      </c>
      <c r="Q678" s="371" t="s">
        <v>2276</v>
      </c>
      <c r="R678" s="373">
        <v>26630</v>
      </c>
      <c r="S678" s="373">
        <v>26630</v>
      </c>
      <c r="T678" s="371" t="s">
        <v>2271</v>
      </c>
      <c r="U678" s="373">
        <v>11930</v>
      </c>
      <c r="V678" s="373">
        <v>11930</v>
      </c>
      <c r="W678" s="371" t="s">
        <v>2271</v>
      </c>
      <c r="X678" s="373">
        <v>14700</v>
      </c>
      <c r="Y678" s="373">
        <v>14700</v>
      </c>
      <c r="Z678" s="371" t="s">
        <v>2271</v>
      </c>
      <c r="AA678" s="373">
        <v>0</v>
      </c>
      <c r="AB678" s="373">
        <v>14680</v>
      </c>
      <c r="AC678" s="373">
        <v>14680</v>
      </c>
      <c r="AD678" s="371" t="s">
        <v>2271</v>
      </c>
      <c r="AE678" s="373">
        <v>0</v>
      </c>
      <c r="AF678" s="382">
        <v>0.531944444444444</v>
      </c>
      <c r="AG678" s="382">
        <v>0.531944444444444</v>
      </c>
      <c r="AH678" s="371" t="s">
        <v>2271</v>
      </c>
      <c r="AI678" s="382">
        <v>0.71388888888888902</v>
      </c>
      <c r="AJ678" s="382">
        <v>0.71388888888888902</v>
      </c>
      <c r="AK678" s="371" t="s">
        <v>2271</v>
      </c>
      <c r="AL678" s="206" t="s">
        <v>137</v>
      </c>
      <c r="AM678" s="206" t="s">
        <v>137</v>
      </c>
      <c r="AN678" s="371" t="s">
        <v>2271</v>
      </c>
      <c r="AO678" s="206" t="s">
        <v>2845</v>
      </c>
      <c r="AP678" s="206" t="s">
        <v>1393</v>
      </c>
      <c r="AQ678" s="206" t="s">
        <v>1132</v>
      </c>
      <c r="AR678" s="207" t="s">
        <v>68</v>
      </c>
    </row>
    <row r="679" spans="1:44" x14ac:dyDescent="0.2">
      <c r="A679" s="370">
        <v>660</v>
      </c>
      <c r="B679" s="380">
        <v>453</v>
      </c>
      <c r="C679" s="371" t="s">
        <v>2269</v>
      </c>
      <c r="D679" s="371" t="s">
        <v>2235</v>
      </c>
      <c r="E679" s="206"/>
      <c r="F679" s="206" t="s">
        <v>56</v>
      </c>
      <c r="G679" s="206" t="s">
        <v>56</v>
      </c>
      <c r="H679" s="371" t="s">
        <v>2271</v>
      </c>
      <c r="I679" s="206" t="s">
        <v>1437</v>
      </c>
      <c r="J679" s="206" t="s">
        <v>1437</v>
      </c>
      <c r="K679" s="371" t="s">
        <v>2271</v>
      </c>
      <c r="L679" s="206" t="s">
        <v>2173</v>
      </c>
      <c r="M679" s="206" t="s">
        <v>1350</v>
      </c>
      <c r="N679" s="206" t="s">
        <v>49</v>
      </c>
      <c r="O679" s="372">
        <v>46143</v>
      </c>
      <c r="P679" s="372">
        <v>46027</v>
      </c>
      <c r="Q679" s="371" t="s">
        <v>2276</v>
      </c>
      <c r="R679" s="373">
        <v>24980</v>
      </c>
      <c r="S679" s="373">
        <v>24980</v>
      </c>
      <c r="T679" s="371" t="s">
        <v>2271</v>
      </c>
      <c r="U679" s="373">
        <v>10710</v>
      </c>
      <c r="V679" s="373">
        <v>10710</v>
      </c>
      <c r="W679" s="371" t="s">
        <v>2271</v>
      </c>
      <c r="X679" s="373">
        <v>14270</v>
      </c>
      <c r="Y679" s="373">
        <v>14270</v>
      </c>
      <c r="Z679" s="371" t="s">
        <v>2271</v>
      </c>
      <c r="AA679" s="373">
        <v>0</v>
      </c>
      <c r="AB679" s="373">
        <v>14230</v>
      </c>
      <c r="AC679" s="373">
        <v>14230</v>
      </c>
      <c r="AD679" s="371" t="s">
        <v>2271</v>
      </c>
      <c r="AE679" s="373">
        <v>0</v>
      </c>
      <c r="AF679" s="382">
        <v>0.55000000000000004</v>
      </c>
      <c r="AG679" s="382">
        <v>0.55000000000000004</v>
      </c>
      <c r="AH679" s="371" t="s">
        <v>2271</v>
      </c>
      <c r="AI679" s="382">
        <v>0.71250000000000002</v>
      </c>
      <c r="AJ679" s="382">
        <v>0.71250000000000002</v>
      </c>
      <c r="AK679" s="371" t="s">
        <v>2271</v>
      </c>
      <c r="AL679" s="206" t="s">
        <v>137</v>
      </c>
      <c r="AM679" s="206" t="s">
        <v>137</v>
      </c>
      <c r="AN679" s="371" t="s">
        <v>2271</v>
      </c>
      <c r="AO679" s="206" t="s">
        <v>2846</v>
      </c>
      <c r="AP679" s="206" t="s">
        <v>1781</v>
      </c>
      <c r="AQ679" s="206" t="s">
        <v>1132</v>
      </c>
      <c r="AR679" s="207" t="s">
        <v>68</v>
      </c>
    </row>
    <row r="680" spans="1:44" x14ac:dyDescent="0.2">
      <c r="A680" s="370">
        <v>661</v>
      </c>
      <c r="B680" s="380">
        <v>454</v>
      </c>
      <c r="C680" s="371" t="s">
        <v>2269</v>
      </c>
      <c r="D680" s="371" t="s">
        <v>2235</v>
      </c>
      <c r="E680" s="206"/>
      <c r="F680" s="206" t="s">
        <v>70</v>
      </c>
      <c r="G680" s="206" t="s">
        <v>70</v>
      </c>
      <c r="H680" s="371" t="s">
        <v>2271</v>
      </c>
      <c r="I680" s="206" t="s">
        <v>1437</v>
      </c>
      <c r="J680" s="206" t="s">
        <v>1437</v>
      </c>
      <c r="K680" s="371" t="s">
        <v>2271</v>
      </c>
      <c r="L680" s="206" t="s">
        <v>2173</v>
      </c>
      <c r="M680" s="206" t="s">
        <v>1350</v>
      </c>
      <c r="N680" s="206" t="s">
        <v>49</v>
      </c>
      <c r="O680" s="372">
        <v>46143</v>
      </c>
      <c r="P680" s="372">
        <v>46027</v>
      </c>
      <c r="Q680" s="371" t="s">
        <v>2276</v>
      </c>
      <c r="R680" s="373">
        <v>45740</v>
      </c>
      <c r="S680" s="373">
        <v>45740</v>
      </c>
      <c r="T680" s="371" t="s">
        <v>2271</v>
      </c>
      <c r="U680" s="373">
        <v>17740</v>
      </c>
      <c r="V680" s="373">
        <v>17740</v>
      </c>
      <c r="W680" s="371" t="s">
        <v>2271</v>
      </c>
      <c r="X680" s="373">
        <v>28000</v>
      </c>
      <c r="Y680" s="373">
        <v>28000</v>
      </c>
      <c r="Z680" s="371" t="s">
        <v>2271</v>
      </c>
      <c r="AA680" s="373">
        <v>0</v>
      </c>
      <c r="AB680" s="373">
        <v>27920</v>
      </c>
      <c r="AC680" s="373">
        <v>27920</v>
      </c>
      <c r="AD680" s="371" t="s">
        <v>2271</v>
      </c>
      <c r="AE680" s="373">
        <v>0</v>
      </c>
      <c r="AF680" s="382">
        <v>0.58541666666666703</v>
      </c>
      <c r="AG680" s="382">
        <v>0.58541666666666703</v>
      </c>
      <c r="AH680" s="371" t="s">
        <v>2271</v>
      </c>
      <c r="AI680" s="382">
        <v>0.73819444444444404</v>
      </c>
      <c r="AJ680" s="382">
        <v>0.73819444444444504</v>
      </c>
      <c r="AK680" s="371" t="s">
        <v>2276</v>
      </c>
      <c r="AL680" s="206" t="s">
        <v>137</v>
      </c>
      <c r="AM680" s="206" t="s">
        <v>137</v>
      </c>
      <c r="AN680" s="371" t="s">
        <v>2271</v>
      </c>
      <c r="AO680" s="206" t="s">
        <v>2847</v>
      </c>
      <c r="AP680" s="206" t="s">
        <v>1499</v>
      </c>
      <c r="AQ680" s="206" t="s">
        <v>1133</v>
      </c>
      <c r="AR680" s="207" t="s">
        <v>68</v>
      </c>
    </row>
    <row r="681" spans="1:44" x14ac:dyDescent="0.2">
      <c r="A681" s="370">
        <v>662</v>
      </c>
      <c r="B681" s="380">
        <v>455</v>
      </c>
      <c r="C681" s="371" t="s">
        <v>2269</v>
      </c>
      <c r="D681" s="371" t="s">
        <v>2235</v>
      </c>
      <c r="E681" s="206"/>
      <c r="F681" s="206" t="s">
        <v>76</v>
      </c>
      <c r="G681" s="206" t="s">
        <v>76</v>
      </c>
      <c r="H681" s="371" t="s">
        <v>2271</v>
      </c>
      <c r="I681" s="206" t="s">
        <v>1437</v>
      </c>
      <c r="J681" s="206" t="s">
        <v>1437</v>
      </c>
      <c r="K681" s="371" t="s">
        <v>2271</v>
      </c>
      <c r="L681" s="206" t="s">
        <v>2173</v>
      </c>
      <c r="M681" s="206" t="s">
        <v>1350</v>
      </c>
      <c r="N681" s="206" t="s">
        <v>49</v>
      </c>
      <c r="O681" s="372">
        <v>46143</v>
      </c>
      <c r="P681" s="372">
        <v>46027</v>
      </c>
      <c r="Q681" s="371" t="s">
        <v>2276</v>
      </c>
      <c r="R681" s="373">
        <v>45890</v>
      </c>
      <c r="S681" s="373">
        <v>45890</v>
      </c>
      <c r="T681" s="371" t="s">
        <v>2271</v>
      </c>
      <c r="U681" s="373">
        <v>17550</v>
      </c>
      <c r="V681" s="373">
        <v>17550</v>
      </c>
      <c r="W681" s="371" t="s">
        <v>2271</v>
      </c>
      <c r="X681" s="373">
        <v>28340</v>
      </c>
      <c r="Y681" s="373">
        <v>28340</v>
      </c>
      <c r="Z681" s="371" t="s">
        <v>2271</v>
      </c>
      <c r="AA681" s="373">
        <v>0</v>
      </c>
      <c r="AB681" s="373">
        <v>28260</v>
      </c>
      <c r="AC681" s="373">
        <v>28260</v>
      </c>
      <c r="AD681" s="371" t="s">
        <v>2271</v>
      </c>
      <c r="AE681" s="373">
        <v>0</v>
      </c>
      <c r="AF681" s="382">
        <v>0.593055555555556</v>
      </c>
      <c r="AG681" s="382">
        <v>0.593055555555556</v>
      </c>
      <c r="AH681" s="371" t="s">
        <v>2271</v>
      </c>
      <c r="AI681" s="382">
        <v>0.73472222222222205</v>
      </c>
      <c r="AJ681" s="382">
        <v>0.73472222222222205</v>
      </c>
      <c r="AK681" s="371" t="s">
        <v>2271</v>
      </c>
      <c r="AL681" s="206" t="s">
        <v>137</v>
      </c>
      <c r="AM681" s="206" t="s">
        <v>137</v>
      </c>
      <c r="AN681" s="371" t="s">
        <v>2271</v>
      </c>
      <c r="AO681" s="206" t="s">
        <v>2848</v>
      </c>
      <c r="AP681" s="206" t="s">
        <v>1372</v>
      </c>
      <c r="AQ681" s="206" t="s">
        <v>1133</v>
      </c>
      <c r="AR681" s="207" t="s">
        <v>68</v>
      </c>
    </row>
    <row r="682" spans="1:44" x14ac:dyDescent="0.2">
      <c r="A682" s="370">
        <v>663</v>
      </c>
      <c r="B682" s="380">
        <v>456</v>
      </c>
      <c r="C682" s="371" t="s">
        <v>2269</v>
      </c>
      <c r="D682" s="371" t="s">
        <v>2235</v>
      </c>
      <c r="E682" s="206"/>
      <c r="F682" s="206" t="s">
        <v>84</v>
      </c>
      <c r="G682" s="206" t="s">
        <v>84</v>
      </c>
      <c r="H682" s="371" t="s">
        <v>2271</v>
      </c>
      <c r="I682" s="206" t="s">
        <v>1437</v>
      </c>
      <c r="J682" s="206" t="s">
        <v>1437</v>
      </c>
      <c r="K682" s="371" t="s">
        <v>2271</v>
      </c>
      <c r="L682" s="206" t="s">
        <v>2173</v>
      </c>
      <c r="M682" s="206" t="s">
        <v>1350</v>
      </c>
      <c r="N682" s="206" t="s">
        <v>49</v>
      </c>
      <c r="O682" s="372">
        <v>45778</v>
      </c>
      <c r="P682" s="372">
        <v>46027</v>
      </c>
      <c r="Q682" s="371" t="s">
        <v>2276</v>
      </c>
      <c r="R682" s="373">
        <v>26660</v>
      </c>
      <c r="S682" s="373">
        <v>26660</v>
      </c>
      <c r="T682" s="371" t="s">
        <v>2271</v>
      </c>
      <c r="U682" s="373">
        <v>12290</v>
      </c>
      <c r="V682" s="373">
        <v>12290</v>
      </c>
      <c r="W682" s="371" t="s">
        <v>2271</v>
      </c>
      <c r="X682" s="373">
        <v>14370</v>
      </c>
      <c r="Y682" s="373">
        <v>14370</v>
      </c>
      <c r="Z682" s="371" t="s">
        <v>2271</v>
      </c>
      <c r="AA682" s="373">
        <v>0</v>
      </c>
      <c r="AB682" s="373">
        <v>14350</v>
      </c>
      <c r="AC682" s="373">
        <v>14350</v>
      </c>
      <c r="AD682" s="371" t="s">
        <v>2271</v>
      </c>
      <c r="AE682" s="373">
        <v>0</v>
      </c>
      <c r="AF682" s="382">
        <v>0.65486111111111101</v>
      </c>
      <c r="AG682" s="382">
        <v>0.65486111111111101</v>
      </c>
      <c r="AH682" s="371" t="s">
        <v>2271</v>
      </c>
      <c r="AI682" s="382">
        <v>0.74305555555555503</v>
      </c>
      <c r="AJ682" s="382">
        <v>0.74305555555555602</v>
      </c>
      <c r="AK682" s="371" t="s">
        <v>2276</v>
      </c>
      <c r="AL682" s="206" t="s">
        <v>137</v>
      </c>
      <c r="AM682" s="206" t="s">
        <v>137</v>
      </c>
      <c r="AN682" s="371" t="s">
        <v>2271</v>
      </c>
      <c r="AO682" s="206" t="s">
        <v>2849</v>
      </c>
      <c r="AP682" s="206" t="s">
        <v>1782</v>
      </c>
      <c r="AQ682" s="206" t="s">
        <v>1132</v>
      </c>
      <c r="AR682" s="207" t="s">
        <v>68</v>
      </c>
    </row>
    <row r="683" spans="1:44" x14ac:dyDescent="0.2">
      <c r="A683" s="370">
        <v>664</v>
      </c>
      <c r="B683" s="380">
        <v>457</v>
      </c>
      <c r="C683" s="371" t="s">
        <v>2269</v>
      </c>
      <c r="D683" s="371" t="s">
        <v>2270</v>
      </c>
      <c r="E683" s="206"/>
      <c r="F683" s="206" t="s">
        <v>76</v>
      </c>
      <c r="G683" s="206" t="s">
        <v>76</v>
      </c>
      <c r="H683" s="371" t="s">
        <v>2271</v>
      </c>
      <c r="I683" s="206" t="s">
        <v>1437</v>
      </c>
      <c r="J683" s="206" t="s">
        <v>1437</v>
      </c>
      <c r="K683" s="371" t="s">
        <v>2271</v>
      </c>
      <c r="L683" s="206" t="s">
        <v>2173</v>
      </c>
      <c r="M683" s="206" t="s">
        <v>1350</v>
      </c>
      <c r="N683" s="206" t="s">
        <v>49</v>
      </c>
      <c r="O683" s="372">
        <v>46028</v>
      </c>
      <c r="P683" s="372">
        <v>46028</v>
      </c>
      <c r="Q683" s="371" t="s">
        <v>2271</v>
      </c>
      <c r="R683" s="373">
        <v>45860</v>
      </c>
      <c r="S683" s="373">
        <v>45860</v>
      </c>
      <c r="T683" s="371" t="s">
        <v>2271</v>
      </c>
      <c r="U683" s="373">
        <v>17470</v>
      </c>
      <c r="V683" s="373">
        <v>17470</v>
      </c>
      <c r="W683" s="371" t="s">
        <v>2271</v>
      </c>
      <c r="X683" s="373">
        <v>28390</v>
      </c>
      <c r="Y683" s="373">
        <v>28390</v>
      </c>
      <c r="Z683" s="371" t="s">
        <v>2271</v>
      </c>
      <c r="AA683" s="373">
        <v>0</v>
      </c>
      <c r="AB683" s="373">
        <v>28320</v>
      </c>
      <c r="AC683" s="373">
        <v>28320</v>
      </c>
      <c r="AD683" s="371" t="s">
        <v>2271</v>
      </c>
      <c r="AE683" s="373">
        <v>0</v>
      </c>
      <c r="AF683" s="382">
        <v>0.57430555555555596</v>
      </c>
      <c r="AG683" s="382">
        <v>0.57430555555555596</v>
      </c>
      <c r="AH683" s="371" t="s">
        <v>2271</v>
      </c>
      <c r="AI683" s="382">
        <v>0.64861111111111103</v>
      </c>
      <c r="AJ683" s="382">
        <v>0.64861111111111103</v>
      </c>
      <c r="AK683" s="371" t="s">
        <v>2271</v>
      </c>
      <c r="AL683" s="206" t="s">
        <v>137</v>
      </c>
      <c r="AM683" s="206" t="s">
        <v>137</v>
      </c>
      <c r="AN683" s="371" t="s">
        <v>2271</v>
      </c>
      <c r="AO683" s="206" t="s">
        <v>2850</v>
      </c>
      <c r="AP683" s="206" t="s">
        <v>1372</v>
      </c>
      <c r="AQ683" s="206" t="s">
        <v>1133</v>
      </c>
      <c r="AR683" s="207" t="s">
        <v>68</v>
      </c>
    </row>
    <row r="684" spans="1:44" x14ac:dyDescent="0.2">
      <c r="A684" s="370">
        <v>665</v>
      </c>
      <c r="B684" s="380">
        <v>458</v>
      </c>
      <c r="C684" s="371" t="s">
        <v>2269</v>
      </c>
      <c r="D684" s="371" t="s">
        <v>2270</v>
      </c>
      <c r="E684" s="206"/>
      <c r="F684" s="206" t="s">
        <v>70</v>
      </c>
      <c r="G684" s="206" t="s">
        <v>70</v>
      </c>
      <c r="H684" s="371" t="s">
        <v>2271</v>
      </c>
      <c r="I684" s="206" t="s">
        <v>1437</v>
      </c>
      <c r="J684" s="206" t="s">
        <v>1437</v>
      </c>
      <c r="K684" s="371" t="s">
        <v>2271</v>
      </c>
      <c r="L684" s="206" t="s">
        <v>2173</v>
      </c>
      <c r="M684" s="206" t="s">
        <v>1350</v>
      </c>
      <c r="N684" s="206" t="s">
        <v>49</v>
      </c>
      <c r="O684" s="372">
        <v>46028</v>
      </c>
      <c r="P684" s="372">
        <v>46028</v>
      </c>
      <c r="Q684" s="371" t="s">
        <v>2271</v>
      </c>
      <c r="R684" s="373">
        <v>45760</v>
      </c>
      <c r="S684" s="373">
        <v>45760</v>
      </c>
      <c r="T684" s="371" t="s">
        <v>2271</v>
      </c>
      <c r="U684" s="373">
        <v>17680</v>
      </c>
      <c r="V684" s="373">
        <v>17680</v>
      </c>
      <c r="W684" s="371" t="s">
        <v>2271</v>
      </c>
      <c r="X684" s="373">
        <v>28080</v>
      </c>
      <c r="Y684" s="373">
        <v>28080</v>
      </c>
      <c r="Z684" s="371" t="s">
        <v>2271</v>
      </c>
      <c r="AA684" s="373">
        <v>0</v>
      </c>
      <c r="AB684" s="373">
        <v>28010</v>
      </c>
      <c r="AC684" s="373">
        <v>28010</v>
      </c>
      <c r="AD684" s="371" t="s">
        <v>2271</v>
      </c>
      <c r="AE684" s="373">
        <v>0</v>
      </c>
      <c r="AF684" s="382">
        <v>0.60902777777777795</v>
      </c>
      <c r="AG684" s="382">
        <v>0.60902777777777795</v>
      </c>
      <c r="AH684" s="371" t="s">
        <v>2271</v>
      </c>
      <c r="AI684" s="382">
        <v>0.65625</v>
      </c>
      <c r="AJ684" s="382">
        <v>0.65625</v>
      </c>
      <c r="AK684" s="371" t="s">
        <v>2271</v>
      </c>
      <c r="AL684" s="206" t="s">
        <v>137</v>
      </c>
      <c r="AM684" s="206" t="s">
        <v>137</v>
      </c>
      <c r="AN684" s="371" t="s">
        <v>2271</v>
      </c>
      <c r="AO684" s="206" t="s">
        <v>2851</v>
      </c>
      <c r="AP684" s="206" t="s">
        <v>1499</v>
      </c>
      <c r="AQ684" s="206" t="s">
        <v>1133</v>
      </c>
      <c r="AR684" s="207" t="s">
        <v>68</v>
      </c>
    </row>
    <row r="685" spans="1:44" x14ac:dyDescent="0.2">
      <c r="A685" s="370">
        <v>666</v>
      </c>
      <c r="B685" s="380">
        <v>461</v>
      </c>
      <c r="C685" s="371" t="s">
        <v>2269</v>
      </c>
      <c r="D685" s="371" t="s">
        <v>2235</v>
      </c>
      <c r="E685" s="206"/>
      <c r="F685" s="206" t="s">
        <v>56</v>
      </c>
      <c r="G685" s="206" t="s">
        <v>56</v>
      </c>
      <c r="H685" s="371" t="s">
        <v>2271</v>
      </c>
      <c r="I685" s="206" t="s">
        <v>1439</v>
      </c>
      <c r="J685" s="206" t="s">
        <v>1439</v>
      </c>
      <c r="K685" s="371" t="s">
        <v>2271</v>
      </c>
      <c r="L685" s="206" t="s">
        <v>2177</v>
      </c>
      <c r="M685" s="206" t="s">
        <v>1351</v>
      </c>
      <c r="N685" s="206" t="s">
        <v>49</v>
      </c>
      <c r="O685" s="372" t="s">
        <v>2178</v>
      </c>
      <c r="P685" s="372">
        <v>46035</v>
      </c>
      <c r="Q685" s="371" t="s">
        <v>2276</v>
      </c>
      <c r="R685" s="373">
        <v>25070</v>
      </c>
      <c r="S685" s="373">
        <v>25070</v>
      </c>
      <c r="T685" s="371" t="s">
        <v>2271</v>
      </c>
      <c r="U685" s="373">
        <v>10820</v>
      </c>
      <c r="V685" s="373">
        <v>10820</v>
      </c>
      <c r="W685" s="371" t="s">
        <v>2271</v>
      </c>
      <c r="X685" s="373">
        <v>14250</v>
      </c>
      <c r="Y685" s="373">
        <v>14250</v>
      </c>
      <c r="Z685" s="371" t="s">
        <v>2271</v>
      </c>
      <c r="AA685" s="373">
        <v>0</v>
      </c>
      <c r="AB685" s="373">
        <v>14220</v>
      </c>
      <c r="AC685" s="373">
        <v>14220</v>
      </c>
      <c r="AD685" s="371" t="s">
        <v>2271</v>
      </c>
      <c r="AE685" s="373">
        <v>0</v>
      </c>
      <c r="AF685" s="382">
        <v>0.47430555555555598</v>
      </c>
      <c r="AG685" s="382">
        <v>0.47430555555555598</v>
      </c>
      <c r="AH685" s="371" t="s">
        <v>2271</v>
      </c>
      <c r="AI685" s="382">
        <v>0.52847222222222201</v>
      </c>
      <c r="AJ685" s="382">
        <v>0.52847222222222201</v>
      </c>
      <c r="AK685" s="371" t="s">
        <v>2271</v>
      </c>
      <c r="AL685" s="206" t="s">
        <v>137</v>
      </c>
      <c r="AM685" s="206" t="s">
        <v>137</v>
      </c>
      <c r="AN685" s="371" t="s">
        <v>2271</v>
      </c>
      <c r="AO685" s="206" t="s">
        <v>2852</v>
      </c>
      <c r="AP685" s="206" t="s">
        <v>1781</v>
      </c>
      <c r="AQ685" s="206" t="s">
        <v>1132</v>
      </c>
      <c r="AR685" s="207" t="s">
        <v>68</v>
      </c>
    </row>
    <row r="686" spans="1:44" x14ac:dyDescent="0.2">
      <c r="A686" s="370">
        <v>667</v>
      </c>
      <c r="B686" s="380">
        <v>462</v>
      </c>
      <c r="C686" s="371" t="s">
        <v>2269</v>
      </c>
      <c r="D686" s="371" t="s">
        <v>2235</v>
      </c>
      <c r="E686" s="206"/>
      <c r="F686" s="206" t="s">
        <v>84</v>
      </c>
      <c r="G686" s="206" t="s">
        <v>84</v>
      </c>
      <c r="H686" s="371" t="s">
        <v>2271</v>
      </c>
      <c r="I686" s="206" t="s">
        <v>1439</v>
      </c>
      <c r="J686" s="206" t="s">
        <v>1439</v>
      </c>
      <c r="K686" s="371" t="s">
        <v>2271</v>
      </c>
      <c r="L686" s="206" t="s">
        <v>2177</v>
      </c>
      <c r="M686" s="206" t="s">
        <v>1351</v>
      </c>
      <c r="N686" s="206" t="s">
        <v>49</v>
      </c>
      <c r="O686" s="372" t="s">
        <v>2178</v>
      </c>
      <c r="P686" s="372">
        <v>46035</v>
      </c>
      <c r="Q686" s="371" t="s">
        <v>2276</v>
      </c>
      <c r="R686" s="373">
        <v>26600</v>
      </c>
      <c r="S686" s="373">
        <v>26600</v>
      </c>
      <c r="T686" s="371" t="s">
        <v>2271</v>
      </c>
      <c r="U686" s="373">
        <v>12220</v>
      </c>
      <c r="V686" s="373">
        <v>12220</v>
      </c>
      <c r="W686" s="371" t="s">
        <v>2271</v>
      </c>
      <c r="X686" s="373">
        <v>14380</v>
      </c>
      <c r="Y686" s="373">
        <v>14380</v>
      </c>
      <c r="Z686" s="371" t="s">
        <v>2271</v>
      </c>
      <c r="AA686" s="373">
        <v>0</v>
      </c>
      <c r="AB686" s="373">
        <v>14310</v>
      </c>
      <c r="AC686" s="373">
        <v>14310</v>
      </c>
      <c r="AD686" s="371" t="s">
        <v>2271</v>
      </c>
      <c r="AE686" s="373">
        <v>0</v>
      </c>
      <c r="AF686" s="382">
        <v>0.49027777777777798</v>
      </c>
      <c r="AG686" s="382">
        <v>0.49027777777777798</v>
      </c>
      <c r="AH686" s="371" t="s">
        <v>2271</v>
      </c>
      <c r="AI686" s="382">
        <v>0.54791666666666705</v>
      </c>
      <c r="AJ686" s="382">
        <v>0.54791666666666705</v>
      </c>
      <c r="AK686" s="371" t="s">
        <v>2271</v>
      </c>
      <c r="AL686" s="206" t="s">
        <v>137</v>
      </c>
      <c r="AM686" s="206" t="s">
        <v>137</v>
      </c>
      <c r="AN686" s="371" t="s">
        <v>2271</v>
      </c>
      <c r="AO686" s="206" t="s">
        <v>2853</v>
      </c>
      <c r="AP686" s="206" t="s">
        <v>1782</v>
      </c>
      <c r="AQ686" s="206" t="s">
        <v>1132</v>
      </c>
      <c r="AR686" s="207" t="s">
        <v>68</v>
      </c>
    </row>
    <row r="687" spans="1:44" x14ac:dyDescent="0.2">
      <c r="A687" s="370">
        <v>668</v>
      </c>
      <c r="B687" s="380">
        <v>463</v>
      </c>
      <c r="C687" s="371" t="s">
        <v>2269</v>
      </c>
      <c r="D687" s="371" t="s">
        <v>2235</v>
      </c>
      <c r="E687" s="206"/>
      <c r="F687" s="206" t="s">
        <v>76</v>
      </c>
      <c r="G687" s="206" t="s">
        <v>76</v>
      </c>
      <c r="H687" s="371" t="s">
        <v>2271</v>
      </c>
      <c r="I687" s="206" t="s">
        <v>1439</v>
      </c>
      <c r="J687" s="206" t="s">
        <v>1439</v>
      </c>
      <c r="K687" s="371" t="s">
        <v>2271</v>
      </c>
      <c r="L687" s="206" t="s">
        <v>2177</v>
      </c>
      <c r="M687" s="206" t="s">
        <v>1351</v>
      </c>
      <c r="N687" s="206" t="s">
        <v>49</v>
      </c>
      <c r="O687" s="372" t="s">
        <v>2178</v>
      </c>
      <c r="P687" s="372">
        <v>46035</v>
      </c>
      <c r="Q687" s="371" t="s">
        <v>2276</v>
      </c>
      <c r="R687" s="373">
        <v>45660</v>
      </c>
      <c r="S687" s="373">
        <v>45660</v>
      </c>
      <c r="T687" s="371" t="s">
        <v>2271</v>
      </c>
      <c r="U687" s="373">
        <v>17380</v>
      </c>
      <c r="V687" s="373">
        <v>17380</v>
      </c>
      <c r="W687" s="371" t="s">
        <v>2271</v>
      </c>
      <c r="X687" s="373">
        <v>28280</v>
      </c>
      <c r="Y687" s="373">
        <v>28280</v>
      </c>
      <c r="Z687" s="371" t="s">
        <v>2271</v>
      </c>
      <c r="AA687" s="373">
        <v>0</v>
      </c>
      <c r="AB687" s="373">
        <v>28180</v>
      </c>
      <c r="AC687" s="373">
        <v>28180</v>
      </c>
      <c r="AD687" s="371" t="s">
        <v>2271</v>
      </c>
      <c r="AE687" s="373">
        <v>0</v>
      </c>
      <c r="AF687" s="382">
        <v>0.52291666666666703</v>
      </c>
      <c r="AG687" s="382">
        <v>0.52291666666666703</v>
      </c>
      <c r="AH687" s="371" t="s">
        <v>2271</v>
      </c>
      <c r="AI687" s="382">
        <v>0.58194444444444404</v>
      </c>
      <c r="AJ687" s="382">
        <v>0.58194444444444504</v>
      </c>
      <c r="AK687" s="371" t="s">
        <v>2276</v>
      </c>
      <c r="AL687" s="206" t="s">
        <v>137</v>
      </c>
      <c r="AM687" s="206" t="s">
        <v>137</v>
      </c>
      <c r="AN687" s="371" t="s">
        <v>2271</v>
      </c>
      <c r="AO687" s="206" t="s">
        <v>2854</v>
      </c>
      <c r="AP687" s="206" t="s">
        <v>1372</v>
      </c>
      <c r="AQ687" s="206" t="s">
        <v>1133</v>
      </c>
      <c r="AR687" s="207" t="s">
        <v>68</v>
      </c>
    </row>
    <row r="688" spans="1:44" x14ac:dyDescent="0.2">
      <c r="A688" s="370">
        <v>669</v>
      </c>
      <c r="B688" s="380">
        <v>464</v>
      </c>
      <c r="C688" s="371" t="s">
        <v>2269</v>
      </c>
      <c r="D688" s="371" t="s">
        <v>2235</v>
      </c>
      <c r="E688" s="206"/>
      <c r="F688" s="206" t="s">
        <v>70</v>
      </c>
      <c r="G688" s="206" t="s">
        <v>70</v>
      </c>
      <c r="H688" s="371" t="s">
        <v>2271</v>
      </c>
      <c r="I688" s="206" t="s">
        <v>1439</v>
      </c>
      <c r="J688" s="206" t="s">
        <v>1439</v>
      </c>
      <c r="K688" s="371" t="s">
        <v>2271</v>
      </c>
      <c r="L688" s="206" t="s">
        <v>2177</v>
      </c>
      <c r="M688" s="206" t="s">
        <v>1351</v>
      </c>
      <c r="N688" s="206" t="s">
        <v>49</v>
      </c>
      <c r="O688" s="372" t="s">
        <v>2178</v>
      </c>
      <c r="P688" s="372">
        <v>46035</v>
      </c>
      <c r="Q688" s="371" t="s">
        <v>2276</v>
      </c>
      <c r="R688" s="373">
        <v>45770</v>
      </c>
      <c r="S688" s="373">
        <v>45770</v>
      </c>
      <c r="T688" s="371" t="s">
        <v>2271</v>
      </c>
      <c r="U688" s="373">
        <v>17800</v>
      </c>
      <c r="V688" s="373">
        <v>17800</v>
      </c>
      <c r="W688" s="371" t="s">
        <v>2271</v>
      </c>
      <c r="X688" s="373">
        <v>27970</v>
      </c>
      <c r="Y688" s="373">
        <v>27970</v>
      </c>
      <c r="Z688" s="371" t="s">
        <v>2271</v>
      </c>
      <c r="AA688" s="373">
        <v>0</v>
      </c>
      <c r="AB688" s="373">
        <v>27880</v>
      </c>
      <c r="AC688" s="373">
        <v>27880</v>
      </c>
      <c r="AD688" s="371" t="s">
        <v>2271</v>
      </c>
      <c r="AE688" s="373">
        <v>0</v>
      </c>
      <c r="AF688" s="382">
        <v>0.59583333333333299</v>
      </c>
      <c r="AG688" s="382">
        <v>0.59583333333333299</v>
      </c>
      <c r="AH688" s="371" t="s">
        <v>2271</v>
      </c>
      <c r="AI688" s="382">
        <v>0.64722222222222203</v>
      </c>
      <c r="AJ688" s="382">
        <v>0.64722222222222203</v>
      </c>
      <c r="AK688" s="371" t="s">
        <v>2271</v>
      </c>
      <c r="AL688" s="206" t="s">
        <v>137</v>
      </c>
      <c r="AM688" s="206" t="s">
        <v>137</v>
      </c>
      <c r="AN688" s="371" t="s">
        <v>2271</v>
      </c>
      <c r="AO688" s="206" t="s">
        <v>2855</v>
      </c>
      <c r="AP688" s="206" t="s">
        <v>1499</v>
      </c>
      <c r="AQ688" s="206" t="s">
        <v>1133</v>
      </c>
      <c r="AR688" s="207" t="s">
        <v>68</v>
      </c>
    </row>
    <row r="689" spans="1:44" x14ac:dyDescent="0.2">
      <c r="A689" s="370">
        <v>670</v>
      </c>
      <c r="B689" s="380">
        <v>465</v>
      </c>
      <c r="C689" s="371" t="s">
        <v>2269</v>
      </c>
      <c r="D689" s="371" t="s">
        <v>2235</v>
      </c>
      <c r="E689" s="206"/>
      <c r="F689" s="206" t="s">
        <v>46</v>
      </c>
      <c r="G689" s="206" t="s">
        <v>46</v>
      </c>
      <c r="H689" s="371" t="s">
        <v>2271</v>
      </c>
      <c r="I689" s="206" t="s">
        <v>1439</v>
      </c>
      <c r="J689" s="206" t="s">
        <v>1439</v>
      </c>
      <c r="K689" s="371" t="s">
        <v>2271</v>
      </c>
      <c r="L689" s="206" t="s">
        <v>2177</v>
      </c>
      <c r="M689" s="206" t="s">
        <v>1351</v>
      </c>
      <c r="N689" s="206" t="s">
        <v>49</v>
      </c>
      <c r="O689" s="372" t="s">
        <v>2178</v>
      </c>
      <c r="P689" s="372">
        <v>46035</v>
      </c>
      <c r="Q689" s="371" t="s">
        <v>2276</v>
      </c>
      <c r="R689" s="373">
        <v>26490</v>
      </c>
      <c r="S689" s="373">
        <v>26490</v>
      </c>
      <c r="T689" s="371" t="s">
        <v>2271</v>
      </c>
      <c r="U689" s="373">
        <v>11800</v>
      </c>
      <c r="V689" s="373">
        <v>11800</v>
      </c>
      <c r="W689" s="371" t="s">
        <v>2271</v>
      </c>
      <c r="X689" s="373">
        <v>14690</v>
      </c>
      <c r="Y689" s="373">
        <v>14690</v>
      </c>
      <c r="Z689" s="371" t="s">
        <v>2271</v>
      </c>
      <c r="AA689" s="373">
        <v>0</v>
      </c>
      <c r="AB689" s="373">
        <v>14640</v>
      </c>
      <c r="AC689" s="373">
        <v>14640</v>
      </c>
      <c r="AD689" s="371" t="s">
        <v>2271</v>
      </c>
      <c r="AE689" s="373">
        <v>0</v>
      </c>
      <c r="AF689" s="382">
        <v>0.59722222222222199</v>
      </c>
      <c r="AG689" s="382">
        <v>0.59722222222222199</v>
      </c>
      <c r="AH689" s="371" t="s">
        <v>2271</v>
      </c>
      <c r="AI689" s="382">
        <v>0.64305555555555605</v>
      </c>
      <c r="AJ689" s="382">
        <v>0.64305555555555605</v>
      </c>
      <c r="AK689" s="371" t="s">
        <v>2271</v>
      </c>
      <c r="AL689" s="206" t="s">
        <v>137</v>
      </c>
      <c r="AM689" s="206" t="s">
        <v>137</v>
      </c>
      <c r="AN689" s="371" t="s">
        <v>2271</v>
      </c>
      <c r="AO689" s="206" t="s">
        <v>2856</v>
      </c>
      <c r="AP689" s="206" t="s">
        <v>1393</v>
      </c>
      <c r="AQ689" s="206" t="s">
        <v>1132</v>
      </c>
      <c r="AR689" s="207" t="s">
        <v>68</v>
      </c>
    </row>
    <row r="690" spans="1:44" x14ac:dyDescent="0.2">
      <c r="A690" s="370">
        <v>671</v>
      </c>
      <c r="B690" s="380">
        <v>466</v>
      </c>
      <c r="C690" s="371" t="s">
        <v>2269</v>
      </c>
      <c r="D690" s="371" t="s">
        <v>2235</v>
      </c>
      <c r="E690" s="206"/>
      <c r="F690" s="206" t="s">
        <v>56</v>
      </c>
      <c r="G690" s="206" t="s">
        <v>56</v>
      </c>
      <c r="H690" s="371" t="s">
        <v>2271</v>
      </c>
      <c r="I690" s="206" t="s">
        <v>1439</v>
      </c>
      <c r="J690" s="206" t="s">
        <v>1439</v>
      </c>
      <c r="K690" s="371" t="s">
        <v>2271</v>
      </c>
      <c r="L690" s="206" t="s">
        <v>2177</v>
      </c>
      <c r="M690" s="206" t="s">
        <v>1351</v>
      </c>
      <c r="N690" s="206" t="s">
        <v>49</v>
      </c>
      <c r="O690" s="372" t="s">
        <v>2178</v>
      </c>
      <c r="P690" s="372">
        <v>46035</v>
      </c>
      <c r="Q690" s="371" t="s">
        <v>2276</v>
      </c>
      <c r="R690" s="373">
        <v>25010</v>
      </c>
      <c r="S690" s="373">
        <v>25010</v>
      </c>
      <c r="T690" s="371" t="s">
        <v>2271</v>
      </c>
      <c r="U690" s="373">
        <v>10750</v>
      </c>
      <c r="V690" s="373">
        <v>10750</v>
      </c>
      <c r="W690" s="371" t="s">
        <v>2271</v>
      </c>
      <c r="X690" s="373">
        <v>14260</v>
      </c>
      <c r="Y690" s="373">
        <v>14260</v>
      </c>
      <c r="Z690" s="371" t="s">
        <v>2271</v>
      </c>
      <c r="AA690" s="373">
        <v>0</v>
      </c>
      <c r="AB690" s="373">
        <v>14210</v>
      </c>
      <c r="AC690" s="373">
        <v>14210</v>
      </c>
      <c r="AD690" s="371" t="s">
        <v>2271</v>
      </c>
      <c r="AE690" s="373">
        <v>0</v>
      </c>
      <c r="AF690" s="382">
        <v>0.73333333333333295</v>
      </c>
      <c r="AG690" s="382">
        <v>0.73333333333333295</v>
      </c>
      <c r="AH690" s="371" t="s">
        <v>2271</v>
      </c>
      <c r="AI690" s="382">
        <v>0.76249999999999996</v>
      </c>
      <c r="AJ690" s="382">
        <v>0.76249999999999996</v>
      </c>
      <c r="AK690" s="371" t="s">
        <v>2271</v>
      </c>
      <c r="AL690" s="206" t="s">
        <v>42</v>
      </c>
      <c r="AM690" s="206" t="s">
        <v>42</v>
      </c>
      <c r="AN690" s="371" t="s">
        <v>2271</v>
      </c>
      <c r="AO690" s="206" t="s">
        <v>2857</v>
      </c>
      <c r="AP690" s="206" t="s">
        <v>1781</v>
      </c>
      <c r="AQ690" s="206" t="s">
        <v>1132</v>
      </c>
      <c r="AR690" s="207" t="s">
        <v>68</v>
      </c>
    </row>
    <row r="691" spans="1:44" x14ac:dyDescent="0.2">
      <c r="A691" s="370">
        <v>672</v>
      </c>
      <c r="B691" s="380">
        <v>467</v>
      </c>
      <c r="C691" s="371" t="s">
        <v>2269</v>
      </c>
      <c r="D691" s="371" t="s">
        <v>2235</v>
      </c>
      <c r="E691" s="206"/>
      <c r="F691" s="206" t="s">
        <v>84</v>
      </c>
      <c r="G691" s="206" t="s">
        <v>84</v>
      </c>
      <c r="H691" s="371" t="s">
        <v>2271</v>
      </c>
      <c r="I691" s="206" t="s">
        <v>1439</v>
      </c>
      <c r="J691" s="206" t="s">
        <v>1439</v>
      </c>
      <c r="K691" s="371" t="s">
        <v>2271</v>
      </c>
      <c r="L691" s="206" t="s">
        <v>2177</v>
      </c>
      <c r="M691" s="206" t="s">
        <v>1351</v>
      </c>
      <c r="N691" s="206" t="s">
        <v>49</v>
      </c>
      <c r="O691" s="372" t="s">
        <v>2178</v>
      </c>
      <c r="P691" s="372">
        <v>46035</v>
      </c>
      <c r="Q691" s="371" t="s">
        <v>2276</v>
      </c>
      <c r="R691" s="373">
        <v>26540</v>
      </c>
      <c r="S691" s="373">
        <v>26540</v>
      </c>
      <c r="T691" s="371" t="s">
        <v>2271</v>
      </c>
      <c r="U691" s="373">
        <v>12160</v>
      </c>
      <c r="V691" s="373">
        <v>12160</v>
      </c>
      <c r="W691" s="371" t="s">
        <v>2271</v>
      </c>
      <c r="X691" s="373">
        <v>14380</v>
      </c>
      <c r="Y691" s="373">
        <v>14380</v>
      </c>
      <c r="Z691" s="371" t="s">
        <v>2271</v>
      </c>
      <c r="AA691" s="373">
        <v>0</v>
      </c>
      <c r="AB691" s="373">
        <v>14320</v>
      </c>
      <c r="AC691" s="373">
        <v>14320</v>
      </c>
      <c r="AD691" s="371" t="s">
        <v>2271</v>
      </c>
      <c r="AE691" s="373">
        <v>0</v>
      </c>
      <c r="AF691" s="382">
        <v>0.75624999999999998</v>
      </c>
      <c r="AG691" s="382">
        <v>0.75624999999999998</v>
      </c>
      <c r="AH691" s="371" t="s">
        <v>2271</v>
      </c>
      <c r="AI691" s="382">
        <v>0.80416666666666703</v>
      </c>
      <c r="AJ691" s="382">
        <v>0.80416666666666703</v>
      </c>
      <c r="AK691" s="371" t="s">
        <v>2271</v>
      </c>
      <c r="AL691" s="206" t="s">
        <v>42</v>
      </c>
      <c r="AM691" s="206" t="s">
        <v>42</v>
      </c>
      <c r="AN691" s="371" t="s">
        <v>2271</v>
      </c>
      <c r="AO691" s="206" t="s">
        <v>2858</v>
      </c>
      <c r="AP691" s="206" t="s">
        <v>1782</v>
      </c>
      <c r="AQ691" s="206" t="s">
        <v>1132</v>
      </c>
      <c r="AR691" s="207" t="s">
        <v>68</v>
      </c>
    </row>
    <row r="692" spans="1:44" x14ac:dyDescent="0.2">
      <c r="A692" s="370">
        <v>673</v>
      </c>
      <c r="B692" s="380">
        <v>468</v>
      </c>
      <c r="C692" s="371" t="s">
        <v>2269</v>
      </c>
      <c r="D692" s="371" t="s">
        <v>2235</v>
      </c>
      <c r="E692" s="206"/>
      <c r="F692" s="206" t="s">
        <v>76</v>
      </c>
      <c r="G692" s="206" t="s">
        <v>76</v>
      </c>
      <c r="H692" s="371" t="s">
        <v>2271</v>
      </c>
      <c r="I692" s="206" t="s">
        <v>1439</v>
      </c>
      <c r="J692" s="206" t="s">
        <v>1439</v>
      </c>
      <c r="K692" s="371" t="s">
        <v>2271</v>
      </c>
      <c r="L692" s="206" t="s">
        <v>2177</v>
      </c>
      <c r="M692" s="206" t="s">
        <v>1351</v>
      </c>
      <c r="N692" s="206" t="s">
        <v>49</v>
      </c>
      <c r="O692" s="372" t="s">
        <v>2178</v>
      </c>
      <c r="P692" s="372">
        <v>46035</v>
      </c>
      <c r="Q692" s="371" t="s">
        <v>2276</v>
      </c>
      <c r="R692" s="373">
        <v>44800</v>
      </c>
      <c r="S692" s="373">
        <v>44800</v>
      </c>
      <c r="T692" s="371" t="s">
        <v>2271</v>
      </c>
      <c r="U692" s="373">
        <v>17320</v>
      </c>
      <c r="V692" s="373">
        <v>17320</v>
      </c>
      <c r="W692" s="371" t="s">
        <v>2271</v>
      </c>
      <c r="X692" s="373">
        <v>27480</v>
      </c>
      <c r="Y692" s="373">
        <v>27480</v>
      </c>
      <c r="Z692" s="371" t="s">
        <v>2271</v>
      </c>
      <c r="AA692" s="373">
        <v>0</v>
      </c>
      <c r="AB692" s="373">
        <v>27410</v>
      </c>
      <c r="AC692" s="373">
        <v>27410</v>
      </c>
      <c r="AD692" s="371" t="s">
        <v>2271</v>
      </c>
      <c r="AE692" s="373">
        <v>0</v>
      </c>
      <c r="AF692" s="382">
        <v>0.80208333333333304</v>
      </c>
      <c r="AG692" s="382">
        <v>0.80208333333333304</v>
      </c>
      <c r="AH692" s="371" t="s">
        <v>2271</v>
      </c>
      <c r="AI692" s="382">
        <v>0.82986111111111105</v>
      </c>
      <c r="AJ692" s="382">
        <v>0.82986111111111105</v>
      </c>
      <c r="AK692" s="371" t="s">
        <v>2271</v>
      </c>
      <c r="AL692" s="206" t="s">
        <v>42</v>
      </c>
      <c r="AM692" s="206" t="s">
        <v>42</v>
      </c>
      <c r="AN692" s="371" t="s">
        <v>2271</v>
      </c>
      <c r="AO692" s="206" t="s">
        <v>2859</v>
      </c>
      <c r="AP692" s="206" t="s">
        <v>1372</v>
      </c>
      <c r="AQ692" s="206" t="s">
        <v>1133</v>
      </c>
      <c r="AR692" s="207" t="s">
        <v>68</v>
      </c>
    </row>
    <row r="693" spans="1:44" x14ac:dyDescent="0.2">
      <c r="A693" s="370">
        <v>674</v>
      </c>
      <c r="B693" s="380">
        <v>470</v>
      </c>
      <c r="C693" s="371" t="s">
        <v>2269</v>
      </c>
      <c r="D693" s="371" t="s">
        <v>2235</v>
      </c>
      <c r="E693" s="206"/>
      <c r="F693" s="206" t="s">
        <v>46</v>
      </c>
      <c r="G693" s="206" t="s">
        <v>46</v>
      </c>
      <c r="H693" s="371" t="s">
        <v>2271</v>
      </c>
      <c r="I693" s="206" t="s">
        <v>1439</v>
      </c>
      <c r="J693" s="206" t="s">
        <v>1439</v>
      </c>
      <c r="K693" s="371" t="s">
        <v>2271</v>
      </c>
      <c r="L693" s="206" t="s">
        <v>2177</v>
      </c>
      <c r="M693" s="206" t="s">
        <v>1351</v>
      </c>
      <c r="N693" s="206" t="s">
        <v>49</v>
      </c>
      <c r="O693" s="372" t="s">
        <v>2178</v>
      </c>
      <c r="P693" s="372">
        <v>46035</v>
      </c>
      <c r="Q693" s="371" t="s">
        <v>2276</v>
      </c>
      <c r="R693" s="373">
        <v>26410</v>
      </c>
      <c r="S693" s="373">
        <v>26410</v>
      </c>
      <c r="T693" s="371" t="s">
        <v>2271</v>
      </c>
      <c r="U693" s="373">
        <v>11780</v>
      </c>
      <c r="V693" s="373">
        <v>11780</v>
      </c>
      <c r="W693" s="371" t="s">
        <v>2271</v>
      </c>
      <c r="X693" s="373">
        <v>14630</v>
      </c>
      <c r="Y693" s="373">
        <v>14630</v>
      </c>
      <c r="Z693" s="371" t="s">
        <v>2271</v>
      </c>
      <c r="AA693" s="373">
        <v>0</v>
      </c>
      <c r="AB693" s="373">
        <v>14620</v>
      </c>
      <c r="AC693" s="373">
        <v>14620</v>
      </c>
      <c r="AD693" s="371" t="s">
        <v>2271</v>
      </c>
      <c r="AE693" s="373">
        <v>0</v>
      </c>
      <c r="AF693" s="382">
        <v>0.844444444444444</v>
      </c>
      <c r="AG693" s="382">
        <v>0.844444444444444</v>
      </c>
      <c r="AH693" s="371" t="s">
        <v>2271</v>
      </c>
      <c r="AI693" s="382">
        <v>0.91180555555555598</v>
      </c>
      <c r="AJ693" s="382">
        <v>0.91180555555555598</v>
      </c>
      <c r="AK693" s="371" t="s">
        <v>2271</v>
      </c>
      <c r="AL693" s="206" t="s">
        <v>42</v>
      </c>
      <c r="AM693" s="206" t="s">
        <v>42</v>
      </c>
      <c r="AN693" s="371" t="s">
        <v>2271</v>
      </c>
      <c r="AO693" s="206" t="s">
        <v>2860</v>
      </c>
      <c r="AP693" s="206" t="s">
        <v>1393</v>
      </c>
      <c r="AQ693" s="206" t="s">
        <v>1132</v>
      </c>
      <c r="AR693" s="207" t="s">
        <v>68</v>
      </c>
    </row>
    <row r="694" spans="1:44" x14ac:dyDescent="0.2">
      <c r="A694" s="370">
        <v>675</v>
      </c>
      <c r="B694" s="380">
        <v>471</v>
      </c>
      <c r="C694" s="371" t="s">
        <v>2269</v>
      </c>
      <c r="D694" s="371" t="s">
        <v>2235</v>
      </c>
      <c r="E694" s="206"/>
      <c r="F694" s="206" t="s">
        <v>70</v>
      </c>
      <c r="G694" s="206" t="s">
        <v>70</v>
      </c>
      <c r="H694" s="371" t="s">
        <v>2271</v>
      </c>
      <c r="I694" s="206" t="s">
        <v>1439</v>
      </c>
      <c r="J694" s="206" t="s">
        <v>1439</v>
      </c>
      <c r="K694" s="371" t="s">
        <v>2271</v>
      </c>
      <c r="L694" s="206" t="s">
        <v>2177</v>
      </c>
      <c r="M694" s="206" t="s">
        <v>1351</v>
      </c>
      <c r="N694" s="206" t="s">
        <v>49</v>
      </c>
      <c r="O694" s="372" t="s">
        <v>2178</v>
      </c>
      <c r="P694" s="372">
        <v>46035</v>
      </c>
      <c r="Q694" s="371" t="s">
        <v>2276</v>
      </c>
      <c r="R694" s="373">
        <v>45740</v>
      </c>
      <c r="S694" s="373">
        <v>45740</v>
      </c>
      <c r="T694" s="371" t="s">
        <v>2271</v>
      </c>
      <c r="U694" s="373">
        <v>17740</v>
      </c>
      <c r="V694" s="373">
        <v>17740</v>
      </c>
      <c r="W694" s="371" t="s">
        <v>2271</v>
      </c>
      <c r="X694" s="373">
        <v>28000</v>
      </c>
      <c r="Y694" s="373">
        <v>28000</v>
      </c>
      <c r="Z694" s="371" t="s">
        <v>2271</v>
      </c>
      <c r="AA694" s="373">
        <v>0</v>
      </c>
      <c r="AB694" s="373">
        <v>27920</v>
      </c>
      <c r="AC694" s="373">
        <v>27920</v>
      </c>
      <c r="AD694" s="371" t="s">
        <v>2271</v>
      </c>
      <c r="AE694" s="373">
        <v>0</v>
      </c>
      <c r="AF694" s="382">
        <v>0.88055555555555598</v>
      </c>
      <c r="AG694" s="382">
        <v>0.88055555555555598</v>
      </c>
      <c r="AH694" s="371" t="s">
        <v>2271</v>
      </c>
      <c r="AI694" s="382">
        <v>0.91597222222222197</v>
      </c>
      <c r="AJ694" s="382">
        <v>0.91597222222222197</v>
      </c>
      <c r="AK694" s="371" t="s">
        <v>2271</v>
      </c>
      <c r="AL694" s="206" t="s">
        <v>42</v>
      </c>
      <c r="AM694" s="206" t="s">
        <v>42</v>
      </c>
      <c r="AN694" s="371" t="s">
        <v>2271</v>
      </c>
      <c r="AO694" s="206" t="s">
        <v>2861</v>
      </c>
      <c r="AP694" s="206" t="s">
        <v>1499</v>
      </c>
      <c r="AQ694" s="206" t="s">
        <v>1133</v>
      </c>
      <c r="AR694" s="207" t="s">
        <v>68</v>
      </c>
    </row>
    <row r="695" spans="1:44" x14ac:dyDescent="0.2">
      <c r="A695" s="370">
        <v>676</v>
      </c>
      <c r="B695" s="380">
        <v>472</v>
      </c>
      <c r="C695" s="371" t="s">
        <v>2269</v>
      </c>
      <c r="D695" s="371" t="s">
        <v>2235</v>
      </c>
      <c r="E695" s="206"/>
      <c r="F695" s="206" t="s">
        <v>56</v>
      </c>
      <c r="G695" s="206" t="s">
        <v>56</v>
      </c>
      <c r="H695" s="371" t="s">
        <v>2271</v>
      </c>
      <c r="I695" s="206" t="s">
        <v>1439</v>
      </c>
      <c r="J695" s="206" t="s">
        <v>1439</v>
      </c>
      <c r="K695" s="371" t="s">
        <v>2271</v>
      </c>
      <c r="L695" s="206" t="s">
        <v>2177</v>
      </c>
      <c r="M695" s="206" t="s">
        <v>1351</v>
      </c>
      <c r="N695" s="206" t="s">
        <v>49</v>
      </c>
      <c r="O695" s="372" t="s">
        <v>2179</v>
      </c>
      <c r="P695" s="372">
        <v>46036</v>
      </c>
      <c r="Q695" s="371" t="s">
        <v>2276</v>
      </c>
      <c r="R695" s="373">
        <v>25010</v>
      </c>
      <c r="S695" s="373">
        <v>25010</v>
      </c>
      <c r="T695" s="371" t="s">
        <v>2271</v>
      </c>
      <c r="U695" s="373">
        <v>10710</v>
      </c>
      <c r="V695" s="373">
        <v>10710</v>
      </c>
      <c r="W695" s="371" t="s">
        <v>2271</v>
      </c>
      <c r="X695" s="373">
        <v>14300</v>
      </c>
      <c r="Y695" s="373">
        <v>14300</v>
      </c>
      <c r="Z695" s="371" t="s">
        <v>2271</v>
      </c>
      <c r="AA695" s="373">
        <v>0</v>
      </c>
      <c r="AB695" s="373">
        <v>14250</v>
      </c>
      <c r="AC695" s="373">
        <v>14250</v>
      </c>
      <c r="AD695" s="371" t="s">
        <v>2271</v>
      </c>
      <c r="AE695" s="373">
        <v>0</v>
      </c>
      <c r="AF695" s="382">
        <v>0.45833333333333298</v>
      </c>
      <c r="AG695" s="382">
        <v>0.45833333333333298</v>
      </c>
      <c r="AH695" s="371" t="s">
        <v>2271</v>
      </c>
      <c r="AI695" s="382">
        <v>0.49513888888888902</v>
      </c>
      <c r="AJ695" s="382">
        <v>0.49513888888888902</v>
      </c>
      <c r="AK695" s="371" t="s">
        <v>2271</v>
      </c>
      <c r="AL695" s="206" t="s">
        <v>137</v>
      </c>
      <c r="AM695" s="206" t="s">
        <v>137</v>
      </c>
      <c r="AN695" s="371" t="s">
        <v>2271</v>
      </c>
      <c r="AO695" s="206" t="s">
        <v>2862</v>
      </c>
      <c r="AP695" s="206" t="s">
        <v>1781</v>
      </c>
      <c r="AQ695" s="206" t="s">
        <v>1132</v>
      </c>
      <c r="AR695" s="207" t="s">
        <v>68</v>
      </c>
    </row>
    <row r="696" spans="1:44" x14ac:dyDescent="0.2">
      <c r="A696" s="370">
        <v>677</v>
      </c>
      <c r="B696" s="380">
        <v>473</v>
      </c>
      <c r="C696" s="371" t="s">
        <v>2269</v>
      </c>
      <c r="D696" s="371" t="s">
        <v>2235</v>
      </c>
      <c r="E696" s="206"/>
      <c r="F696" s="206" t="s">
        <v>46</v>
      </c>
      <c r="G696" s="206" t="s">
        <v>46</v>
      </c>
      <c r="H696" s="371" t="s">
        <v>2271</v>
      </c>
      <c r="I696" s="206" t="s">
        <v>1439</v>
      </c>
      <c r="J696" s="206" t="s">
        <v>1439</v>
      </c>
      <c r="K696" s="371" t="s">
        <v>2271</v>
      </c>
      <c r="L696" s="206" t="s">
        <v>2177</v>
      </c>
      <c r="M696" s="206" t="s">
        <v>1351</v>
      </c>
      <c r="N696" s="206" t="s">
        <v>49</v>
      </c>
      <c r="O696" s="372" t="s">
        <v>2179</v>
      </c>
      <c r="P696" s="372">
        <v>46036</v>
      </c>
      <c r="Q696" s="371" t="s">
        <v>2276</v>
      </c>
      <c r="R696" s="373">
        <v>26230</v>
      </c>
      <c r="S696" s="373">
        <v>26230</v>
      </c>
      <c r="T696" s="371" t="s">
        <v>2271</v>
      </c>
      <c r="U696" s="373">
        <v>11730</v>
      </c>
      <c r="V696" s="373">
        <v>11730</v>
      </c>
      <c r="W696" s="371" t="s">
        <v>2271</v>
      </c>
      <c r="X696" s="373">
        <v>14500</v>
      </c>
      <c r="Y696" s="373">
        <v>14500</v>
      </c>
      <c r="Z696" s="371" t="s">
        <v>2271</v>
      </c>
      <c r="AA696" s="373">
        <v>0</v>
      </c>
      <c r="AB696" s="373">
        <v>14470</v>
      </c>
      <c r="AC696" s="373">
        <v>14470</v>
      </c>
      <c r="AD696" s="371" t="s">
        <v>2271</v>
      </c>
      <c r="AE696" s="373">
        <v>0</v>
      </c>
      <c r="AF696" s="382">
        <v>0.48749999999999999</v>
      </c>
      <c r="AG696" s="382">
        <v>0.48749999999999999</v>
      </c>
      <c r="AH696" s="371" t="s">
        <v>2271</v>
      </c>
      <c r="AI696" s="382">
        <v>0.55277777777777803</v>
      </c>
      <c r="AJ696" s="382">
        <v>0.55277777777777803</v>
      </c>
      <c r="AK696" s="371" t="s">
        <v>2271</v>
      </c>
      <c r="AL696" s="206" t="s">
        <v>137</v>
      </c>
      <c r="AM696" s="206" t="s">
        <v>137</v>
      </c>
      <c r="AN696" s="371" t="s">
        <v>2271</v>
      </c>
      <c r="AO696" s="206" t="s">
        <v>2863</v>
      </c>
      <c r="AP696" s="206" t="s">
        <v>1393</v>
      </c>
      <c r="AQ696" s="206" t="s">
        <v>1132</v>
      </c>
      <c r="AR696" s="207" t="s">
        <v>68</v>
      </c>
    </row>
    <row r="697" spans="1:44" x14ac:dyDescent="0.2">
      <c r="A697" s="370">
        <v>678</v>
      </c>
      <c r="B697" s="380">
        <v>474</v>
      </c>
      <c r="C697" s="371" t="s">
        <v>2269</v>
      </c>
      <c r="D697" s="371" t="s">
        <v>2235</v>
      </c>
      <c r="E697" s="206"/>
      <c r="F697" s="206" t="s">
        <v>70</v>
      </c>
      <c r="G697" s="206" t="s">
        <v>70</v>
      </c>
      <c r="H697" s="371" t="s">
        <v>2271</v>
      </c>
      <c r="I697" s="206" t="s">
        <v>1439</v>
      </c>
      <c r="J697" s="206" t="s">
        <v>1439</v>
      </c>
      <c r="K697" s="371" t="s">
        <v>2271</v>
      </c>
      <c r="L697" s="206" t="s">
        <v>2177</v>
      </c>
      <c r="M697" s="206" t="s">
        <v>1351</v>
      </c>
      <c r="N697" s="206" t="s">
        <v>49</v>
      </c>
      <c r="O697" s="372" t="s">
        <v>2179</v>
      </c>
      <c r="P697" s="372">
        <v>46036</v>
      </c>
      <c r="Q697" s="371" t="s">
        <v>2276</v>
      </c>
      <c r="R697" s="373">
        <v>45640</v>
      </c>
      <c r="S697" s="373">
        <v>45640</v>
      </c>
      <c r="T697" s="371" t="s">
        <v>2271</v>
      </c>
      <c r="U697" s="373">
        <v>17690</v>
      </c>
      <c r="V697" s="373">
        <v>17690</v>
      </c>
      <c r="W697" s="371" t="s">
        <v>2271</v>
      </c>
      <c r="X697" s="373">
        <v>27950</v>
      </c>
      <c r="Y697" s="373">
        <v>27950</v>
      </c>
      <c r="Z697" s="371" t="s">
        <v>2271</v>
      </c>
      <c r="AA697" s="373">
        <v>0</v>
      </c>
      <c r="AB697" s="373">
        <v>27900</v>
      </c>
      <c r="AC697" s="373">
        <v>27900</v>
      </c>
      <c r="AD697" s="371" t="s">
        <v>2271</v>
      </c>
      <c r="AE697" s="373">
        <v>0</v>
      </c>
      <c r="AF697" s="382">
        <v>0.530555555555556</v>
      </c>
      <c r="AG697" s="382">
        <v>0.530555555555556</v>
      </c>
      <c r="AH697" s="371" t="s">
        <v>2271</v>
      </c>
      <c r="AI697" s="382">
        <v>0.58402777777777803</v>
      </c>
      <c r="AJ697" s="382">
        <v>0.58402777777777803</v>
      </c>
      <c r="AK697" s="371" t="s">
        <v>2271</v>
      </c>
      <c r="AL697" s="206" t="s">
        <v>137</v>
      </c>
      <c r="AM697" s="206" t="s">
        <v>137</v>
      </c>
      <c r="AN697" s="371" t="s">
        <v>2271</v>
      </c>
      <c r="AO697" s="206" t="s">
        <v>2864</v>
      </c>
      <c r="AP697" s="206" t="s">
        <v>1499</v>
      </c>
      <c r="AQ697" s="206" t="s">
        <v>1133</v>
      </c>
      <c r="AR697" s="207" t="s">
        <v>68</v>
      </c>
    </row>
    <row r="698" spans="1:44" x14ac:dyDescent="0.2">
      <c r="A698" s="370">
        <v>679</v>
      </c>
      <c r="B698" s="380">
        <v>475</v>
      </c>
      <c r="C698" s="371" t="s">
        <v>2269</v>
      </c>
      <c r="D698" s="371" t="s">
        <v>2235</v>
      </c>
      <c r="E698" s="206"/>
      <c r="F698" s="206" t="s">
        <v>84</v>
      </c>
      <c r="G698" s="206" t="s">
        <v>84</v>
      </c>
      <c r="H698" s="371" t="s">
        <v>2271</v>
      </c>
      <c r="I698" s="206" t="s">
        <v>1439</v>
      </c>
      <c r="J698" s="206" t="s">
        <v>1439</v>
      </c>
      <c r="K698" s="371" t="s">
        <v>2271</v>
      </c>
      <c r="L698" s="206" t="s">
        <v>2177</v>
      </c>
      <c r="M698" s="206" t="s">
        <v>1351</v>
      </c>
      <c r="N698" s="206" t="s">
        <v>49</v>
      </c>
      <c r="O698" s="372" t="s">
        <v>2179</v>
      </c>
      <c r="P698" s="372">
        <v>46036</v>
      </c>
      <c r="Q698" s="371" t="s">
        <v>2276</v>
      </c>
      <c r="R698" s="373">
        <v>26520</v>
      </c>
      <c r="S698" s="373">
        <v>26520</v>
      </c>
      <c r="T698" s="371" t="s">
        <v>2271</v>
      </c>
      <c r="U698" s="373">
        <v>12130</v>
      </c>
      <c r="V698" s="373">
        <v>12130</v>
      </c>
      <c r="W698" s="371" t="s">
        <v>2271</v>
      </c>
      <c r="X698" s="373">
        <v>14390</v>
      </c>
      <c r="Y698" s="373">
        <v>14390</v>
      </c>
      <c r="Z698" s="371" t="s">
        <v>2271</v>
      </c>
      <c r="AA698" s="373">
        <v>0</v>
      </c>
      <c r="AB698" s="373">
        <v>14360</v>
      </c>
      <c r="AC698" s="373">
        <v>14360</v>
      </c>
      <c r="AD698" s="371" t="s">
        <v>2271</v>
      </c>
      <c r="AE698" s="373">
        <v>0</v>
      </c>
      <c r="AF698" s="382">
        <v>0.59027777777777801</v>
      </c>
      <c r="AG698" s="382">
        <v>0.59027777777777801</v>
      </c>
      <c r="AH698" s="371" t="s">
        <v>2271</v>
      </c>
      <c r="AI698" s="382">
        <v>0.61875000000000002</v>
      </c>
      <c r="AJ698" s="382">
        <v>0.61875000000000002</v>
      </c>
      <c r="AK698" s="371" t="s">
        <v>2271</v>
      </c>
      <c r="AL698" s="206" t="s">
        <v>137</v>
      </c>
      <c r="AM698" s="206" t="s">
        <v>137</v>
      </c>
      <c r="AN698" s="371" t="s">
        <v>2271</v>
      </c>
      <c r="AO698" s="206" t="s">
        <v>2865</v>
      </c>
      <c r="AP698" s="206" t="s">
        <v>1782</v>
      </c>
      <c r="AQ698" s="206" t="s">
        <v>1132</v>
      </c>
      <c r="AR698" s="207" t="s">
        <v>68</v>
      </c>
    </row>
    <row r="699" spans="1:44" x14ac:dyDescent="0.2">
      <c r="A699" s="370">
        <v>680</v>
      </c>
      <c r="B699" s="380">
        <v>476</v>
      </c>
      <c r="C699" s="371" t="s">
        <v>2269</v>
      </c>
      <c r="D699" s="371" t="s">
        <v>2235</v>
      </c>
      <c r="E699" s="206"/>
      <c r="F699" s="206" t="s">
        <v>76</v>
      </c>
      <c r="G699" s="206" t="s">
        <v>76</v>
      </c>
      <c r="H699" s="371" t="s">
        <v>2271</v>
      </c>
      <c r="I699" s="206" t="s">
        <v>1439</v>
      </c>
      <c r="J699" s="206" t="s">
        <v>1439</v>
      </c>
      <c r="K699" s="371" t="s">
        <v>2271</v>
      </c>
      <c r="L699" s="206" t="s">
        <v>2177</v>
      </c>
      <c r="M699" s="206" t="s">
        <v>1351</v>
      </c>
      <c r="N699" s="206" t="s">
        <v>49</v>
      </c>
      <c r="O699" s="372" t="s">
        <v>2179</v>
      </c>
      <c r="P699" s="372">
        <v>46036</v>
      </c>
      <c r="Q699" s="371" t="s">
        <v>2276</v>
      </c>
      <c r="R699" s="373">
        <v>45910</v>
      </c>
      <c r="S699" s="373">
        <v>45910</v>
      </c>
      <c r="T699" s="371" t="s">
        <v>2271</v>
      </c>
      <c r="U699" s="373">
        <v>17520</v>
      </c>
      <c r="V699" s="373">
        <v>17520</v>
      </c>
      <c r="W699" s="371" t="s">
        <v>2271</v>
      </c>
      <c r="X699" s="373">
        <v>28390</v>
      </c>
      <c r="Y699" s="373">
        <v>28390</v>
      </c>
      <c r="Z699" s="371" t="s">
        <v>2271</v>
      </c>
      <c r="AA699" s="373">
        <v>0</v>
      </c>
      <c r="AB699" s="373">
        <v>28330</v>
      </c>
      <c r="AC699" s="373">
        <v>28330</v>
      </c>
      <c r="AD699" s="371" t="s">
        <v>2271</v>
      </c>
      <c r="AE699" s="373">
        <v>0</v>
      </c>
      <c r="AF699" s="382">
        <v>0.6</v>
      </c>
      <c r="AG699" s="382">
        <v>0.6</v>
      </c>
      <c r="AH699" s="371" t="s">
        <v>2271</v>
      </c>
      <c r="AI699" s="382">
        <v>0.63402777777777797</v>
      </c>
      <c r="AJ699" s="382">
        <v>0.63402777777777797</v>
      </c>
      <c r="AK699" s="371" t="s">
        <v>2271</v>
      </c>
      <c r="AL699" s="206" t="s">
        <v>137</v>
      </c>
      <c r="AM699" s="206" t="s">
        <v>137</v>
      </c>
      <c r="AN699" s="371" t="s">
        <v>2271</v>
      </c>
      <c r="AO699" s="206" t="s">
        <v>2866</v>
      </c>
      <c r="AP699" s="206" t="s">
        <v>1372</v>
      </c>
      <c r="AQ699" s="206" t="s">
        <v>1133</v>
      </c>
      <c r="AR699" s="207" t="s">
        <v>68</v>
      </c>
    </row>
    <row r="700" spans="1:44" x14ac:dyDescent="0.2">
      <c r="A700" s="370">
        <v>681</v>
      </c>
      <c r="B700" s="380">
        <v>477</v>
      </c>
      <c r="C700" s="371" t="s">
        <v>2269</v>
      </c>
      <c r="D700" s="371" t="s">
        <v>2235</v>
      </c>
      <c r="E700" s="206"/>
      <c r="F700" s="206" t="s">
        <v>56</v>
      </c>
      <c r="G700" s="206" t="s">
        <v>56</v>
      </c>
      <c r="H700" s="371" t="s">
        <v>2271</v>
      </c>
      <c r="I700" s="206" t="s">
        <v>1439</v>
      </c>
      <c r="J700" s="206" t="s">
        <v>1439</v>
      </c>
      <c r="K700" s="371" t="s">
        <v>2271</v>
      </c>
      <c r="L700" s="206" t="s">
        <v>2177</v>
      </c>
      <c r="M700" s="206" t="s">
        <v>1351</v>
      </c>
      <c r="N700" s="206" t="s">
        <v>49</v>
      </c>
      <c r="O700" s="372" t="s">
        <v>2179</v>
      </c>
      <c r="P700" s="372">
        <v>46036</v>
      </c>
      <c r="Q700" s="371" t="s">
        <v>2276</v>
      </c>
      <c r="R700" s="373">
        <v>25070</v>
      </c>
      <c r="S700" s="373">
        <v>25070</v>
      </c>
      <c r="T700" s="371" t="s">
        <v>2271</v>
      </c>
      <c r="U700" s="373">
        <v>10810</v>
      </c>
      <c r="V700" s="373">
        <v>10810</v>
      </c>
      <c r="W700" s="371" t="s">
        <v>2271</v>
      </c>
      <c r="X700" s="373">
        <v>14260</v>
      </c>
      <c r="Y700" s="373">
        <v>14260</v>
      </c>
      <c r="Z700" s="371" t="s">
        <v>2271</v>
      </c>
      <c r="AA700" s="373">
        <v>0</v>
      </c>
      <c r="AB700" s="373">
        <v>14240</v>
      </c>
      <c r="AC700" s="373">
        <v>14240</v>
      </c>
      <c r="AD700" s="371" t="s">
        <v>2271</v>
      </c>
      <c r="AE700" s="373">
        <v>0</v>
      </c>
      <c r="AF700" s="382">
        <v>0.69097222222222199</v>
      </c>
      <c r="AG700" s="382">
        <v>0.69097222222222199</v>
      </c>
      <c r="AH700" s="371" t="s">
        <v>2271</v>
      </c>
      <c r="AI700" s="382">
        <v>0.72430555555555598</v>
      </c>
      <c r="AJ700" s="382">
        <v>0.72430555555555598</v>
      </c>
      <c r="AK700" s="371" t="s">
        <v>2271</v>
      </c>
      <c r="AL700" s="206" t="s">
        <v>42</v>
      </c>
      <c r="AM700" s="206" t="s">
        <v>42</v>
      </c>
      <c r="AN700" s="371" t="s">
        <v>2271</v>
      </c>
      <c r="AO700" s="206" t="s">
        <v>2867</v>
      </c>
      <c r="AP700" s="206" t="s">
        <v>1781</v>
      </c>
      <c r="AQ700" s="206" t="s">
        <v>1132</v>
      </c>
      <c r="AR700" s="207" t="s">
        <v>68</v>
      </c>
    </row>
    <row r="701" spans="1:44" x14ac:dyDescent="0.2">
      <c r="A701" s="370">
        <v>682</v>
      </c>
      <c r="B701" s="380">
        <v>478</v>
      </c>
      <c r="C701" s="371" t="s">
        <v>2269</v>
      </c>
      <c r="D701" s="371" t="s">
        <v>2235</v>
      </c>
      <c r="E701" s="206"/>
      <c r="F701" s="206" t="s">
        <v>46</v>
      </c>
      <c r="G701" s="206" t="s">
        <v>46</v>
      </c>
      <c r="H701" s="371" t="s">
        <v>2271</v>
      </c>
      <c r="I701" s="206" t="s">
        <v>1439</v>
      </c>
      <c r="J701" s="206" t="s">
        <v>1439</v>
      </c>
      <c r="K701" s="371" t="s">
        <v>2271</v>
      </c>
      <c r="L701" s="206" t="s">
        <v>2177</v>
      </c>
      <c r="M701" s="206" t="s">
        <v>1351</v>
      </c>
      <c r="N701" s="206" t="s">
        <v>49</v>
      </c>
      <c r="O701" s="372" t="s">
        <v>2179</v>
      </c>
      <c r="P701" s="372">
        <v>46036</v>
      </c>
      <c r="Q701" s="371" t="s">
        <v>2276</v>
      </c>
      <c r="R701" s="373">
        <v>26680</v>
      </c>
      <c r="S701" s="373">
        <v>26680</v>
      </c>
      <c r="T701" s="371" t="s">
        <v>2271</v>
      </c>
      <c r="U701" s="373">
        <v>11880</v>
      </c>
      <c r="V701" s="373">
        <v>11880</v>
      </c>
      <c r="W701" s="371" t="s">
        <v>2271</v>
      </c>
      <c r="X701" s="373">
        <v>14800</v>
      </c>
      <c r="Y701" s="373">
        <v>14800</v>
      </c>
      <c r="Z701" s="371" t="s">
        <v>2271</v>
      </c>
      <c r="AA701" s="373">
        <v>0</v>
      </c>
      <c r="AB701" s="373">
        <v>14700</v>
      </c>
      <c r="AC701" s="373">
        <v>14700</v>
      </c>
      <c r="AD701" s="371" t="s">
        <v>2271</v>
      </c>
      <c r="AE701" s="373">
        <v>0</v>
      </c>
      <c r="AF701" s="382">
        <v>0.78333333333333299</v>
      </c>
      <c r="AG701" s="382">
        <v>0.78333333333333299</v>
      </c>
      <c r="AH701" s="371" t="s">
        <v>2271</v>
      </c>
      <c r="AI701" s="382">
        <v>0.89652777777777803</v>
      </c>
      <c r="AJ701" s="382">
        <v>0.89652777777777803</v>
      </c>
      <c r="AK701" s="371" t="s">
        <v>2271</v>
      </c>
      <c r="AL701" s="206" t="s">
        <v>42</v>
      </c>
      <c r="AM701" s="206" t="s">
        <v>42</v>
      </c>
      <c r="AN701" s="371" t="s">
        <v>2271</v>
      </c>
      <c r="AO701" s="206" t="s">
        <v>2868</v>
      </c>
      <c r="AP701" s="206" t="s">
        <v>1393</v>
      </c>
      <c r="AQ701" s="206" t="s">
        <v>1132</v>
      </c>
      <c r="AR701" s="207" t="s">
        <v>68</v>
      </c>
    </row>
    <row r="702" spans="1:44" x14ac:dyDescent="0.2">
      <c r="A702" s="370">
        <v>683</v>
      </c>
      <c r="B702" s="380">
        <v>479</v>
      </c>
      <c r="C702" s="371" t="s">
        <v>2269</v>
      </c>
      <c r="D702" s="371" t="s">
        <v>2235</v>
      </c>
      <c r="E702" s="206"/>
      <c r="F702" s="206" t="s">
        <v>70</v>
      </c>
      <c r="G702" s="206" t="s">
        <v>70</v>
      </c>
      <c r="H702" s="371" t="s">
        <v>2271</v>
      </c>
      <c r="I702" s="206" t="s">
        <v>1439</v>
      </c>
      <c r="J702" s="206" t="s">
        <v>1439</v>
      </c>
      <c r="K702" s="371" t="s">
        <v>2271</v>
      </c>
      <c r="L702" s="206" t="s">
        <v>2177</v>
      </c>
      <c r="M702" s="206" t="s">
        <v>1351</v>
      </c>
      <c r="N702" s="206" t="s">
        <v>49</v>
      </c>
      <c r="O702" s="372" t="s">
        <v>2179</v>
      </c>
      <c r="P702" s="372">
        <v>46036</v>
      </c>
      <c r="Q702" s="371" t="s">
        <v>2276</v>
      </c>
      <c r="R702" s="373">
        <v>45680</v>
      </c>
      <c r="S702" s="373">
        <v>45680</v>
      </c>
      <c r="T702" s="371" t="s">
        <v>2271</v>
      </c>
      <c r="U702" s="373">
        <v>17640</v>
      </c>
      <c r="V702" s="373">
        <v>17640</v>
      </c>
      <c r="W702" s="371" t="s">
        <v>2271</v>
      </c>
      <c r="X702" s="373">
        <v>28040</v>
      </c>
      <c r="Y702" s="373">
        <v>28040</v>
      </c>
      <c r="Z702" s="371" t="s">
        <v>2271</v>
      </c>
      <c r="AA702" s="373">
        <v>0</v>
      </c>
      <c r="AB702" s="373">
        <v>27980</v>
      </c>
      <c r="AC702" s="373">
        <v>27980</v>
      </c>
      <c r="AD702" s="371" t="s">
        <v>2271</v>
      </c>
      <c r="AE702" s="373">
        <v>0</v>
      </c>
      <c r="AF702" s="382">
        <v>0.81041666666666701</v>
      </c>
      <c r="AG702" s="382">
        <v>0.81041666666666701</v>
      </c>
      <c r="AH702" s="371" t="s">
        <v>2271</v>
      </c>
      <c r="AI702" s="382">
        <v>0.85763888888888895</v>
      </c>
      <c r="AJ702" s="382">
        <v>0.85763888888888895</v>
      </c>
      <c r="AK702" s="371" t="s">
        <v>2271</v>
      </c>
      <c r="AL702" s="206" t="s">
        <v>42</v>
      </c>
      <c r="AM702" s="206" t="s">
        <v>42</v>
      </c>
      <c r="AN702" s="371" t="s">
        <v>2271</v>
      </c>
      <c r="AO702" s="206" t="s">
        <v>2869</v>
      </c>
      <c r="AP702" s="206" t="s">
        <v>1499</v>
      </c>
      <c r="AQ702" s="206" t="s">
        <v>1133</v>
      </c>
      <c r="AR702" s="207" t="s">
        <v>68</v>
      </c>
    </row>
    <row r="703" spans="1:44" x14ac:dyDescent="0.2">
      <c r="A703" s="370">
        <v>684</v>
      </c>
      <c r="B703" s="380">
        <v>480</v>
      </c>
      <c r="C703" s="371" t="s">
        <v>2269</v>
      </c>
      <c r="D703" s="371" t="s">
        <v>2235</v>
      </c>
      <c r="E703" s="206"/>
      <c r="F703" s="206" t="s">
        <v>84</v>
      </c>
      <c r="G703" s="206" t="s">
        <v>84</v>
      </c>
      <c r="H703" s="371" t="s">
        <v>2271</v>
      </c>
      <c r="I703" s="206" t="s">
        <v>1439</v>
      </c>
      <c r="J703" s="206" t="s">
        <v>1439</v>
      </c>
      <c r="K703" s="371" t="s">
        <v>2271</v>
      </c>
      <c r="L703" s="206" t="s">
        <v>2177</v>
      </c>
      <c r="M703" s="206" t="s">
        <v>1351</v>
      </c>
      <c r="N703" s="206" t="s">
        <v>49</v>
      </c>
      <c r="O703" s="372" t="s">
        <v>2179</v>
      </c>
      <c r="P703" s="372">
        <v>46036</v>
      </c>
      <c r="Q703" s="371" t="s">
        <v>2276</v>
      </c>
      <c r="R703" s="373">
        <v>26650</v>
      </c>
      <c r="S703" s="373">
        <v>26650</v>
      </c>
      <c r="T703" s="371" t="s">
        <v>2271</v>
      </c>
      <c r="U703" s="373">
        <v>12240</v>
      </c>
      <c r="V703" s="373">
        <v>12240</v>
      </c>
      <c r="W703" s="371" t="s">
        <v>2271</v>
      </c>
      <c r="X703" s="373">
        <v>14410</v>
      </c>
      <c r="Y703" s="373">
        <v>14410</v>
      </c>
      <c r="Z703" s="371" t="s">
        <v>2271</v>
      </c>
      <c r="AA703" s="373">
        <v>0</v>
      </c>
      <c r="AB703" s="373">
        <v>14370</v>
      </c>
      <c r="AC703" s="373">
        <v>14370</v>
      </c>
      <c r="AD703" s="371" t="s">
        <v>2271</v>
      </c>
      <c r="AE703" s="373">
        <v>0</v>
      </c>
      <c r="AF703" s="382">
        <v>0.82430555555555596</v>
      </c>
      <c r="AG703" s="382">
        <v>0.82430555555555596</v>
      </c>
      <c r="AH703" s="371" t="s">
        <v>2271</v>
      </c>
      <c r="AI703" s="382">
        <v>0.86388888888888904</v>
      </c>
      <c r="AJ703" s="382">
        <v>0.86388888888888904</v>
      </c>
      <c r="AK703" s="371" t="s">
        <v>2271</v>
      </c>
      <c r="AL703" s="206" t="s">
        <v>42</v>
      </c>
      <c r="AM703" s="206" t="s">
        <v>42</v>
      </c>
      <c r="AN703" s="371" t="s">
        <v>2271</v>
      </c>
      <c r="AO703" s="206" t="s">
        <v>2870</v>
      </c>
      <c r="AP703" s="206" t="s">
        <v>1782</v>
      </c>
      <c r="AQ703" s="206" t="s">
        <v>1132</v>
      </c>
      <c r="AR703" s="207" t="s">
        <v>68</v>
      </c>
    </row>
    <row r="704" spans="1:44" x14ac:dyDescent="0.2">
      <c r="A704" s="370">
        <v>685</v>
      </c>
      <c r="B704" s="380">
        <v>481</v>
      </c>
      <c r="C704" s="371" t="s">
        <v>2269</v>
      </c>
      <c r="D704" s="371" t="s">
        <v>2235</v>
      </c>
      <c r="E704" s="206"/>
      <c r="F704" s="206" t="s">
        <v>76</v>
      </c>
      <c r="G704" s="206" t="s">
        <v>76</v>
      </c>
      <c r="H704" s="371" t="s">
        <v>2271</v>
      </c>
      <c r="I704" s="206" t="s">
        <v>1439</v>
      </c>
      <c r="J704" s="206" t="s">
        <v>1439</v>
      </c>
      <c r="K704" s="371" t="s">
        <v>2271</v>
      </c>
      <c r="L704" s="206" t="s">
        <v>2177</v>
      </c>
      <c r="M704" s="206" t="s">
        <v>1351</v>
      </c>
      <c r="N704" s="206" t="s">
        <v>49</v>
      </c>
      <c r="O704" s="372" t="s">
        <v>2179</v>
      </c>
      <c r="P704" s="372">
        <v>46036</v>
      </c>
      <c r="Q704" s="371" t="s">
        <v>2276</v>
      </c>
      <c r="R704" s="373">
        <v>45740</v>
      </c>
      <c r="S704" s="373">
        <v>45740</v>
      </c>
      <c r="T704" s="371" t="s">
        <v>2271</v>
      </c>
      <c r="U704" s="373">
        <v>17410</v>
      </c>
      <c r="V704" s="373">
        <v>17410</v>
      </c>
      <c r="W704" s="371" t="s">
        <v>2271</v>
      </c>
      <c r="X704" s="373">
        <v>28330</v>
      </c>
      <c r="Y704" s="373">
        <v>28330</v>
      </c>
      <c r="Z704" s="371" t="s">
        <v>2271</v>
      </c>
      <c r="AA704" s="373">
        <v>0</v>
      </c>
      <c r="AB704" s="373">
        <v>28260</v>
      </c>
      <c r="AC704" s="373">
        <v>28260</v>
      </c>
      <c r="AD704" s="371" t="s">
        <v>2271</v>
      </c>
      <c r="AE704" s="373">
        <v>0</v>
      </c>
      <c r="AF704" s="382">
        <v>0.85972222222222205</v>
      </c>
      <c r="AG704" s="382">
        <v>0.85972222222222205</v>
      </c>
      <c r="AH704" s="371" t="s">
        <v>2271</v>
      </c>
      <c r="AI704" s="382">
        <v>0.89236111111111105</v>
      </c>
      <c r="AJ704" s="382">
        <v>0.89236111111111105</v>
      </c>
      <c r="AK704" s="371" t="s">
        <v>2271</v>
      </c>
      <c r="AL704" s="206" t="s">
        <v>42</v>
      </c>
      <c r="AM704" s="206" t="s">
        <v>42</v>
      </c>
      <c r="AN704" s="371" t="s">
        <v>2271</v>
      </c>
      <c r="AO704" s="206" t="s">
        <v>2871</v>
      </c>
      <c r="AP704" s="206" t="s">
        <v>1372</v>
      </c>
      <c r="AQ704" s="206" t="s">
        <v>1133</v>
      </c>
      <c r="AR704" s="207" t="s">
        <v>68</v>
      </c>
    </row>
    <row r="705" spans="1:44" x14ac:dyDescent="0.2">
      <c r="A705" s="370">
        <v>686</v>
      </c>
      <c r="B705" s="380">
        <v>482</v>
      </c>
      <c r="C705" s="371" t="s">
        <v>2269</v>
      </c>
      <c r="D705" s="371" t="s">
        <v>2235</v>
      </c>
      <c r="E705" s="206"/>
      <c r="F705" s="206" t="s">
        <v>56</v>
      </c>
      <c r="G705" s="206" t="s">
        <v>56</v>
      </c>
      <c r="H705" s="371" t="s">
        <v>2271</v>
      </c>
      <c r="I705" s="206" t="s">
        <v>1439</v>
      </c>
      <c r="J705" s="206" t="s">
        <v>1439</v>
      </c>
      <c r="K705" s="371" t="s">
        <v>2271</v>
      </c>
      <c r="L705" s="206" t="s">
        <v>2177</v>
      </c>
      <c r="M705" s="206" t="s">
        <v>1351</v>
      </c>
      <c r="N705" s="206" t="s">
        <v>49</v>
      </c>
      <c r="O705" s="372" t="s">
        <v>2180</v>
      </c>
      <c r="P705" s="372">
        <v>46037</v>
      </c>
      <c r="Q705" s="371" t="s">
        <v>2276</v>
      </c>
      <c r="R705" s="373">
        <v>24980</v>
      </c>
      <c r="S705" s="373">
        <v>24980</v>
      </c>
      <c r="T705" s="371" t="s">
        <v>2271</v>
      </c>
      <c r="U705" s="373">
        <v>10760</v>
      </c>
      <c r="V705" s="373">
        <v>10760</v>
      </c>
      <c r="W705" s="371" t="s">
        <v>2271</v>
      </c>
      <c r="X705" s="373">
        <v>14220</v>
      </c>
      <c r="Y705" s="373">
        <v>14220</v>
      </c>
      <c r="Z705" s="371" t="s">
        <v>2271</v>
      </c>
      <c r="AA705" s="373">
        <v>0</v>
      </c>
      <c r="AB705" s="373">
        <v>14200</v>
      </c>
      <c r="AC705" s="373">
        <v>14200</v>
      </c>
      <c r="AD705" s="371" t="s">
        <v>2271</v>
      </c>
      <c r="AE705" s="373">
        <v>0</v>
      </c>
      <c r="AF705" s="382">
        <v>0.49791666666666701</v>
      </c>
      <c r="AG705" s="382">
        <v>0.49791666666666701</v>
      </c>
      <c r="AH705" s="371" t="s">
        <v>2271</v>
      </c>
      <c r="AI705" s="382">
        <v>0.54930555555555605</v>
      </c>
      <c r="AJ705" s="382">
        <v>0.54930555555555605</v>
      </c>
      <c r="AK705" s="371" t="s">
        <v>2271</v>
      </c>
      <c r="AL705" s="206" t="s">
        <v>137</v>
      </c>
      <c r="AM705" s="206" t="s">
        <v>137</v>
      </c>
      <c r="AN705" s="371" t="s">
        <v>2271</v>
      </c>
      <c r="AO705" s="206" t="s">
        <v>2872</v>
      </c>
      <c r="AP705" s="206" t="s">
        <v>1781</v>
      </c>
      <c r="AQ705" s="206" t="s">
        <v>1132</v>
      </c>
      <c r="AR705" s="207" t="s">
        <v>68</v>
      </c>
    </row>
    <row r="706" spans="1:44" x14ac:dyDescent="0.2">
      <c r="A706" s="370">
        <v>687</v>
      </c>
      <c r="B706" s="380">
        <v>483</v>
      </c>
      <c r="C706" s="371" t="s">
        <v>2269</v>
      </c>
      <c r="D706" s="371" t="s">
        <v>2235</v>
      </c>
      <c r="E706" s="206"/>
      <c r="F706" s="206" t="s">
        <v>70</v>
      </c>
      <c r="G706" s="206" t="s">
        <v>70</v>
      </c>
      <c r="H706" s="371" t="s">
        <v>2271</v>
      </c>
      <c r="I706" s="206" t="s">
        <v>1439</v>
      </c>
      <c r="J706" s="206" t="s">
        <v>1439</v>
      </c>
      <c r="K706" s="371" t="s">
        <v>2271</v>
      </c>
      <c r="L706" s="206" t="s">
        <v>2177</v>
      </c>
      <c r="M706" s="206" t="s">
        <v>1351</v>
      </c>
      <c r="N706" s="206" t="s">
        <v>49</v>
      </c>
      <c r="O706" s="372" t="s">
        <v>2180</v>
      </c>
      <c r="P706" s="372">
        <v>46037</v>
      </c>
      <c r="Q706" s="371" t="s">
        <v>2276</v>
      </c>
      <c r="R706" s="373">
        <v>45590</v>
      </c>
      <c r="S706" s="373">
        <v>45590</v>
      </c>
      <c r="T706" s="371" t="s">
        <v>2271</v>
      </c>
      <c r="U706" s="373">
        <v>17700</v>
      </c>
      <c r="V706" s="373">
        <v>17700</v>
      </c>
      <c r="W706" s="371" t="s">
        <v>2271</v>
      </c>
      <c r="X706" s="373">
        <v>27890</v>
      </c>
      <c r="Y706" s="373">
        <v>27890</v>
      </c>
      <c r="Z706" s="371" t="s">
        <v>2271</v>
      </c>
      <c r="AA706" s="373">
        <v>0</v>
      </c>
      <c r="AB706" s="373">
        <v>27950</v>
      </c>
      <c r="AC706" s="373">
        <v>27950</v>
      </c>
      <c r="AD706" s="371" t="s">
        <v>2271</v>
      </c>
      <c r="AE706" s="373">
        <v>0</v>
      </c>
      <c r="AF706" s="382">
        <v>0.55069444444444404</v>
      </c>
      <c r="AG706" s="382">
        <v>0.55069444444444504</v>
      </c>
      <c r="AH706" s="371" t="s">
        <v>2276</v>
      </c>
      <c r="AI706" s="382">
        <v>0.60694444444444395</v>
      </c>
      <c r="AJ706" s="382">
        <v>0.60694444444444395</v>
      </c>
      <c r="AK706" s="371" t="s">
        <v>2271</v>
      </c>
      <c r="AL706" s="206" t="s">
        <v>137</v>
      </c>
      <c r="AM706" s="206" t="s">
        <v>137</v>
      </c>
      <c r="AN706" s="371" t="s">
        <v>2271</v>
      </c>
      <c r="AO706" s="206" t="s">
        <v>2873</v>
      </c>
      <c r="AP706" s="206" t="s">
        <v>1499</v>
      </c>
      <c r="AQ706" s="206" t="s">
        <v>1133</v>
      </c>
      <c r="AR706" s="207" t="s">
        <v>68</v>
      </c>
    </row>
    <row r="707" spans="1:44" x14ac:dyDescent="0.2">
      <c r="A707" s="370">
        <v>688</v>
      </c>
      <c r="B707" s="380">
        <v>484</v>
      </c>
      <c r="C707" s="371" t="s">
        <v>2269</v>
      </c>
      <c r="D707" s="371" t="s">
        <v>2235</v>
      </c>
      <c r="E707" s="206"/>
      <c r="F707" s="206" t="s">
        <v>76</v>
      </c>
      <c r="G707" s="206" t="s">
        <v>76</v>
      </c>
      <c r="H707" s="371" t="s">
        <v>2271</v>
      </c>
      <c r="I707" s="206" t="s">
        <v>1439</v>
      </c>
      <c r="J707" s="206" t="s">
        <v>1439</v>
      </c>
      <c r="K707" s="371" t="s">
        <v>2271</v>
      </c>
      <c r="L707" s="206" t="s">
        <v>2177</v>
      </c>
      <c r="M707" s="206" t="s">
        <v>1351</v>
      </c>
      <c r="N707" s="206" t="s">
        <v>49</v>
      </c>
      <c r="O707" s="372" t="s">
        <v>2180</v>
      </c>
      <c r="P707" s="372">
        <v>46037</v>
      </c>
      <c r="Q707" s="371" t="s">
        <v>2276</v>
      </c>
      <c r="R707" s="373">
        <v>45540</v>
      </c>
      <c r="S707" s="373">
        <v>45540</v>
      </c>
      <c r="T707" s="371" t="s">
        <v>2271</v>
      </c>
      <c r="U707" s="373">
        <v>17410</v>
      </c>
      <c r="V707" s="373">
        <v>17410</v>
      </c>
      <c r="W707" s="371" t="s">
        <v>2271</v>
      </c>
      <c r="X707" s="373">
        <v>28130</v>
      </c>
      <c r="Y707" s="373">
        <v>28130</v>
      </c>
      <c r="Z707" s="371" t="s">
        <v>2271</v>
      </c>
      <c r="AA707" s="373">
        <v>0</v>
      </c>
      <c r="AB707" s="373">
        <v>28110</v>
      </c>
      <c r="AC707" s="373">
        <v>28110</v>
      </c>
      <c r="AD707" s="371" t="s">
        <v>2271</v>
      </c>
      <c r="AE707" s="373">
        <v>0</v>
      </c>
      <c r="AF707" s="382">
        <v>0.60069444444444398</v>
      </c>
      <c r="AG707" s="382">
        <v>0.60069444444444398</v>
      </c>
      <c r="AH707" s="371" t="s">
        <v>2271</v>
      </c>
      <c r="AI707" s="382">
        <v>0.64027777777777795</v>
      </c>
      <c r="AJ707" s="382">
        <v>0.64027777777777795</v>
      </c>
      <c r="AK707" s="371" t="s">
        <v>2271</v>
      </c>
      <c r="AL707" s="206" t="s">
        <v>137</v>
      </c>
      <c r="AM707" s="206" t="s">
        <v>137</v>
      </c>
      <c r="AN707" s="371" t="s">
        <v>2271</v>
      </c>
      <c r="AO707" s="206" t="s">
        <v>2874</v>
      </c>
      <c r="AP707" s="206" t="s">
        <v>1372</v>
      </c>
      <c r="AQ707" s="206" t="s">
        <v>1133</v>
      </c>
      <c r="AR707" s="207" t="s">
        <v>68</v>
      </c>
    </row>
    <row r="708" spans="1:44" x14ac:dyDescent="0.2">
      <c r="A708" s="370">
        <v>689</v>
      </c>
      <c r="B708" s="380">
        <v>485</v>
      </c>
      <c r="C708" s="371" t="s">
        <v>2269</v>
      </c>
      <c r="D708" s="371" t="s">
        <v>2235</v>
      </c>
      <c r="E708" s="206"/>
      <c r="F708" s="206" t="s">
        <v>46</v>
      </c>
      <c r="G708" s="206" t="s">
        <v>46</v>
      </c>
      <c r="H708" s="371" t="s">
        <v>2271</v>
      </c>
      <c r="I708" s="206" t="s">
        <v>1439</v>
      </c>
      <c r="J708" s="206" t="s">
        <v>1439</v>
      </c>
      <c r="K708" s="371" t="s">
        <v>2271</v>
      </c>
      <c r="L708" s="206" t="s">
        <v>2177</v>
      </c>
      <c r="M708" s="206" t="s">
        <v>1351</v>
      </c>
      <c r="N708" s="206" t="s">
        <v>49</v>
      </c>
      <c r="O708" s="372" t="s">
        <v>2180</v>
      </c>
      <c r="P708" s="372">
        <v>46037</v>
      </c>
      <c r="Q708" s="371" t="s">
        <v>2276</v>
      </c>
      <c r="R708" s="373">
        <v>26600</v>
      </c>
      <c r="S708" s="373">
        <v>26600</v>
      </c>
      <c r="T708" s="371" t="s">
        <v>2271</v>
      </c>
      <c r="U708" s="373">
        <v>11860</v>
      </c>
      <c r="V708" s="373">
        <v>11860</v>
      </c>
      <c r="W708" s="371" t="s">
        <v>2271</v>
      </c>
      <c r="X708" s="373">
        <v>14740</v>
      </c>
      <c r="Y708" s="373">
        <v>14740</v>
      </c>
      <c r="Z708" s="371" t="s">
        <v>2271</v>
      </c>
      <c r="AA708" s="373">
        <v>0</v>
      </c>
      <c r="AB708" s="373">
        <v>14770</v>
      </c>
      <c r="AC708" s="373">
        <v>14770</v>
      </c>
      <c r="AD708" s="371" t="s">
        <v>2271</v>
      </c>
      <c r="AE708" s="373">
        <v>0</v>
      </c>
      <c r="AF708" s="382">
        <v>0.655555555555556</v>
      </c>
      <c r="AG708" s="382">
        <v>0.655555555555556</v>
      </c>
      <c r="AH708" s="371" t="s">
        <v>2271</v>
      </c>
      <c r="AI708" s="382">
        <v>0.71666666666666701</v>
      </c>
      <c r="AJ708" s="382">
        <v>0.71666666666666701</v>
      </c>
      <c r="AK708" s="371" t="s">
        <v>2271</v>
      </c>
      <c r="AL708" s="206" t="s">
        <v>42</v>
      </c>
      <c r="AM708" s="206" t="s">
        <v>42</v>
      </c>
      <c r="AN708" s="371" t="s">
        <v>2271</v>
      </c>
      <c r="AO708" s="206" t="s">
        <v>2875</v>
      </c>
      <c r="AP708" s="206" t="s">
        <v>1393</v>
      </c>
      <c r="AQ708" s="206" t="s">
        <v>1132</v>
      </c>
      <c r="AR708" s="207" t="s">
        <v>68</v>
      </c>
    </row>
    <row r="709" spans="1:44" x14ac:dyDescent="0.2">
      <c r="A709" s="370">
        <v>690</v>
      </c>
      <c r="B709" s="380">
        <v>486</v>
      </c>
      <c r="C709" s="371" t="s">
        <v>2269</v>
      </c>
      <c r="D709" s="371" t="s">
        <v>2235</v>
      </c>
      <c r="E709" s="206"/>
      <c r="F709" s="206" t="s">
        <v>84</v>
      </c>
      <c r="G709" s="206" t="s">
        <v>84</v>
      </c>
      <c r="H709" s="371" t="s">
        <v>2271</v>
      </c>
      <c r="I709" s="206" t="s">
        <v>1439</v>
      </c>
      <c r="J709" s="206" t="s">
        <v>1439</v>
      </c>
      <c r="K709" s="371" t="s">
        <v>2271</v>
      </c>
      <c r="L709" s="206" t="s">
        <v>2177</v>
      </c>
      <c r="M709" s="206" t="s">
        <v>1351</v>
      </c>
      <c r="N709" s="206" t="s">
        <v>49</v>
      </c>
      <c r="O709" s="372" t="s">
        <v>2180</v>
      </c>
      <c r="P709" s="372">
        <v>46037</v>
      </c>
      <c r="Q709" s="371" t="s">
        <v>2276</v>
      </c>
      <c r="R709" s="373">
        <v>26760</v>
      </c>
      <c r="S709" s="373">
        <v>26760</v>
      </c>
      <c r="T709" s="371" t="s">
        <v>2271</v>
      </c>
      <c r="U709" s="373">
        <v>12270</v>
      </c>
      <c r="V709" s="373">
        <v>12270</v>
      </c>
      <c r="W709" s="371" t="s">
        <v>2271</v>
      </c>
      <c r="X709" s="373">
        <v>14490</v>
      </c>
      <c r="Y709" s="373">
        <v>14490</v>
      </c>
      <c r="Z709" s="371" t="s">
        <v>2271</v>
      </c>
      <c r="AA709" s="373">
        <v>0</v>
      </c>
      <c r="AB709" s="373">
        <v>14470</v>
      </c>
      <c r="AC709" s="373">
        <v>14470</v>
      </c>
      <c r="AD709" s="371" t="s">
        <v>2271</v>
      </c>
      <c r="AE709" s="373">
        <v>0</v>
      </c>
      <c r="AF709" s="382">
        <v>0.656944444444444</v>
      </c>
      <c r="AG709" s="382">
        <v>0.656944444444444</v>
      </c>
      <c r="AH709" s="371" t="s">
        <v>2271</v>
      </c>
      <c r="AI709" s="382">
        <v>0.70208333333333295</v>
      </c>
      <c r="AJ709" s="382">
        <v>0.70208333333333295</v>
      </c>
      <c r="AK709" s="371" t="s">
        <v>2271</v>
      </c>
      <c r="AL709" s="206" t="s">
        <v>42</v>
      </c>
      <c r="AM709" s="206" t="s">
        <v>42</v>
      </c>
      <c r="AN709" s="371" t="s">
        <v>2271</v>
      </c>
      <c r="AO709" s="206" t="s">
        <v>2876</v>
      </c>
      <c r="AP709" s="206" t="s">
        <v>1782</v>
      </c>
      <c r="AQ709" s="206" t="s">
        <v>1132</v>
      </c>
      <c r="AR709" s="207" t="s">
        <v>68</v>
      </c>
    </row>
    <row r="710" spans="1:44" x14ac:dyDescent="0.2">
      <c r="A710" s="370">
        <v>691</v>
      </c>
      <c r="B710" s="380">
        <v>487</v>
      </c>
      <c r="C710" s="371" t="s">
        <v>2269</v>
      </c>
      <c r="D710" s="371" t="s">
        <v>2235</v>
      </c>
      <c r="E710" s="206"/>
      <c r="F710" s="206" t="s">
        <v>56</v>
      </c>
      <c r="G710" s="206" t="s">
        <v>56</v>
      </c>
      <c r="H710" s="371" t="s">
        <v>2271</v>
      </c>
      <c r="I710" s="206" t="s">
        <v>1439</v>
      </c>
      <c r="J710" s="206" t="s">
        <v>1439</v>
      </c>
      <c r="K710" s="371" t="s">
        <v>2271</v>
      </c>
      <c r="L710" s="206" t="s">
        <v>2177</v>
      </c>
      <c r="M710" s="206" t="s">
        <v>1351</v>
      </c>
      <c r="N710" s="206" t="s">
        <v>49</v>
      </c>
      <c r="O710" s="372" t="s">
        <v>2180</v>
      </c>
      <c r="P710" s="372">
        <v>46037</v>
      </c>
      <c r="Q710" s="371" t="s">
        <v>2276</v>
      </c>
      <c r="R710" s="373">
        <v>24930</v>
      </c>
      <c r="S710" s="373">
        <v>24930</v>
      </c>
      <c r="T710" s="371" t="s">
        <v>2271</v>
      </c>
      <c r="U710" s="373">
        <v>10710</v>
      </c>
      <c r="V710" s="373">
        <v>10710</v>
      </c>
      <c r="W710" s="371" t="s">
        <v>2271</v>
      </c>
      <c r="X710" s="373">
        <v>14220</v>
      </c>
      <c r="Y710" s="373">
        <v>14220</v>
      </c>
      <c r="Z710" s="371" t="s">
        <v>2271</v>
      </c>
      <c r="AA710" s="373">
        <v>0</v>
      </c>
      <c r="AB710" s="373">
        <v>14190</v>
      </c>
      <c r="AC710" s="373">
        <v>14190</v>
      </c>
      <c r="AD710" s="371" t="s">
        <v>2271</v>
      </c>
      <c r="AE710" s="373">
        <v>0</v>
      </c>
      <c r="AF710" s="382">
        <v>0.79444444444444395</v>
      </c>
      <c r="AG710" s="382">
        <v>0.79444444444444395</v>
      </c>
      <c r="AH710" s="371" t="s">
        <v>2271</v>
      </c>
      <c r="AI710" s="382">
        <v>0.82499999999999996</v>
      </c>
      <c r="AJ710" s="382">
        <v>0.82499999999999996</v>
      </c>
      <c r="AK710" s="371" t="s">
        <v>2271</v>
      </c>
      <c r="AL710" s="206" t="s">
        <v>42</v>
      </c>
      <c r="AM710" s="206" t="s">
        <v>42</v>
      </c>
      <c r="AN710" s="371" t="s">
        <v>2271</v>
      </c>
      <c r="AO710" s="206" t="s">
        <v>2877</v>
      </c>
      <c r="AP710" s="206" t="s">
        <v>1781</v>
      </c>
      <c r="AQ710" s="206" t="s">
        <v>1132</v>
      </c>
      <c r="AR710" s="207" t="s">
        <v>68</v>
      </c>
    </row>
    <row r="711" spans="1:44" x14ac:dyDescent="0.2">
      <c r="A711" s="370">
        <v>692</v>
      </c>
      <c r="B711" s="380">
        <v>490</v>
      </c>
      <c r="C711" s="371" t="s">
        <v>2337</v>
      </c>
      <c r="D711" s="371" t="s">
        <v>2235</v>
      </c>
      <c r="E711" s="206"/>
      <c r="F711" s="206" t="s">
        <v>70</v>
      </c>
      <c r="G711" s="206" t="s">
        <v>70</v>
      </c>
      <c r="H711" s="371" t="s">
        <v>2271</v>
      </c>
      <c r="I711" s="206"/>
      <c r="J711" s="206" t="s">
        <v>1454</v>
      </c>
      <c r="K711" s="371" t="s">
        <v>2276</v>
      </c>
      <c r="L711" s="206" t="s">
        <v>2181</v>
      </c>
      <c r="M711" s="206" t="s">
        <v>1352</v>
      </c>
      <c r="N711" s="206" t="s">
        <v>59</v>
      </c>
      <c r="O711" s="372" t="s">
        <v>2182</v>
      </c>
      <c r="P711" s="372">
        <v>46039</v>
      </c>
      <c r="Q711" s="371" t="s">
        <v>2276</v>
      </c>
      <c r="R711" s="373">
        <v>45890</v>
      </c>
      <c r="S711" s="373">
        <v>45890</v>
      </c>
      <c r="T711" s="371" t="s">
        <v>2271</v>
      </c>
      <c r="U711" s="373">
        <v>17500</v>
      </c>
      <c r="V711" s="373">
        <v>17500</v>
      </c>
      <c r="W711" s="371" t="s">
        <v>2271</v>
      </c>
      <c r="X711" s="373">
        <v>28390</v>
      </c>
      <c r="Y711" s="373">
        <v>28390</v>
      </c>
      <c r="Z711" s="371" t="s">
        <v>2271</v>
      </c>
      <c r="AA711" s="373">
        <v>0</v>
      </c>
      <c r="AB711" s="373">
        <v>28480</v>
      </c>
      <c r="AC711" s="373">
        <v>28480</v>
      </c>
      <c r="AD711" s="371" t="s">
        <v>2271</v>
      </c>
      <c r="AE711" s="373">
        <v>0</v>
      </c>
      <c r="AF711" s="382">
        <v>0.42916666666666697</v>
      </c>
      <c r="AG711" s="382">
        <v>0.42916666666666697</v>
      </c>
      <c r="AH711" s="371" t="s">
        <v>2271</v>
      </c>
      <c r="AI711" s="382">
        <v>0.49236111111111103</v>
      </c>
      <c r="AJ711" s="382">
        <v>0.49236111111111103</v>
      </c>
      <c r="AK711" s="371" t="s">
        <v>2271</v>
      </c>
      <c r="AL711" s="206" t="s">
        <v>137</v>
      </c>
      <c r="AM711" s="206" t="s">
        <v>137</v>
      </c>
      <c r="AN711" s="371" t="s">
        <v>2271</v>
      </c>
      <c r="AO711" s="206" t="s">
        <v>2878</v>
      </c>
      <c r="AP711" s="206" t="s">
        <v>1499</v>
      </c>
      <c r="AQ711" s="206" t="s">
        <v>1133</v>
      </c>
      <c r="AR711" s="207" t="s">
        <v>75</v>
      </c>
    </row>
    <row r="712" spans="1:44" x14ac:dyDescent="0.2">
      <c r="A712" s="370">
        <v>693</v>
      </c>
      <c r="B712" s="380">
        <v>491</v>
      </c>
      <c r="C712" s="371" t="s">
        <v>2337</v>
      </c>
      <c r="D712" s="371" t="s">
        <v>2235</v>
      </c>
      <c r="E712" s="206"/>
      <c r="F712" s="206" t="s">
        <v>56</v>
      </c>
      <c r="G712" s="206" t="s">
        <v>56</v>
      </c>
      <c r="H712" s="371" t="s">
        <v>2271</v>
      </c>
      <c r="I712" s="206"/>
      <c r="J712" s="206" t="s">
        <v>1454</v>
      </c>
      <c r="K712" s="371" t="s">
        <v>2276</v>
      </c>
      <c r="L712" s="206" t="s">
        <v>2181</v>
      </c>
      <c r="M712" s="206" t="s">
        <v>1352</v>
      </c>
      <c r="N712" s="206" t="s">
        <v>59</v>
      </c>
      <c r="O712" s="372" t="s">
        <v>2182</v>
      </c>
      <c r="P712" s="372">
        <v>46039</v>
      </c>
      <c r="Q712" s="371" t="s">
        <v>2276</v>
      </c>
      <c r="R712" s="373">
        <v>25080</v>
      </c>
      <c r="S712" s="373">
        <v>25080</v>
      </c>
      <c r="T712" s="371" t="s">
        <v>2271</v>
      </c>
      <c r="U712" s="373">
        <v>10750</v>
      </c>
      <c r="V712" s="373">
        <v>10750</v>
      </c>
      <c r="W712" s="371" t="s">
        <v>2271</v>
      </c>
      <c r="X712" s="373">
        <v>14330</v>
      </c>
      <c r="Y712" s="373">
        <v>14330</v>
      </c>
      <c r="Z712" s="371" t="s">
        <v>2271</v>
      </c>
      <c r="AA712" s="373">
        <v>0</v>
      </c>
      <c r="AB712" s="373">
        <v>14340</v>
      </c>
      <c r="AC712" s="373">
        <v>14340</v>
      </c>
      <c r="AD712" s="371" t="s">
        <v>2271</v>
      </c>
      <c r="AE712" s="373">
        <v>0</v>
      </c>
      <c r="AF712" s="382">
        <v>0.43055555555555602</v>
      </c>
      <c r="AG712" s="382">
        <v>0.43055555555555602</v>
      </c>
      <c r="AH712" s="371" t="s">
        <v>2271</v>
      </c>
      <c r="AI712" s="382">
        <v>0.48125000000000001</v>
      </c>
      <c r="AJ712" s="382">
        <v>0.48125000000000001</v>
      </c>
      <c r="AK712" s="371" t="s">
        <v>2271</v>
      </c>
      <c r="AL712" s="206" t="s">
        <v>137</v>
      </c>
      <c r="AM712" s="206" t="s">
        <v>137</v>
      </c>
      <c r="AN712" s="371" t="s">
        <v>2271</v>
      </c>
      <c r="AO712" s="206" t="s">
        <v>2879</v>
      </c>
      <c r="AP712" s="206" t="s">
        <v>1781</v>
      </c>
      <c r="AQ712" s="206" t="s">
        <v>1132</v>
      </c>
      <c r="AR712" s="207" t="s">
        <v>75</v>
      </c>
    </row>
    <row r="713" spans="1:44" x14ac:dyDescent="0.2">
      <c r="A713" s="370">
        <v>694</v>
      </c>
      <c r="B713" s="380">
        <v>492</v>
      </c>
      <c r="C713" s="371" t="s">
        <v>2337</v>
      </c>
      <c r="D713" s="371" t="s">
        <v>2235</v>
      </c>
      <c r="E713" s="206"/>
      <c r="F713" s="206" t="s">
        <v>46</v>
      </c>
      <c r="G713" s="206" t="s">
        <v>46</v>
      </c>
      <c r="H713" s="371" t="s">
        <v>2271</v>
      </c>
      <c r="I713" s="206"/>
      <c r="J713" s="206" t="s">
        <v>1454</v>
      </c>
      <c r="K713" s="371" t="s">
        <v>2276</v>
      </c>
      <c r="L713" s="206" t="s">
        <v>2181</v>
      </c>
      <c r="M713" s="206" t="s">
        <v>1352</v>
      </c>
      <c r="N713" s="206" t="s">
        <v>59</v>
      </c>
      <c r="O713" s="372" t="s">
        <v>2182</v>
      </c>
      <c r="P713" s="372">
        <v>46039</v>
      </c>
      <c r="Q713" s="371" t="s">
        <v>2276</v>
      </c>
      <c r="R713" s="373">
        <v>26670</v>
      </c>
      <c r="S713" s="373">
        <v>26670</v>
      </c>
      <c r="T713" s="371" t="s">
        <v>2271</v>
      </c>
      <c r="U713" s="373">
        <v>11830</v>
      </c>
      <c r="V713" s="373">
        <v>11830</v>
      </c>
      <c r="W713" s="371" t="s">
        <v>2271</v>
      </c>
      <c r="X713" s="373">
        <v>14840</v>
      </c>
      <c r="Y713" s="373">
        <v>14840</v>
      </c>
      <c r="Z713" s="371" t="s">
        <v>2271</v>
      </c>
      <c r="AA713" s="373">
        <v>0</v>
      </c>
      <c r="AB713" s="373">
        <v>14880</v>
      </c>
      <c r="AC713" s="373">
        <v>14880</v>
      </c>
      <c r="AD713" s="371" t="s">
        <v>2271</v>
      </c>
      <c r="AE713" s="373">
        <v>0</v>
      </c>
      <c r="AF713" s="382">
        <v>0.45</v>
      </c>
      <c r="AG713" s="382">
        <v>0.45</v>
      </c>
      <c r="AH713" s="371" t="s">
        <v>2271</v>
      </c>
      <c r="AI713" s="382">
        <v>0.49722222222222201</v>
      </c>
      <c r="AJ713" s="382">
        <v>0.49722222222222201</v>
      </c>
      <c r="AK713" s="371" t="s">
        <v>2271</v>
      </c>
      <c r="AL713" s="206" t="s">
        <v>137</v>
      </c>
      <c r="AM713" s="206" t="s">
        <v>137</v>
      </c>
      <c r="AN713" s="371" t="s">
        <v>2271</v>
      </c>
      <c r="AO713" s="206" t="s">
        <v>2880</v>
      </c>
      <c r="AP713" s="206" t="s">
        <v>1393</v>
      </c>
      <c r="AQ713" s="206" t="s">
        <v>1132</v>
      </c>
      <c r="AR713" s="207" t="s">
        <v>75</v>
      </c>
    </row>
    <row r="714" spans="1:44" x14ac:dyDescent="0.2">
      <c r="A714" s="370">
        <v>695</v>
      </c>
      <c r="B714" s="380">
        <v>493</v>
      </c>
      <c r="C714" s="371" t="s">
        <v>2337</v>
      </c>
      <c r="D714" s="371" t="s">
        <v>2235</v>
      </c>
      <c r="E714" s="206"/>
      <c r="F714" s="206" t="s">
        <v>56</v>
      </c>
      <c r="G714" s="206" t="s">
        <v>56</v>
      </c>
      <c r="H714" s="371" t="s">
        <v>2271</v>
      </c>
      <c r="I714" s="206"/>
      <c r="J714" s="206" t="s">
        <v>1454</v>
      </c>
      <c r="K714" s="371" t="s">
        <v>2276</v>
      </c>
      <c r="L714" s="206" t="s">
        <v>2181</v>
      </c>
      <c r="M714" s="206" t="s">
        <v>1352</v>
      </c>
      <c r="N714" s="206" t="s">
        <v>59</v>
      </c>
      <c r="O714" s="372" t="s">
        <v>2182</v>
      </c>
      <c r="P714" s="372">
        <v>46039</v>
      </c>
      <c r="Q714" s="371" t="s">
        <v>2276</v>
      </c>
      <c r="R714" s="373">
        <v>25030</v>
      </c>
      <c r="S714" s="373">
        <v>25030</v>
      </c>
      <c r="T714" s="371" t="s">
        <v>2271</v>
      </c>
      <c r="U714" s="373">
        <v>10740</v>
      </c>
      <c r="V714" s="373">
        <v>10740</v>
      </c>
      <c r="W714" s="371" t="s">
        <v>2271</v>
      </c>
      <c r="X714" s="373">
        <v>14290</v>
      </c>
      <c r="Y714" s="373">
        <v>14290</v>
      </c>
      <c r="Z714" s="371" t="s">
        <v>2271</v>
      </c>
      <c r="AA714" s="373">
        <v>0</v>
      </c>
      <c r="AB714" s="373">
        <v>14340</v>
      </c>
      <c r="AC714" s="373">
        <v>14340</v>
      </c>
      <c r="AD714" s="371" t="s">
        <v>2271</v>
      </c>
      <c r="AE714" s="373">
        <v>0</v>
      </c>
      <c r="AF714" s="382">
        <v>0.63472222222222197</v>
      </c>
      <c r="AG714" s="382">
        <v>0.63472222222222197</v>
      </c>
      <c r="AH714" s="371" t="s">
        <v>2271</v>
      </c>
      <c r="AI714" s="382">
        <v>0.67847222222222203</v>
      </c>
      <c r="AJ714" s="382">
        <v>0.67847222222222203</v>
      </c>
      <c r="AK714" s="371" t="s">
        <v>2271</v>
      </c>
      <c r="AL714" s="206" t="s">
        <v>137</v>
      </c>
      <c r="AM714" s="206" t="s">
        <v>137</v>
      </c>
      <c r="AN714" s="371" t="s">
        <v>2271</v>
      </c>
      <c r="AO714" s="206" t="s">
        <v>2881</v>
      </c>
      <c r="AP714" s="206" t="s">
        <v>1781</v>
      </c>
      <c r="AQ714" s="206" t="s">
        <v>1132</v>
      </c>
      <c r="AR714" s="207" t="s">
        <v>75</v>
      </c>
    </row>
    <row r="715" spans="1:44" x14ac:dyDescent="0.2">
      <c r="A715" s="370">
        <v>696</v>
      </c>
      <c r="B715" s="380">
        <v>494</v>
      </c>
      <c r="C715" s="371" t="s">
        <v>2337</v>
      </c>
      <c r="D715" s="371" t="s">
        <v>2235</v>
      </c>
      <c r="E715" s="206"/>
      <c r="F715" s="206" t="s">
        <v>46</v>
      </c>
      <c r="G715" s="206" t="s">
        <v>46</v>
      </c>
      <c r="H715" s="371" t="s">
        <v>2271</v>
      </c>
      <c r="I715" s="206"/>
      <c r="J715" s="206" t="s">
        <v>1454</v>
      </c>
      <c r="K715" s="371" t="s">
        <v>2276</v>
      </c>
      <c r="L715" s="206" t="s">
        <v>2181</v>
      </c>
      <c r="M715" s="206" t="s">
        <v>1352</v>
      </c>
      <c r="N715" s="206" t="s">
        <v>59</v>
      </c>
      <c r="O715" s="372" t="s">
        <v>2182</v>
      </c>
      <c r="P715" s="372">
        <v>46039</v>
      </c>
      <c r="Q715" s="371" t="s">
        <v>2276</v>
      </c>
      <c r="R715" s="373">
        <v>26580</v>
      </c>
      <c r="S715" s="373">
        <v>26580</v>
      </c>
      <c r="T715" s="371" t="s">
        <v>2271</v>
      </c>
      <c r="U715" s="373">
        <v>11790</v>
      </c>
      <c r="V715" s="373">
        <v>11790</v>
      </c>
      <c r="W715" s="371" t="s">
        <v>2271</v>
      </c>
      <c r="X715" s="373">
        <v>14790</v>
      </c>
      <c r="Y715" s="373">
        <v>14790</v>
      </c>
      <c r="Z715" s="371" t="s">
        <v>2271</v>
      </c>
      <c r="AA715" s="373">
        <v>0</v>
      </c>
      <c r="AB715" s="373">
        <v>14800</v>
      </c>
      <c r="AC715" s="373">
        <v>14800</v>
      </c>
      <c r="AD715" s="371" t="s">
        <v>2271</v>
      </c>
      <c r="AE715" s="373">
        <v>0</v>
      </c>
      <c r="AF715" s="382">
        <v>0.72013888888888899</v>
      </c>
      <c r="AG715" s="382">
        <v>0.72013888888888899</v>
      </c>
      <c r="AH715" s="371" t="s">
        <v>2271</v>
      </c>
      <c r="AI715" s="382">
        <v>0.75694444444444497</v>
      </c>
      <c r="AJ715" s="382">
        <v>0.75694444444444398</v>
      </c>
      <c r="AK715" s="371" t="s">
        <v>2276</v>
      </c>
      <c r="AL715" s="206" t="s">
        <v>42</v>
      </c>
      <c r="AM715" s="206" t="s">
        <v>42</v>
      </c>
      <c r="AN715" s="371" t="s">
        <v>2271</v>
      </c>
      <c r="AO715" s="206" t="s">
        <v>2882</v>
      </c>
      <c r="AP715" s="206" t="s">
        <v>1393</v>
      </c>
      <c r="AQ715" s="206" t="s">
        <v>1132</v>
      </c>
      <c r="AR715" s="207" t="s">
        <v>75</v>
      </c>
    </row>
    <row r="716" spans="1:44" x14ac:dyDescent="0.2">
      <c r="A716" s="370">
        <v>697</v>
      </c>
      <c r="B716" s="380">
        <v>495</v>
      </c>
      <c r="C716" s="371" t="s">
        <v>2337</v>
      </c>
      <c r="D716" s="371" t="s">
        <v>2235</v>
      </c>
      <c r="E716" s="206"/>
      <c r="F716" s="206" t="s">
        <v>70</v>
      </c>
      <c r="G716" s="206" t="s">
        <v>70</v>
      </c>
      <c r="H716" s="371" t="s">
        <v>2271</v>
      </c>
      <c r="I716" s="206"/>
      <c r="J716" s="206" t="s">
        <v>1454</v>
      </c>
      <c r="K716" s="371" t="s">
        <v>2276</v>
      </c>
      <c r="L716" s="206" t="s">
        <v>2181</v>
      </c>
      <c r="M716" s="206" t="s">
        <v>1352</v>
      </c>
      <c r="N716" s="206" t="s">
        <v>59</v>
      </c>
      <c r="O716" s="372" t="s">
        <v>2182</v>
      </c>
      <c r="P716" s="372">
        <v>46039</v>
      </c>
      <c r="Q716" s="371" t="s">
        <v>2276</v>
      </c>
      <c r="R716" s="373">
        <v>45800</v>
      </c>
      <c r="S716" s="373">
        <v>45800</v>
      </c>
      <c r="T716" s="371" t="s">
        <v>2271</v>
      </c>
      <c r="U716" s="373">
        <v>17410</v>
      </c>
      <c r="V716" s="373">
        <v>17410</v>
      </c>
      <c r="W716" s="371" t="s">
        <v>2271</v>
      </c>
      <c r="X716" s="373">
        <v>28390</v>
      </c>
      <c r="Y716" s="373">
        <v>28390</v>
      </c>
      <c r="Z716" s="371" t="s">
        <v>2271</v>
      </c>
      <c r="AA716" s="373">
        <v>0</v>
      </c>
      <c r="AB716" s="373">
        <v>28420</v>
      </c>
      <c r="AC716" s="373">
        <v>28420</v>
      </c>
      <c r="AD716" s="371" t="s">
        <v>2271</v>
      </c>
      <c r="AE716" s="373">
        <v>0</v>
      </c>
      <c r="AF716" s="382">
        <v>0.73333333333333295</v>
      </c>
      <c r="AG716" s="382">
        <v>0.73333333333333295</v>
      </c>
      <c r="AH716" s="371" t="s">
        <v>2271</v>
      </c>
      <c r="AI716" s="382">
        <v>0.77638888888888902</v>
      </c>
      <c r="AJ716" s="382">
        <v>0.77638888888888902</v>
      </c>
      <c r="AK716" s="371" t="s">
        <v>2271</v>
      </c>
      <c r="AL716" s="206" t="s">
        <v>42</v>
      </c>
      <c r="AM716" s="206" t="s">
        <v>42</v>
      </c>
      <c r="AN716" s="371" t="s">
        <v>2271</v>
      </c>
      <c r="AO716" s="206" t="s">
        <v>2883</v>
      </c>
      <c r="AP716" s="206" t="s">
        <v>1499</v>
      </c>
      <c r="AQ716" s="206" t="s">
        <v>1133</v>
      </c>
      <c r="AR716" s="207" t="s">
        <v>75</v>
      </c>
    </row>
    <row r="717" spans="1:44" x14ac:dyDescent="0.2">
      <c r="A717" s="370">
        <v>698</v>
      </c>
      <c r="B717" s="380">
        <v>496</v>
      </c>
      <c r="C717" s="371" t="s">
        <v>2269</v>
      </c>
      <c r="D717" s="371" t="s">
        <v>2235</v>
      </c>
      <c r="E717" s="206"/>
      <c r="F717" s="206" t="s">
        <v>56</v>
      </c>
      <c r="G717" s="206" t="s">
        <v>56</v>
      </c>
      <c r="H717" s="371" t="s">
        <v>2271</v>
      </c>
      <c r="I717" s="206" t="s">
        <v>1454</v>
      </c>
      <c r="J717" s="206" t="s">
        <v>1454</v>
      </c>
      <c r="K717" s="371" t="s">
        <v>2271</v>
      </c>
      <c r="L717" s="206" t="s">
        <v>2181</v>
      </c>
      <c r="M717" s="206" t="s">
        <v>1352</v>
      </c>
      <c r="N717" s="206" t="s">
        <v>59</v>
      </c>
      <c r="O717" s="372" t="s">
        <v>2183</v>
      </c>
      <c r="P717" s="372">
        <v>46041</v>
      </c>
      <c r="Q717" s="371" t="s">
        <v>2276</v>
      </c>
      <c r="R717" s="373">
        <v>25080</v>
      </c>
      <c r="S717" s="373">
        <v>25080</v>
      </c>
      <c r="T717" s="371" t="s">
        <v>2271</v>
      </c>
      <c r="U717" s="373">
        <v>10740</v>
      </c>
      <c r="V717" s="373">
        <v>10740</v>
      </c>
      <c r="W717" s="371" t="s">
        <v>2271</v>
      </c>
      <c r="X717" s="373">
        <v>14340</v>
      </c>
      <c r="Y717" s="373">
        <v>14340</v>
      </c>
      <c r="Z717" s="371" t="s">
        <v>2271</v>
      </c>
      <c r="AA717" s="373">
        <v>0</v>
      </c>
      <c r="AB717" s="373">
        <v>14360</v>
      </c>
      <c r="AC717" s="373">
        <v>14360</v>
      </c>
      <c r="AD717" s="371" t="s">
        <v>2271</v>
      </c>
      <c r="AE717" s="373">
        <v>0</v>
      </c>
      <c r="AF717" s="382">
        <v>0.45833333333333298</v>
      </c>
      <c r="AG717" s="382">
        <v>0.45833333333333298</v>
      </c>
      <c r="AH717" s="371" t="s">
        <v>2271</v>
      </c>
      <c r="AI717" s="382">
        <v>0.54930555555555605</v>
      </c>
      <c r="AJ717" s="382">
        <v>0.54930555555555605</v>
      </c>
      <c r="AK717" s="371" t="s">
        <v>2271</v>
      </c>
      <c r="AL717" s="206" t="s">
        <v>137</v>
      </c>
      <c r="AM717" s="206" t="s">
        <v>137</v>
      </c>
      <c r="AN717" s="371" t="s">
        <v>2271</v>
      </c>
      <c r="AO717" s="206" t="s">
        <v>2884</v>
      </c>
      <c r="AP717" s="206" t="s">
        <v>1781</v>
      </c>
      <c r="AQ717" s="206" t="s">
        <v>1132</v>
      </c>
      <c r="AR717" s="207" t="s">
        <v>75</v>
      </c>
    </row>
    <row r="718" spans="1:44" x14ac:dyDescent="0.2">
      <c r="A718" s="370">
        <v>699</v>
      </c>
      <c r="B718" s="380">
        <v>497</v>
      </c>
      <c r="C718" s="371" t="s">
        <v>2269</v>
      </c>
      <c r="D718" s="371" t="s">
        <v>2235</v>
      </c>
      <c r="E718" s="206"/>
      <c r="F718" s="206" t="s">
        <v>46</v>
      </c>
      <c r="G718" s="206" t="s">
        <v>46</v>
      </c>
      <c r="H718" s="371" t="s">
        <v>2271</v>
      </c>
      <c r="I718" s="206" t="s">
        <v>1454</v>
      </c>
      <c r="J718" s="206" t="s">
        <v>1454</v>
      </c>
      <c r="K718" s="371" t="s">
        <v>2271</v>
      </c>
      <c r="L718" s="206" t="s">
        <v>2181</v>
      </c>
      <c r="M718" s="206" t="s">
        <v>1352</v>
      </c>
      <c r="N718" s="206" t="s">
        <v>59</v>
      </c>
      <c r="O718" s="372" t="s">
        <v>2183</v>
      </c>
      <c r="P718" s="372">
        <v>46041</v>
      </c>
      <c r="Q718" s="371" t="s">
        <v>2276</v>
      </c>
      <c r="R718" s="373">
        <v>26760</v>
      </c>
      <c r="S718" s="373">
        <v>26760</v>
      </c>
      <c r="T718" s="371" t="s">
        <v>2271</v>
      </c>
      <c r="U718" s="373">
        <v>11890</v>
      </c>
      <c r="V718" s="373">
        <v>11890</v>
      </c>
      <c r="W718" s="371" t="s">
        <v>2271</v>
      </c>
      <c r="X718" s="373">
        <v>14870</v>
      </c>
      <c r="Y718" s="373">
        <v>14870</v>
      </c>
      <c r="Z718" s="371" t="s">
        <v>2271</v>
      </c>
      <c r="AA718" s="373">
        <v>0</v>
      </c>
      <c r="AB718" s="373">
        <v>14900</v>
      </c>
      <c r="AC718" s="373">
        <v>14900</v>
      </c>
      <c r="AD718" s="371" t="s">
        <v>2271</v>
      </c>
      <c r="AE718" s="373">
        <v>0</v>
      </c>
      <c r="AF718" s="382">
        <v>0.47152777777777799</v>
      </c>
      <c r="AG718" s="382">
        <v>0.47152777777777799</v>
      </c>
      <c r="AH718" s="371" t="s">
        <v>2271</v>
      </c>
      <c r="AI718" s="382">
        <v>0.55000000000000004</v>
      </c>
      <c r="AJ718" s="382">
        <v>0.55000000000000004</v>
      </c>
      <c r="AK718" s="371" t="s">
        <v>2271</v>
      </c>
      <c r="AL718" s="206" t="s">
        <v>137</v>
      </c>
      <c r="AM718" s="206" t="s">
        <v>137</v>
      </c>
      <c r="AN718" s="371" t="s">
        <v>2271</v>
      </c>
      <c r="AO718" s="206" t="s">
        <v>2885</v>
      </c>
      <c r="AP718" s="206" t="s">
        <v>1393</v>
      </c>
      <c r="AQ718" s="206" t="s">
        <v>1132</v>
      </c>
      <c r="AR718" s="207" t="s">
        <v>75</v>
      </c>
    </row>
    <row r="719" spans="1:44" x14ac:dyDescent="0.2">
      <c r="A719" s="370">
        <v>700</v>
      </c>
      <c r="B719" s="380">
        <v>498</v>
      </c>
      <c r="C719" s="371" t="s">
        <v>2269</v>
      </c>
      <c r="D719" s="371" t="s">
        <v>2235</v>
      </c>
      <c r="E719" s="206"/>
      <c r="F719" s="206" t="s">
        <v>70</v>
      </c>
      <c r="G719" s="206" t="s">
        <v>70</v>
      </c>
      <c r="H719" s="371" t="s">
        <v>2271</v>
      </c>
      <c r="I719" s="206" t="s">
        <v>1454</v>
      </c>
      <c r="J719" s="206" t="s">
        <v>1454</v>
      </c>
      <c r="K719" s="371" t="s">
        <v>2271</v>
      </c>
      <c r="L719" s="206" t="s">
        <v>2181</v>
      </c>
      <c r="M719" s="206" t="s">
        <v>1352</v>
      </c>
      <c r="N719" s="206" t="s">
        <v>59</v>
      </c>
      <c r="O719" s="372" t="s">
        <v>2183</v>
      </c>
      <c r="P719" s="372">
        <v>46041</v>
      </c>
      <c r="Q719" s="371" t="s">
        <v>2276</v>
      </c>
      <c r="R719" s="373">
        <v>45830</v>
      </c>
      <c r="S719" s="373">
        <v>45830</v>
      </c>
      <c r="T719" s="371" t="s">
        <v>2271</v>
      </c>
      <c r="U719" s="373">
        <v>17420</v>
      </c>
      <c r="V719" s="373">
        <v>17420</v>
      </c>
      <c r="W719" s="371" t="s">
        <v>2271</v>
      </c>
      <c r="X719" s="373">
        <v>28410</v>
      </c>
      <c r="Y719" s="373">
        <v>28410</v>
      </c>
      <c r="Z719" s="371" t="s">
        <v>2271</v>
      </c>
      <c r="AA719" s="373">
        <v>0</v>
      </c>
      <c r="AB719" s="373">
        <v>28520</v>
      </c>
      <c r="AC719" s="373">
        <v>28520</v>
      </c>
      <c r="AD719" s="371" t="s">
        <v>2271</v>
      </c>
      <c r="AE719" s="373">
        <v>0</v>
      </c>
      <c r="AF719" s="382">
        <v>0.48055555555555601</v>
      </c>
      <c r="AG719" s="382">
        <v>0.48055555555555601</v>
      </c>
      <c r="AH719" s="371" t="s">
        <v>2271</v>
      </c>
      <c r="AI719" s="382">
        <v>0.55208333333333304</v>
      </c>
      <c r="AJ719" s="382">
        <v>0.55208333333333304</v>
      </c>
      <c r="AK719" s="371" t="s">
        <v>2271</v>
      </c>
      <c r="AL719" s="206" t="s">
        <v>137</v>
      </c>
      <c r="AM719" s="206" t="s">
        <v>137</v>
      </c>
      <c r="AN719" s="371" t="s">
        <v>2271</v>
      </c>
      <c r="AO719" s="206" t="s">
        <v>2886</v>
      </c>
      <c r="AP719" s="206" t="s">
        <v>1499</v>
      </c>
      <c r="AQ719" s="206" t="s">
        <v>1133</v>
      </c>
      <c r="AR719" s="207" t="s">
        <v>75</v>
      </c>
    </row>
    <row r="720" spans="1:44" x14ac:dyDescent="0.2">
      <c r="A720" s="370">
        <v>701</v>
      </c>
      <c r="B720" s="380">
        <v>499</v>
      </c>
      <c r="C720" s="371" t="s">
        <v>2269</v>
      </c>
      <c r="D720" s="371" t="s">
        <v>2235</v>
      </c>
      <c r="E720" s="206"/>
      <c r="F720" s="206" t="s">
        <v>56</v>
      </c>
      <c r="G720" s="206" t="s">
        <v>56</v>
      </c>
      <c r="H720" s="371" t="s">
        <v>2271</v>
      </c>
      <c r="I720" s="206" t="s">
        <v>1454</v>
      </c>
      <c r="J720" s="206" t="s">
        <v>1454</v>
      </c>
      <c r="K720" s="371" t="s">
        <v>2271</v>
      </c>
      <c r="L720" s="206" t="s">
        <v>2181</v>
      </c>
      <c r="M720" s="206" t="s">
        <v>1352</v>
      </c>
      <c r="N720" s="206" t="s">
        <v>59</v>
      </c>
      <c r="O720" s="372" t="s">
        <v>2183</v>
      </c>
      <c r="P720" s="372">
        <v>46041</v>
      </c>
      <c r="Q720" s="371" t="s">
        <v>2276</v>
      </c>
      <c r="R720" s="373">
        <v>24990</v>
      </c>
      <c r="S720" s="373">
        <v>24990</v>
      </c>
      <c r="T720" s="371" t="s">
        <v>2271</v>
      </c>
      <c r="U720" s="373">
        <v>10660</v>
      </c>
      <c r="V720" s="373">
        <v>10660</v>
      </c>
      <c r="W720" s="371" t="s">
        <v>2271</v>
      </c>
      <c r="X720" s="373">
        <v>14330</v>
      </c>
      <c r="Y720" s="373">
        <v>14330</v>
      </c>
      <c r="Z720" s="371" t="s">
        <v>2271</v>
      </c>
      <c r="AA720" s="373">
        <v>0</v>
      </c>
      <c r="AB720" s="373">
        <v>14340</v>
      </c>
      <c r="AC720" s="373">
        <v>14340</v>
      </c>
      <c r="AD720" s="371" t="s">
        <v>2271</v>
      </c>
      <c r="AE720" s="373">
        <v>0</v>
      </c>
      <c r="AF720" s="382">
        <v>0.71458333333333302</v>
      </c>
      <c r="AG720" s="382">
        <v>0.71458333333333302</v>
      </c>
      <c r="AH720" s="371" t="s">
        <v>2271</v>
      </c>
      <c r="AI720" s="382">
        <v>0.75347222222222199</v>
      </c>
      <c r="AJ720" s="382">
        <v>0.75347222222222199</v>
      </c>
      <c r="AK720" s="371" t="s">
        <v>2271</v>
      </c>
      <c r="AL720" s="206" t="s">
        <v>42</v>
      </c>
      <c r="AM720" s="206" t="s">
        <v>42</v>
      </c>
      <c r="AN720" s="371" t="s">
        <v>2271</v>
      </c>
      <c r="AO720" s="206" t="s">
        <v>2887</v>
      </c>
      <c r="AP720" s="206" t="s">
        <v>1781</v>
      </c>
      <c r="AQ720" s="206" t="s">
        <v>1132</v>
      </c>
      <c r="AR720" s="207" t="s">
        <v>75</v>
      </c>
    </row>
    <row r="721" spans="1:44" x14ac:dyDescent="0.2">
      <c r="A721" s="370">
        <v>702</v>
      </c>
      <c r="B721" s="380">
        <v>500</v>
      </c>
      <c r="C721" s="371" t="s">
        <v>2269</v>
      </c>
      <c r="D721" s="371" t="s">
        <v>2235</v>
      </c>
      <c r="E721" s="206"/>
      <c r="F721" s="206" t="s">
        <v>46</v>
      </c>
      <c r="G721" s="206" t="s">
        <v>46</v>
      </c>
      <c r="H721" s="371" t="s">
        <v>2271</v>
      </c>
      <c r="I721" s="206" t="s">
        <v>1454</v>
      </c>
      <c r="J721" s="206" t="s">
        <v>1454</v>
      </c>
      <c r="K721" s="371" t="s">
        <v>2271</v>
      </c>
      <c r="L721" s="206" t="s">
        <v>2181</v>
      </c>
      <c r="M721" s="206" t="s">
        <v>1352</v>
      </c>
      <c r="N721" s="206" t="s">
        <v>59</v>
      </c>
      <c r="O721" s="372" t="s">
        <v>2183</v>
      </c>
      <c r="P721" s="372">
        <v>46041</v>
      </c>
      <c r="Q721" s="371" t="s">
        <v>2276</v>
      </c>
      <c r="R721" s="373">
        <v>26680</v>
      </c>
      <c r="S721" s="373">
        <v>26680</v>
      </c>
      <c r="T721" s="371" t="s">
        <v>2271</v>
      </c>
      <c r="U721" s="373">
        <v>11840</v>
      </c>
      <c r="V721" s="373">
        <v>11840</v>
      </c>
      <c r="W721" s="371" t="s">
        <v>2271</v>
      </c>
      <c r="X721" s="373">
        <v>14840</v>
      </c>
      <c r="Y721" s="373">
        <v>14840</v>
      </c>
      <c r="Z721" s="371" t="s">
        <v>2271</v>
      </c>
      <c r="AA721" s="373">
        <v>0</v>
      </c>
      <c r="AB721" s="373">
        <v>14880</v>
      </c>
      <c r="AC721" s="373">
        <v>14880</v>
      </c>
      <c r="AD721" s="371" t="s">
        <v>2271</v>
      </c>
      <c r="AE721" s="373">
        <v>0</v>
      </c>
      <c r="AF721" s="382">
        <v>0.83125000000000004</v>
      </c>
      <c r="AG721" s="382">
        <v>0.83125000000000004</v>
      </c>
      <c r="AH721" s="371" t="s">
        <v>2271</v>
      </c>
      <c r="AI721" s="382">
        <v>0.92013888888888895</v>
      </c>
      <c r="AJ721" s="382">
        <v>0.92013888888888895</v>
      </c>
      <c r="AK721" s="371" t="s">
        <v>2271</v>
      </c>
      <c r="AL721" s="206" t="s">
        <v>42</v>
      </c>
      <c r="AM721" s="206" t="s">
        <v>42</v>
      </c>
      <c r="AN721" s="371" t="s">
        <v>2271</v>
      </c>
      <c r="AO721" s="206" t="s">
        <v>2888</v>
      </c>
      <c r="AP721" s="206" t="s">
        <v>1393</v>
      </c>
      <c r="AQ721" s="206" t="s">
        <v>1132</v>
      </c>
      <c r="AR721" s="207" t="s">
        <v>75</v>
      </c>
    </row>
    <row r="722" spans="1:44" x14ac:dyDescent="0.2">
      <c r="A722" s="370">
        <v>703</v>
      </c>
      <c r="B722" s="380">
        <v>501</v>
      </c>
      <c r="C722" s="371" t="s">
        <v>2269</v>
      </c>
      <c r="D722" s="371" t="s">
        <v>2235</v>
      </c>
      <c r="E722" s="206"/>
      <c r="F722" s="206" t="s">
        <v>70</v>
      </c>
      <c r="G722" s="206" t="s">
        <v>70</v>
      </c>
      <c r="H722" s="371" t="s">
        <v>2271</v>
      </c>
      <c r="I722" s="206" t="s">
        <v>1454</v>
      </c>
      <c r="J722" s="206" t="s">
        <v>1454</v>
      </c>
      <c r="K722" s="371" t="s">
        <v>2271</v>
      </c>
      <c r="L722" s="206" t="s">
        <v>2181</v>
      </c>
      <c r="M722" s="206" t="s">
        <v>1352</v>
      </c>
      <c r="N722" s="206" t="s">
        <v>59</v>
      </c>
      <c r="O722" s="372" t="s">
        <v>2183</v>
      </c>
      <c r="P722" s="372">
        <v>46041</v>
      </c>
      <c r="Q722" s="371" t="s">
        <v>2276</v>
      </c>
      <c r="R722" s="373">
        <v>45810</v>
      </c>
      <c r="S722" s="373">
        <v>45810</v>
      </c>
      <c r="T722" s="371" t="s">
        <v>2271</v>
      </c>
      <c r="U722" s="373">
        <v>17430</v>
      </c>
      <c r="V722" s="373">
        <v>17430</v>
      </c>
      <c r="W722" s="371" t="s">
        <v>2271</v>
      </c>
      <c r="X722" s="373">
        <v>28380</v>
      </c>
      <c r="Y722" s="373">
        <v>28380</v>
      </c>
      <c r="Z722" s="371" t="s">
        <v>2271</v>
      </c>
      <c r="AA722" s="373">
        <v>0</v>
      </c>
      <c r="AB722" s="373">
        <v>28480</v>
      </c>
      <c r="AC722" s="373">
        <v>28480</v>
      </c>
      <c r="AD722" s="371" t="s">
        <v>2271</v>
      </c>
      <c r="AE722" s="373">
        <v>0</v>
      </c>
      <c r="AF722" s="382">
        <v>0.90486111111111101</v>
      </c>
      <c r="AG722" s="382">
        <v>0.90486111111111101</v>
      </c>
      <c r="AH722" s="371" t="s">
        <v>2271</v>
      </c>
      <c r="AI722" s="382">
        <v>0.94930555555555596</v>
      </c>
      <c r="AJ722" s="382">
        <v>0.94930555555555596</v>
      </c>
      <c r="AK722" s="371" t="s">
        <v>2271</v>
      </c>
      <c r="AL722" s="206" t="s">
        <v>42</v>
      </c>
      <c r="AM722" s="206" t="s">
        <v>42</v>
      </c>
      <c r="AN722" s="371" t="s">
        <v>2271</v>
      </c>
      <c r="AO722" s="206" t="s">
        <v>2889</v>
      </c>
      <c r="AP722" s="206" t="s">
        <v>1499</v>
      </c>
      <c r="AQ722" s="206" t="s">
        <v>1133</v>
      </c>
      <c r="AR722" s="207" t="s">
        <v>75</v>
      </c>
    </row>
    <row r="723" spans="1:44" x14ac:dyDescent="0.2">
      <c r="A723" s="370">
        <v>704</v>
      </c>
      <c r="B723" s="380">
        <v>502</v>
      </c>
      <c r="C723" s="371" t="s">
        <v>2269</v>
      </c>
      <c r="D723" s="371" t="s">
        <v>2235</v>
      </c>
      <c r="E723" s="206"/>
      <c r="F723" s="206" t="s">
        <v>46</v>
      </c>
      <c r="G723" s="206" t="s">
        <v>46</v>
      </c>
      <c r="H723" s="371" t="s">
        <v>2271</v>
      </c>
      <c r="I723" s="206" t="s">
        <v>1454</v>
      </c>
      <c r="J723" s="206" t="s">
        <v>1454</v>
      </c>
      <c r="K723" s="371" t="s">
        <v>2271</v>
      </c>
      <c r="L723" s="206" t="s">
        <v>2181</v>
      </c>
      <c r="M723" s="206" t="s">
        <v>1352</v>
      </c>
      <c r="N723" s="206" t="s">
        <v>59</v>
      </c>
      <c r="O723" s="372" t="s">
        <v>2184</v>
      </c>
      <c r="P723" s="372">
        <v>46042</v>
      </c>
      <c r="Q723" s="371" t="s">
        <v>2276</v>
      </c>
      <c r="R723" s="373">
        <v>26700</v>
      </c>
      <c r="S723" s="373">
        <v>26700</v>
      </c>
      <c r="T723" s="371" t="s">
        <v>2271</v>
      </c>
      <c r="U723" s="373">
        <v>11830</v>
      </c>
      <c r="V723" s="373">
        <v>11830</v>
      </c>
      <c r="W723" s="371" t="s">
        <v>2271</v>
      </c>
      <c r="X723" s="373">
        <v>14870</v>
      </c>
      <c r="Y723" s="373">
        <v>14870</v>
      </c>
      <c r="Z723" s="371" t="s">
        <v>2271</v>
      </c>
      <c r="AA723" s="373">
        <v>0</v>
      </c>
      <c r="AB723" s="373">
        <v>14900</v>
      </c>
      <c r="AC723" s="373">
        <v>14900</v>
      </c>
      <c r="AD723" s="371" t="s">
        <v>2271</v>
      </c>
      <c r="AE723" s="373">
        <v>0</v>
      </c>
      <c r="AF723" s="382">
        <v>0.47638888888888897</v>
      </c>
      <c r="AG723" s="382">
        <v>0.47638888888888897</v>
      </c>
      <c r="AH723" s="371" t="s">
        <v>2271</v>
      </c>
      <c r="AI723" s="382">
        <v>0.56527777777777799</v>
      </c>
      <c r="AJ723" s="382">
        <v>0.56527777777777799</v>
      </c>
      <c r="AK723" s="371" t="s">
        <v>2271</v>
      </c>
      <c r="AL723" s="206" t="s">
        <v>137</v>
      </c>
      <c r="AM723" s="206" t="s">
        <v>137</v>
      </c>
      <c r="AN723" s="371" t="s">
        <v>2271</v>
      </c>
      <c r="AO723" s="206" t="s">
        <v>2890</v>
      </c>
      <c r="AP723" s="206" t="s">
        <v>1393</v>
      </c>
      <c r="AQ723" s="206" t="s">
        <v>1132</v>
      </c>
      <c r="AR723" s="207" t="s">
        <v>75</v>
      </c>
    </row>
    <row r="724" spans="1:44" x14ac:dyDescent="0.2">
      <c r="A724" s="370">
        <v>705</v>
      </c>
      <c r="B724" s="380">
        <v>503</v>
      </c>
      <c r="C724" s="371" t="s">
        <v>2269</v>
      </c>
      <c r="D724" s="371" t="s">
        <v>2235</v>
      </c>
      <c r="E724" s="206"/>
      <c r="F724" s="206" t="s">
        <v>56</v>
      </c>
      <c r="G724" s="206" t="s">
        <v>56</v>
      </c>
      <c r="H724" s="371" t="s">
        <v>2271</v>
      </c>
      <c r="I724" s="206" t="s">
        <v>1454</v>
      </c>
      <c r="J724" s="206" t="s">
        <v>1454</v>
      </c>
      <c r="K724" s="371" t="s">
        <v>2271</v>
      </c>
      <c r="L724" s="206" t="s">
        <v>2181</v>
      </c>
      <c r="M724" s="206" t="s">
        <v>1352</v>
      </c>
      <c r="N724" s="206" t="s">
        <v>59</v>
      </c>
      <c r="O724" s="372" t="s">
        <v>2184</v>
      </c>
      <c r="P724" s="372">
        <v>46042</v>
      </c>
      <c r="Q724" s="371" t="s">
        <v>2276</v>
      </c>
      <c r="R724" s="373">
        <v>25100</v>
      </c>
      <c r="S724" s="373">
        <v>25100</v>
      </c>
      <c r="T724" s="371" t="s">
        <v>2271</v>
      </c>
      <c r="U724" s="373">
        <v>10770</v>
      </c>
      <c r="V724" s="373">
        <v>10770</v>
      </c>
      <c r="W724" s="371" t="s">
        <v>2271</v>
      </c>
      <c r="X724" s="373">
        <v>14330</v>
      </c>
      <c r="Y724" s="373">
        <v>14330</v>
      </c>
      <c r="Z724" s="371" t="s">
        <v>2271</v>
      </c>
      <c r="AA724" s="373">
        <v>0</v>
      </c>
      <c r="AB724" s="373">
        <v>14380</v>
      </c>
      <c r="AC724" s="373">
        <v>14380</v>
      </c>
      <c r="AD724" s="371" t="s">
        <v>2271</v>
      </c>
      <c r="AE724" s="373">
        <v>0</v>
      </c>
      <c r="AF724" s="382">
        <v>0.483333333333333</v>
      </c>
      <c r="AG724" s="382">
        <v>0.483333333333333</v>
      </c>
      <c r="AH724" s="371" t="s">
        <v>2271</v>
      </c>
      <c r="AI724" s="382">
        <v>0.55555555555555602</v>
      </c>
      <c r="AJ724" s="382">
        <v>0.55555555555555602</v>
      </c>
      <c r="AK724" s="371" t="s">
        <v>2271</v>
      </c>
      <c r="AL724" s="206" t="s">
        <v>137</v>
      </c>
      <c r="AM724" s="206" t="s">
        <v>137</v>
      </c>
      <c r="AN724" s="371" t="s">
        <v>2271</v>
      </c>
      <c r="AO724" s="206" t="s">
        <v>2891</v>
      </c>
      <c r="AP724" s="206" t="s">
        <v>1781</v>
      </c>
      <c r="AQ724" s="206" t="s">
        <v>1132</v>
      </c>
      <c r="AR724" s="207" t="s">
        <v>75</v>
      </c>
    </row>
    <row r="725" spans="1:44" x14ac:dyDescent="0.2">
      <c r="A725" s="370">
        <v>706</v>
      </c>
      <c r="B725" s="380">
        <v>504</v>
      </c>
      <c r="C725" s="371" t="s">
        <v>2269</v>
      </c>
      <c r="D725" s="371" t="s">
        <v>2235</v>
      </c>
      <c r="E725" s="206"/>
      <c r="F725" s="206" t="s">
        <v>70</v>
      </c>
      <c r="G725" s="206" t="s">
        <v>70</v>
      </c>
      <c r="H725" s="371" t="s">
        <v>2271</v>
      </c>
      <c r="I725" s="206" t="s">
        <v>1454</v>
      </c>
      <c r="J725" s="206" t="s">
        <v>1454</v>
      </c>
      <c r="K725" s="371" t="s">
        <v>2271</v>
      </c>
      <c r="L725" s="206" t="s">
        <v>2181</v>
      </c>
      <c r="M725" s="206" t="s">
        <v>1352</v>
      </c>
      <c r="N725" s="206" t="s">
        <v>59</v>
      </c>
      <c r="O725" s="372" t="s">
        <v>2184</v>
      </c>
      <c r="P725" s="372">
        <v>46042</v>
      </c>
      <c r="Q725" s="371" t="s">
        <v>2276</v>
      </c>
      <c r="R725" s="373">
        <v>45770</v>
      </c>
      <c r="S725" s="373">
        <v>45770</v>
      </c>
      <c r="T725" s="371" t="s">
        <v>2271</v>
      </c>
      <c r="U725" s="373">
        <v>17390</v>
      </c>
      <c r="V725" s="373">
        <v>17390</v>
      </c>
      <c r="W725" s="371" t="s">
        <v>2271</v>
      </c>
      <c r="X725" s="373">
        <v>28380</v>
      </c>
      <c r="Y725" s="373">
        <v>28380</v>
      </c>
      <c r="Z725" s="371" t="s">
        <v>2271</v>
      </c>
      <c r="AA725" s="373">
        <v>0</v>
      </c>
      <c r="AB725" s="373">
        <v>28420</v>
      </c>
      <c r="AC725" s="373">
        <v>28420</v>
      </c>
      <c r="AD725" s="371" t="s">
        <v>2271</v>
      </c>
      <c r="AE725" s="373">
        <v>0</v>
      </c>
      <c r="AF725" s="382">
        <v>0.55069444444444404</v>
      </c>
      <c r="AG725" s="382">
        <v>0.55069444444444504</v>
      </c>
      <c r="AH725" s="371" t="s">
        <v>2276</v>
      </c>
      <c r="AI725" s="382">
        <v>0.60069444444444398</v>
      </c>
      <c r="AJ725" s="382">
        <v>0.60069444444444398</v>
      </c>
      <c r="AK725" s="371" t="s">
        <v>2271</v>
      </c>
      <c r="AL725" s="206" t="s">
        <v>137</v>
      </c>
      <c r="AM725" s="206" t="s">
        <v>137</v>
      </c>
      <c r="AN725" s="371" t="s">
        <v>2271</v>
      </c>
      <c r="AO725" s="206" t="s">
        <v>2892</v>
      </c>
      <c r="AP725" s="206" t="s">
        <v>1499</v>
      </c>
      <c r="AQ725" s="206" t="s">
        <v>1133</v>
      </c>
      <c r="AR725" s="207" t="s">
        <v>75</v>
      </c>
    </row>
    <row r="726" spans="1:44" x14ac:dyDescent="0.2">
      <c r="A726" s="370">
        <v>707</v>
      </c>
      <c r="B726" s="380">
        <v>505</v>
      </c>
      <c r="C726" s="371" t="s">
        <v>2269</v>
      </c>
      <c r="D726" s="371" t="s">
        <v>2235</v>
      </c>
      <c r="E726" s="206"/>
      <c r="F726" s="206" t="s">
        <v>56</v>
      </c>
      <c r="G726" s="206" t="s">
        <v>56</v>
      </c>
      <c r="H726" s="371" t="s">
        <v>2271</v>
      </c>
      <c r="I726" s="206" t="s">
        <v>1454</v>
      </c>
      <c r="J726" s="206" t="s">
        <v>1454</v>
      </c>
      <c r="K726" s="371" t="s">
        <v>2271</v>
      </c>
      <c r="L726" s="206" t="s">
        <v>2181</v>
      </c>
      <c r="M726" s="206" t="s">
        <v>1352</v>
      </c>
      <c r="N726" s="206" t="s">
        <v>59</v>
      </c>
      <c r="O726" s="372" t="s">
        <v>2184</v>
      </c>
      <c r="P726" s="372">
        <v>46042</v>
      </c>
      <c r="Q726" s="371" t="s">
        <v>2276</v>
      </c>
      <c r="R726" s="373">
        <v>25080</v>
      </c>
      <c r="S726" s="373">
        <v>25080</v>
      </c>
      <c r="T726" s="371" t="s">
        <v>2271</v>
      </c>
      <c r="U726" s="373">
        <v>10730</v>
      </c>
      <c r="V726" s="373">
        <v>10730</v>
      </c>
      <c r="W726" s="371" t="s">
        <v>2271</v>
      </c>
      <c r="X726" s="373">
        <v>14350</v>
      </c>
      <c r="Y726" s="373">
        <v>14350</v>
      </c>
      <c r="Z726" s="371" t="s">
        <v>2271</v>
      </c>
      <c r="AA726" s="373">
        <v>0</v>
      </c>
      <c r="AB726" s="373">
        <v>14340</v>
      </c>
      <c r="AC726" s="373">
        <v>14340</v>
      </c>
      <c r="AD726" s="371" t="s">
        <v>2271</v>
      </c>
      <c r="AE726" s="373">
        <v>0</v>
      </c>
      <c r="AF726" s="382">
        <v>0.718055555555556</v>
      </c>
      <c r="AG726" s="382">
        <v>0.718055555555556</v>
      </c>
      <c r="AH726" s="371" t="s">
        <v>2271</v>
      </c>
      <c r="AI726" s="382">
        <v>0.76249999999999996</v>
      </c>
      <c r="AJ726" s="382">
        <v>0.76249999999999996</v>
      </c>
      <c r="AK726" s="371" t="s">
        <v>2271</v>
      </c>
      <c r="AL726" s="206" t="s">
        <v>42</v>
      </c>
      <c r="AM726" s="206" t="s">
        <v>42</v>
      </c>
      <c r="AN726" s="371" t="s">
        <v>2271</v>
      </c>
      <c r="AO726" s="206" t="s">
        <v>2893</v>
      </c>
      <c r="AP726" s="206" t="s">
        <v>1781</v>
      </c>
      <c r="AQ726" s="206" t="s">
        <v>1132</v>
      </c>
      <c r="AR726" s="207" t="s">
        <v>75</v>
      </c>
    </row>
    <row r="727" spans="1:44" x14ac:dyDescent="0.2">
      <c r="A727" s="370">
        <v>708</v>
      </c>
      <c r="B727" s="380">
        <v>506</v>
      </c>
      <c r="C727" s="371" t="s">
        <v>2269</v>
      </c>
      <c r="D727" s="371" t="s">
        <v>2235</v>
      </c>
      <c r="E727" s="206"/>
      <c r="F727" s="206" t="s">
        <v>46</v>
      </c>
      <c r="G727" s="206" t="s">
        <v>46</v>
      </c>
      <c r="H727" s="371" t="s">
        <v>2271</v>
      </c>
      <c r="I727" s="206" t="s">
        <v>1454</v>
      </c>
      <c r="J727" s="206" t="s">
        <v>1454</v>
      </c>
      <c r="K727" s="371" t="s">
        <v>2271</v>
      </c>
      <c r="L727" s="206" t="s">
        <v>2181</v>
      </c>
      <c r="M727" s="206" t="s">
        <v>1352</v>
      </c>
      <c r="N727" s="206" t="s">
        <v>59</v>
      </c>
      <c r="O727" s="372" t="s">
        <v>2184</v>
      </c>
      <c r="P727" s="372">
        <v>46042</v>
      </c>
      <c r="Q727" s="371" t="s">
        <v>2276</v>
      </c>
      <c r="R727" s="373">
        <v>26660</v>
      </c>
      <c r="S727" s="373">
        <v>26660</v>
      </c>
      <c r="T727" s="371" t="s">
        <v>2271</v>
      </c>
      <c r="U727" s="373">
        <v>11780</v>
      </c>
      <c r="V727" s="373">
        <v>11780</v>
      </c>
      <c r="W727" s="371" t="s">
        <v>2271</v>
      </c>
      <c r="X727" s="373">
        <v>14880</v>
      </c>
      <c r="Y727" s="373">
        <v>14880</v>
      </c>
      <c r="Z727" s="371" t="s">
        <v>2271</v>
      </c>
      <c r="AA727" s="373">
        <v>0</v>
      </c>
      <c r="AB727" s="373">
        <v>14880</v>
      </c>
      <c r="AC727" s="373">
        <v>14880</v>
      </c>
      <c r="AD727" s="371" t="s">
        <v>2271</v>
      </c>
      <c r="AE727" s="373">
        <v>0</v>
      </c>
      <c r="AF727" s="382">
        <v>0.72430555555555598</v>
      </c>
      <c r="AG727" s="382">
        <v>0.72430555555555598</v>
      </c>
      <c r="AH727" s="371" t="s">
        <v>2271</v>
      </c>
      <c r="AI727" s="382">
        <v>0.76458333333333295</v>
      </c>
      <c r="AJ727" s="382">
        <v>0.76458333333333295</v>
      </c>
      <c r="AK727" s="371" t="s">
        <v>2271</v>
      </c>
      <c r="AL727" s="206" t="s">
        <v>42</v>
      </c>
      <c r="AM727" s="206" t="s">
        <v>42</v>
      </c>
      <c r="AN727" s="371" t="s">
        <v>2271</v>
      </c>
      <c r="AO727" s="206" t="s">
        <v>2894</v>
      </c>
      <c r="AP727" s="206" t="s">
        <v>1393</v>
      </c>
      <c r="AQ727" s="206" t="s">
        <v>1132</v>
      </c>
      <c r="AR727" s="207" t="s">
        <v>75</v>
      </c>
    </row>
    <row r="728" spans="1:44" x14ac:dyDescent="0.2">
      <c r="A728" s="370">
        <v>709</v>
      </c>
      <c r="B728" s="380">
        <v>507</v>
      </c>
      <c r="C728" s="371" t="s">
        <v>2269</v>
      </c>
      <c r="D728" s="371" t="s">
        <v>2235</v>
      </c>
      <c r="E728" s="206"/>
      <c r="F728" s="206" t="s">
        <v>76</v>
      </c>
      <c r="G728" s="206" t="s">
        <v>76</v>
      </c>
      <c r="H728" s="371" t="s">
        <v>2271</v>
      </c>
      <c r="I728" s="206" t="s">
        <v>1454</v>
      </c>
      <c r="J728" s="206" t="s">
        <v>1454</v>
      </c>
      <c r="K728" s="371" t="s">
        <v>2271</v>
      </c>
      <c r="L728" s="206" t="s">
        <v>2181</v>
      </c>
      <c r="M728" s="206" t="s">
        <v>1352</v>
      </c>
      <c r="N728" s="206" t="s">
        <v>59</v>
      </c>
      <c r="O728" s="372" t="s">
        <v>2184</v>
      </c>
      <c r="P728" s="372">
        <v>46042</v>
      </c>
      <c r="Q728" s="371" t="s">
        <v>2276</v>
      </c>
      <c r="R728" s="373">
        <v>45890</v>
      </c>
      <c r="S728" s="373">
        <v>45890</v>
      </c>
      <c r="T728" s="371" t="s">
        <v>2271</v>
      </c>
      <c r="U728" s="373">
        <v>17510</v>
      </c>
      <c r="V728" s="373">
        <v>17510</v>
      </c>
      <c r="W728" s="371" t="s">
        <v>2271</v>
      </c>
      <c r="X728" s="373">
        <v>28380</v>
      </c>
      <c r="Y728" s="373">
        <v>28380</v>
      </c>
      <c r="Z728" s="371" t="s">
        <v>2271</v>
      </c>
      <c r="AA728" s="373">
        <v>0</v>
      </c>
      <c r="AB728" s="373">
        <v>28440</v>
      </c>
      <c r="AC728" s="373">
        <v>28440</v>
      </c>
      <c r="AD728" s="371" t="s">
        <v>2271</v>
      </c>
      <c r="AE728" s="373">
        <v>0</v>
      </c>
      <c r="AF728" s="382">
        <v>0.79305555555555596</v>
      </c>
      <c r="AG728" s="382">
        <v>0.79305555555555596</v>
      </c>
      <c r="AH728" s="371" t="s">
        <v>2271</v>
      </c>
      <c r="AI728" s="382">
        <v>0.84583333333333299</v>
      </c>
      <c r="AJ728" s="382">
        <v>0.84583333333333299</v>
      </c>
      <c r="AK728" s="371" t="s">
        <v>2271</v>
      </c>
      <c r="AL728" s="206" t="s">
        <v>42</v>
      </c>
      <c r="AM728" s="206" t="s">
        <v>42</v>
      </c>
      <c r="AN728" s="371" t="s">
        <v>2271</v>
      </c>
      <c r="AO728" s="206" t="s">
        <v>2895</v>
      </c>
      <c r="AP728" s="206" t="s">
        <v>1372</v>
      </c>
      <c r="AQ728" s="206" t="s">
        <v>1133</v>
      </c>
      <c r="AR728" s="207" t="s">
        <v>75</v>
      </c>
    </row>
    <row r="729" spans="1:44" x14ac:dyDescent="0.2">
      <c r="A729" s="370">
        <v>710</v>
      </c>
      <c r="B729" s="380">
        <v>508</v>
      </c>
      <c r="C729" s="371" t="s">
        <v>2269</v>
      </c>
      <c r="D729" s="371" t="s">
        <v>2235</v>
      </c>
      <c r="E729" s="206"/>
      <c r="F729" s="206" t="s">
        <v>70</v>
      </c>
      <c r="G729" s="206" t="s">
        <v>70</v>
      </c>
      <c r="H729" s="371" t="s">
        <v>2271</v>
      </c>
      <c r="I729" s="206" t="s">
        <v>1454</v>
      </c>
      <c r="J729" s="206" t="s">
        <v>1454</v>
      </c>
      <c r="K729" s="371" t="s">
        <v>2271</v>
      </c>
      <c r="L729" s="206" t="s">
        <v>2181</v>
      </c>
      <c r="M729" s="206" t="s">
        <v>1352</v>
      </c>
      <c r="N729" s="206" t="s">
        <v>59</v>
      </c>
      <c r="O729" s="372" t="s">
        <v>2184</v>
      </c>
      <c r="P729" s="372">
        <v>46042</v>
      </c>
      <c r="Q729" s="371" t="s">
        <v>2276</v>
      </c>
      <c r="R729" s="373">
        <v>45940</v>
      </c>
      <c r="S729" s="373">
        <v>45940</v>
      </c>
      <c r="T729" s="371" t="s">
        <v>2271</v>
      </c>
      <c r="U729" s="373">
        <v>17560</v>
      </c>
      <c r="V729" s="373">
        <v>17560</v>
      </c>
      <c r="W729" s="371" t="s">
        <v>2271</v>
      </c>
      <c r="X729" s="373">
        <v>28380</v>
      </c>
      <c r="Y729" s="373">
        <v>28380</v>
      </c>
      <c r="Z729" s="371" t="s">
        <v>2271</v>
      </c>
      <c r="AA729" s="373">
        <v>0</v>
      </c>
      <c r="AB729" s="373">
        <v>28400</v>
      </c>
      <c r="AC729" s="373">
        <v>28400</v>
      </c>
      <c r="AD729" s="371" t="s">
        <v>2271</v>
      </c>
      <c r="AE729" s="373">
        <v>0</v>
      </c>
      <c r="AF729" s="382">
        <v>0.79444444444444395</v>
      </c>
      <c r="AG729" s="382">
        <v>0.79444444444444395</v>
      </c>
      <c r="AH729" s="371" t="s">
        <v>2271</v>
      </c>
      <c r="AI729" s="382">
        <v>0.84930555555555598</v>
      </c>
      <c r="AJ729" s="382">
        <v>0.84930555555555598</v>
      </c>
      <c r="AK729" s="371" t="s">
        <v>2271</v>
      </c>
      <c r="AL729" s="206" t="s">
        <v>42</v>
      </c>
      <c r="AM729" s="206" t="s">
        <v>42</v>
      </c>
      <c r="AN729" s="371" t="s">
        <v>2271</v>
      </c>
      <c r="AO729" s="206" t="s">
        <v>2896</v>
      </c>
      <c r="AP729" s="206" t="s">
        <v>1499</v>
      </c>
      <c r="AQ729" s="206" t="s">
        <v>1133</v>
      </c>
      <c r="AR729" s="207" t="s">
        <v>75</v>
      </c>
    </row>
    <row r="730" spans="1:44" x14ac:dyDescent="0.2">
      <c r="A730" s="370">
        <v>711</v>
      </c>
      <c r="B730" s="380">
        <v>511</v>
      </c>
      <c r="C730" s="371" t="s">
        <v>2269</v>
      </c>
      <c r="D730" s="371" t="s">
        <v>2235</v>
      </c>
      <c r="E730" s="206"/>
      <c r="F730" s="206" t="s">
        <v>84</v>
      </c>
      <c r="G730" s="206" t="s">
        <v>84</v>
      </c>
      <c r="H730" s="371" t="s">
        <v>2271</v>
      </c>
      <c r="I730" s="206" t="s">
        <v>1454</v>
      </c>
      <c r="J730" s="206" t="s">
        <v>1454</v>
      </c>
      <c r="K730" s="371" t="s">
        <v>2271</v>
      </c>
      <c r="L730" s="206" t="s">
        <v>2181</v>
      </c>
      <c r="M730" s="206" t="s">
        <v>1352</v>
      </c>
      <c r="N730" s="206" t="s">
        <v>59</v>
      </c>
      <c r="O730" s="372" t="s">
        <v>2185</v>
      </c>
      <c r="P730" s="372">
        <v>46043</v>
      </c>
      <c r="Q730" s="371" t="s">
        <v>2276</v>
      </c>
      <c r="R730" s="373">
        <v>26760</v>
      </c>
      <c r="S730" s="373">
        <v>26760</v>
      </c>
      <c r="T730" s="371" t="s">
        <v>2271</v>
      </c>
      <c r="U730" s="373">
        <v>11890</v>
      </c>
      <c r="V730" s="373">
        <v>11890</v>
      </c>
      <c r="W730" s="371" t="s">
        <v>2271</v>
      </c>
      <c r="X730" s="373">
        <v>14870</v>
      </c>
      <c r="Y730" s="373">
        <v>14870</v>
      </c>
      <c r="Z730" s="371" t="s">
        <v>2271</v>
      </c>
      <c r="AA730" s="373">
        <v>0</v>
      </c>
      <c r="AB730" s="373">
        <v>14900</v>
      </c>
      <c r="AC730" s="373">
        <v>14900</v>
      </c>
      <c r="AD730" s="371" t="s">
        <v>2271</v>
      </c>
      <c r="AE730" s="373">
        <v>0</v>
      </c>
      <c r="AF730" s="382">
        <v>0.48194444444444401</v>
      </c>
      <c r="AG730" s="382">
        <v>0.48194444444444501</v>
      </c>
      <c r="AH730" s="371" t="s">
        <v>2276</v>
      </c>
      <c r="AI730" s="382">
        <v>0.55347222222222203</v>
      </c>
      <c r="AJ730" s="382">
        <v>0.55347222222222203</v>
      </c>
      <c r="AK730" s="371" t="s">
        <v>2271</v>
      </c>
      <c r="AL730" s="206" t="s">
        <v>137</v>
      </c>
      <c r="AM730" s="206" t="s">
        <v>137</v>
      </c>
      <c r="AN730" s="371" t="s">
        <v>2271</v>
      </c>
      <c r="AO730" s="206" t="s">
        <v>2897</v>
      </c>
      <c r="AP730" s="206" t="s">
        <v>1782</v>
      </c>
      <c r="AQ730" s="206" t="s">
        <v>1132</v>
      </c>
      <c r="AR730" s="207" t="s">
        <v>75</v>
      </c>
    </row>
    <row r="731" spans="1:44" x14ac:dyDescent="0.2">
      <c r="A731" s="370">
        <v>712</v>
      </c>
      <c r="B731" s="380">
        <v>512</v>
      </c>
      <c r="C731" s="371" t="s">
        <v>2269</v>
      </c>
      <c r="D731" s="371" t="s">
        <v>2235</v>
      </c>
      <c r="E731" s="206"/>
      <c r="F731" s="206" t="s">
        <v>76</v>
      </c>
      <c r="G731" s="206" t="s">
        <v>76</v>
      </c>
      <c r="H731" s="371" t="s">
        <v>2271</v>
      </c>
      <c r="I731" s="206" t="s">
        <v>1454</v>
      </c>
      <c r="J731" s="206" t="s">
        <v>1454</v>
      </c>
      <c r="K731" s="371" t="s">
        <v>2271</v>
      </c>
      <c r="L731" s="206" t="s">
        <v>2181</v>
      </c>
      <c r="M731" s="206" t="s">
        <v>1352</v>
      </c>
      <c r="N731" s="206" t="s">
        <v>59</v>
      </c>
      <c r="O731" s="372" t="s">
        <v>2185</v>
      </c>
      <c r="P731" s="372">
        <v>46043</v>
      </c>
      <c r="Q731" s="371" t="s">
        <v>2276</v>
      </c>
      <c r="R731" s="373">
        <v>45840</v>
      </c>
      <c r="S731" s="373">
        <v>45840</v>
      </c>
      <c r="T731" s="371" t="s">
        <v>2271</v>
      </c>
      <c r="U731" s="373">
        <v>17460</v>
      </c>
      <c r="V731" s="373">
        <v>17460</v>
      </c>
      <c r="W731" s="371" t="s">
        <v>2271</v>
      </c>
      <c r="X731" s="373">
        <v>28380</v>
      </c>
      <c r="Y731" s="373">
        <v>28380</v>
      </c>
      <c r="Z731" s="371" t="s">
        <v>2271</v>
      </c>
      <c r="AA731" s="373">
        <v>0</v>
      </c>
      <c r="AB731" s="373">
        <v>28440</v>
      </c>
      <c r="AC731" s="373">
        <v>28440</v>
      </c>
      <c r="AD731" s="371" t="s">
        <v>2271</v>
      </c>
      <c r="AE731" s="373">
        <v>0</v>
      </c>
      <c r="AF731" s="382">
        <v>0.49166666666666697</v>
      </c>
      <c r="AG731" s="382">
        <v>0.49166666666666697</v>
      </c>
      <c r="AH731" s="371" t="s">
        <v>2271</v>
      </c>
      <c r="AI731" s="382">
        <v>0.56458333333333299</v>
      </c>
      <c r="AJ731" s="382">
        <v>0.56458333333333299</v>
      </c>
      <c r="AK731" s="371" t="s">
        <v>2271</v>
      </c>
      <c r="AL731" s="206" t="s">
        <v>137</v>
      </c>
      <c r="AM731" s="206" t="s">
        <v>137</v>
      </c>
      <c r="AN731" s="371" t="s">
        <v>2271</v>
      </c>
      <c r="AO731" s="206" t="s">
        <v>2898</v>
      </c>
      <c r="AP731" s="206" t="s">
        <v>1372</v>
      </c>
      <c r="AQ731" s="206" t="s">
        <v>1133</v>
      </c>
      <c r="AR731" s="207" t="s">
        <v>75</v>
      </c>
    </row>
    <row r="732" spans="1:44" x14ac:dyDescent="0.2">
      <c r="A732" s="370">
        <v>713</v>
      </c>
      <c r="B732" s="380">
        <v>513</v>
      </c>
      <c r="C732" s="371" t="s">
        <v>2269</v>
      </c>
      <c r="D732" s="371" t="s">
        <v>2235</v>
      </c>
      <c r="E732" s="206"/>
      <c r="F732" s="206" t="s">
        <v>70</v>
      </c>
      <c r="G732" s="206" t="s">
        <v>70</v>
      </c>
      <c r="H732" s="371" t="s">
        <v>2271</v>
      </c>
      <c r="I732" s="206" t="s">
        <v>1454</v>
      </c>
      <c r="J732" s="206" t="s">
        <v>1454</v>
      </c>
      <c r="K732" s="371" t="s">
        <v>2271</v>
      </c>
      <c r="L732" s="206" t="s">
        <v>2181</v>
      </c>
      <c r="M732" s="206" t="s">
        <v>1352</v>
      </c>
      <c r="N732" s="206" t="s">
        <v>59</v>
      </c>
      <c r="O732" s="372" t="s">
        <v>2185</v>
      </c>
      <c r="P732" s="372">
        <v>46043</v>
      </c>
      <c r="Q732" s="371" t="s">
        <v>2276</v>
      </c>
      <c r="R732" s="373">
        <v>45910</v>
      </c>
      <c r="S732" s="373">
        <v>45910</v>
      </c>
      <c r="T732" s="371" t="s">
        <v>2271</v>
      </c>
      <c r="U732" s="373">
        <v>17520</v>
      </c>
      <c r="V732" s="373">
        <v>17520</v>
      </c>
      <c r="W732" s="371" t="s">
        <v>2271</v>
      </c>
      <c r="X732" s="373">
        <v>28390</v>
      </c>
      <c r="Y732" s="373">
        <v>28390</v>
      </c>
      <c r="Z732" s="371" t="s">
        <v>2271</v>
      </c>
      <c r="AA732" s="373">
        <v>0</v>
      </c>
      <c r="AB732" s="373">
        <v>28440</v>
      </c>
      <c r="AC732" s="373">
        <v>28440</v>
      </c>
      <c r="AD732" s="371" t="s">
        <v>2271</v>
      </c>
      <c r="AE732" s="373">
        <v>0</v>
      </c>
      <c r="AF732" s="382">
        <v>0.50624999999999998</v>
      </c>
      <c r="AG732" s="382">
        <v>0.50624999999999998</v>
      </c>
      <c r="AH732" s="371" t="s">
        <v>2271</v>
      </c>
      <c r="AI732" s="382">
        <v>0.56597222222222199</v>
      </c>
      <c r="AJ732" s="382">
        <v>0.56597222222222199</v>
      </c>
      <c r="AK732" s="371" t="s">
        <v>2271</v>
      </c>
      <c r="AL732" s="206" t="s">
        <v>137</v>
      </c>
      <c r="AM732" s="206" t="s">
        <v>137</v>
      </c>
      <c r="AN732" s="371" t="s">
        <v>2271</v>
      </c>
      <c r="AO732" s="206" t="s">
        <v>2899</v>
      </c>
      <c r="AP732" s="206" t="s">
        <v>1499</v>
      </c>
      <c r="AQ732" s="206" t="s">
        <v>1133</v>
      </c>
      <c r="AR732" s="207" t="s">
        <v>75</v>
      </c>
    </row>
    <row r="733" spans="1:44" x14ac:dyDescent="0.2">
      <c r="A733" s="370">
        <v>714</v>
      </c>
      <c r="B733" s="380">
        <v>514</v>
      </c>
      <c r="C733" s="371" t="s">
        <v>2269</v>
      </c>
      <c r="D733" s="371" t="s">
        <v>2235</v>
      </c>
      <c r="E733" s="206"/>
      <c r="F733" s="206" t="s">
        <v>56</v>
      </c>
      <c r="G733" s="206" t="s">
        <v>56</v>
      </c>
      <c r="H733" s="371" t="s">
        <v>2271</v>
      </c>
      <c r="I733" s="206" t="s">
        <v>1454</v>
      </c>
      <c r="J733" s="206" t="s">
        <v>1454</v>
      </c>
      <c r="K733" s="371" t="s">
        <v>2271</v>
      </c>
      <c r="L733" s="206" t="s">
        <v>2181</v>
      </c>
      <c r="M733" s="206" t="s">
        <v>1352</v>
      </c>
      <c r="N733" s="206" t="s">
        <v>59</v>
      </c>
      <c r="O733" s="372" t="s">
        <v>2185</v>
      </c>
      <c r="P733" s="372">
        <v>46043</v>
      </c>
      <c r="Q733" s="371" t="s">
        <v>2276</v>
      </c>
      <c r="R733" s="373">
        <v>25010</v>
      </c>
      <c r="S733" s="373">
        <v>25010</v>
      </c>
      <c r="T733" s="371" t="s">
        <v>2271</v>
      </c>
      <c r="U733" s="373">
        <v>10690</v>
      </c>
      <c r="V733" s="373">
        <v>10690</v>
      </c>
      <c r="W733" s="371" t="s">
        <v>2271</v>
      </c>
      <c r="X733" s="373">
        <v>14320</v>
      </c>
      <c r="Y733" s="373">
        <v>14320</v>
      </c>
      <c r="Z733" s="371" t="s">
        <v>2271</v>
      </c>
      <c r="AA733" s="373">
        <v>0</v>
      </c>
      <c r="AB733" s="373">
        <v>14320</v>
      </c>
      <c r="AC733" s="373">
        <v>14320</v>
      </c>
      <c r="AD733" s="371" t="s">
        <v>2271</v>
      </c>
      <c r="AE733" s="373">
        <v>0</v>
      </c>
      <c r="AF733" s="382">
        <v>0.51180555555555596</v>
      </c>
      <c r="AG733" s="382">
        <v>0.51180555555555596</v>
      </c>
      <c r="AH733" s="371" t="s">
        <v>2271</v>
      </c>
      <c r="AI733" s="382">
        <v>0.56805555555555598</v>
      </c>
      <c r="AJ733" s="382">
        <v>0.56805555555555598</v>
      </c>
      <c r="AK733" s="371" t="s">
        <v>2271</v>
      </c>
      <c r="AL733" s="206" t="s">
        <v>137</v>
      </c>
      <c r="AM733" s="206" t="s">
        <v>137</v>
      </c>
      <c r="AN733" s="371" t="s">
        <v>2271</v>
      </c>
      <c r="AO733" s="206" t="s">
        <v>2900</v>
      </c>
      <c r="AP733" s="206" t="s">
        <v>1781</v>
      </c>
      <c r="AQ733" s="206" t="s">
        <v>1132</v>
      </c>
      <c r="AR733" s="207" t="s">
        <v>75</v>
      </c>
    </row>
    <row r="734" spans="1:44" x14ac:dyDescent="0.2">
      <c r="A734" s="370">
        <v>715</v>
      </c>
      <c r="B734" s="380">
        <v>515</v>
      </c>
      <c r="C734" s="371" t="s">
        <v>2269</v>
      </c>
      <c r="D734" s="371" t="s">
        <v>2235</v>
      </c>
      <c r="E734" s="206"/>
      <c r="F734" s="206" t="s">
        <v>76</v>
      </c>
      <c r="G734" s="206" t="s">
        <v>76</v>
      </c>
      <c r="H734" s="371" t="s">
        <v>2271</v>
      </c>
      <c r="I734" s="206" t="s">
        <v>1454</v>
      </c>
      <c r="J734" s="206" t="s">
        <v>1454</v>
      </c>
      <c r="K734" s="371" t="s">
        <v>2271</v>
      </c>
      <c r="L734" s="206" t="s">
        <v>2181</v>
      </c>
      <c r="M734" s="206" t="s">
        <v>1352</v>
      </c>
      <c r="N734" s="206" t="s">
        <v>59</v>
      </c>
      <c r="O734" s="372" t="s">
        <v>2185</v>
      </c>
      <c r="P734" s="372">
        <v>46043</v>
      </c>
      <c r="Q734" s="371" t="s">
        <v>2276</v>
      </c>
      <c r="R734" s="373">
        <v>45800</v>
      </c>
      <c r="S734" s="373">
        <v>45800</v>
      </c>
      <c r="T734" s="371" t="s">
        <v>2271</v>
      </c>
      <c r="U734" s="373">
        <v>17420</v>
      </c>
      <c r="V734" s="373">
        <v>17420</v>
      </c>
      <c r="W734" s="371" t="s">
        <v>2271</v>
      </c>
      <c r="X734" s="373">
        <v>28380</v>
      </c>
      <c r="Y734" s="373">
        <v>28380</v>
      </c>
      <c r="Z734" s="371" t="s">
        <v>2271</v>
      </c>
      <c r="AA734" s="373">
        <v>0</v>
      </c>
      <c r="AB734" s="373">
        <v>28440</v>
      </c>
      <c r="AC734" s="373">
        <v>28440</v>
      </c>
      <c r="AD734" s="371" t="s">
        <v>2271</v>
      </c>
      <c r="AE734" s="373">
        <v>0</v>
      </c>
      <c r="AF734" s="382">
        <v>0.70416666666666705</v>
      </c>
      <c r="AG734" s="382">
        <v>0.70416666666666705</v>
      </c>
      <c r="AH734" s="371" t="s">
        <v>2271</v>
      </c>
      <c r="AI734" s="382">
        <v>0.79583333333333295</v>
      </c>
      <c r="AJ734" s="382">
        <v>0.79583333333333295</v>
      </c>
      <c r="AK734" s="371" t="s">
        <v>2271</v>
      </c>
      <c r="AL734" s="206" t="s">
        <v>42</v>
      </c>
      <c r="AM734" s="206" t="s">
        <v>42</v>
      </c>
      <c r="AN734" s="371" t="s">
        <v>2271</v>
      </c>
      <c r="AO734" s="206" t="s">
        <v>2901</v>
      </c>
      <c r="AP734" s="206" t="s">
        <v>1372</v>
      </c>
      <c r="AQ734" s="206" t="s">
        <v>1133</v>
      </c>
      <c r="AR734" s="207" t="s">
        <v>75</v>
      </c>
    </row>
    <row r="735" spans="1:44" x14ac:dyDescent="0.2">
      <c r="A735" s="370">
        <v>716</v>
      </c>
      <c r="B735" s="380">
        <v>516</v>
      </c>
      <c r="C735" s="371" t="s">
        <v>2269</v>
      </c>
      <c r="D735" s="371" t="s">
        <v>2235</v>
      </c>
      <c r="E735" s="206"/>
      <c r="F735" s="206" t="s">
        <v>56</v>
      </c>
      <c r="G735" s="206" t="s">
        <v>56</v>
      </c>
      <c r="H735" s="371" t="s">
        <v>2271</v>
      </c>
      <c r="I735" s="206" t="s">
        <v>1454</v>
      </c>
      <c r="J735" s="206" t="s">
        <v>1454</v>
      </c>
      <c r="K735" s="371" t="s">
        <v>2271</v>
      </c>
      <c r="L735" s="206" t="s">
        <v>2181</v>
      </c>
      <c r="M735" s="206" t="s">
        <v>1352</v>
      </c>
      <c r="N735" s="206" t="s">
        <v>59</v>
      </c>
      <c r="O735" s="372" t="s">
        <v>2185</v>
      </c>
      <c r="P735" s="372">
        <v>46043</v>
      </c>
      <c r="Q735" s="371" t="s">
        <v>2276</v>
      </c>
      <c r="R735" s="373">
        <v>24980</v>
      </c>
      <c r="S735" s="373">
        <v>24980</v>
      </c>
      <c r="T735" s="371" t="s">
        <v>2271</v>
      </c>
      <c r="U735" s="373">
        <v>10650</v>
      </c>
      <c r="V735" s="373">
        <v>10650</v>
      </c>
      <c r="W735" s="371" t="s">
        <v>2271</v>
      </c>
      <c r="X735" s="373">
        <v>14330</v>
      </c>
      <c r="Y735" s="373">
        <v>14330</v>
      </c>
      <c r="Z735" s="371" t="s">
        <v>2271</v>
      </c>
      <c r="AA735" s="373">
        <v>0</v>
      </c>
      <c r="AB735" s="373">
        <v>14340</v>
      </c>
      <c r="AC735" s="373">
        <v>14340</v>
      </c>
      <c r="AD735" s="371" t="s">
        <v>2271</v>
      </c>
      <c r="AE735" s="373">
        <v>0</v>
      </c>
      <c r="AF735" s="382">
        <v>0.72916666666666696</v>
      </c>
      <c r="AG735" s="382">
        <v>0.72916666666666696</v>
      </c>
      <c r="AH735" s="371" t="s">
        <v>2271</v>
      </c>
      <c r="AI735" s="382">
        <v>0.76249999999999996</v>
      </c>
      <c r="AJ735" s="382">
        <v>0.76249999999999996</v>
      </c>
      <c r="AK735" s="371" t="s">
        <v>2271</v>
      </c>
      <c r="AL735" s="206" t="s">
        <v>42</v>
      </c>
      <c r="AM735" s="206" t="s">
        <v>42</v>
      </c>
      <c r="AN735" s="371" t="s">
        <v>2271</v>
      </c>
      <c r="AO735" s="206" t="s">
        <v>2902</v>
      </c>
      <c r="AP735" s="206" t="s">
        <v>1781</v>
      </c>
      <c r="AQ735" s="206" t="s">
        <v>1132</v>
      </c>
      <c r="AR735" s="207" t="s">
        <v>75</v>
      </c>
    </row>
    <row r="736" spans="1:44" x14ac:dyDescent="0.2">
      <c r="A736" s="370">
        <v>717</v>
      </c>
      <c r="B736" s="380">
        <v>517</v>
      </c>
      <c r="C736" s="371" t="s">
        <v>2269</v>
      </c>
      <c r="D736" s="371" t="s">
        <v>2235</v>
      </c>
      <c r="E736" s="206"/>
      <c r="F736" s="206" t="s">
        <v>70</v>
      </c>
      <c r="G736" s="206" t="s">
        <v>70</v>
      </c>
      <c r="H736" s="371" t="s">
        <v>2271</v>
      </c>
      <c r="I736" s="206" t="s">
        <v>1454</v>
      </c>
      <c r="J736" s="206" t="s">
        <v>1454</v>
      </c>
      <c r="K736" s="371" t="s">
        <v>2271</v>
      </c>
      <c r="L736" s="206" t="s">
        <v>2181</v>
      </c>
      <c r="M736" s="206" t="s">
        <v>1352</v>
      </c>
      <c r="N736" s="206" t="s">
        <v>59</v>
      </c>
      <c r="O736" s="372" t="s">
        <v>2185</v>
      </c>
      <c r="P736" s="372">
        <v>46043</v>
      </c>
      <c r="Q736" s="371" t="s">
        <v>2276</v>
      </c>
      <c r="R736" s="373">
        <v>45840</v>
      </c>
      <c r="S736" s="373">
        <v>45840</v>
      </c>
      <c r="T736" s="371" t="s">
        <v>2271</v>
      </c>
      <c r="U736" s="373">
        <v>17480</v>
      </c>
      <c r="V736" s="373">
        <v>17480</v>
      </c>
      <c r="W736" s="371" t="s">
        <v>2271</v>
      </c>
      <c r="X736" s="373">
        <v>28360</v>
      </c>
      <c r="Y736" s="373">
        <v>28360</v>
      </c>
      <c r="Z736" s="371" t="s">
        <v>2271</v>
      </c>
      <c r="AA736" s="373">
        <v>0</v>
      </c>
      <c r="AB736" s="373">
        <v>28420</v>
      </c>
      <c r="AC736" s="373">
        <v>28420</v>
      </c>
      <c r="AD736" s="371" t="s">
        <v>2271</v>
      </c>
      <c r="AE736" s="373">
        <v>0</v>
      </c>
      <c r="AF736" s="382">
        <v>0.74236111111111103</v>
      </c>
      <c r="AG736" s="382">
        <v>0.74236111111111103</v>
      </c>
      <c r="AH736" s="371" t="s">
        <v>2271</v>
      </c>
      <c r="AI736" s="382">
        <v>0.8</v>
      </c>
      <c r="AJ736" s="382">
        <v>0.8</v>
      </c>
      <c r="AK736" s="371" t="s">
        <v>2271</v>
      </c>
      <c r="AL736" s="206" t="s">
        <v>42</v>
      </c>
      <c r="AM736" s="206" t="s">
        <v>42</v>
      </c>
      <c r="AN736" s="371" t="s">
        <v>2271</v>
      </c>
      <c r="AO736" s="206" t="s">
        <v>2903</v>
      </c>
      <c r="AP736" s="206" t="s">
        <v>1499</v>
      </c>
      <c r="AQ736" s="206" t="s">
        <v>1133</v>
      </c>
      <c r="AR736" s="207" t="s">
        <v>75</v>
      </c>
    </row>
    <row r="737" spans="1:44" x14ac:dyDescent="0.2">
      <c r="A737" s="370">
        <v>718</v>
      </c>
      <c r="B737" s="380">
        <v>518</v>
      </c>
      <c r="C737" s="371" t="s">
        <v>2269</v>
      </c>
      <c r="D737" s="371" t="s">
        <v>2235</v>
      </c>
      <c r="E737" s="206"/>
      <c r="F737" s="206" t="s">
        <v>46</v>
      </c>
      <c r="G737" s="206" t="s">
        <v>46</v>
      </c>
      <c r="H737" s="371" t="s">
        <v>2271</v>
      </c>
      <c r="I737" s="206" t="s">
        <v>1454</v>
      </c>
      <c r="J737" s="206" t="s">
        <v>1454</v>
      </c>
      <c r="K737" s="371" t="s">
        <v>2271</v>
      </c>
      <c r="L737" s="206" t="s">
        <v>2181</v>
      </c>
      <c r="M737" s="206" t="s">
        <v>1352</v>
      </c>
      <c r="N737" s="206" t="s">
        <v>59</v>
      </c>
      <c r="O737" s="372" t="s">
        <v>2185</v>
      </c>
      <c r="P737" s="372">
        <v>46043</v>
      </c>
      <c r="Q737" s="371" t="s">
        <v>2276</v>
      </c>
      <c r="R737" s="373">
        <v>26710</v>
      </c>
      <c r="S737" s="373">
        <v>26710</v>
      </c>
      <c r="T737" s="371" t="s">
        <v>2271</v>
      </c>
      <c r="U737" s="373">
        <v>11870</v>
      </c>
      <c r="V737" s="373">
        <v>11870</v>
      </c>
      <c r="W737" s="371" t="s">
        <v>2271</v>
      </c>
      <c r="X737" s="373">
        <v>14840</v>
      </c>
      <c r="Y737" s="373">
        <v>14840</v>
      </c>
      <c r="Z737" s="371" t="s">
        <v>2271</v>
      </c>
      <c r="AA737" s="373">
        <v>0</v>
      </c>
      <c r="AB737" s="373">
        <v>14860</v>
      </c>
      <c r="AC737" s="373">
        <v>14860</v>
      </c>
      <c r="AD737" s="371" t="s">
        <v>2271</v>
      </c>
      <c r="AE737" s="373">
        <v>0</v>
      </c>
      <c r="AF737" s="382">
        <v>0.79791666666666705</v>
      </c>
      <c r="AG737" s="382">
        <v>0.79791666666666705</v>
      </c>
      <c r="AH737" s="371" t="s">
        <v>2271</v>
      </c>
      <c r="AI737" s="382">
        <v>0.83680555555555503</v>
      </c>
      <c r="AJ737" s="382">
        <v>0.83680555555555602</v>
      </c>
      <c r="AK737" s="371" t="s">
        <v>2276</v>
      </c>
      <c r="AL737" s="206" t="s">
        <v>42</v>
      </c>
      <c r="AM737" s="206" t="s">
        <v>42</v>
      </c>
      <c r="AN737" s="371" t="s">
        <v>2271</v>
      </c>
      <c r="AO737" s="206" t="s">
        <v>2904</v>
      </c>
      <c r="AP737" s="206" t="s">
        <v>1393</v>
      </c>
      <c r="AQ737" s="206" t="s">
        <v>1132</v>
      </c>
      <c r="AR737" s="207" t="s">
        <v>75</v>
      </c>
    </row>
    <row r="738" spans="1:44" x14ac:dyDescent="0.2">
      <c r="A738" s="370">
        <v>719</v>
      </c>
      <c r="B738" s="380">
        <v>519</v>
      </c>
      <c r="C738" s="371" t="s">
        <v>2269</v>
      </c>
      <c r="D738" s="371" t="s">
        <v>2235</v>
      </c>
      <c r="E738" s="206"/>
      <c r="F738" s="206" t="s">
        <v>70</v>
      </c>
      <c r="G738" s="206" t="s">
        <v>70</v>
      </c>
      <c r="H738" s="371" t="s">
        <v>2271</v>
      </c>
      <c r="I738" s="206" t="s">
        <v>1454</v>
      </c>
      <c r="J738" s="206" t="s">
        <v>1454</v>
      </c>
      <c r="K738" s="371" t="s">
        <v>2271</v>
      </c>
      <c r="L738" s="206" t="s">
        <v>2181</v>
      </c>
      <c r="M738" s="206" t="s">
        <v>1352</v>
      </c>
      <c r="N738" s="206" t="s">
        <v>59</v>
      </c>
      <c r="O738" s="372" t="s">
        <v>2186</v>
      </c>
      <c r="P738" s="372">
        <v>46044</v>
      </c>
      <c r="Q738" s="371" t="s">
        <v>2276</v>
      </c>
      <c r="R738" s="373">
        <v>45780</v>
      </c>
      <c r="S738" s="373">
        <v>45780</v>
      </c>
      <c r="T738" s="371" t="s">
        <v>2271</v>
      </c>
      <c r="U738" s="373">
        <v>17460</v>
      </c>
      <c r="V738" s="373">
        <v>17460</v>
      </c>
      <c r="W738" s="371" t="s">
        <v>2271</v>
      </c>
      <c r="X738" s="373">
        <v>28320</v>
      </c>
      <c r="Y738" s="373">
        <v>28320</v>
      </c>
      <c r="Z738" s="371" t="s">
        <v>2271</v>
      </c>
      <c r="AA738" s="373">
        <v>0</v>
      </c>
      <c r="AB738" s="373">
        <v>28400</v>
      </c>
      <c r="AC738" s="373">
        <v>28400</v>
      </c>
      <c r="AD738" s="371" t="s">
        <v>2271</v>
      </c>
      <c r="AE738" s="373">
        <v>0</v>
      </c>
      <c r="AF738" s="382">
        <v>0.43958333333333299</v>
      </c>
      <c r="AG738" s="382">
        <v>0.43958333333333299</v>
      </c>
      <c r="AH738" s="371" t="s">
        <v>2271</v>
      </c>
      <c r="AI738" s="382">
        <v>0.54583333333333295</v>
      </c>
      <c r="AJ738" s="382">
        <v>0.54583333333333295</v>
      </c>
      <c r="AK738" s="371" t="s">
        <v>2271</v>
      </c>
      <c r="AL738" s="206" t="s">
        <v>137</v>
      </c>
      <c r="AM738" s="206" t="s">
        <v>137</v>
      </c>
      <c r="AN738" s="371" t="s">
        <v>2271</v>
      </c>
      <c r="AO738" s="206" t="s">
        <v>2905</v>
      </c>
      <c r="AP738" s="206" t="s">
        <v>1499</v>
      </c>
      <c r="AQ738" s="206" t="s">
        <v>1133</v>
      </c>
      <c r="AR738" s="207" t="s">
        <v>75</v>
      </c>
    </row>
    <row r="739" spans="1:44" x14ac:dyDescent="0.2">
      <c r="A739" s="370">
        <v>720</v>
      </c>
      <c r="B739" s="380">
        <v>520</v>
      </c>
      <c r="C739" s="371" t="s">
        <v>2269</v>
      </c>
      <c r="D739" s="371" t="s">
        <v>2235</v>
      </c>
      <c r="E739" s="206"/>
      <c r="F739" s="206" t="s">
        <v>46</v>
      </c>
      <c r="G739" s="206" t="s">
        <v>46</v>
      </c>
      <c r="H739" s="371" t="s">
        <v>2271</v>
      </c>
      <c r="I739" s="206" t="s">
        <v>1454</v>
      </c>
      <c r="J739" s="206" t="s">
        <v>1454</v>
      </c>
      <c r="K739" s="371" t="s">
        <v>2271</v>
      </c>
      <c r="L739" s="206" t="s">
        <v>2181</v>
      </c>
      <c r="M739" s="206" t="s">
        <v>1352</v>
      </c>
      <c r="N739" s="206" t="s">
        <v>59</v>
      </c>
      <c r="O739" s="372" t="s">
        <v>2186</v>
      </c>
      <c r="P739" s="372">
        <v>46044</v>
      </c>
      <c r="Q739" s="371" t="s">
        <v>2276</v>
      </c>
      <c r="R739" s="373">
        <v>26630</v>
      </c>
      <c r="S739" s="373">
        <v>26630</v>
      </c>
      <c r="T739" s="371" t="s">
        <v>2271</v>
      </c>
      <c r="U739" s="373">
        <v>11820</v>
      </c>
      <c r="V739" s="373">
        <v>11820</v>
      </c>
      <c r="W739" s="371" t="s">
        <v>2271</v>
      </c>
      <c r="X739" s="373">
        <v>14810</v>
      </c>
      <c r="Y739" s="373">
        <v>14810</v>
      </c>
      <c r="Z739" s="371" t="s">
        <v>2271</v>
      </c>
      <c r="AA739" s="373">
        <v>0</v>
      </c>
      <c r="AB739" s="373">
        <v>14840</v>
      </c>
      <c r="AC739" s="373">
        <v>14840</v>
      </c>
      <c r="AD739" s="371" t="s">
        <v>2271</v>
      </c>
      <c r="AE739" s="373">
        <v>0</v>
      </c>
      <c r="AF739" s="382">
        <v>0.44583333333333303</v>
      </c>
      <c r="AG739" s="382">
        <v>0.44583333333333303</v>
      </c>
      <c r="AH739" s="371" t="s">
        <v>2271</v>
      </c>
      <c r="AI739" s="382">
        <v>0.48680555555555599</v>
      </c>
      <c r="AJ739" s="382">
        <v>0.48680555555555599</v>
      </c>
      <c r="AK739" s="371" t="s">
        <v>2271</v>
      </c>
      <c r="AL739" s="206" t="s">
        <v>137</v>
      </c>
      <c r="AM739" s="206" t="s">
        <v>137</v>
      </c>
      <c r="AN739" s="371" t="s">
        <v>2271</v>
      </c>
      <c r="AO739" s="206" t="s">
        <v>2906</v>
      </c>
      <c r="AP739" s="206" t="s">
        <v>1393</v>
      </c>
      <c r="AQ739" s="206" t="s">
        <v>1132</v>
      </c>
      <c r="AR739" s="207" t="s">
        <v>75</v>
      </c>
    </row>
    <row r="740" spans="1:44" x14ac:dyDescent="0.2">
      <c r="A740" s="370">
        <v>721</v>
      </c>
      <c r="B740" s="380">
        <v>521</v>
      </c>
      <c r="C740" s="371" t="s">
        <v>2269</v>
      </c>
      <c r="D740" s="371" t="s">
        <v>2235</v>
      </c>
      <c r="E740" s="206"/>
      <c r="F740" s="206" t="s">
        <v>76</v>
      </c>
      <c r="G740" s="206" t="s">
        <v>76</v>
      </c>
      <c r="H740" s="371" t="s">
        <v>2271</v>
      </c>
      <c r="I740" s="206" t="s">
        <v>1454</v>
      </c>
      <c r="J740" s="206" t="s">
        <v>1454</v>
      </c>
      <c r="K740" s="371" t="s">
        <v>2271</v>
      </c>
      <c r="L740" s="206" t="s">
        <v>2181</v>
      </c>
      <c r="M740" s="206" t="s">
        <v>1352</v>
      </c>
      <c r="N740" s="206" t="s">
        <v>59</v>
      </c>
      <c r="O740" s="372" t="s">
        <v>2186</v>
      </c>
      <c r="P740" s="372">
        <v>46044</v>
      </c>
      <c r="Q740" s="371" t="s">
        <v>2276</v>
      </c>
      <c r="R740" s="373">
        <v>45720</v>
      </c>
      <c r="S740" s="373">
        <v>45720</v>
      </c>
      <c r="T740" s="371" t="s">
        <v>2271</v>
      </c>
      <c r="U740" s="373">
        <v>17390</v>
      </c>
      <c r="V740" s="373">
        <v>17390</v>
      </c>
      <c r="W740" s="371" t="s">
        <v>2271</v>
      </c>
      <c r="X740" s="373">
        <v>28330</v>
      </c>
      <c r="Y740" s="373">
        <v>28330</v>
      </c>
      <c r="Z740" s="371" t="s">
        <v>2271</v>
      </c>
      <c r="AA740" s="373">
        <v>0</v>
      </c>
      <c r="AB740" s="373">
        <v>28380</v>
      </c>
      <c r="AC740" s="373">
        <v>28380</v>
      </c>
      <c r="AD740" s="371" t="s">
        <v>2271</v>
      </c>
      <c r="AE740" s="373">
        <v>0</v>
      </c>
      <c r="AF740" s="382">
        <v>0.454166666666667</v>
      </c>
      <c r="AG740" s="382">
        <v>0.454166666666667</v>
      </c>
      <c r="AH740" s="371" t="s">
        <v>2271</v>
      </c>
      <c r="AI740" s="382">
        <v>0.51041666666666696</v>
      </c>
      <c r="AJ740" s="382">
        <v>0.51041666666666696</v>
      </c>
      <c r="AK740" s="371" t="s">
        <v>2271</v>
      </c>
      <c r="AL740" s="206" t="s">
        <v>137</v>
      </c>
      <c r="AM740" s="206" t="s">
        <v>137</v>
      </c>
      <c r="AN740" s="371" t="s">
        <v>2271</v>
      </c>
      <c r="AO740" s="206" t="s">
        <v>2907</v>
      </c>
      <c r="AP740" s="206" t="s">
        <v>1372</v>
      </c>
      <c r="AQ740" s="206" t="s">
        <v>1133</v>
      </c>
      <c r="AR740" s="207" t="s">
        <v>75</v>
      </c>
    </row>
    <row r="741" spans="1:44" x14ac:dyDescent="0.2">
      <c r="A741" s="370">
        <v>722</v>
      </c>
      <c r="B741" s="380">
        <v>522</v>
      </c>
      <c r="C741" s="371" t="s">
        <v>2269</v>
      </c>
      <c r="D741" s="371" t="s">
        <v>2235</v>
      </c>
      <c r="E741" s="206"/>
      <c r="F741" s="206" t="s">
        <v>56</v>
      </c>
      <c r="G741" s="206" t="s">
        <v>56</v>
      </c>
      <c r="H741" s="371" t="s">
        <v>2271</v>
      </c>
      <c r="I741" s="206" t="s">
        <v>1454</v>
      </c>
      <c r="J741" s="206" t="s">
        <v>1454</v>
      </c>
      <c r="K741" s="371" t="s">
        <v>2271</v>
      </c>
      <c r="L741" s="206" t="s">
        <v>2181</v>
      </c>
      <c r="M741" s="206" t="s">
        <v>1352</v>
      </c>
      <c r="N741" s="206" t="s">
        <v>59</v>
      </c>
      <c r="O741" s="372" t="s">
        <v>2186</v>
      </c>
      <c r="P741" s="372">
        <v>46044</v>
      </c>
      <c r="Q741" s="371" t="s">
        <v>2276</v>
      </c>
      <c r="R741" s="373">
        <v>25020</v>
      </c>
      <c r="S741" s="373">
        <v>25020</v>
      </c>
      <c r="T741" s="371" t="s">
        <v>2271</v>
      </c>
      <c r="U741" s="373">
        <v>10760</v>
      </c>
      <c r="V741" s="373">
        <v>10760</v>
      </c>
      <c r="W741" s="371" t="s">
        <v>2271</v>
      </c>
      <c r="X741" s="373">
        <v>14260</v>
      </c>
      <c r="Y741" s="373">
        <v>14260</v>
      </c>
      <c r="Z741" s="371" t="s">
        <v>2271</v>
      </c>
      <c r="AA741" s="373">
        <v>0</v>
      </c>
      <c r="AB741" s="373">
        <v>14300</v>
      </c>
      <c r="AC741" s="373">
        <v>14300</v>
      </c>
      <c r="AD741" s="371" t="s">
        <v>2271</v>
      </c>
      <c r="AE741" s="373">
        <v>0</v>
      </c>
      <c r="AF741" s="382">
        <v>0.47152777777777799</v>
      </c>
      <c r="AG741" s="382">
        <v>0.47152777777777799</v>
      </c>
      <c r="AH741" s="371" t="s">
        <v>2271</v>
      </c>
      <c r="AI741" s="382">
        <v>0.53611111111111098</v>
      </c>
      <c r="AJ741" s="382">
        <v>0.53611111111111098</v>
      </c>
      <c r="AK741" s="371" t="s">
        <v>2271</v>
      </c>
      <c r="AL741" s="206" t="s">
        <v>137</v>
      </c>
      <c r="AM741" s="206" t="s">
        <v>137</v>
      </c>
      <c r="AN741" s="371" t="s">
        <v>2271</v>
      </c>
      <c r="AO741" s="206" t="s">
        <v>2908</v>
      </c>
      <c r="AP741" s="206" t="s">
        <v>1781</v>
      </c>
      <c r="AQ741" s="206" t="s">
        <v>1132</v>
      </c>
      <c r="AR741" s="207" t="s">
        <v>75</v>
      </c>
    </row>
    <row r="742" spans="1:44" x14ac:dyDescent="0.2">
      <c r="A742" s="370">
        <v>723</v>
      </c>
      <c r="B742" s="380">
        <v>525</v>
      </c>
      <c r="C742" s="371" t="s">
        <v>2269</v>
      </c>
      <c r="D742" s="371" t="s">
        <v>2235</v>
      </c>
      <c r="E742" s="206"/>
      <c r="F742" s="206" t="s">
        <v>84</v>
      </c>
      <c r="G742" s="206" t="s">
        <v>84</v>
      </c>
      <c r="H742" s="371" t="s">
        <v>2271</v>
      </c>
      <c r="I742" s="206" t="s">
        <v>1454</v>
      </c>
      <c r="J742" s="206" t="s">
        <v>1454</v>
      </c>
      <c r="K742" s="371" t="s">
        <v>2271</v>
      </c>
      <c r="L742" s="206" t="s">
        <v>2181</v>
      </c>
      <c r="M742" s="206" t="s">
        <v>1352</v>
      </c>
      <c r="N742" s="206" t="s">
        <v>59</v>
      </c>
      <c r="O742" s="372" t="s">
        <v>2186</v>
      </c>
      <c r="P742" s="372">
        <v>46044</v>
      </c>
      <c r="Q742" s="371" t="s">
        <v>2276</v>
      </c>
      <c r="R742" s="373">
        <v>26670</v>
      </c>
      <c r="S742" s="373">
        <v>26670</v>
      </c>
      <c r="T742" s="371" t="s">
        <v>2271</v>
      </c>
      <c r="U742" s="373">
        <v>12150</v>
      </c>
      <c r="V742" s="373">
        <v>12150</v>
      </c>
      <c r="W742" s="371" t="s">
        <v>2271</v>
      </c>
      <c r="X742" s="373">
        <v>14520</v>
      </c>
      <c r="Y742" s="373">
        <v>14520</v>
      </c>
      <c r="Z742" s="371" t="s">
        <v>2271</v>
      </c>
      <c r="AA742" s="373">
        <v>0</v>
      </c>
      <c r="AB742" s="373">
        <v>14540</v>
      </c>
      <c r="AC742" s="373">
        <v>14540</v>
      </c>
      <c r="AD742" s="371" t="s">
        <v>2271</v>
      </c>
      <c r="AE742" s="373">
        <v>0</v>
      </c>
      <c r="AF742" s="382">
        <v>0.64027777777777795</v>
      </c>
      <c r="AG742" s="382">
        <v>0.64027777777777795</v>
      </c>
      <c r="AH742" s="371" t="s">
        <v>2271</v>
      </c>
      <c r="AI742" s="382">
        <v>0.69027777777777799</v>
      </c>
      <c r="AJ742" s="382">
        <v>0.69027777777777799</v>
      </c>
      <c r="AK742" s="371" t="s">
        <v>2271</v>
      </c>
      <c r="AL742" s="206" t="s">
        <v>137</v>
      </c>
      <c r="AM742" s="206" t="s">
        <v>137</v>
      </c>
      <c r="AN742" s="371" t="s">
        <v>2271</v>
      </c>
      <c r="AO742" s="206" t="s">
        <v>2909</v>
      </c>
      <c r="AP742" s="206" t="s">
        <v>1782</v>
      </c>
      <c r="AQ742" s="206" t="s">
        <v>1132</v>
      </c>
      <c r="AR742" s="207" t="s">
        <v>75</v>
      </c>
    </row>
    <row r="743" spans="1:44" x14ac:dyDescent="0.2">
      <c r="A743" s="370">
        <v>724</v>
      </c>
      <c r="B743" s="380">
        <v>526</v>
      </c>
      <c r="C743" s="371" t="s">
        <v>2269</v>
      </c>
      <c r="D743" s="371" t="s">
        <v>2235</v>
      </c>
      <c r="E743" s="206"/>
      <c r="F743" s="206" t="s">
        <v>76</v>
      </c>
      <c r="G743" s="206" t="s">
        <v>76</v>
      </c>
      <c r="H743" s="371" t="s">
        <v>2271</v>
      </c>
      <c r="I743" s="206" t="s">
        <v>1454</v>
      </c>
      <c r="J743" s="206" t="s">
        <v>1454</v>
      </c>
      <c r="K743" s="371" t="s">
        <v>2271</v>
      </c>
      <c r="L743" s="206" t="s">
        <v>2181</v>
      </c>
      <c r="M743" s="206" t="s">
        <v>1352</v>
      </c>
      <c r="N743" s="206" t="s">
        <v>59</v>
      </c>
      <c r="O743" s="372" t="s">
        <v>2186</v>
      </c>
      <c r="P743" s="372">
        <v>46044</v>
      </c>
      <c r="Q743" s="371" t="s">
        <v>2276</v>
      </c>
      <c r="R743" s="373">
        <v>45650</v>
      </c>
      <c r="S743" s="373">
        <v>45650</v>
      </c>
      <c r="T743" s="371" t="s">
        <v>2271</v>
      </c>
      <c r="U743" s="373">
        <v>17360</v>
      </c>
      <c r="V743" s="373">
        <v>17360</v>
      </c>
      <c r="W743" s="371" t="s">
        <v>2271</v>
      </c>
      <c r="X743" s="373">
        <v>28290</v>
      </c>
      <c r="Y743" s="373">
        <v>28290</v>
      </c>
      <c r="Z743" s="371" t="s">
        <v>2271</v>
      </c>
      <c r="AA743" s="373">
        <v>0</v>
      </c>
      <c r="AB743" s="373">
        <v>28360</v>
      </c>
      <c r="AC743" s="373">
        <v>28360</v>
      </c>
      <c r="AD743" s="371" t="s">
        <v>2271</v>
      </c>
      <c r="AE743" s="373">
        <v>0</v>
      </c>
      <c r="AF743" s="382">
        <v>0.65972222222222199</v>
      </c>
      <c r="AG743" s="382">
        <v>0.65972222222222199</v>
      </c>
      <c r="AH743" s="371" t="s">
        <v>2271</v>
      </c>
      <c r="AI743" s="382">
        <v>0.72430555555555598</v>
      </c>
      <c r="AJ743" s="382">
        <v>0.72430555555555598</v>
      </c>
      <c r="AK743" s="371" t="s">
        <v>2271</v>
      </c>
      <c r="AL743" s="206" t="s">
        <v>137</v>
      </c>
      <c r="AM743" s="206" t="s">
        <v>137</v>
      </c>
      <c r="AN743" s="371" t="s">
        <v>2271</v>
      </c>
      <c r="AO743" s="206" t="s">
        <v>2910</v>
      </c>
      <c r="AP743" s="206" t="s">
        <v>1372</v>
      </c>
      <c r="AQ743" s="206" t="s">
        <v>1133</v>
      </c>
      <c r="AR743" s="207" t="s">
        <v>75</v>
      </c>
    </row>
    <row r="744" spans="1:44" x14ac:dyDescent="0.2">
      <c r="A744" s="370">
        <v>725</v>
      </c>
      <c r="B744" s="380">
        <v>527</v>
      </c>
      <c r="C744" s="371" t="s">
        <v>2269</v>
      </c>
      <c r="D744" s="371" t="s">
        <v>2235</v>
      </c>
      <c r="E744" s="206"/>
      <c r="F744" s="206" t="s">
        <v>56</v>
      </c>
      <c r="G744" s="206" t="s">
        <v>56</v>
      </c>
      <c r="H744" s="371" t="s">
        <v>2271</v>
      </c>
      <c r="I744" s="206" t="s">
        <v>1454</v>
      </c>
      <c r="J744" s="206" t="s">
        <v>1454</v>
      </c>
      <c r="K744" s="371" t="s">
        <v>2271</v>
      </c>
      <c r="L744" s="206" t="s">
        <v>2181</v>
      </c>
      <c r="M744" s="206" t="s">
        <v>1352</v>
      </c>
      <c r="N744" s="206" t="s">
        <v>59</v>
      </c>
      <c r="O744" s="372" t="s">
        <v>2186</v>
      </c>
      <c r="P744" s="372">
        <v>46044</v>
      </c>
      <c r="Q744" s="371" t="s">
        <v>2276</v>
      </c>
      <c r="R744" s="373">
        <v>25000</v>
      </c>
      <c r="S744" s="373">
        <v>25000</v>
      </c>
      <c r="T744" s="371" t="s">
        <v>2271</v>
      </c>
      <c r="U744" s="373">
        <v>10720</v>
      </c>
      <c r="V744" s="373">
        <v>10720</v>
      </c>
      <c r="W744" s="371" t="s">
        <v>2271</v>
      </c>
      <c r="X744" s="373">
        <v>14280</v>
      </c>
      <c r="Y744" s="373">
        <v>14280</v>
      </c>
      <c r="Z744" s="371" t="s">
        <v>2271</v>
      </c>
      <c r="AA744" s="373">
        <v>0</v>
      </c>
      <c r="AB744" s="373">
        <v>14280</v>
      </c>
      <c r="AC744" s="373">
        <v>14280</v>
      </c>
      <c r="AD744" s="371" t="s">
        <v>2271</v>
      </c>
      <c r="AE744" s="373">
        <v>0</v>
      </c>
      <c r="AF744" s="382">
        <v>0.67013888888888895</v>
      </c>
      <c r="AG744" s="382">
        <v>0.67013888888888895</v>
      </c>
      <c r="AH744" s="371" t="s">
        <v>2271</v>
      </c>
      <c r="AI744" s="382">
        <v>0.72083333333333299</v>
      </c>
      <c r="AJ744" s="382">
        <v>0.72083333333333299</v>
      </c>
      <c r="AK744" s="371" t="s">
        <v>2271</v>
      </c>
      <c r="AL744" s="206" t="s">
        <v>137</v>
      </c>
      <c r="AM744" s="206" t="s">
        <v>137</v>
      </c>
      <c r="AN744" s="371" t="s">
        <v>2271</v>
      </c>
      <c r="AO744" s="206" t="s">
        <v>2911</v>
      </c>
      <c r="AP744" s="206" t="s">
        <v>1781</v>
      </c>
      <c r="AQ744" s="206" t="s">
        <v>1132</v>
      </c>
      <c r="AR744" s="207" t="s">
        <v>75</v>
      </c>
    </row>
    <row r="745" spans="1:44" x14ac:dyDescent="0.2">
      <c r="A745" s="370">
        <v>726</v>
      </c>
      <c r="B745" s="380">
        <v>528</v>
      </c>
      <c r="C745" s="371" t="s">
        <v>2269</v>
      </c>
      <c r="D745" s="371" t="s">
        <v>2235</v>
      </c>
      <c r="E745" s="206"/>
      <c r="F745" s="206" t="s">
        <v>70</v>
      </c>
      <c r="G745" s="206" t="s">
        <v>70</v>
      </c>
      <c r="H745" s="371" t="s">
        <v>2271</v>
      </c>
      <c r="I745" s="206" t="s">
        <v>1454</v>
      </c>
      <c r="J745" s="206" t="s">
        <v>1454</v>
      </c>
      <c r="K745" s="371" t="s">
        <v>2271</v>
      </c>
      <c r="L745" s="206" t="s">
        <v>2181</v>
      </c>
      <c r="M745" s="206" t="s">
        <v>1352</v>
      </c>
      <c r="N745" s="206" t="s">
        <v>59</v>
      </c>
      <c r="O745" s="372" t="s">
        <v>2186</v>
      </c>
      <c r="P745" s="372">
        <v>46044</v>
      </c>
      <c r="Q745" s="371" t="s">
        <v>2276</v>
      </c>
      <c r="R745" s="373">
        <v>45720</v>
      </c>
      <c r="S745" s="373">
        <v>45720</v>
      </c>
      <c r="T745" s="371" t="s">
        <v>2271</v>
      </c>
      <c r="U745" s="373">
        <v>17400</v>
      </c>
      <c r="V745" s="373">
        <v>17400</v>
      </c>
      <c r="W745" s="371" t="s">
        <v>2271</v>
      </c>
      <c r="X745" s="373">
        <v>28320</v>
      </c>
      <c r="Y745" s="373">
        <v>28320</v>
      </c>
      <c r="Z745" s="371" t="s">
        <v>2271</v>
      </c>
      <c r="AA745" s="373">
        <v>0</v>
      </c>
      <c r="AB745" s="373">
        <v>28340</v>
      </c>
      <c r="AC745" s="373">
        <v>28340</v>
      </c>
      <c r="AD745" s="371" t="s">
        <v>2271</v>
      </c>
      <c r="AE745" s="373">
        <v>0</v>
      </c>
      <c r="AF745" s="382">
        <v>0.70486111111111105</v>
      </c>
      <c r="AG745" s="382">
        <v>0.70486111111111105</v>
      </c>
      <c r="AH745" s="371" t="s">
        <v>2271</v>
      </c>
      <c r="AI745" s="382">
        <v>0.74722222222222201</v>
      </c>
      <c r="AJ745" s="382">
        <v>0.74722222222222201</v>
      </c>
      <c r="AK745" s="371" t="s">
        <v>2271</v>
      </c>
      <c r="AL745" s="206" t="s">
        <v>137</v>
      </c>
      <c r="AM745" s="206" t="s">
        <v>137</v>
      </c>
      <c r="AN745" s="371" t="s">
        <v>2271</v>
      </c>
      <c r="AO745" s="206" t="s">
        <v>2912</v>
      </c>
      <c r="AP745" s="206" t="s">
        <v>1499</v>
      </c>
      <c r="AQ745" s="206" t="s">
        <v>1133</v>
      </c>
      <c r="AR745" s="207" t="s">
        <v>75</v>
      </c>
    </row>
    <row r="746" spans="1:44" x14ac:dyDescent="0.2">
      <c r="A746" s="370">
        <v>727</v>
      </c>
      <c r="B746" s="380">
        <v>529</v>
      </c>
      <c r="C746" s="371" t="s">
        <v>2269</v>
      </c>
      <c r="D746" s="371" t="s">
        <v>2235</v>
      </c>
      <c r="E746" s="206"/>
      <c r="F746" s="206" t="s">
        <v>76</v>
      </c>
      <c r="G746" s="206" t="s">
        <v>76</v>
      </c>
      <c r="H746" s="371" t="s">
        <v>2271</v>
      </c>
      <c r="I746" s="206" t="s">
        <v>1454</v>
      </c>
      <c r="J746" s="206" t="s">
        <v>1454</v>
      </c>
      <c r="K746" s="371" t="s">
        <v>2271</v>
      </c>
      <c r="L746" s="206" t="s">
        <v>2181</v>
      </c>
      <c r="M746" s="206" t="s">
        <v>1352</v>
      </c>
      <c r="N746" s="206" t="s">
        <v>59</v>
      </c>
      <c r="O746" s="372" t="s">
        <v>2186</v>
      </c>
      <c r="P746" s="372">
        <v>46044</v>
      </c>
      <c r="Q746" s="371" t="s">
        <v>2276</v>
      </c>
      <c r="R746" s="373">
        <v>45680</v>
      </c>
      <c r="S746" s="373">
        <v>45680</v>
      </c>
      <c r="T746" s="371" t="s">
        <v>2271</v>
      </c>
      <c r="U746" s="373">
        <v>17340</v>
      </c>
      <c r="V746" s="373">
        <v>17340</v>
      </c>
      <c r="W746" s="371" t="s">
        <v>2271</v>
      </c>
      <c r="X746" s="373">
        <v>28340</v>
      </c>
      <c r="Y746" s="373">
        <v>28340</v>
      </c>
      <c r="Z746" s="371" t="s">
        <v>2271</v>
      </c>
      <c r="AA746" s="373">
        <v>0</v>
      </c>
      <c r="AB746" s="373">
        <v>28420</v>
      </c>
      <c r="AC746" s="373">
        <v>28420</v>
      </c>
      <c r="AD746" s="371" t="s">
        <v>2271</v>
      </c>
      <c r="AE746" s="373">
        <v>0</v>
      </c>
      <c r="AF746" s="382">
        <v>0.89513888888888904</v>
      </c>
      <c r="AG746" s="382">
        <v>0.89513888888888904</v>
      </c>
      <c r="AH746" s="371" t="s">
        <v>2271</v>
      </c>
      <c r="AI746" s="382">
        <v>0.9375</v>
      </c>
      <c r="AJ746" s="382">
        <v>0.9375</v>
      </c>
      <c r="AK746" s="371" t="s">
        <v>2271</v>
      </c>
      <c r="AL746" s="206" t="s">
        <v>42</v>
      </c>
      <c r="AM746" s="206" t="s">
        <v>42</v>
      </c>
      <c r="AN746" s="371" t="s">
        <v>2271</v>
      </c>
      <c r="AO746" s="206" t="s">
        <v>2913</v>
      </c>
      <c r="AP746" s="206" t="s">
        <v>1372</v>
      </c>
      <c r="AQ746" s="206" t="s">
        <v>1133</v>
      </c>
      <c r="AR746" s="207" t="s">
        <v>75</v>
      </c>
    </row>
    <row r="747" spans="1:44" x14ac:dyDescent="0.2">
      <c r="A747" s="370">
        <v>728</v>
      </c>
      <c r="B747" s="380">
        <v>537</v>
      </c>
      <c r="C747" s="371" t="s">
        <v>2337</v>
      </c>
      <c r="D747" s="371" t="s">
        <v>2235</v>
      </c>
      <c r="E747" s="206"/>
      <c r="F747" s="206" t="s">
        <v>46</v>
      </c>
      <c r="G747" s="206" t="s">
        <v>46</v>
      </c>
      <c r="H747" s="371" t="s">
        <v>2271</v>
      </c>
      <c r="I747" s="206" t="s">
        <v>2187</v>
      </c>
      <c r="J747" s="206" t="s">
        <v>1441</v>
      </c>
      <c r="K747" s="371" t="s">
        <v>2276</v>
      </c>
      <c r="L747" s="206" t="s">
        <v>2188</v>
      </c>
      <c r="M747" s="206" t="s">
        <v>1354</v>
      </c>
      <c r="N747" s="206" t="s">
        <v>49</v>
      </c>
      <c r="O747" s="372" t="s">
        <v>2189</v>
      </c>
      <c r="P747" s="372">
        <v>46050</v>
      </c>
      <c r="Q747" s="371" t="s">
        <v>2276</v>
      </c>
      <c r="R747" s="373">
        <v>26680</v>
      </c>
      <c r="S747" s="373">
        <v>26680</v>
      </c>
      <c r="T747" s="371" t="s">
        <v>2271</v>
      </c>
      <c r="U747" s="373">
        <v>11790</v>
      </c>
      <c r="V747" s="373">
        <v>11790</v>
      </c>
      <c r="W747" s="371" t="s">
        <v>2271</v>
      </c>
      <c r="X747" s="373">
        <v>14890</v>
      </c>
      <c r="Y747" s="373">
        <v>14890</v>
      </c>
      <c r="Z747" s="371" t="s">
        <v>2271</v>
      </c>
      <c r="AA747" s="373">
        <v>0</v>
      </c>
      <c r="AB747" s="373">
        <v>14850</v>
      </c>
      <c r="AC747" s="373">
        <v>14850</v>
      </c>
      <c r="AD747" s="371" t="s">
        <v>2271</v>
      </c>
      <c r="AE747" s="373">
        <v>0</v>
      </c>
      <c r="AF747" s="382">
        <v>0.563194444444444</v>
      </c>
      <c r="AG747" s="382">
        <v>0.563194444444444</v>
      </c>
      <c r="AH747" s="371" t="s">
        <v>2271</v>
      </c>
      <c r="AI747" s="382">
        <v>0.59652777777777799</v>
      </c>
      <c r="AJ747" s="382">
        <v>0.59652777777777799</v>
      </c>
      <c r="AK747" s="371" t="s">
        <v>2271</v>
      </c>
      <c r="AL747" s="206" t="s">
        <v>42</v>
      </c>
      <c r="AM747" s="206" t="s">
        <v>42</v>
      </c>
      <c r="AN747" s="371" t="s">
        <v>2271</v>
      </c>
      <c r="AO747" s="206" t="s">
        <v>2914</v>
      </c>
      <c r="AP747" s="206" t="s">
        <v>1393</v>
      </c>
      <c r="AQ747" s="206" t="s">
        <v>1132</v>
      </c>
      <c r="AR747" s="207" t="s">
        <v>68</v>
      </c>
    </row>
    <row r="748" spans="1:44" x14ac:dyDescent="0.2">
      <c r="A748" s="370">
        <v>729</v>
      </c>
      <c r="B748" s="380">
        <v>538</v>
      </c>
      <c r="C748" s="371" t="s">
        <v>2337</v>
      </c>
      <c r="D748" s="371" t="s">
        <v>2235</v>
      </c>
      <c r="E748" s="206"/>
      <c r="F748" s="206" t="s">
        <v>84</v>
      </c>
      <c r="G748" s="206" t="s">
        <v>84</v>
      </c>
      <c r="H748" s="371" t="s">
        <v>2271</v>
      </c>
      <c r="I748" s="206" t="s">
        <v>2187</v>
      </c>
      <c r="J748" s="206" t="s">
        <v>1441</v>
      </c>
      <c r="K748" s="371" t="s">
        <v>2276</v>
      </c>
      <c r="L748" s="206" t="s">
        <v>2188</v>
      </c>
      <c r="M748" s="206" t="s">
        <v>1354</v>
      </c>
      <c r="N748" s="206" t="s">
        <v>49</v>
      </c>
      <c r="O748" s="372" t="s">
        <v>2189</v>
      </c>
      <c r="P748" s="372">
        <v>46050</v>
      </c>
      <c r="Q748" s="371" t="s">
        <v>2276</v>
      </c>
      <c r="R748" s="373">
        <v>26680</v>
      </c>
      <c r="S748" s="373">
        <v>26680</v>
      </c>
      <c r="T748" s="371" t="s">
        <v>2271</v>
      </c>
      <c r="U748" s="373">
        <v>12120</v>
      </c>
      <c r="V748" s="373">
        <v>12120</v>
      </c>
      <c r="W748" s="371" t="s">
        <v>2271</v>
      </c>
      <c r="X748" s="373">
        <v>14560</v>
      </c>
      <c r="Y748" s="373">
        <v>14560</v>
      </c>
      <c r="Z748" s="371" t="s">
        <v>2271</v>
      </c>
      <c r="AA748" s="373">
        <v>0</v>
      </c>
      <c r="AB748" s="373">
        <v>14530</v>
      </c>
      <c r="AC748" s="373">
        <v>14530</v>
      </c>
      <c r="AD748" s="371" t="s">
        <v>2271</v>
      </c>
      <c r="AE748" s="373">
        <v>0</v>
      </c>
      <c r="AF748" s="382">
        <v>0.57638888888888895</v>
      </c>
      <c r="AG748" s="382">
        <v>0.57638888888888895</v>
      </c>
      <c r="AH748" s="371" t="s">
        <v>2271</v>
      </c>
      <c r="AI748" s="382">
        <v>0.60347222222222197</v>
      </c>
      <c r="AJ748" s="382">
        <v>0.60347222222222197</v>
      </c>
      <c r="AK748" s="371" t="s">
        <v>2271</v>
      </c>
      <c r="AL748" s="206" t="s">
        <v>42</v>
      </c>
      <c r="AM748" s="206" t="s">
        <v>42</v>
      </c>
      <c r="AN748" s="371" t="s">
        <v>2271</v>
      </c>
      <c r="AO748" s="206" t="s">
        <v>2915</v>
      </c>
      <c r="AP748" s="206" t="s">
        <v>1782</v>
      </c>
      <c r="AQ748" s="206" t="s">
        <v>1132</v>
      </c>
      <c r="AR748" s="207" t="s">
        <v>68</v>
      </c>
    </row>
    <row r="749" spans="1:44" x14ac:dyDescent="0.2">
      <c r="A749" s="370">
        <v>730</v>
      </c>
      <c r="B749" s="380">
        <v>539</v>
      </c>
      <c r="C749" s="371" t="s">
        <v>2337</v>
      </c>
      <c r="D749" s="371" t="s">
        <v>2235</v>
      </c>
      <c r="E749" s="206"/>
      <c r="F749" s="206" t="s">
        <v>56</v>
      </c>
      <c r="G749" s="206" t="s">
        <v>56</v>
      </c>
      <c r="H749" s="371" t="s">
        <v>2271</v>
      </c>
      <c r="I749" s="206" t="s">
        <v>2187</v>
      </c>
      <c r="J749" s="206" t="s">
        <v>1441</v>
      </c>
      <c r="K749" s="371" t="s">
        <v>2276</v>
      </c>
      <c r="L749" s="206" t="s">
        <v>2188</v>
      </c>
      <c r="M749" s="206" t="s">
        <v>1354</v>
      </c>
      <c r="N749" s="206" t="s">
        <v>49</v>
      </c>
      <c r="O749" s="372" t="s">
        <v>2189</v>
      </c>
      <c r="P749" s="372">
        <v>46050</v>
      </c>
      <c r="Q749" s="371" t="s">
        <v>2276</v>
      </c>
      <c r="R749" s="373">
        <v>25020</v>
      </c>
      <c r="S749" s="373">
        <v>25020</v>
      </c>
      <c r="T749" s="371" t="s">
        <v>2271</v>
      </c>
      <c r="U749" s="373">
        <v>10680</v>
      </c>
      <c r="V749" s="373">
        <v>10680</v>
      </c>
      <c r="W749" s="371" t="s">
        <v>2271</v>
      </c>
      <c r="X749" s="373">
        <v>14340</v>
      </c>
      <c r="Y749" s="373">
        <v>14340</v>
      </c>
      <c r="Z749" s="371" t="s">
        <v>2271</v>
      </c>
      <c r="AA749" s="373">
        <v>0</v>
      </c>
      <c r="AB749" s="373">
        <v>14310</v>
      </c>
      <c r="AC749" s="373">
        <v>14310</v>
      </c>
      <c r="AD749" s="371" t="s">
        <v>2271</v>
      </c>
      <c r="AE749" s="373">
        <v>0</v>
      </c>
      <c r="AF749" s="382">
        <v>0.57708333333333295</v>
      </c>
      <c r="AG749" s="382">
        <v>0.57708333333333295</v>
      </c>
      <c r="AH749" s="371" t="s">
        <v>2271</v>
      </c>
      <c r="AI749" s="382">
        <v>0.60972222222222205</v>
      </c>
      <c r="AJ749" s="382">
        <v>0.60972222222222205</v>
      </c>
      <c r="AK749" s="371" t="s">
        <v>2271</v>
      </c>
      <c r="AL749" s="206" t="s">
        <v>42</v>
      </c>
      <c r="AM749" s="206" t="s">
        <v>42</v>
      </c>
      <c r="AN749" s="371" t="s">
        <v>2271</v>
      </c>
      <c r="AO749" s="206" t="s">
        <v>2916</v>
      </c>
      <c r="AP749" s="206" t="s">
        <v>1781</v>
      </c>
      <c r="AQ749" s="206" t="s">
        <v>1132</v>
      </c>
      <c r="AR749" s="207" t="s">
        <v>68</v>
      </c>
    </row>
    <row r="750" spans="1:44" x14ac:dyDescent="0.2">
      <c r="A750" s="370">
        <v>731</v>
      </c>
      <c r="B750" s="380">
        <v>540</v>
      </c>
      <c r="C750" s="371" t="s">
        <v>2337</v>
      </c>
      <c r="D750" s="371" t="s">
        <v>2235</v>
      </c>
      <c r="E750" s="206"/>
      <c r="F750" s="206" t="s">
        <v>70</v>
      </c>
      <c r="G750" s="206" t="s">
        <v>70</v>
      </c>
      <c r="H750" s="371" t="s">
        <v>2271</v>
      </c>
      <c r="I750" s="206" t="s">
        <v>2187</v>
      </c>
      <c r="J750" s="206" t="s">
        <v>1441</v>
      </c>
      <c r="K750" s="371" t="s">
        <v>2276</v>
      </c>
      <c r="L750" s="206" t="s">
        <v>2188</v>
      </c>
      <c r="M750" s="206" t="s">
        <v>1354</v>
      </c>
      <c r="N750" s="206" t="s">
        <v>49</v>
      </c>
      <c r="O750" s="372" t="s">
        <v>2189</v>
      </c>
      <c r="P750" s="372">
        <v>46050</v>
      </c>
      <c r="Q750" s="371" t="s">
        <v>2276</v>
      </c>
      <c r="R750" s="373">
        <v>45750</v>
      </c>
      <c r="S750" s="373">
        <v>45750</v>
      </c>
      <c r="T750" s="371" t="s">
        <v>2271</v>
      </c>
      <c r="U750" s="373">
        <v>17370</v>
      </c>
      <c r="V750" s="373">
        <v>17370</v>
      </c>
      <c r="W750" s="371" t="s">
        <v>2271</v>
      </c>
      <c r="X750" s="373">
        <v>28380</v>
      </c>
      <c r="Y750" s="373">
        <v>28380</v>
      </c>
      <c r="Z750" s="371" t="s">
        <v>2271</v>
      </c>
      <c r="AA750" s="373">
        <v>0</v>
      </c>
      <c r="AB750" s="373">
        <v>28360</v>
      </c>
      <c r="AC750" s="373">
        <v>28360</v>
      </c>
      <c r="AD750" s="371" t="s">
        <v>2271</v>
      </c>
      <c r="AE750" s="373">
        <v>0</v>
      </c>
      <c r="AF750" s="382">
        <v>0.60208333333333297</v>
      </c>
      <c r="AG750" s="382">
        <v>0.60208333333333297</v>
      </c>
      <c r="AH750" s="371" t="s">
        <v>2271</v>
      </c>
      <c r="AI750" s="382">
        <v>0.65763888888888899</v>
      </c>
      <c r="AJ750" s="382">
        <v>0.65763888888888899</v>
      </c>
      <c r="AK750" s="371" t="s">
        <v>2271</v>
      </c>
      <c r="AL750" s="206" t="s">
        <v>42</v>
      </c>
      <c r="AM750" s="206" t="s">
        <v>42</v>
      </c>
      <c r="AN750" s="371" t="s">
        <v>2271</v>
      </c>
      <c r="AO750" s="206" t="s">
        <v>2917</v>
      </c>
      <c r="AP750" s="206" t="s">
        <v>1499</v>
      </c>
      <c r="AQ750" s="206" t="s">
        <v>1133</v>
      </c>
      <c r="AR750" s="207" t="s">
        <v>68</v>
      </c>
    </row>
    <row r="751" spans="1:44" x14ac:dyDescent="0.2">
      <c r="A751" s="370">
        <v>732</v>
      </c>
      <c r="B751" s="380">
        <v>541</v>
      </c>
      <c r="C751" s="371" t="s">
        <v>2337</v>
      </c>
      <c r="D751" s="371" t="s">
        <v>2235</v>
      </c>
      <c r="E751" s="206"/>
      <c r="F751" s="206" t="s">
        <v>76</v>
      </c>
      <c r="G751" s="206" t="s">
        <v>76</v>
      </c>
      <c r="H751" s="371" t="s">
        <v>2271</v>
      </c>
      <c r="I751" s="206" t="s">
        <v>2187</v>
      </c>
      <c r="J751" s="206" t="s">
        <v>1441</v>
      </c>
      <c r="K751" s="371" t="s">
        <v>2276</v>
      </c>
      <c r="L751" s="206" t="s">
        <v>2188</v>
      </c>
      <c r="M751" s="206" t="s">
        <v>1354</v>
      </c>
      <c r="N751" s="206" t="s">
        <v>49</v>
      </c>
      <c r="O751" s="372" t="s">
        <v>2189</v>
      </c>
      <c r="P751" s="372">
        <v>46050</v>
      </c>
      <c r="Q751" s="371" t="s">
        <v>2276</v>
      </c>
      <c r="R751" s="373">
        <v>45970</v>
      </c>
      <c r="S751" s="373">
        <v>45970</v>
      </c>
      <c r="T751" s="371" t="s">
        <v>2271</v>
      </c>
      <c r="U751" s="373">
        <v>17590</v>
      </c>
      <c r="V751" s="373">
        <v>17590</v>
      </c>
      <c r="W751" s="371" t="s">
        <v>2271</v>
      </c>
      <c r="X751" s="373">
        <v>28380</v>
      </c>
      <c r="Y751" s="373">
        <v>28380</v>
      </c>
      <c r="Z751" s="371" t="s">
        <v>2271</v>
      </c>
      <c r="AA751" s="373">
        <v>0</v>
      </c>
      <c r="AB751" s="373">
        <v>28320</v>
      </c>
      <c r="AC751" s="373">
        <v>28320</v>
      </c>
      <c r="AD751" s="371" t="s">
        <v>2271</v>
      </c>
      <c r="AE751" s="373">
        <v>0</v>
      </c>
      <c r="AF751" s="382">
        <v>0.60833333333333295</v>
      </c>
      <c r="AG751" s="382">
        <v>0.60833333333333295</v>
      </c>
      <c r="AH751" s="371" t="s">
        <v>2271</v>
      </c>
      <c r="AI751" s="382">
        <v>0.65625</v>
      </c>
      <c r="AJ751" s="382">
        <v>0.65625</v>
      </c>
      <c r="AK751" s="371" t="s">
        <v>2271</v>
      </c>
      <c r="AL751" s="206" t="s">
        <v>42</v>
      </c>
      <c r="AM751" s="206" t="s">
        <v>42</v>
      </c>
      <c r="AN751" s="371" t="s">
        <v>2271</v>
      </c>
      <c r="AO751" s="206" t="s">
        <v>2918</v>
      </c>
      <c r="AP751" s="206" t="s">
        <v>1372</v>
      </c>
      <c r="AQ751" s="206" t="s">
        <v>1133</v>
      </c>
      <c r="AR751" s="207" t="s">
        <v>68</v>
      </c>
    </row>
    <row r="752" spans="1:44" x14ac:dyDescent="0.2">
      <c r="A752" s="370">
        <v>733</v>
      </c>
      <c r="B752" s="380">
        <v>542</v>
      </c>
      <c r="C752" s="371" t="s">
        <v>2337</v>
      </c>
      <c r="D752" s="371" t="s">
        <v>2235</v>
      </c>
      <c r="E752" s="206"/>
      <c r="F752" s="206" t="s">
        <v>46</v>
      </c>
      <c r="G752" s="206" t="s">
        <v>46</v>
      </c>
      <c r="H752" s="371" t="s">
        <v>2271</v>
      </c>
      <c r="I752" s="206" t="s">
        <v>2187</v>
      </c>
      <c r="J752" s="206" t="s">
        <v>1441</v>
      </c>
      <c r="K752" s="371" t="s">
        <v>2276</v>
      </c>
      <c r="L752" s="206" t="s">
        <v>2188</v>
      </c>
      <c r="M752" s="206" t="s">
        <v>1354</v>
      </c>
      <c r="N752" s="206" t="s">
        <v>49</v>
      </c>
      <c r="O752" s="372" t="s">
        <v>2189</v>
      </c>
      <c r="P752" s="372">
        <v>46050</v>
      </c>
      <c r="Q752" s="371" t="s">
        <v>2276</v>
      </c>
      <c r="R752" s="373">
        <v>26670</v>
      </c>
      <c r="S752" s="373">
        <v>26670</v>
      </c>
      <c r="T752" s="371" t="s">
        <v>2271</v>
      </c>
      <c r="U752" s="373">
        <v>11950</v>
      </c>
      <c r="V752" s="373">
        <v>11950</v>
      </c>
      <c r="W752" s="371" t="s">
        <v>2271</v>
      </c>
      <c r="X752" s="373">
        <v>14720</v>
      </c>
      <c r="Y752" s="373">
        <v>14720</v>
      </c>
      <c r="Z752" s="371" t="s">
        <v>2271</v>
      </c>
      <c r="AA752" s="373">
        <v>0</v>
      </c>
      <c r="AB752" s="373">
        <v>14710</v>
      </c>
      <c r="AC752" s="373">
        <v>14710</v>
      </c>
      <c r="AD752" s="371" t="s">
        <v>2271</v>
      </c>
      <c r="AE752" s="373">
        <v>0</v>
      </c>
      <c r="AF752" s="382">
        <v>0.781944444444444</v>
      </c>
      <c r="AG752" s="382">
        <v>0.781944444444444</v>
      </c>
      <c r="AH752" s="371" t="s">
        <v>2271</v>
      </c>
      <c r="AI752" s="382">
        <v>0.813194444444444</v>
      </c>
      <c r="AJ752" s="382">
        <v>0.813194444444444</v>
      </c>
      <c r="AK752" s="371" t="s">
        <v>2271</v>
      </c>
      <c r="AL752" s="206" t="s">
        <v>137</v>
      </c>
      <c r="AM752" s="206" t="s">
        <v>137</v>
      </c>
      <c r="AN752" s="371" t="s">
        <v>2271</v>
      </c>
      <c r="AO752" s="206" t="s">
        <v>2919</v>
      </c>
      <c r="AP752" s="206" t="s">
        <v>1393</v>
      </c>
      <c r="AQ752" s="206" t="s">
        <v>1132</v>
      </c>
      <c r="AR752" s="207" t="s">
        <v>68</v>
      </c>
    </row>
    <row r="753" spans="1:44" x14ac:dyDescent="0.2">
      <c r="A753" s="370">
        <v>734</v>
      </c>
      <c r="B753" s="380">
        <v>543</v>
      </c>
      <c r="C753" s="371" t="s">
        <v>2337</v>
      </c>
      <c r="D753" s="371" t="s">
        <v>2235</v>
      </c>
      <c r="E753" s="206"/>
      <c r="F753" s="206" t="s">
        <v>56</v>
      </c>
      <c r="G753" s="206" t="s">
        <v>56</v>
      </c>
      <c r="H753" s="371" t="s">
        <v>2271</v>
      </c>
      <c r="I753" s="206" t="s">
        <v>2187</v>
      </c>
      <c r="J753" s="206" t="s">
        <v>1441</v>
      </c>
      <c r="K753" s="371" t="s">
        <v>2276</v>
      </c>
      <c r="L753" s="206" t="s">
        <v>2188</v>
      </c>
      <c r="M753" s="206" t="s">
        <v>1354</v>
      </c>
      <c r="N753" s="206" t="s">
        <v>49</v>
      </c>
      <c r="O753" s="372" t="s">
        <v>2189</v>
      </c>
      <c r="P753" s="372">
        <v>46050</v>
      </c>
      <c r="Q753" s="371" t="s">
        <v>2276</v>
      </c>
      <c r="R753" s="373">
        <v>25080</v>
      </c>
      <c r="S753" s="373">
        <v>25080</v>
      </c>
      <c r="T753" s="371" t="s">
        <v>2271</v>
      </c>
      <c r="U753" s="373">
        <v>10780</v>
      </c>
      <c r="V753" s="373">
        <v>10780</v>
      </c>
      <c r="W753" s="371" t="s">
        <v>2271</v>
      </c>
      <c r="X753" s="373">
        <v>14300</v>
      </c>
      <c r="Y753" s="373">
        <v>14300</v>
      </c>
      <c r="Z753" s="371" t="s">
        <v>2271</v>
      </c>
      <c r="AA753" s="373">
        <v>0</v>
      </c>
      <c r="AB753" s="373">
        <v>14250</v>
      </c>
      <c r="AC753" s="373">
        <v>14250</v>
      </c>
      <c r="AD753" s="371" t="s">
        <v>2271</v>
      </c>
      <c r="AE753" s="373">
        <v>0</v>
      </c>
      <c r="AF753" s="382">
        <v>0.79930555555555605</v>
      </c>
      <c r="AG753" s="382">
        <v>0.79930555555555605</v>
      </c>
      <c r="AH753" s="371" t="s">
        <v>2271</v>
      </c>
      <c r="AI753" s="382">
        <v>0.83194444444444404</v>
      </c>
      <c r="AJ753" s="382">
        <v>0.83194444444444504</v>
      </c>
      <c r="AK753" s="371" t="s">
        <v>2276</v>
      </c>
      <c r="AL753" s="206" t="s">
        <v>137</v>
      </c>
      <c r="AM753" s="206" t="s">
        <v>137</v>
      </c>
      <c r="AN753" s="371" t="s">
        <v>2271</v>
      </c>
      <c r="AO753" s="206" t="s">
        <v>2920</v>
      </c>
      <c r="AP753" s="206" t="s">
        <v>1781</v>
      </c>
      <c r="AQ753" s="206" t="s">
        <v>1132</v>
      </c>
      <c r="AR753" s="207" t="s">
        <v>68</v>
      </c>
    </row>
    <row r="754" spans="1:44" x14ac:dyDescent="0.2">
      <c r="A754" s="370">
        <v>735</v>
      </c>
      <c r="B754" s="380">
        <v>544</v>
      </c>
      <c r="C754" s="371" t="s">
        <v>2337</v>
      </c>
      <c r="D754" s="371" t="s">
        <v>2235</v>
      </c>
      <c r="E754" s="206"/>
      <c r="F754" s="206" t="s">
        <v>84</v>
      </c>
      <c r="G754" s="206" t="s">
        <v>84</v>
      </c>
      <c r="H754" s="371" t="s">
        <v>2271</v>
      </c>
      <c r="I754" s="206" t="s">
        <v>2187</v>
      </c>
      <c r="J754" s="206" t="s">
        <v>1441</v>
      </c>
      <c r="K754" s="371" t="s">
        <v>2276</v>
      </c>
      <c r="L754" s="206" t="s">
        <v>2188</v>
      </c>
      <c r="M754" s="206" t="s">
        <v>1354</v>
      </c>
      <c r="N754" s="206" t="s">
        <v>49</v>
      </c>
      <c r="O754" s="372" t="s">
        <v>2189</v>
      </c>
      <c r="P754" s="372">
        <v>46050</v>
      </c>
      <c r="Q754" s="371" t="s">
        <v>2276</v>
      </c>
      <c r="R754" s="373">
        <v>26780</v>
      </c>
      <c r="S754" s="373">
        <v>26780</v>
      </c>
      <c r="T754" s="371" t="s">
        <v>2271</v>
      </c>
      <c r="U754" s="373">
        <v>12260</v>
      </c>
      <c r="V754" s="373">
        <v>12260</v>
      </c>
      <c r="W754" s="371" t="s">
        <v>2271</v>
      </c>
      <c r="X754" s="373">
        <v>14520</v>
      </c>
      <c r="Y754" s="373">
        <v>14520</v>
      </c>
      <c r="Z754" s="371" t="s">
        <v>2271</v>
      </c>
      <c r="AA754" s="373">
        <v>0</v>
      </c>
      <c r="AB754" s="373">
        <v>14480</v>
      </c>
      <c r="AC754" s="373">
        <v>14480</v>
      </c>
      <c r="AD754" s="371" t="s">
        <v>2271</v>
      </c>
      <c r="AE754" s="373">
        <v>0</v>
      </c>
      <c r="AF754" s="382">
        <v>0.82361111111111096</v>
      </c>
      <c r="AG754" s="382">
        <v>0.82361111111111096</v>
      </c>
      <c r="AH754" s="371" t="s">
        <v>2271</v>
      </c>
      <c r="AI754" s="382">
        <v>0.86458333333333304</v>
      </c>
      <c r="AJ754" s="382">
        <v>0.86458333333333304</v>
      </c>
      <c r="AK754" s="371" t="s">
        <v>2271</v>
      </c>
      <c r="AL754" s="206" t="s">
        <v>137</v>
      </c>
      <c r="AM754" s="206" t="s">
        <v>137</v>
      </c>
      <c r="AN754" s="371" t="s">
        <v>2271</v>
      </c>
      <c r="AO754" s="206" t="s">
        <v>2921</v>
      </c>
      <c r="AP754" s="206" t="s">
        <v>1782</v>
      </c>
      <c r="AQ754" s="206" t="s">
        <v>1132</v>
      </c>
      <c r="AR754" s="207" t="s">
        <v>68</v>
      </c>
    </row>
    <row r="755" spans="1:44" x14ac:dyDescent="0.2">
      <c r="A755" s="370">
        <v>736</v>
      </c>
      <c r="B755" s="380">
        <v>545</v>
      </c>
      <c r="C755" s="371" t="s">
        <v>2337</v>
      </c>
      <c r="D755" s="371" t="s">
        <v>2235</v>
      </c>
      <c r="E755" s="206"/>
      <c r="F755" s="206" t="s">
        <v>76</v>
      </c>
      <c r="G755" s="206" t="s">
        <v>76</v>
      </c>
      <c r="H755" s="371" t="s">
        <v>2271</v>
      </c>
      <c r="I755" s="206" t="s">
        <v>2187</v>
      </c>
      <c r="J755" s="206" t="s">
        <v>1441</v>
      </c>
      <c r="K755" s="371" t="s">
        <v>2276</v>
      </c>
      <c r="L755" s="206" t="s">
        <v>2188</v>
      </c>
      <c r="M755" s="206" t="s">
        <v>1354</v>
      </c>
      <c r="N755" s="206" t="s">
        <v>49</v>
      </c>
      <c r="O755" s="372" t="s">
        <v>2189</v>
      </c>
      <c r="P755" s="372">
        <v>46050</v>
      </c>
      <c r="Q755" s="371" t="s">
        <v>2276</v>
      </c>
      <c r="R755" s="373">
        <v>45840</v>
      </c>
      <c r="S755" s="373">
        <v>45840</v>
      </c>
      <c r="T755" s="371" t="s">
        <v>2271</v>
      </c>
      <c r="U755" s="373">
        <v>17560</v>
      </c>
      <c r="V755" s="373">
        <v>17560</v>
      </c>
      <c r="W755" s="371" t="s">
        <v>2271</v>
      </c>
      <c r="X755" s="373">
        <v>28280</v>
      </c>
      <c r="Y755" s="373">
        <v>28280</v>
      </c>
      <c r="Z755" s="371" t="s">
        <v>2271</v>
      </c>
      <c r="AA755" s="373">
        <v>0</v>
      </c>
      <c r="AB755" s="373">
        <v>28210</v>
      </c>
      <c r="AC755" s="373">
        <v>28210</v>
      </c>
      <c r="AD755" s="371" t="s">
        <v>2271</v>
      </c>
      <c r="AE755" s="373">
        <v>0</v>
      </c>
      <c r="AF755" s="382">
        <v>0.84791666666666698</v>
      </c>
      <c r="AG755" s="382">
        <v>0.84791666666666698</v>
      </c>
      <c r="AH755" s="371" t="s">
        <v>2271</v>
      </c>
      <c r="AI755" s="382">
        <v>0.88402777777777797</v>
      </c>
      <c r="AJ755" s="382">
        <v>0.88402777777777797</v>
      </c>
      <c r="AK755" s="371" t="s">
        <v>2271</v>
      </c>
      <c r="AL755" s="206" t="s">
        <v>137</v>
      </c>
      <c r="AM755" s="206" t="s">
        <v>137</v>
      </c>
      <c r="AN755" s="371" t="s">
        <v>2271</v>
      </c>
      <c r="AO755" s="206" t="s">
        <v>2922</v>
      </c>
      <c r="AP755" s="206" t="s">
        <v>1372</v>
      </c>
      <c r="AQ755" s="206" t="s">
        <v>1133</v>
      </c>
      <c r="AR755" s="207" t="s">
        <v>68</v>
      </c>
    </row>
    <row r="756" spans="1:44" x14ac:dyDescent="0.2">
      <c r="A756" s="370">
        <v>737</v>
      </c>
      <c r="B756" s="380">
        <v>546</v>
      </c>
      <c r="C756" s="371" t="s">
        <v>2269</v>
      </c>
      <c r="D756" s="371" t="s">
        <v>2235</v>
      </c>
      <c r="E756" s="206"/>
      <c r="F756" s="206" t="s">
        <v>171</v>
      </c>
      <c r="G756" s="206" t="s">
        <v>171</v>
      </c>
      <c r="H756" s="371" t="s">
        <v>2271</v>
      </c>
      <c r="I756" s="206" t="s">
        <v>1356</v>
      </c>
      <c r="J756" s="206" t="s">
        <v>1356</v>
      </c>
      <c r="K756" s="371" t="s">
        <v>2271</v>
      </c>
      <c r="L756" s="206" t="s">
        <v>2191</v>
      </c>
      <c r="M756" s="206" t="s">
        <v>1355</v>
      </c>
      <c r="N756" s="206" t="s">
        <v>40</v>
      </c>
      <c r="O756" s="372" t="s">
        <v>2190</v>
      </c>
      <c r="P756" s="372">
        <v>46051</v>
      </c>
      <c r="Q756" s="371" t="s">
        <v>2276</v>
      </c>
      <c r="R756" s="373">
        <v>13260</v>
      </c>
      <c r="S756" s="373">
        <v>13260</v>
      </c>
      <c r="T756" s="371" t="s">
        <v>2271</v>
      </c>
      <c r="U756" s="373">
        <v>3640</v>
      </c>
      <c r="V756" s="373">
        <v>3640</v>
      </c>
      <c r="W756" s="371" t="s">
        <v>2271</v>
      </c>
      <c r="X756" s="373">
        <v>9620</v>
      </c>
      <c r="Y756" s="373">
        <v>9620</v>
      </c>
      <c r="Z756" s="371" t="s">
        <v>2271</v>
      </c>
      <c r="AA756" s="373">
        <v>0</v>
      </c>
      <c r="AB756" s="373">
        <v>9600</v>
      </c>
      <c r="AC756" s="373">
        <v>9600</v>
      </c>
      <c r="AD756" s="371" t="s">
        <v>2271</v>
      </c>
      <c r="AE756" s="373">
        <v>0</v>
      </c>
      <c r="AF756" s="382">
        <v>0.35347222222222202</v>
      </c>
      <c r="AG756" s="382">
        <v>0.35347222222222202</v>
      </c>
      <c r="AH756" s="371" t="s">
        <v>2271</v>
      </c>
      <c r="AI756" s="382">
        <v>0.38750000000000001</v>
      </c>
      <c r="AJ756" s="382">
        <v>0.38750000000000001</v>
      </c>
      <c r="AK756" s="371" t="s">
        <v>2271</v>
      </c>
      <c r="AL756" s="206" t="s">
        <v>42</v>
      </c>
      <c r="AM756" s="206" t="s">
        <v>42</v>
      </c>
      <c r="AN756" s="371" t="s">
        <v>2271</v>
      </c>
      <c r="AO756" s="206" t="s">
        <v>2923</v>
      </c>
      <c r="AP756" s="206"/>
      <c r="AQ756" s="206" t="s">
        <v>1131</v>
      </c>
      <c r="AR756" s="207" t="s">
        <v>82</v>
      </c>
    </row>
    <row r="757" spans="1:44" x14ac:dyDescent="0.2">
      <c r="A757" s="370">
        <v>738</v>
      </c>
      <c r="B757" s="380">
        <v>547</v>
      </c>
      <c r="C757" s="371" t="s">
        <v>2269</v>
      </c>
      <c r="D757" s="371" t="s">
        <v>2235</v>
      </c>
      <c r="E757" s="206"/>
      <c r="F757" s="206" t="s">
        <v>214</v>
      </c>
      <c r="G757" s="206" t="s">
        <v>214</v>
      </c>
      <c r="H757" s="371" t="s">
        <v>2271</v>
      </c>
      <c r="I757" s="206" t="s">
        <v>1356</v>
      </c>
      <c r="J757" s="206" t="s">
        <v>1356</v>
      </c>
      <c r="K757" s="371" t="s">
        <v>2271</v>
      </c>
      <c r="L757" s="206" t="s">
        <v>2191</v>
      </c>
      <c r="M757" s="206" t="s">
        <v>1355</v>
      </c>
      <c r="N757" s="206" t="s">
        <v>40</v>
      </c>
      <c r="O757" s="372" t="s">
        <v>2190</v>
      </c>
      <c r="P757" s="372">
        <v>46051</v>
      </c>
      <c r="Q757" s="371" t="s">
        <v>2276</v>
      </c>
      <c r="R757" s="373">
        <v>13500</v>
      </c>
      <c r="S757" s="373">
        <v>13500</v>
      </c>
      <c r="T757" s="371" t="s">
        <v>2271</v>
      </c>
      <c r="U757" s="373">
        <v>3670</v>
      </c>
      <c r="V757" s="373">
        <v>3670</v>
      </c>
      <c r="W757" s="371" t="s">
        <v>2271</v>
      </c>
      <c r="X757" s="373">
        <v>9830</v>
      </c>
      <c r="Y757" s="373">
        <v>9830</v>
      </c>
      <c r="Z757" s="371" t="s">
        <v>2271</v>
      </c>
      <c r="AA757" s="373">
        <v>0</v>
      </c>
      <c r="AB757" s="373">
        <v>9800</v>
      </c>
      <c r="AC757" s="373">
        <v>9800</v>
      </c>
      <c r="AD757" s="371" t="s">
        <v>2271</v>
      </c>
      <c r="AE757" s="373">
        <v>0</v>
      </c>
      <c r="AF757" s="382">
        <v>0.35416666666666702</v>
      </c>
      <c r="AG757" s="382">
        <v>0.35416666666666702</v>
      </c>
      <c r="AH757" s="371" t="s">
        <v>2271</v>
      </c>
      <c r="AI757" s="382">
        <v>0.39236111111111099</v>
      </c>
      <c r="AJ757" s="382">
        <v>0.39236111111111099</v>
      </c>
      <c r="AK757" s="371" t="s">
        <v>2271</v>
      </c>
      <c r="AL757" s="206" t="s">
        <v>42</v>
      </c>
      <c r="AM757" s="206" t="s">
        <v>42</v>
      </c>
      <c r="AN757" s="371" t="s">
        <v>2271</v>
      </c>
      <c r="AO757" s="206" t="s">
        <v>2924</v>
      </c>
      <c r="AP757" s="206"/>
      <c r="AQ757" s="206" t="s">
        <v>1131</v>
      </c>
      <c r="AR757" s="207" t="s">
        <v>82</v>
      </c>
    </row>
    <row r="758" spans="1:44" x14ac:dyDescent="0.2">
      <c r="A758" s="370">
        <v>739</v>
      </c>
      <c r="B758" s="380">
        <v>548</v>
      </c>
      <c r="C758" s="371" t="s">
        <v>2337</v>
      </c>
      <c r="D758" s="371" t="s">
        <v>2235</v>
      </c>
      <c r="E758" s="206"/>
      <c r="F758" s="206" t="s">
        <v>70</v>
      </c>
      <c r="G758" s="206" t="s">
        <v>70</v>
      </c>
      <c r="H758" s="371" t="s">
        <v>2271</v>
      </c>
      <c r="I758" s="206" t="s">
        <v>2187</v>
      </c>
      <c r="J758" s="206" t="s">
        <v>1441</v>
      </c>
      <c r="K758" s="371" t="s">
        <v>2276</v>
      </c>
      <c r="L758" s="206" t="s">
        <v>2188</v>
      </c>
      <c r="M758" s="206" t="s">
        <v>1354</v>
      </c>
      <c r="N758" s="206" t="s">
        <v>49</v>
      </c>
      <c r="O758" s="372" t="s">
        <v>2190</v>
      </c>
      <c r="P758" s="372">
        <v>46051</v>
      </c>
      <c r="Q758" s="371" t="s">
        <v>2276</v>
      </c>
      <c r="R758" s="373">
        <v>45980</v>
      </c>
      <c r="S758" s="373">
        <v>45980</v>
      </c>
      <c r="T758" s="371" t="s">
        <v>2271</v>
      </c>
      <c r="U758" s="373">
        <v>17580</v>
      </c>
      <c r="V758" s="373">
        <v>17580</v>
      </c>
      <c r="W758" s="371" t="s">
        <v>2271</v>
      </c>
      <c r="X758" s="373">
        <v>28400</v>
      </c>
      <c r="Y758" s="373">
        <v>28400</v>
      </c>
      <c r="Z758" s="371" t="s">
        <v>2271</v>
      </c>
      <c r="AA758" s="373">
        <v>0</v>
      </c>
      <c r="AB758" s="373">
        <v>28330</v>
      </c>
      <c r="AC758" s="373">
        <v>28330</v>
      </c>
      <c r="AD758" s="371" t="s">
        <v>2271</v>
      </c>
      <c r="AE758" s="373">
        <v>0</v>
      </c>
      <c r="AF758" s="382">
        <v>0.46458333333333302</v>
      </c>
      <c r="AG758" s="382">
        <v>0.46458333333333302</v>
      </c>
      <c r="AH758" s="371" t="s">
        <v>2271</v>
      </c>
      <c r="AI758" s="382">
        <v>0.55763888888888902</v>
      </c>
      <c r="AJ758" s="382">
        <v>0.55763888888888902</v>
      </c>
      <c r="AK758" s="371" t="s">
        <v>2271</v>
      </c>
      <c r="AL758" s="206" t="s">
        <v>42</v>
      </c>
      <c r="AM758" s="206" t="s">
        <v>42</v>
      </c>
      <c r="AN758" s="371" t="s">
        <v>2271</v>
      </c>
      <c r="AO758" s="206" t="s">
        <v>2925</v>
      </c>
      <c r="AP758" s="206" t="s">
        <v>1499</v>
      </c>
      <c r="AQ758" s="206" t="s">
        <v>1133</v>
      </c>
      <c r="AR758" s="207" t="s">
        <v>68</v>
      </c>
    </row>
    <row r="759" spans="1:44" x14ac:dyDescent="0.2">
      <c r="A759" s="370">
        <v>740</v>
      </c>
      <c r="B759" s="380">
        <v>549</v>
      </c>
      <c r="C759" s="371" t="s">
        <v>2337</v>
      </c>
      <c r="D759" s="371" t="s">
        <v>2235</v>
      </c>
      <c r="E759" s="206"/>
      <c r="F759" s="206" t="s">
        <v>56</v>
      </c>
      <c r="G759" s="206" t="s">
        <v>56</v>
      </c>
      <c r="H759" s="371" t="s">
        <v>2271</v>
      </c>
      <c r="I759" s="206" t="s">
        <v>2187</v>
      </c>
      <c r="J759" s="206" t="s">
        <v>1441</v>
      </c>
      <c r="K759" s="371" t="s">
        <v>2276</v>
      </c>
      <c r="L759" s="206" t="s">
        <v>2188</v>
      </c>
      <c r="M759" s="206" t="s">
        <v>1354</v>
      </c>
      <c r="N759" s="206" t="s">
        <v>49</v>
      </c>
      <c r="O759" s="372" t="s">
        <v>2190</v>
      </c>
      <c r="P759" s="372">
        <v>46051</v>
      </c>
      <c r="Q759" s="371" t="s">
        <v>2276</v>
      </c>
      <c r="R759" s="373">
        <v>24990</v>
      </c>
      <c r="S759" s="373">
        <v>24990</v>
      </c>
      <c r="T759" s="371" t="s">
        <v>2271</v>
      </c>
      <c r="U759" s="373">
        <v>10720</v>
      </c>
      <c r="V759" s="373">
        <v>10720</v>
      </c>
      <c r="W759" s="371" t="s">
        <v>2271</v>
      </c>
      <c r="X759" s="373">
        <v>14270</v>
      </c>
      <c r="Y759" s="373">
        <v>14270</v>
      </c>
      <c r="Z759" s="371" t="s">
        <v>2271</v>
      </c>
      <c r="AA759" s="373">
        <v>0</v>
      </c>
      <c r="AB759" s="373">
        <v>14230</v>
      </c>
      <c r="AC759" s="373">
        <v>14230</v>
      </c>
      <c r="AD759" s="371" t="s">
        <v>2271</v>
      </c>
      <c r="AE759" s="373">
        <v>0</v>
      </c>
      <c r="AF759" s="382">
        <v>0.46527777777777801</v>
      </c>
      <c r="AG759" s="382">
        <v>0.46527777777777801</v>
      </c>
      <c r="AH759" s="371" t="s">
        <v>2271</v>
      </c>
      <c r="AI759" s="382">
        <v>0.54791666666666705</v>
      </c>
      <c r="AJ759" s="382">
        <v>0.54791666666666705</v>
      </c>
      <c r="AK759" s="371" t="s">
        <v>2271</v>
      </c>
      <c r="AL759" s="206" t="s">
        <v>42</v>
      </c>
      <c r="AM759" s="206" t="s">
        <v>42</v>
      </c>
      <c r="AN759" s="371" t="s">
        <v>2271</v>
      </c>
      <c r="AO759" s="206" t="s">
        <v>2926</v>
      </c>
      <c r="AP759" s="206" t="s">
        <v>1781</v>
      </c>
      <c r="AQ759" s="206" t="s">
        <v>1132</v>
      </c>
      <c r="AR759" s="207" t="s">
        <v>68</v>
      </c>
    </row>
    <row r="760" spans="1:44" x14ac:dyDescent="0.2">
      <c r="A760" s="370">
        <v>741</v>
      </c>
      <c r="B760" s="380">
        <v>550</v>
      </c>
      <c r="C760" s="371" t="s">
        <v>2337</v>
      </c>
      <c r="D760" s="371" t="s">
        <v>2235</v>
      </c>
      <c r="E760" s="206"/>
      <c r="F760" s="206" t="s">
        <v>84</v>
      </c>
      <c r="G760" s="206" t="s">
        <v>84</v>
      </c>
      <c r="H760" s="371" t="s">
        <v>2271</v>
      </c>
      <c r="I760" s="206" t="s">
        <v>2187</v>
      </c>
      <c r="J760" s="206" t="s">
        <v>1441</v>
      </c>
      <c r="K760" s="371" t="s">
        <v>2276</v>
      </c>
      <c r="L760" s="206" t="s">
        <v>2188</v>
      </c>
      <c r="M760" s="206" t="s">
        <v>1354</v>
      </c>
      <c r="N760" s="206" t="s">
        <v>49</v>
      </c>
      <c r="O760" s="372" t="s">
        <v>2190</v>
      </c>
      <c r="P760" s="372">
        <v>46051</v>
      </c>
      <c r="Q760" s="371" t="s">
        <v>2276</v>
      </c>
      <c r="R760" s="373">
        <v>26710</v>
      </c>
      <c r="S760" s="373">
        <v>26710</v>
      </c>
      <c r="T760" s="371" t="s">
        <v>2271</v>
      </c>
      <c r="U760" s="373">
        <v>12200</v>
      </c>
      <c r="V760" s="373">
        <v>12200</v>
      </c>
      <c r="W760" s="371" t="s">
        <v>2271</v>
      </c>
      <c r="X760" s="373">
        <v>14510</v>
      </c>
      <c r="Y760" s="373">
        <v>14510</v>
      </c>
      <c r="Z760" s="371" t="s">
        <v>2271</v>
      </c>
      <c r="AA760" s="373">
        <v>0</v>
      </c>
      <c r="AB760" s="373">
        <v>14450</v>
      </c>
      <c r="AC760" s="373">
        <v>14450</v>
      </c>
      <c r="AD760" s="371" t="s">
        <v>2271</v>
      </c>
      <c r="AE760" s="373">
        <v>0</v>
      </c>
      <c r="AF760" s="382">
        <v>0.49236111111111103</v>
      </c>
      <c r="AG760" s="382">
        <v>0.49236111111111103</v>
      </c>
      <c r="AH760" s="371" t="s">
        <v>2271</v>
      </c>
      <c r="AI760" s="382">
        <v>0.54930555555555605</v>
      </c>
      <c r="AJ760" s="382">
        <v>0.54930555555555605</v>
      </c>
      <c r="AK760" s="371" t="s">
        <v>2271</v>
      </c>
      <c r="AL760" s="206" t="s">
        <v>42</v>
      </c>
      <c r="AM760" s="206" t="s">
        <v>42</v>
      </c>
      <c r="AN760" s="371" t="s">
        <v>2271</v>
      </c>
      <c r="AO760" s="206" t="s">
        <v>2927</v>
      </c>
      <c r="AP760" s="206" t="s">
        <v>1782</v>
      </c>
      <c r="AQ760" s="206" t="s">
        <v>1132</v>
      </c>
      <c r="AR760" s="207" t="s">
        <v>68</v>
      </c>
    </row>
    <row r="761" spans="1:44" x14ac:dyDescent="0.2">
      <c r="A761" s="370">
        <v>742</v>
      </c>
      <c r="B761" s="380">
        <v>551</v>
      </c>
      <c r="C761" s="371" t="s">
        <v>2337</v>
      </c>
      <c r="D761" s="371" t="s">
        <v>2235</v>
      </c>
      <c r="E761" s="206"/>
      <c r="F761" s="206" t="s">
        <v>76</v>
      </c>
      <c r="G761" s="206" t="s">
        <v>76</v>
      </c>
      <c r="H761" s="371" t="s">
        <v>2271</v>
      </c>
      <c r="I761" s="206" t="s">
        <v>2187</v>
      </c>
      <c r="J761" s="206" t="s">
        <v>1441</v>
      </c>
      <c r="K761" s="371" t="s">
        <v>2276</v>
      </c>
      <c r="L761" s="206" t="s">
        <v>2188</v>
      </c>
      <c r="M761" s="206" t="s">
        <v>1354</v>
      </c>
      <c r="N761" s="206" t="s">
        <v>49</v>
      </c>
      <c r="O761" s="372" t="s">
        <v>2190</v>
      </c>
      <c r="P761" s="372">
        <v>46051</v>
      </c>
      <c r="Q761" s="371" t="s">
        <v>2276</v>
      </c>
      <c r="R761" s="373">
        <v>45840</v>
      </c>
      <c r="S761" s="373">
        <v>45840</v>
      </c>
      <c r="T761" s="371" t="s">
        <v>2271</v>
      </c>
      <c r="U761" s="373">
        <v>17500</v>
      </c>
      <c r="V761" s="373">
        <v>17500</v>
      </c>
      <c r="W761" s="371" t="s">
        <v>2271</v>
      </c>
      <c r="X761" s="373">
        <v>28340</v>
      </c>
      <c r="Y761" s="373">
        <v>28340</v>
      </c>
      <c r="Z761" s="371" t="s">
        <v>2271</v>
      </c>
      <c r="AA761" s="373">
        <v>0</v>
      </c>
      <c r="AB761" s="373">
        <v>28270</v>
      </c>
      <c r="AC761" s="373">
        <v>28270</v>
      </c>
      <c r="AD761" s="371" t="s">
        <v>2271</v>
      </c>
      <c r="AE761" s="373">
        <v>0</v>
      </c>
      <c r="AF761" s="382">
        <v>0.49513888888888902</v>
      </c>
      <c r="AG761" s="382">
        <v>0.49513888888888902</v>
      </c>
      <c r="AH761" s="371" t="s">
        <v>2271</v>
      </c>
      <c r="AI761" s="382">
        <v>0.55277777777777803</v>
      </c>
      <c r="AJ761" s="382">
        <v>0.55277777777777803</v>
      </c>
      <c r="AK761" s="371" t="s">
        <v>2271</v>
      </c>
      <c r="AL761" s="206" t="s">
        <v>42</v>
      </c>
      <c r="AM761" s="206" t="s">
        <v>42</v>
      </c>
      <c r="AN761" s="371" t="s">
        <v>2271</v>
      </c>
      <c r="AO761" s="206" t="s">
        <v>2928</v>
      </c>
      <c r="AP761" s="206" t="s">
        <v>1372</v>
      </c>
      <c r="AQ761" s="206" t="s">
        <v>1133</v>
      </c>
      <c r="AR761" s="207" t="s">
        <v>68</v>
      </c>
    </row>
    <row r="762" spans="1:44" x14ac:dyDescent="0.2">
      <c r="A762" s="370">
        <v>743</v>
      </c>
      <c r="B762" s="380">
        <v>552</v>
      </c>
      <c r="C762" s="371" t="s">
        <v>2337</v>
      </c>
      <c r="D762" s="371" t="s">
        <v>2235</v>
      </c>
      <c r="E762" s="206"/>
      <c r="F762" s="206" t="s">
        <v>46</v>
      </c>
      <c r="G762" s="206" t="s">
        <v>46</v>
      </c>
      <c r="H762" s="371" t="s">
        <v>2271</v>
      </c>
      <c r="I762" s="206" t="s">
        <v>2187</v>
      </c>
      <c r="J762" s="206" t="s">
        <v>1441</v>
      </c>
      <c r="K762" s="371" t="s">
        <v>2276</v>
      </c>
      <c r="L762" s="206" t="s">
        <v>2188</v>
      </c>
      <c r="M762" s="206" t="s">
        <v>1354</v>
      </c>
      <c r="N762" s="206" t="s">
        <v>49</v>
      </c>
      <c r="O762" s="372" t="s">
        <v>2190</v>
      </c>
      <c r="P762" s="372">
        <v>46051</v>
      </c>
      <c r="Q762" s="371" t="s">
        <v>2276</v>
      </c>
      <c r="R762" s="373">
        <v>26710</v>
      </c>
      <c r="S762" s="373">
        <v>26710</v>
      </c>
      <c r="T762" s="371" t="s">
        <v>2271</v>
      </c>
      <c r="U762" s="373">
        <v>11880</v>
      </c>
      <c r="V762" s="373">
        <v>11880</v>
      </c>
      <c r="W762" s="371" t="s">
        <v>2271</v>
      </c>
      <c r="X762" s="373">
        <v>14830</v>
      </c>
      <c r="Y762" s="373">
        <v>14830</v>
      </c>
      <c r="Z762" s="371" t="s">
        <v>2271</v>
      </c>
      <c r="AA762" s="373">
        <v>0</v>
      </c>
      <c r="AB762" s="373">
        <v>14760</v>
      </c>
      <c r="AC762" s="373">
        <v>14760</v>
      </c>
      <c r="AD762" s="371" t="s">
        <v>2271</v>
      </c>
      <c r="AE762" s="373">
        <v>0</v>
      </c>
      <c r="AF762" s="382">
        <v>0.50624999999999998</v>
      </c>
      <c r="AG762" s="382">
        <v>0.50624999999999998</v>
      </c>
      <c r="AH762" s="371" t="s">
        <v>2271</v>
      </c>
      <c r="AI762" s="382">
        <v>0.54930555555555605</v>
      </c>
      <c r="AJ762" s="382">
        <v>0.54930555555555605</v>
      </c>
      <c r="AK762" s="371" t="s">
        <v>2271</v>
      </c>
      <c r="AL762" s="206" t="s">
        <v>42</v>
      </c>
      <c r="AM762" s="206" t="s">
        <v>42</v>
      </c>
      <c r="AN762" s="371" t="s">
        <v>2271</v>
      </c>
      <c r="AO762" s="206" t="s">
        <v>2929</v>
      </c>
      <c r="AP762" s="206" t="s">
        <v>1393</v>
      </c>
      <c r="AQ762" s="206" t="s">
        <v>1132</v>
      </c>
      <c r="AR762" s="207" t="s">
        <v>68</v>
      </c>
    </row>
    <row r="763" spans="1:44" x14ac:dyDescent="0.2">
      <c r="A763" s="370">
        <v>744</v>
      </c>
      <c r="B763" s="380">
        <v>553</v>
      </c>
      <c r="C763" s="371" t="s">
        <v>2337</v>
      </c>
      <c r="D763" s="371" t="s">
        <v>2235</v>
      </c>
      <c r="E763" s="206"/>
      <c r="F763" s="206" t="s">
        <v>46</v>
      </c>
      <c r="G763" s="206" t="s">
        <v>46</v>
      </c>
      <c r="H763" s="371" t="s">
        <v>2271</v>
      </c>
      <c r="I763" s="206" t="s">
        <v>2187</v>
      </c>
      <c r="J763" s="206" t="s">
        <v>1441</v>
      </c>
      <c r="K763" s="371" t="s">
        <v>2276</v>
      </c>
      <c r="L763" s="206" t="s">
        <v>2188</v>
      </c>
      <c r="M763" s="206" t="s">
        <v>1354</v>
      </c>
      <c r="N763" s="206" t="s">
        <v>49</v>
      </c>
      <c r="O763" s="372" t="s">
        <v>2190</v>
      </c>
      <c r="P763" s="372">
        <v>46051</v>
      </c>
      <c r="Q763" s="371" t="s">
        <v>2276</v>
      </c>
      <c r="R763" s="373">
        <v>26530</v>
      </c>
      <c r="S763" s="373">
        <v>26530</v>
      </c>
      <c r="T763" s="371" t="s">
        <v>2271</v>
      </c>
      <c r="U763" s="373">
        <v>11860</v>
      </c>
      <c r="V763" s="373">
        <v>11860</v>
      </c>
      <c r="W763" s="371" t="s">
        <v>2271</v>
      </c>
      <c r="X763" s="373">
        <v>14670</v>
      </c>
      <c r="Y763" s="373">
        <v>14670</v>
      </c>
      <c r="Z763" s="371" t="s">
        <v>2271</v>
      </c>
      <c r="AA763" s="373">
        <v>0</v>
      </c>
      <c r="AB763" s="373">
        <v>14650</v>
      </c>
      <c r="AC763" s="373">
        <v>14650</v>
      </c>
      <c r="AD763" s="371" t="s">
        <v>2271</v>
      </c>
      <c r="AE763" s="373">
        <v>0</v>
      </c>
      <c r="AF763" s="382">
        <v>0.72083333333333299</v>
      </c>
      <c r="AG763" s="382">
        <v>0.72083333333333299</v>
      </c>
      <c r="AH763" s="371" t="s">
        <v>2271</v>
      </c>
      <c r="AI763" s="382">
        <v>0.74166666666666703</v>
      </c>
      <c r="AJ763" s="382">
        <v>0.74166666666666703</v>
      </c>
      <c r="AK763" s="371" t="s">
        <v>2271</v>
      </c>
      <c r="AL763" s="206" t="s">
        <v>137</v>
      </c>
      <c r="AM763" s="206" t="s">
        <v>137</v>
      </c>
      <c r="AN763" s="371" t="s">
        <v>2271</v>
      </c>
      <c r="AO763" s="206" t="s">
        <v>2930</v>
      </c>
      <c r="AP763" s="206" t="s">
        <v>1393</v>
      </c>
      <c r="AQ763" s="206" t="s">
        <v>1132</v>
      </c>
      <c r="AR763" s="207" t="s">
        <v>68</v>
      </c>
    </row>
    <row r="764" spans="1:44" x14ac:dyDescent="0.2">
      <c r="A764" s="370">
        <v>745</v>
      </c>
      <c r="B764" s="380">
        <v>554</v>
      </c>
      <c r="C764" s="371" t="s">
        <v>2337</v>
      </c>
      <c r="D764" s="371" t="s">
        <v>2235</v>
      </c>
      <c r="E764" s="206"/>
      <c r="F764" s="206" t="s">
        <v>56</v>
      </c>
      <c r="G764" s="206" t="s">
        <v>56</v>
      </c>
      <c r="H764" s="371" t="s">
        <v>2271</v>
      </c>
      <c r="I764" s="206" t="s">
        <v>2187</v>
      </c>
      <c r="J764" s="206" t="s">
        <v>1441</v>
      </c>
      <c r="K764" s="371" t="s">
        <v>2276</v>
      </c>
      <c r="L764" s="206" t="s">
        <v>2188</v>
      </c>
      <c r="M764" s="206" t="s">
        <v>1354</v>
      </c>
      <c r="N764" s="206" t="s">
        <v>49</v>
      </c>
      <c r="O764" s="372" t="s">
        <v>2190</v>
      </c>
      <c r="P764" s="372">
        <v>46051</v>
      </c>
      <c r="Q764" s="371" t="s">
        <v>2276</v>
      </c>
      <c r="R764" s="373">
        <v>24940</v>
      </c>
      <c r="S764" s="373">
        <v>24940</v>
      </c>
      <c r="T764" s="371" t="s">
        <v>2271</v>
      </c>
      <c r="U764" s="373">
        <v>10690</v>
      </c>
      <c r="V764" s="373">
        <v>10690</v>
      </c>
      <c r="W764" s="371" t="s">
        <v>2271</v>
      </c>
      <c r="X764" s="373">
        <v>14250</v>
      </c>
      <c r="Y764" s="373">
        <v>14250</v>
      </c>
      <c r="Z764" s="371" t="s">
        <v>2271</v>
      </c>
      <c r="AA764" s="373">
        <v>0</v>
      </c>
      <c r="AB764" s="373">
        <v>14210</v>
      </c>
      <c r="AC764" s="373">
        <v>14210</v>
      </c>
      <c r="AD764" s="371" t="s">
        <v>2271</v>
      </c>
      <c r="AE764" s="373">
        <v>0</v>
      </c>
      <c r="AF764" s="382">
        <v>0.73402777777777795</v>
      </c>
      <c r="AG764" s="382">
        <v>0.73402777777777795</v>
      </c>
      <c r="AH764" s="371" t="s">
        <v>2271</v>
      </c>
      <c r="AI764" s="382">
        <v>0.76597222222222205</v>
      </c>
      <c r="AJ764" s="382">
        <v>0.76597222222222205</v>
      </c>
      <c r="AK764" s="371" t="s">
        <v>2271</v>
      </c>
      <c r="AL764" s="206" t="s">
        <v>137</v>
      </c>
      <c r="AM764" s="206" t="s">
        <v>137</v>
      </c>
      <c r="AN764" s="371" t="s">
        <v>2271</v>
      </c>
      <c r="AO764" s="206" t="s">
        <v>2931</v>
      </c>
      <c r="AP764" s="206" t="s">
        <v>1781</v>
      </c>
      <c r="AQ764" s="206" t="s">
        <v>1132</v>
      </c>
      <c r="AR764" s="207" t="s">
        <v>68</v>
      </c>
    </row>
    <row r="765" spans="1:44" x14ac:dyDescent="0.2">
      <c r="A765" s="370">
        <v>746</v>
      </c>
      <c r="B765" s="380">
        <v>555</v>
      </c>
      <c r="C765" s="371" t="s">
        <v>2337</v>
      </c>
      <c r="D765" s="371" t="s">
        <v>2235</v>
      </c>
      <c r="E765" s="206"/>
      <c r="F765" s="206" t="s">
        <v>76</v>
      </c>
      <c r="G765" s="206" t="s">
        <v>76</v>
      </c>
      <c r="H765" s="371" t="s">
        <v>2271</v>
      </c>
      <c r="I765" s="206" t="s">
        <v>2187</v>
      </c>
      <c r="J765" s="206" t="s">
        <v>1441</v>
      </c>
      <c r="K765" s="371" t="s">
        <v>2276</v>
      </c>
      <c r="L765" s="206" t="s">
        <v>2188</v>
      </c>
      <c r="M765" s="206" t="s">
        <v>1354</v>
      </c>
      <c r="N765" s="206" t="s">
        <v>49</v>
      </c>
      <c r="O765" s="372" t="s">
        <v>2190</v>
      </c>
      <c r="P765" s="372">
        <v>46051</v>
      </c>
      <c r="Q765" s="371" t="s">
        <v>2276</v>
      </c>
      <c r="R765" s="373">
        <v>45830</v>
      </c>
      <c r="S765" s="373">
        <v>45830</v>
      </c>
      <c r="T765" s="371" t="s">
        <v>2271</v>
      </c>
      <c r="U765" s="373">
        <v>17590</v>
      </c>
      <c r="V765" s="373">
        <v>17590</v>
      </c>
      <c r="W765" s="371" t="s">
        <v>2271</v>
      </c>
      <c r="X765" s="373">
        <v>28240</v>
      </c>
      <c r="Y765" s="373">
        <v>28240</v>
      </c>
      <c r="Z765" s="371" t="s">
        <v>2271</v>
      </c>
      <c r="AA765" s="373">
        <v>0</v>
      </c>
      <c r="AB765" s="373">
        <v>28190</v>
      </c>
      <c r="AC765" s="373">
        <v>28190</v>
      </c>
      <c r="AD765" s="371" t="s">
        <v>2271</v>
      </c>
      <c r="AE765" s="373">
        <v>0</v>
      </c>
      <c r="AF765" s="382">
        <v>0.76249999999999996</v>
      </c>
      <c r="AG765" s="382">
        <v>0.76249999999999996</v>
      </c>
      <c r="AH765" s="371" t="s">
        <v>2271</v>
      </c>
      <c r="AI765" s="382">
        <v>0.79861111111111105</v>
      </c>
      <c r="AJ765" s="382">
        <v>0.79861111111111105</v>
      </c>
      <c r="AK765" s="371" t="s">
        <v>2271</v>
      </c>
      <c r="AL765" s="206" t="s">
        <v>137</v>
      </c>
      <c r="AM765" s="206" t="s">
        <v>137</v>
      </c>
      <c r="AN765" s="371" t="s">
        <v>2271</v>
      </c>
      <c r="AO765" s="206" t="s">
        <v>2932</v>
      </c>
      <c r="AP765" s="206" t="s">
        <v>1372</v>
      </c>
      <c r="AQ765" s="206" t="s">
        <v>1133</v>
      </c>
      <c r="AR765" s="207" t="s">
        <v>68</v>
      </c>
    </row>
    <row r="766" spans="1:44" x14ac:dyDescent="0.2">
      <c r="A766" s="370">
        <v>747</v>
      </c>
      <c r="B766" s="380">
        <v>556</v>
      </c>
      <c r="C766" s="371" t="s">
        <v>2337</v>
      </c>
      <c r="D766" s="371" t="s">
        <v>2235</v>
      </c>
      <c r="E766" s="206"/>
      <c r="F766" s="206" t="s">
        <v>70</v>
      </c>
      <c r="G766" s="206" t="s">
        <v>70</v>
      </c>
      <c r="H766" s="371" t="s">
        <v>2271</v>
      </c>
      <c r="I766" s="206" t="s">
        <v>2187</v>
      </c>
      <c r="J766" s="206" t="s">
        <v>1441</v>
      </c>
      <c r="K766" s="371" t="s">
        <v>2276</v>
      </c>
      <c r="L766" s="206" t="s">
        <v>2188</v>
      </c>
      <c r="M766" s="206" t="s">
        <v>1354</v>
      </c>
      <c r="N766" s="206" t="s">
        <v>49</v>
      </c>
      <c r="O766" s="372" t="s">
        <v>2190</v>
      </c>
      <c r="P766" s="372">
        <v>46051</v>
      </c>
      <c r="Q766" s="371" t="s">
        <v>2276</v>
      </c>
      <c r="R766" s="373">
        <v>45820</v>
      </c>
      <c r="S766" s="373">
        <v>45820</v>
      </c>
      <c r="T766" s="371" t="s">
        <v>2271</v>
      </c>
      <c r="U766" s="373">
        <v>17530</v>
      </c>
      <c r="V766" s="373">
        <v>17530</v>
      </c>
      <c r="W766" s="371" t="s">
        <v>2271</v>
      </c>
      <c r="X766" s="373">
        <v>28290</v>
      </c>
      <c r="Y766" s="373">
        <v>28290</v>
      </c>
      <c r="Z766" s="371" t="s">
        <v>2271</v>
      </c>
      <c r="AA766" s="373">
        <v>0</v>
      </c>
      <c r="AB766" s="373">
        <v>28220</v>
      </c>
      <c r="AC766" s="373">
        <v>28220</v>
      </c>
      <c r="AD766" s="371" t="s">
        <v>2271</v>
      </c>
      <c r="AE766" s="373">
        <v>0</v>
      </c>
      <c r="AF766" s="382">
        <v>0.79583333333333295</v>
      </c>
      <c r="AG766" s="382">
        <v>0.79583333333333295</v>
      </c>
      <c r="AH766" s="371" t="s">
        <v>2271</v>
      </c>
      <c r="AI766" s="382">
        <v>0.83541666666666703</v>
      </c>
      <c r="AJ766" s="382">
        <v>0.83541666666666703</v>
      </c>
      <c r="AK766" s="371" t="s">
        <v>2271</v>
      </c>
      <c r="AL766" s="206" t="s">
        <v>137</v>
      </c>
      <c r="AM766" s="206" t="s">
        <v>137</v>
      </c>
      <c r="AN766" s="371" t="s">
        <v>2271</v>
      </c>
      <c r="AO766" s="206" t="s">
        <v>2933</v>
      </c>
      <c r="AP766" s="206" t="s">
        <v>1499</v>
      </c>
      <c r="AQ766" s="206" t="s">
        <v>1133</v>
      </c>
      <c r="AR766" s="207" t="s">
        <v>68</v>
      </c>
    </row>
    <row r="767" spans="1:44" x14ac:dyDescent="0.2">
      <c r="A767" s="370">
        <v>748</v>
      </c>
      <c r="B767" s="380">
        <v>557</v>
      </c>
      <c r="C767" s="371" t="s">
        <v>2337</v>
      </c>
      <c r="D767" s="371" t="s">
        <v>2235</v>
      </c>
      <c r="E767" s="206"/>
      <c r="F767" s="206" t="s">
        <v>84</v>
      </c>
      <c r="G767" s="206" t="s">
        <v>84</v>
      </c>
      <c r="H767" s="371" t="s">
        <v>2271</v>
      </c>
      <c r="I767" s="206" t="s">
        <v>2187</v>
      </c>
      <c r="J767" s="206" t="s">
        <v>1441</v>
      </c>
      <c r="K767" s="371" t="s">
        <v>2276</v>
      </c>
      <c r="L767" s="206" t="s">
        <v>2188</v>
      </c>
      <c r="M767" s="206" t="s">
        <v>1354</v>
      </c>
      <c r="N767" s="206" t="s">
        <v>49</v>
      </c>
      <c r="O767" s="372" t="s">
        <v>2190</v>
      </c>
      <c r="P767" s="372">
        <v>46051</v>
      </c>
      <c r="Q767" s="371" t="s">
        <v>2276</v>
      </c>
      <c r="R767" s="373">
        <v>26640</v>
      </c>
      <c r="S767" s="373">
        <v>26640</v>
      </c>
      <c r="T767" s="371" t="s">
        <v>2271</v>
      </c>
      <c r="U767" s="373">
        <v>12180</v>
      </c>
      <c r="V767" s="373">
        <v>12180</v>
      </c>
      <c r="W767" s="371" t="s">
        <v>2271</v>
      </c>
      <c r="X767" s="373">
        <v>14460</v>
      </c>
      <c r="Y767" s="373">
        <v>14460</v>
      </c>
      <c r="Z767" s="371" t="s">
        <v>2271</v>
      </c>
      <c r="AA767" s="373">
        <v>0</v>
      </c>
      <c r="AB767" s="373">
        <v>14420</v>
      </c>
      <c r="AC767" s="373">
        <v>14420</v>
      </c>
      <c r="AD767" s="371" t="s">
        <v>2271</v>
      </c>
      <c r="AE767" s="373">
        <v>0</v>
      </c>
      <c r="AF767" s="382">
        <v>0.79722222222222205</v>
      </c>
      <c r="AG767" s="382">
        <v>0.79722222222222205</v>
      </c>
      <c r="AH767" s="371" t="s">
        <v>2271</v>
      </c>
      <c r="AI767" s="382">
        <v>0.83888888888888902</v>
      </c>
      <c r="AJ767" s="382">
        <v>0.83888888888888902</v>
      </c>
      <c r="AK767" s="371" t="s">
        <v>2271</v>
      </c>
      <c r="AL767" s="206" t="s">
        <v>137</v>
      </c>
      <c r="AM767" s="206" t="s">
        <v>137</v>
      </c>
      <c r="AN767" s="371" t="s">
        <v>2271</v>
      </c>
      <c r="AO767" s="206" t="s">
        <v>2934</v>
      </c>
      <c r="AP767" s="206" t="s">
        <v>1782</v>
      </c>
      <c r="AQ767" s="206" t="s">
        <v>1132</v>
      </c>
      <c r="AR767" s="207" t="s">
        <v>68</v>
      </c>
    </row>
    <row r="768" spans="1:44" x14ac:dyDescent="0.2">
      <c r="A768" s="370">
        <v>749</v>
      </c>
      <c r="B768" s="380">
        <v>558</v>
      </c>
      <c r="C768" s="371" t="s">
        <v>2269</v>
      </c>
      <c r="D768" s="371" t="s">
        <v>2235</v>
      </c>
      <c r="E768" s="206"/>
      <c r="F768" s="206" t="s">
        <v>713</v>
      </c>
      <c r="G768" s="206" t="s">
        <v>713</v>
      </c>
      <c r="H768" s="371" t="s">
        <v>2271</v>
      </c>
      <c r="I768" s="206" t="s">
        <v>1356</v>
      </c>
      <c r="J768" s="206" t="s">
        <v>1356</v>
      </c>
      <c r="K768" s="371" t="s">
        <v>2271</v>
      </c>
      <c r="L768" s="206" t="s">
        <v>2191</v>
      </c>
      <c r="M768" s="206" t="s">
        <v>1355</v>
      </c>
      <c r="N768" s="206" t="s">
        <v>40</v>
      </c>
      <c r="O768" s="372" t="s">
        <v>2190</v>
      </c>
      <c r="P768" s="372">
        <v>46051</v>
      </c>
      <c r="Q768" s="371" t="s">
        <v>2276</v>
      </c>
      <c r="R768" s="373">
        <v>14180</v>
      </c>
      <c r="S768" s="373">
        <v>14180</v>
      </c>
      <c r="T768" s="371" t="s">
        <v>2271</v>
      </c>
      <c r="U768" s="373">
        <v>4230</v>
      </c>
      <c r="V768" s="373">
        <v>4230</v>
      </c>
      <c r="W768" s="371" t="s">
        <v>2271</v>
      </c>
      <c r="X768" s="373">
        <v>9950</v>
      </c>
      <c r="Y768" s="373">
        <v>9950</v>
      </c>
      <c r="Z768" s="371" t="s">
        <v>2271</v>
      </c>
      <c r="AA768" s="373">
        <v>0</v>
      </c>
      <c r="AB768" s="373">
        <v>9970</v>
      </c>
      <c r="AC768" s="373">
        <v>9970</v>
      </c>
      <c r="AD768" s="371" t="s">
        <v>2271</v>
      </c>
      <c r="AE768" s="373">
        <v>0</v>
      </c>
      <c r="AF768" s="382">
        <v>0.81805555555555598</v>
      </c>
      <c r="AG768" s="382">
        <v>0.81805555555555598</v>
      </c>
      <c r="AH768" s="371" t="s">
        <v>2271</v>
      </c>
      <c r="AI768" s="382">
        <v>0.84861111111111098</v>
      </c>
      <c r="AJ768" s="382">
        <v>0.84861111111111098</v>
      </c>
      <c r="AK768" s="371" t="s">
        <v>2271</v>
      </c>
      <c r="AL768" s="206" t="s">
        <v>137</v>
      </c>
      <c r="AM768" s="206" t="s">
        <v>137</v>
      </c>
      <c r="AN768" s="371" t="s">
        <v>2271</v>
      </c>
      <c r="AO768" s="206" t="s">
        <v>2935</v>
      </c>
      <c r="AP768" s="206"/>
      <c r="AQ768" s="206" t="s">
        <v>1131</v>
      </c>
      <c r="AR768" s="207" t="s">
        <v>82</v>
      </c>
    </row>
    <row r="769" spans="1:44" x14ac:dyDescent="0.2">
      <c r="A769" s="370">
        <v>750</v>
      </c>
      <c r="B769" s="380">
        <v>559</v>
      </c>
      <c r="C769" s="371" t="s">
        <v>2269</v>
      </c>
      <c r="D769" s="371" t="s">
        <v>2235</v>
      </c>
      <c r="E769" s="206"/>
      <c r="F769" s="206" t="s">
        <v>169</v>
      </c>
      <c r="G769" s="206" t="s">
        <v>169</v>
      </c>
      <c r="H769" s="371" t="s">
        <v>2271</v>
      </c>
      <c r="I769" s="206" t="s">
        <v>1356</v>
      </c>
      <c r="J769" s="206" t="s">
        <v>1356</v>
      </c>
      <c r="K769" s="371" t="s">
        <v>2271</v>
      </c>
      <c r="L769" s="206" t="s">
        <v>2191</v>
      </c>
      <c r="M769" s="206" t="s">
        <v>1355</v>
      </c>
      <c r="N769" s="206" t="s">
        <v>40</v>
      </c>
      <c r="O769" s="372" t="s">
        <v>2190</v>
      </c>
      <c r="P769" s="372">
        <v>46051</v>
      </c>
      <c r="Q769" s="371" t="s">
        <v>2276</v>
      </c>
      <c r="R769" s="373">
        <v>13450</v>
      </c>
      <c r="S769" s="373">
        <v>13450</v>
      </c>
      <c r="T769" s="371" t="s">
        <v>2271</v>
      </c>
      <c r="U769" s="373">
        <v>3980</v>
      </c>
      <c r="V769" s="373">
        <v>3980</v>
      </c>
      <c r="W769" s="371" t="s">
        <v>2271</v>
      </c>
      <c r="X769" s="373">
        <v>9470</v>
      </c>
      <c r="Y769" s="373">
        <v>9470</v>
      </c>
      <c r="Z769" s="371" t="s">
        <v>2271</v>
      </c>
      <c r="AA769" s="373">
        <v>0</v>
      </c>
      <c r="AB769" s="373">
        <v>9450</v>
      </c>
      <c r="AC769" s="373">
        <v>9450</v>
      </c>
      <c r="AD769" s="371" t="s">
        <v>2271</v>
      </c>
      <c r="AE769" s="373">
        <v>0</v>
      </c>
      <c r="AF769" s="382">
        <v>0.82638888888888895</v>
      </c>
      <c r="AG769" s="382">
        <v>0.82638888888888895</v>
      </c>
      <c r="AH769" s="371" t="s">
        <v>2271</v>
      </c>
      <c r="AI769" s="382">
        <v>0.85277777777777797</v>
      </c>
      <c r="AJ769" s="382">
        <v>0.85277777777777797</v>
      </c>
      <c r="AK769" s="371" t="s">
        <v>2271</v>
      </c>
      <c r="AL769" s="206" t="s">
        <v>137</v>
      </c>
      <c r="AM769" s="206" t="s">
        <v>137</v>
      </c>
      <c r="AN769" s="371" t="s">
        <v>2271</v>
      </c>
      <c r="AO769" s="206" t="s">
        <v>2936</v>
      </c>
      <c r="AP769" s="206"/>
      <c r="AQ769" s="206" t="s">
        <v>1131</v>
      </c>
      <c r="AR769" s="207" t="s">
        <v>82</v>
      </c>
    </row>
    <row r="770" spans="1:44" x14ac:dyDescent="0.2">
      <c r="A770" s="370">
        <v>751</v>
      </c>
      <c r="B770" s="380">
        <v>560</v>
      </c>
      <c r="C770" s="371" t="s">
        <v>2337</v>
      </c>
      <c r="D770" s="371" t="s">
        <v>2235</v>
      </c>
      <c r="E770" s="206"/>
      <c r="F770" s="206" t="s">
        <v>46</v>
      </c>
      <c r="G770" s="206" t="s">
        <v>46</v>
      </c>
      <c r="H770" s="371" t="s">
        <v>2271</v>
      </c>
      <c r="I770" s="206" t="s">
        <v>2187</v>
      </c>
      <c r="J770" s="206" t="s">
        <v>1441</v>
      </c>
      <c r="K770" s="371" t="s">
        <v>2276</v>
      </c>
      <c r="L770" s="206" t="s">
        <v>2188</v>
      </c>
      <c r="M770" s="206" t="s">
        <v>1354</v>
      </c>
      <c r="N770" s="206" t="s">
        <v>49</v>
      </c>
      <c r="O770" s="372" t="s">
        <v>2192</v>
      </c>
      <c r="P770" s="372">
        <v>46052</v>
      </c>
      <c r="Q770" s="371" t="s">
        <v>2276</v>
      </c>
      <c r="R770" s="373">
        <v>26600</v>
      </c>
      <c r="S770" s="373">
        <v>26600</v>
      </c>
      <c r="T770" s="371" t="s">
        <v>2271</v>
      </c>
      <c r="U770" s="373">
        <v>11810</v>
      </c>
      <c r="V770" s="373">
        <v>11810</v>
      </c>
      <c r="W770" s="371" t="s">
        <v>2271</v>
      </c>
      <c r="X770" s="373">
        <v>14790</v>
      </c>
      <c r="Y770" s="373">
        <v>14790</v>
      </c>
      <c r="Z770" s="371" t="s">
        <v>2271</v>
      </c>
      <c r="AA770" s="373">
        <v>0</v>
      </c>
      <c r="AB770" s="373">
        <v>14740</v>
      </c>
      <c r="AC770" s="373">
        <v>14740</v>
      </c>
      <c r="AD770" s="371" t="s">
        <v>2271</v>
      </c>
      <c r="AE770" s="373">
        <v>0</v>
      </c>
      <c r="AF770" s="382">
        <v>0.56458333333333299</v>
      </c>
      <c r="AG770" s="382">
        <v>0.56458333333333299</v>
      </c>
      <c r="AH770" s="371" t="s">
        <v>2271</v>
      </c>
      <c r="AI770" s="382">
        <v>0.625</v>
      </c>
      <c r="AJ770" s="382">
        <v>0.625</v>
      </c>
      <c r="AK770" s="371" t="s">
        <v>2271</v>
      </c>
      <c r="AL770" s="206" t="s">
        <v>42</v>
      </c>
      <c r="AM770" s="206" t="s">
        <v>42</v>
      </c>
      <c r="AN770" s="371" t="s">
        <v>2271</v>
      </c>
      <c r="AO770" s="206" t="s">
        <v>2937</v>
      </c>
      <c r="AP770" s="206" t="s">
        <v>1393</v>
      </c>
      <c r="AQ770" s="206" t="s">
        <v>1132</v>
      </c>
      <c r="AR770" s="207" t="s">
        <v>68</v>
      </c>
    </row>
    <row r="771" spans="1:44" x14ac:dyDescent="0.2">
      <c r="A771" s="370">
        <v>752</v>
      </c>
      <c r="B771" s="380">
        <v>561</v>
      </c>
      <c r="C771" s="371" t="s">
        <v>2337</v>
      </c>
      <c r="D771" s="371" t="s">
        <v>2235</v>
      </c>
      <c r="E771" s="206"/>
      <c r="F771" s="206" t="s">
        <v>56</v>
      </c>
      <c r="G771" s="206" t="s">
        <v>56</v>
      </c>
      <c r="H771" s="371" t="s">
        <v>2271</v>
      </c>
      <c r="I771" s="206" t="s">
        <v>2187</v>
      </c>
      <c r="J771" s="206" t="s">
        <v>1441</v>
      </c>
      <c r="K771" s="371" t="s">
        <v>2276</v>
      </c>
      <c r="L771" s="206" t="s">
        <v>2188</v>
      </c>
      <c r="M771" s="206" t="s">
        <v>1354</v>
      </c>
      <c r="N771" s="206" t="s">
        <v>49</v>
      </c>
      <c r="O771" s="372" t="s">
        <v>2192</v>
      </c>
      <c r="P771" s="372">
        <v>46052</v>
      </c>
      <c r="Q771" s="371" t="s">
        <v>2276</v>
      </c>
      <c r="R771" s="373">
        <v>25040</v>
      </c>
      <c r="S771" s="373">
        <v>25040</v>
      </c>
      <c r="T771" s="371" t="s">
        <v>2271</v>
      </c>
      <c r="U771" s="373">
        <v>10830</v>
      </c>
      <c r="V771" s="373">
        <v>10830</v>
      </c>
      <c r="W771" s="371" t="s">
        <v>2271</v>
      </c>
      <c r="X771" s="373">
        <v>14210</v>
      </c>
      <c r="Y771" s="373">
        <v>14210</v>
      </c>
      <c r="Z771" s="371" t="s">
        <v>2271</v>
      </c>
      <c r="AA771" s="373">
        <v>0</v>
      </c>
      <c r="AB771" s="373">
        <v>14230</v>
      </c>
      <c r="AC771" s="373">
        <v>14230</v>
      </c>
      <c r="AD771" s="371" t="s">
        <v>2271</v>
      </c>
      <c r="AE771" s="373">
        <v>0</v>
      </c>
      <c r="AF771" s="382">
        <v>0.56527777777777799</v>
      </c>
      <c r="AG771" s="382">
        <v>0.56527777777777799</v>
      </c>
      <c r="AH771" s="371" t="s">
        <v>2271</v>
      </c>
      <c r="AI771" s="382">
        <v>0.62708333333333299</v>
      </c>
      <c r="AJ771" s="382">
        <v>0.62708333333333299</v>
      </c>
      <c r="AK771" s="371" t="s">
        <v>2271</v>
      </c>
      <c r="AL771" s="206" t="s">
        <v>42</v>
      </c>
      <c r="AM771" s="206" t="s">
        <v>42</v>
      </c>
      <c r="AN771" s="371" t="s">
        <v>2271</v>
      </c>
      <c r="AO771" s="206" t="s">
        <v>2938</v>
      </c>
      <c r="AP771" s="206" t="s">
        <v>1781</v>
      </c>
      <c r="AQ771" s="206" t="s">
        <v>1132</v>
      </c>
      <c r="AR771" s="207" t="s">
        <v>68</v>
      </c>
    </row>
    <row r="772" spans="1:44" x14ac:dyDescent="0.2">
      <c r="A772" s="370">
        <v>753</v>
      </c>
      <c r="B772" s="380">
        <v>562</v>
      </c>
      <c r="C772" s="371" t="s">
        <v>2337</v>
      </c>
      <c r="D772" s="371" t="s">
        <v>2235</v>
      </c>
      <c r="E772" s="206"/>
      <c r="F772" s="206" t="s">
        <v>70</v>
      </c>
      <c r="G772" s="206" t="s">
        <v>70</v>
      </c>
      <c r="H772" s="371" t="s">
        <v>2271</v>
      </c>
      <c r="I772" s="206" t="s">
        <v>2187</v>
      </c>
      <c r="J772" s="206" t="s">
        <v>1441</v>
      </c>
      <c r="K772" s="371" t="s">
        <v>2276</v>
      </c>
      <c r="L772" s="206" t="s">
        <v>2188</v>
      </c>
      <c r="M772" s="206" t="s">
        <v>1354</v>
      </c>
      <c r="N772" s="206" t="s">
        <v>49</v>
      </c>
      <c r="O772" s="372" t="s">
        <v>2192</v>
      </c>
      <c r="P772" s="372">
        <v>46052</v>
      </c>
      <c r="Q772" s="371" t="s">
        <v>2276</v>
      </c>
      <c r="R772" s="373">
        <v>45700</v>
      </c>
      <c r="S772" s="373">
        <v>45700</v>
      </c>
      <c r="T772" s="371" t="s">
        <v>2271</v>
      </c>
      <c r="U772" s="373">
        <v>17460</v>
      </c>
      <c r="V772" s="373">
        <v>17460</v>
      </c>
      <c r="W772" s="371" t="s">
        <v>2271</v>
      </c>
      <c r="X772" s="373">
        <v>28240</v>
      </c>
      <c r="Y772" s="373">
        <v>28240</v>
      </c>
      <c r="Z772" s="371" t="s">
        <v>2271</v>
      </c>
      <c r="AA772" s="373">
        <v>0</v>
      </c>
      <c r="AB772" s="373">
        <v>28150</v>
      </c>
      <c r="AC772" s="373">
        <v>28150</v>
      </c>
      <c r="AD772" s="371" t="s">
        <v>2271</v>
      </c>
      <c r="AE772" s="373">
        <v>0</v>
      </c>
      <c r="AF772" s="382">
        <v>0.56666666666666698</v>
      </c>
      <c r="AG772" s="382">
        <v>0.56666666666666698</v>
      </c>
      <c r="AH772" s="371" t="s">
        <v>2271</v>
      </c>
      <c r="AI772" s="382">
        <v>0.61111111111111105</v>
      </c>
      <c r="AJ772" s="382">
        <v>0.61111111111111105</v>
      </c>
      <c r="AK772" s="371" t="s">
        <v>2271</v>
      </c>
      <c r="AL772" s="206" t="s">
        <v>42</v>
      </c>
      <c r="AM772" s="206" t="s">
        <v>42</v>
      </c>
      <c r="AN772" s="371" t="s">
        <v>2271</v>
      </c>
      <c r="AO772" s="206" t="s">
        <v>2939</v>
      </c>
      <c r="AP772" s="206" t="s">
        <v>1499</v>
      </c>
      <c r="AQ772" s="206" t="s">
        <v>1133</v>
      </c>
      <c r="AR772" s="207" t="s">
        <v>68</v>
      </c>
    </row>
    <row r="773" spans="1:44" x14ac:dyDescent="0.2">
      <c r="A773" s="370">
        <v>754</v>
      </c>
      <c r="B773" s="380">
        <v>563</v>
      </c>
      <c r="C773" s="371" t="s">
        <v>2337</v>
      </c>
      <c r="D773" s="371" t="s">
        <v>2235</v>
      </c>
      <c r="E773" s="206"/>
      <c r="F773" s="206" t="s">
        <v>84</v>
      </c>
      <c r="G773" s="206" t="s">
        <v>84</v>
      </c>
      <c r="H773" s="371" t="s">
        <v>2271</v>
      </c>
      <c r="I773" s="206" t="s">
        <v>2187</v>
      </c>
      <c r="J773" s="206" t="s">
        <v>1441</v>
      </c>
      <c r="K773" s="371" t="s">
        <v>2276</v>
      </c>
      <c r="L773" s="206" t="s">
        <v>2188</v>
      </c>
      <c r="M773" s="206" t="s">
        <v>1354</v>
      </c>
      <c r="N773" s="206" t="s">
        <v>49</v>
      </c>
      <c r="O773" s="372" t="s">
        <v>2192</v>
      </c>
      <c r="P773" s="372">
        <v>46052</v>
      </c>
      <c r="Q773" s="371" t="s">
        <v>2276</v>
      </c>
      <c r="R773" s="373">
        <v>26600</v>
      </c>
      <c r="S773" s="373">
        <v>26600</v>
      </c>
      <c r="T773" s="371" t="s">
        <v>2271</v>
      </c>
      <c r="U773" s="373">
        <v>12130</v>
      </c>
      <c r="V773" s="373">
        <v>12130</v>
      </c>
      <c r="W773" s="371" t="s">
        <v>2271</v>
      </c>
      <c r="X773" s="373">
        <v>14470</v>
      </c>
      <c r="Y773" s="373">
        <v>14470</v>
      </c>
      <c r="Z773" s="371" t="s">
        <v>2271</v>
      </c>
      <c r="AA773" s="373">
        <v>0</v>
      </c>
      <c r="AB773" s="373">
        <v>14430</v>
      </c>
      <c r="AC773" s="373">
        <v>14430</v>
      </c>
      <c r="AD773" s="371" t="s">
        <v>2271</v>
      </c>
      <c r="AE773" s="373">
        <v>0</v>
      </c>
      <c r="AF773" s="382">
        <v>0.57708333333333295</v>
      </c>
      <c r="AG773" s="382">
        <v>0.57708333333333295</v>
      </c>
      <c r="AH773" s="371" t="s">
        <v>2271</v>
      </c>
      <c r="AI773" s="382">
        <v>0.624305555555556</v>
      </c>
      <c r="AJ773" s="382">
        <v>0.624305555555556</v>
      </c>
      <c r="AK773" s="371" t="s">
        <v>2271</v>
      </c>
      <c r="AL773" s="206" t="s">
        <v>42</v>
      </c>
      <c r="AM773" s="206" t="s">
        <v>42</v>
      </c>
      <c r="AN773" s="371" t="s">
        <v>2271</v>
      </c>
      <c r="AO773" s="206" t="s">
        <v>2940</v>
      </c>
      <c r="AP773" s="206" t="s">
        <v>1782</v>
      </c>
      <c r="AQ773" s="206" t="s">
        <v>1132</v>
      </c>
      <c r="AR773" s="207" t="s">
        <v>68</v>
      </c>
    </row>
    <row r="774" spans="1:44" x14ac:dyDescent="0.2">
      <c r="A774" s="370">
        <v>755</v>
      </c>
      <c r="B774" s="380">
        <v>564</v>
      </c>
      <c r="C774" s="371" t="s">
        <v>2337</v>
      </c>
      <c r="D774" s="371" t="s">
        <v>2235</v>
      </c>
      <c r="E774" s="206"/>
      <c r="F774" s="206" t="s">
        <v>76</v>
      </c>
      <c r="G774" s="206" t="s">
        <v>76</v>
      </c>
      <c r="H774" s="371" t="s">
        <v>2271</v>
      </c>
      <c r="I774" s="206" t="s">
        <v>2187</v>
      </c>
      <c r="J774" s="206" t="s">
        <v>1441</v>
      </c>
      <c r="K774" s="371" t="s">
        <v>2276</v>
      </c>
      <c r="L774" s="206" t="s">
        <v>2188</v>
      </c>
      <c r="M774" s="206" t="s">
        <v>1354</v>
      </c>
      <c r="N774" s="206" t="s">
        <v>49</v>
      </c>
      <c r="O774" s="372" t="s">
        <v>2192</v>
      </c>
      <c r="P774" s="372">
        <v>46052</v>
      </c>
      <c r="Q774" s="371" t="s">
        <v>2276</v>
      </c>
      <c r="R774" s="373">
        <v>45690</v>
      </c>
      <c r="S774" s="373">
        <v>45690</v>
      </c>
      <c r="T774" s="371" t="s">
        <v>2271</v>
      </c>
      <c r="U774" s="373">
        <v>17470</v>
      </c>
      <c r="V774" s="373">
        <v>17470</v>
      </c>
      <c r="W774" s="371" t="s">
        <v>2271</v>
      </c>
      <c r="X774" s="373">
        <v>28220</v>
      </c>
      <c r="Y774" s="373">
        <v>28220</v>
      </c>
      <c r="Z774" s="371" t="s">
        <v>2271</v>
      </c>
      <c r="AA774" s="373">
        <v>0</v>
      </c>
      <c r="AB774" s="373">
        <v>28210</v>
      </c>
      <c r="AC774" s="373">
        <v>28210</v>
      </c>
      <c r="AD774" s="371" t="s">
        <v>2271</v>
      </c>
      <c r="AE774" s="373">
        <v>0</v>
      </c>
      <c r="AF774" s="382">
        <v>0.61458333333333304</v>
      </c>
      <c r="AG774" s="382">
        <v>0.61458333333333304</v>
      </c>
      <c r="AH774" s="371" t="s">
        <v>2271</v>
      </c>
      <c r="AI774" s="382">
        <v>0.64930555555555602</v>
      </c>
      <c r="AJ774" s="382">
        <v>0.64930555555555602</v>
      </c>
      <c r="AK774" s="371" t="s">
        <v>2271</v>
      </c>
      <c r="AL774" s="206" t="s">
        <v>42</v>
      </c>
      <c r="AM774" s="206" t="s">
        <v>42</v>
      </c>
      <c r="AN774" s="371" t="s">
        <v>2271</v>
      </c>
      <c r="AO774" s="206" t="s">
        <v>2941</v>
      </c>
      <c r="AP774" s="206" t="s">
        <v>1372</v>
      </c>
      <c r="AQ774" s="206" t="s">
        <v>1133</v>
      </c>
      <c r="AR774" s="207" t="s">
        <v>68</v>
      </c>
    </row>
    <row r="775" spans="1:44" x14ac:dyDescent="0.2">
      <c r="A775" s="370">
        <v>756</v>
      </c>
      <c r="B775" s="380">
        <v>565</v>
      </c>
      <c r="C775" s="371" t="s">
        <v>2337</v>
      </c>
      <c r="D775" s="371" t="s">
        <v>2235</v>
      </c>
      <c r="E775" s="206"/>
      <c r="F775" s="206" t="s">
        <v>70</v>
      </c>
      <c r="G775" s="206" t="s">
        <v>70</v>
      </c>
      <c r="H775" s="371" t="s">
        <v>2271</v>
      </c>
      <c r="I775" s="206" t="s">
        <v>2187</v>
      </c>
      <c r="J775" s="206" t="s">
        <v>1441</v>
      </c>
      <c r="K775" s="371" t="s">
        <v>2276</v>
      </c>
      <c r="L775" s="206" t="s">
        <v>2188</v>
      </c>
      <c r="M775" s="206" t="s">
        <v>1354</v>
      </c>
      <c r="N775" s="206" t="s">
        <v>49</v>
      </c>
      <c r="O775" s="372" t="s">
        <v>2192</v>
      </c>
      <c r="P775" s="372">
        <v>46052</v>
      </c>
      <c r="Q775" s="371" t="s">
        <v>2276</v>
      </c>
      <c r="R775" s="373">
        <v>45720</v>
      </c>
      <c r="S775" s="373">
        <v>45720</v>
      </c>
      <c r="T775" s="371" t="s">
        <v>2271</v>
      </c>
      <c r="U775" s="373">
        <v>17380</v>
      </c>
      <c r="V775" s="373">
        <v>17380</v>
      </c>
      <c r="W775" s="371" t="s">
        <v>2271</v>
      </c>
      <c r="X775" s="373">
        <v>28340</v>
      </c>
      <c r="Y775" s="373">
        <v>28340</v>
      </c>
      <c r="Z775" s="371" t="s">
        <v>2271</v>
      </c>
      <c r="AA775" s="373">
        <v>0</v>
      </c>
      <c r="AB775" s="373">
        <v>28260</v>
      </c>
      <c r="AC775" s="373">
        <v>28260</v>
      </c>
      <c r="AD775" s="371" t="s">
        <v>2271</v>
      </c>
      <c r="AE775" s="373">
        <v>0</v>
      </c>
      <c r="AF775" s="382">
        <v>0.84583333333333299</v>
      </c>
      <c r="AG775" s="382">
        <v>0.84583333333333299</v>
      </c>
      <c r="AH775" s="371" t="s">
        <v>2271</v>
      </c>
      <c r="AI775" s="382">
        <v>0.88819444444444395</v>
      </c>
      <c r="AJ775" s="382">
        <v>0.88819444444444395</v>
      </c>
      <c r="AK775" s="371" t="s">
        <v>2271</v>
      </c>
      <c r="AL775" s="206" t="s">
        <v>137</v>
      </c>
      <c r="AM775" s="206" t="s">
        <v>137</v>
      </c>
      <c r="AN775" s="371" t="s">
        <v>2271</v>
      </c>
      <c r="AO775" s="206" t="s">
        <v>2942</v>
      </c>
      <c r="AP775" s="206" t="s">
        <v>1499</v>
      </c>
      <c r="AQ775" s="206" t="s">
        <v>1133</v>
      </c>
      <c r="AR775" s="207" t="s">
        <v>68</v>
      </c>
    </row>
    <row r="776" spans="1:44" x14ac:dyDescent="0.2">
      <c r="A776" s="370">
        <v>757</v>
      </c>
      <c r="B776" s="380">
        <v>566</v>
      </c>
      <c r="C776" s="371" t="s">
        <v>2269</v>
      </c>
      <c r="D776" s="371" t="s">
        <v>2235</v>
      </c>
      <c r="E776" s="206"/>
      <c r="F776" s="206" t="s">
        <v>166</v>
      </c>
      <c r="G776" s="206" t="s">
        <v>166</v>
      </c>
      <c r="H776" s="371" t="s">
        <v>2271</v>
      </c>
      <c r="I776" s="206" t="s">
        <v>1356</v>
      </c>
      <c r="J776" s="206" t="s">
        <v>1356</v>
      </c>
      <c r="K776" s="371" t="s">
        <v>2271</v>
      </c>
      <c r="L776" s="206" t="s">
        <v>2191</v>
      </c>
      <c r="M776" s="206" t="s">
        <v>1355</v>
      </c>
      <c r="N776" s="206" t="s">
        <v>40</v>
      </c>
      <c r="O776" s="372" t="s">
        <v>2192</v>
      </c>
      <c r="P776" s="372">
        <v>46052</v>
      </c>
      <c r="Q776" s="371" t="s">
        <v>2276</v>
      </c>
      <c r="R776" s="373">
        <v>13140</v>
      </c>
      <c r="S776" s="373">
        <v>13140</v>
      </c>
      <c r="T776" s="371" t="s">
        <v>2271</v>
      </c>
      <c r="U776" s="373">
        <v>3750</v>
      </c>
      <c r="V776" s="373">
        <v>3750</v>
      </c>
      <c r="W776" s="371" t="s">
        <v>2271</v>
      </c>
      <c r="X776" s="373">
        <v>9390</v>
      </c>
      <c r="Y776" s="373">
        <v>9390</v>
      </c>
      <c r="Z776" s="371" t="s">
        <v>2271</v>
      </c>
      <c r="AA776" s="373">
        <v>0</v>
      </c>
      <c r="AB776" s="373">
        <v>9350</v>
      </c>
      <c r="AC776" s="373">
        <v>9350</v>
      </c>
      <c r="AD776" s="371" t="s">
        <v>2271</v>
      </c>
      <c r="AE776" s="373">
        <v>0</v>
      </c>
      <c r="AF776" s="382">
        <v>0.938194444444444</v>
      </c>
      <c r="AG776" s="382">
        <v>0.938194444444444</v>
      </c>
      <c r="AH776" s="371" t="s">
        <v>2271</v>
      </c>
      <c r="AI776" s="382">
        <v>0.96597222222222201</v>
      </c>
      <c r="AJ776" s="382">
        <v>0.96597222222222201</v>
      </c>
      <c r="AK776" s="371" t="s">
        <v>2271</v>
      </c>
      <c r="AL776" s="206" t="s">
        <v>137</v>
      </c>
      <c r="AM776" s="206" t="s">
        <v>137</v>
      </c>
      <c r="AN776" s="371" t="s">
        <v>2271</v>
      </c>
      <c r="AO776" s="206" t="s">
        <v>2943</v>
      </c>
      <c r="AP776" s="206"/>
      <c r="AQ776" s="206" t="s">
        <v>1131</v>
      </c>
      <c r="AR776" s="207" t="s">
        <v>82</v>
      </c>
    </row>
    <row r="777" spans="1:44" x14ac:dyDescent="0.2">
      <c r="A777" s="370">
        <v>758</v>
      </c>
      <c r="B777" s="380">
        <v>567</v>
      </c>
      <c r="C777" s="371" t="s">
        <v>2269</v>
      </c>
      <c r="D777" s="371" t="s">
        <v>2235</v>
      </c>
      <c r="E777" s="206"/>
      <c r="F777" s="206" t="s">
        <v>163</v>
      </c>
      <c r="G777" s="206" t="s">
        <v>163</v>
      </c>
      <c r="H777" s="371" t="s">
        <v>2271</v>
      </c>
      <c r="I777" s="206" t="s">
        <v>1356</v>
      </c>
      <c r="J777" s="206" t="s">
        <v>1356</v>
      </c>
      <c r="K777" s="371" t="s">
        <v>2271</v>
      </c>
      <c r="L777" s="206" t="s">
        <v>2191</v>
      </c>
      <c r="M777" s="206" t="s">
        <v>1355</v>
      </c>
      <c r="N777" s="206" t="s">
        <v>40</v>
      </c>
      <c r="O777" s="372" t="s">
        <v>2192</v>
      </c>
      <c r="P777" s="372">
        <v>46052</v>
      </c>
      <c r="Q777" s="371" t="s">
        <v>2276</v>
      </c>
      <c r="R777" s="373">
        <v>14010</v>
      </c>
      <c r="S777" s="373">
        <v>14010</v>
      </c>
      <c r="T777" s="371" t="s">
        <v>2271</v>
      </c>
      <c r="U777" s="373">
        <v>3950</v>
      </c>
      <c r="V777" s="373">
        <v>3950</v>
      </c>
      <c r="W777" s="371" t="s">
        <v>2271</v>
      </c>
      <c r="X777" s="373">
        <v>10060</v>
      </c>
      <c r="Y777" s="373">
        <v>10060</v>
      </c>
      <c r="Z777" s="371" t="s">
        <v>2271</v>
      </c>
      <c r="AA777" s="373">
        <v>0</v>
      </c>
      <c r="AB777" s="373">
        <v>10110</v>
      </c>
      <c r="AC777" s="373">
        <v>10110</v>
      </c>
      <c r="AD777" s="371" t="s">
        <v>2271</v>
      </c>
      <c r="AE777" s="373">
        <v>0</v>
      </c>
      <c r="AF777" s="382">
        <v>0.94374999999999998</v>
      </c>
      <c r="AG777" s="382">
        <v>0.94374999999999998</v>
      </c>
      <c r="AH777" s="371" t="s">
        <v>2271</v>
      </c>
      <c r="AI777" s="382">
        <v>0.96736111111111101</v>
      </c>
      <c r="AJ777" s="382">
        <v>0.96736111111111101</v>
      </c>
      <c r="AK777" s="371" t="s">
        <v>2271</v>
      </c>
      <c r="AL777" s="206" t="s">
        <v>137</v>
      </c>
      <c r="AM777" s="206" t="s">
        <v>137</v>
      </c>
      <c r="AN777" s="371" t="s">
        <v>2271</v>
      </c>
      <c r="AO777" s="206" t="s">
        <v>2944</v>
      </c>
      <c r="AP777" s="206"/>
      <c r="AQ777" s="206" t="s">
        <v>1131</v>
      </c>
      <c r="AR777" s="207" t="s">
        <v>82</v>
      </c>
    </row>
    <row r="778" spans="1:44" x14ac:dyDescent="0.2">
      <c r="A778" s="370">
        <v>759</v>
      </c>
      <c r="B778" s="380">
        <v>568</v>
      </c>
      <c r="C778" s="371" t="s">
        <v>2269</v>
      </c>
      <c r="D778" s="371" t="s">
        <v>2235</v>
      </c>
      <c r="E778" s="206"/>
      <c r="F778" s="206" t="s">
        <v>181</v>
      </c>
      <c r="G778" s="206" t="s">
        <v>181</v>
      </c>
      <c r="H778" s="371" t="s">
        <v>2271</v>
      </c>
      <c r="I778" s="206" t="s">
        <v>1356</v>
      </c>
      <c r="J778" s="206" t="s">
        <v>1356</v>
      </c>
      <c r="K778" s="371" t="s">
        <v>2271</v>
      </c>
      <c r="L778" s="206" t="s">
        <v>2191</v>
      </c>
      <c r="M778" s="206" t="s">
        <v>1355</v>
      </c>
      <c r="N778" s="206" t="s">
        <v>40</v>
      </c>
      <c r="O778" s="372" t="s">
        <v>2192</v>
      </c>
      <c r="P778" s="372">
        <v>46052</v>
      </c>
      <c r="Q778" s="371" t="s">
        <v>2276</v>
      </c>
      <c r="R778" s="373">
        <v>13560</v>
      </c>
      <c r="S778" s="373">
        <v>13560</v>
      </c>
      <c r="T778" s="371" t="s">
        <v>2271</v>
      </c>
      <c r="U778" s="373">
        <v>3940</v>
      </c>
      <c r="V778" s="373">
        <v>3940</v>
      </c>
      <c r="W778" s="371" t="s">
        <v>2271</v>
      </c>
      <c r="X778" s="373">
        <v>9620</v>
      </c>
      <c r="Y778" s="373">
        <v>9620</v>
      </c>
      <c r="Z778" s="371" t="s">
        <v>2271</v>
      </c>
      <c r="AA778" s="373">
        <v>0</v>
      </c>
      <c r="AB778" s="373">
        <v>9600</v>
      </c>
      <c r="AC778" s="373">
        <v>9600</v>
      </c>
      <c r="AD778" s="371" t="s">
        <v>2271</v>
      </c>
      <c r="AE778" s="373">
        <v>0</v>
      </c>
      <c r="AF778" s="382">
        <v>0.94583333333333297</v>
      </c>
      <c r="AG778" s="382">
        <v>0.94583333333333297</v>
      </c>
      <c r="AH778" s="371" t="s">
        <v>2271</v>
      </c>
      <c r="AI778" s="382">
        <v>0.97847222222222197</v>
      </c>
      <c r="AJ778" s="382">
        <v>0.97847222222222197</v>
      </c>
      <c r="AK778" s="371" t="s">
        <v>2271</v>
      </c>
      <c r="AL778" s="206" t="s">
        <v>137</v>
      </c>
      <c r="AM778" s="206" t="s">
        <v>137</v>
      </c>
      <c r="AN778" s="371" t="s">
        <v>2271</v>
      </c>
      <c r="AO778" s="206" t="s">
        <v>2945</v>
      </c>
      <c r="AP778" s="206"/>
      <c r="AQ778" s="206" t="s">
        <v>1131</v>
      </c>
      <c r="AR778" s="207" t="s">
        <v>82</v>
      </c>
    </row>
    <row r="779" spans="1:44" x14ac:dyDescent="0.2">
      <c r="A779" s="370">
        <v>760</v>
      </c>
      <c r="B779" s="380">
        <v>570</v>
      </c>
      <c r="C779" s="371" t="s">
        <v>2269</v>
      </c>
      <c r="D779" s="371" t="s">
        <v>2235</v>
      </c>
      <c r="E779" s="206"/>
      <c r="F779" s="206" t="s">
        <v>171</v>
      </c>
      <c r="G779" s="206" t="s">
        <v>171</v>
      </c>
      <c r="H779" s="371" t="s">
        <v>2271</v>
      </c>
      <c r="I779" s="206" t="s">
        <v>1356</v>
      </c>
      <c r="J779" s="206" t="s">
        <v>1356</v>
      </c>
      <c r="K779" s="371" t="s">
        <v>2271</v>
      </c>
      <c r="L779" s="206" t="s">
        <v>2191</v>
      </c>
      <c r="M779" s="206" t="s">
        <v>1355</v>
      </c>
      <c r="N779" s="206" t="s">
        <v>40</v>
      </c>
      <c r="O779" s="372" t="s">
        <v>2193</v>
      </c>
      <c r="P779" s="372">
        <v>46053</v>
      </c>
      <c r="Q779" s="371" t="s">
        <v>2276</v>
      </c>
      <c r="R779" s="373">
        <v>13070</v>
      </c>
      <c r="S779" s="373">
        <v>13070</v>
      </c>
      <c r="T779" s="371" t="s">
        <v>2271</v>
      </c>
      <c r="U779" s="373">
        <v>3620</v>
      </c>
      <c r="V779" s="373">
        <v>3620</v>
      </c>
      <c r="W779" s="371" t="s">
        <v>2271</v>
      </c>
      <c r="X779" s="373">
        <v>9450</v>
      </c>
      <c r="Y779" s="373">
        <v>9450</v>
      </c>
      <c r="Z779" s="371" t="s">
        <v>2271</v>
      </c>
      <c r="AA779" s="373">
        <v>0</v>
      </c>
      <c r="AB779" s="373">
        <v>9430</v>
      </c>
      <c r="AC779" s="373">
        <v>9430</v>
      </c>
      <c r="AD779" s="371" t="s">
        <v>2271</v>
      </c>
      <c r="AE779" s="373">
        <v>0</v>
      </c>
      <c r="AF779" s="382">
        <v>0.686805555555556</v>
      </c>
      <c r="AG779" s="382">
        <v>0.686805555555556</v>
      </c>
      <c r="AH779" s="371" t="s">
        <v>2271</v>
      </c>
      <c r="AI779" s="382">
        <v>0.72083333333333299</v>
      </c>
      <c r="AJ779" s="382">
        <v>0.72083333333333299</v>
      </c>
      <c r="AK779" s="371" t="s">
        <v>2271</v>
      </c>
      <c r="AL779" s="206" t="s">
        <v>137</v>
      </c>
      <c r="AM779" s="206" t="s">
        <v>137</v>
      </c>
      <c r="AN779" s="371" t="s">
        <v>2271</v>
      </c>
      <c r="AO779" s="206" t="s">
        <v>2946</v>
      </c>
      <c r="AP779" s="206"/>
      <c r="AQ779" s="206" t="s">
        <v>1131</v>
      </c>
      <c r="AR779" s="207" t="s">
        <v>82</v>
      </c>
    </row>
    <row r="780" spans="1:44" x14ac:dyDescent="0.2">
      <c r="A780" s="370">
        <v>761</v>
      </c>
      <c r="B780" s="380">
        <v>571</v>
      </c>
      <c r="C780" s="371" t="s">
        <v>2269</v>
      </c>
      <c r="D780" s="371" t="s">
        <v>2235</v>
      </c>
      <c r="E780" s="206"/>
      <c r="F780" s="206" t="s">
        <v>53</v>
      </c>
      <c r="G780" s="206" t="s">
        <v>53</v>
      </c>
      <c r="H780" s="371" t="s">
        <v>2271</v>
      </c>
      <c r="I780" s="206" t="s">
        <v>1356</v>
      </c>
      <c r="J780" s="206" t="s">
        <v>1356</v>
      </c>
      <c r="K780" s="371" t="s">
        <v>2271</v>
      </c>
      <c r="L780" s="206" t="s">
        <v>2191</v>
      </c>
      <c r="M780" s="206" t="s">
        <v>1355</v>
      </c>
      <c r="N780" s="206" t="s">
        <v>40</v>
      </c>
      <c r="O780" s="372" t="s">
        <v>2193</v>
      </c>
      <c r="P780" s="372">
        <v>46053</v>
      </c>
      <c r="Q780" s="371" t="s">
        <v>2276</v>
      </c>
      <c r="R780" s="373">
        <v>13310</v>
      </c>
      <c r="S780" s="373">
        <v>13310</v>
      </c>
      <c r="T780" s="371" t="s">
        <v>2271</v>
      </c>
      <c r="U780" s="373">
        <v>3810</v>
      </c>
      <c r="V780" s="373">
        <v>3810</v>
      </c>
      <c r="W780" s="371" t="s">
        <v>2271</v>
      </c>
      <c r="X780" s="373">
        <v>9500</v>
      </c>
      <c r="Y780" s="373">
        <v>9500</v>
      </c>
      <c r="Z780" s="371" t="s">
        <v>2271</v>
      </c>
      <c r="AA780" s="373">
        <v>0</v>
      </c>
      <c r="AB780" s="373">
        <v>9480</v>
      </c>
      <c r="AC780" s="373">
        <v>9480</v>
      </c>
      <c r="AD780" s="371" t="s">
        <v>2271</v>
      </c>
      <c r="AE780" s="373">
        <v>0</v>
      </c>
      <c r="AF780" s="382">
        <v>0.69513888888888897</v>
      </c>
      <c r="AG780" s="382">
        <v>0.69513888888888897</v>
      </c>
      <c r="AH780" s="371" t="s">
        <v>2271</v>
      </c>
      <c r="AI780" s="382">
        <v>0.72222222222222199</v>
      </c>
      <c r="AJ780" s="382">
        <v>0.72222222222222199</v>
      </c>
      <c r="AK780" s="371" t="s">
        <v>2271</v>
      </c>
      <c r="AL780" s="206" t="s">
        <v>137</v>
      </c>
      <c r="AM780" s="206" t="s">
        <v>137</v>
      </c>
      <c r="AN780" s="371" t="s">
        <v>2271</v>
      </c>
      <c r="AO780" s="206" t="s">
        <v>2947</v>
      </c>
      <c r="AP780" s="206"/>
      <c r="AQ780" s="206" t="s">
        <v>1131</v>
      </c>
      <c r="AR780" s="207" t="s">
        <v>82</v>
      </c>
    </row>
    <row r="781" spans="1:44" x14ac:dyDescent="0.2">
      <c r="A781" s="370">
        <v>762</v>
      </c>
      <c r="B781" s="380">
        <v>572</v>
      </c>
      <c r="C781" s="371" t="s">
        <v>2269</v>
      </c>
      <c r="D781" s="371" t="s">
        <v>2235</v>
      </c>
      <c r="E781" s="206"/>
      <c r="F781" s="206" t="s">
        <v>728</v>
      </c>
      <c r="G781" s="206" t="s">
        <v>728</v>
      </c>
      <c r="H781" s="371" t="s">
        <v>2271</v>
      </c>
      <c r="I781" s="206" t="s">
        <v>1356</v>
      </c>
      <c r="J781" s="206" t="s">
        <v>1356</v>
      </c>
      <c r="K781" s="371" t="s">
        <v>2271</v>
      </c>
      <c r="L781" s="206" t="s">
        <v>2191</v>
      </c>
      <c r="M781" s="206" t="s">
        <v>1355</v>
      </c>
      <c r="N781" s="206" t="s">
        <v>40</v>
      </c>
      <c r="O781" s="372" t="s">
        <v>2193</v>
      </c>
      <c r="P781" s="372">
        <v>46053</v>
      </c>
      <c r="Q781" s="371" t="s">
        <v>2276</v>
      </c>
      <c r="R781" s="373">
        <v>13790</v>
      </c>
      <c r="S781" s="373">
        <v>13790</v>
      </c>
      <c r="T781" s="371" t="s">
        <v>2271</v>
      </c>
      <c r="U781" s="373">
        <v>3860</v>
      </c>
      <c r="V781" s="373">
        <v>3860</v>
      </c>
      <c r="W781" s="371" t="s">
        <v>2271</v>
      </c>
      <c r="X781" s="373">
        <v>9930</v>
      </c>
      <c r="Y781" s="373">
        <v>9930</v>
      </c>
      <c r="Z781" s="371" t="s">
        <v>2271</v>
      </c>
      <c r="AA781" s="373">
        <v>0</v>
      </c>
      <c r="AB781" s="373">
        <v>9910</v>
      </c>
      <c r="AC781" s="373">
        <v>9910</v>
      </c>
      <c r="AD781" s="371" t="s">
        <v>2271</v>
      </c>
      <c r="AE781" s="373">
        <v>0</v>
      </c>
      <c r="AF781" s="382">
        <v>0.91597222222222197</v>
      </c>
      <c r="AG781" s="382">
        <v>0.91597222222222197</v>
      </c>
      <c r="AH781" s="371" t="s">
        <v>2271</v>
      </c>
      <c r="AI781" s="382">
        <v>0.94652777777777797</v>
      </c>
      <c r="AJ781" s="382">
        <v>0.94652777777777797</v>
      </c>
      <c r="AK781" s="371" t="s">
        <v>2271</v>
      </c>
      <c r="AL781" s="206" t="s">
        <v>137</v>
      </c>
      <c r="AM781" s="206" t="s">
        <v>137</v>
      </c>
      <c r="AN781" s="371" t="s">
        <v>2271</v>
      </c>
      <c r="AO781" s="206" t="s">
        <v>2948</v>
      </c>
      <c r="AP781" s="206"/>
      <c r="AQ781" s="206" t="s">
        <v>1131</v>
      </c>
      <c r="AR781" s="207" t="s">
        <v>82</v>
      </c>
    </row>
    <row r="782" spans="1:44" x14ac:dyDescent="0.2">
      <c r="A782" s="370">
        <v>763</v>
      </c>
      <c r="B782" s="380">
        <v>573</v>
      </c>
      <c r="C782" s="371" t="s">
        <v>2269</v>
      </c>
      <c r="D782" s="371" t="s">
        <v>2235</v>
      </c>
      <c r="E782" s="206"/>
      <c r="F782" s="206" t="s">
        <v>730</v>
      </c>
      <c r="G782" s="206" t="s">
        <v>730</v>
      </c>
      <c r="H782" s="371" t="s">
        <v>2271</v>
      </c>
      <c r="I782" s="206" t="s">
        <v>1356</v>
      </c>
      <c r="J782" s="206" t="s">
        <v>1356</v>
      </c>
      <c r="K782" s="371" t="s">
        <v>2271</v>
      </c>
      <c r="L782" s="206" t="s">
        <v>2191</v>
      </c>
      <c r="M782" s="206" t="s">
        <v>1355</v>
      </c>
      <c r="N782" s="206" t="s">
        <v>40</v>
      </c>
      <c r="O782" s="372" t="s">
        <v>2193</v>
      </c>
      <c r="P782" s="372">
        <v>46053</v>
      </c>
      <c r="Q782" s="371" t="s">
        <v>2276</v>
      </c>
      <c r="R782" s="373">
        <v>13000</v>
      </c>
      <c r="S782" s="373">
        <v>13000</v>
      </c>
      <c r="T782" s="371" t="s">
        <v>2271</v>
      </c>
      <c r="U782" s="373">
        <v>3730</v>
      </c>
      <c r="V782" s="373">
        <v>3730</v>
      </c>
      <c r="W782" s="371" t="s">
        <v>2271</v>
      </c>
      <c r="X782" s="373">
        <v>9270</v>
      </c>
      <c r="Y782" s="373">
        <v>9270</v>
      </c>
      <c r="Z782" s="371" t="s">
        <v>2271</v>
      </c>
      <c r="AA782" s="373">
        <v>0</v>
      </c>
      <c r="AB782" s="373">
        <v>9260</v>
      </c>
      <c r="AC782" s="373">
        <v>9260</v>
      </c>
      <c r="AD782" s="371" t="s">
        <v>2271</v>
      </c>
      <c r="AE782" s="373">
        <v>0</v>
      </c>
      <c r="AF782" s="382">
        <v>0.95138888888888895</v>
      </c>
      <c r="AG782" s="382">
        <v>0.95138888888888895</v>
      </c>
      <c r="AH782" s="371" t="s">
        <v>2271</v>
      </c>
      <c r="AI782" s="382">
        <v>0.99652777777777801</v>
      </c>
      <c r="AJ782" s="382">
        <v>0.99652777777777801</v>
      </c>
      <c r="AK782" s="371" t="s">
        <v>2271</v>
      </c>
      <c r="AL782" s="206" t="s">
        <v>137</v>
      </c>
      <c r="AM782" s="206" t="s">
        <v>137</v>
      </c>
      <c r="AN782" s="371" t="s">
        <v>2271</v>
      </c>
      <c r="AO782" s="206" t="s">
        <v>2949</v>
      </c>
      <c r="AP782" s="206"/>
      <c r="AQ782" s="206" t="s">
        <v>1131</v>
      </c>
      <c r="AR782" s="207" t="s">
        <v>82</v>
      </c>
    </row>
    <row r="783" spans="1:44" x14ac:dyDescent="0.2">
      <c r="A783" s="370">
        <v>764</v>
      </c>
      <c r="B783" s="380">
        <v>574</v>
      </c>
      <c r="C783" s="371" t="s">
        <v>2269</v>
      </c>
      <c r="D783" s="371" t="s">
        <v>2235</v>
      </c>
      <c r="E783" s="206"/>
      <c r="F783" s="206" t="s">
        <v>39</v>
      </c>
      <c r="G783" s="206" t="s">
        <v>39</v>
      </c>
      <c r="H783" s="371" t="s">
        <v>2271</v>
      </c>
      <c r="I783" s="206" t="s">
        <v>1356</v>
      </c>
      <c r="J783" s="206" t="s">
        <v>1356</v>
      </c>
      <c r="K783" s="371" t="s">
        <v>2271</v>
      </c>
      <c r="L783" s="206" t="s">
        <v>2191</v>
      </c>
      <c r="M783" s="206" t="s">
        <v>1355</v>
      </c>
      <c r="N783" s="206" t="s">
        <v>40</v>
      </c>
      <c r="O783" s="372" t="s">
        <v>2193</v>
      </c>
      <c r="P783" s="372">
        <v>46053</v>
      </c>
      <c r="Q783" s="371" t="s">
        <v>2276</v>
      </c>
      <c r="R783" s="373">
        <v>13740</v>
      </c>
      <c r="S783" s="373">
        <v>13740</v>
      </c>
      <c r="T783" s="371" t="s">
        <v>2271</v>
      </c>
      <c r="U783" s="373">
        <v>4100</v>
      </c>
      <c r="V783" s="373">
        <v>4100</v>
      </c>
      <c r="W783" s="371" t="s">
        <v>2271</v>
      </c>
      <c r="X783" s="373">
        <v>9640</v>
      </c>
      <c r="Y783" s="373">
        <v>9640</v>
      </c>
      <c r="Z783" s="371" t="s">
        <v>2271</v>
      </c>
      <c r="AA783" s="373">
        <v>0</v>
      </c>
      <c r="AB783" s="373">
        <v>9590</v>
      </c>
      <c r="AC783" s="373">
        <v>9590</v>
      </c>
      <c r="AD783" s="371" t="s">
        <v>2271</v>
      </c>
      <c r="AE783" s="373">
        <v>0</v>
      </c>
      <c r="AF783" s="382">
        <v>0.95625000000000004</v>
      </c>
      <c r="AG783" s="382">
        <v>0.95625000000000004</v>
      </c>
      <c r="AH783" s="371" t="s">
        <v>2271</v>
      </c>
      <c r="AI783" s="382">
        <v>0.99305555555555503</v>
      </c>
      <c r="AJ783" s="382">
        <v>0.99305555555555602</v>
      </c>
      <c r="AK783" s="371" t="s">
        <v>2276</v>
      </c>
      <c r="AL783" s="206" t="s">
        <v>137</v>
      </c>
      <c r="AM783" s="206" t="s">
        <v>137</v>
      </c>
      <c r="AN783" s="371" t="s">
        <v>2271</v>
      </c>
      <c r="AO783" s="206" t="s">
        <v>2950</v>
      </c>
      <c r="AP783" s="206"/>
      <c r="AQ783" s="206" t="s">
        <v>1131</v>
      </c>
      <c r="AR783" s="207" t="s">
        <v>82</v>
      </c>
    </row>
    <row r="784" spans="1:44" x14ac:dyDescent="0.2">
      <c r="A784" s="370">
        <v>765</v>
      </c>
      <c r="B784" s="380">
        <v>575</v>
      </c>
      <c r="C784" s="371" t="s">
        <v>2269</v>
      </c>
      <c r="D784" s="371" t="s">
        <v>2235</v>
      </c>
      <c r="E784" s="206"/>
      <c r="F784" s="206" t="s">
        <v>186</v>
      </c>
      <c r="G784" s="206" t="s">
        <v>186</v>
      </c>
      <c r="H784" s="371" t="s">
        <v>2271</v>
      </c>
      <c r="I784" s="206" t="s">
        <v>1356</v>
      </c>
      <c r="J784" s="206" t="s">
        <v>1356</v>
      </c>
      <c r="K784" s="371" t="s">
        <v>2271</v>
      </c>
      <c r="L784" s="206" t="s">
        <v>2191</v>
      </c>
      <c r="M784" s="206" t="s">
        <v>1355</v>
      </c>
      <c r="N784" s="206" t="s">
        <v>40</v>
      </c>
      <c r="O784" s="372" t="s">
        <v>2193</v>
      </c>
      <c r="P784" s="372">
        <v>46053</v>
      </c>
      <c r="Q784" s="371" t="s">
        <v>2276</v>
      </c>
      <c r="R784" s="373">
        <v>13480</v>
      </c>
      <c r="S784" s="373">
        <v>13480</v>
      </c>
      <c r="T784" s="371" t="s">
        <v>2271</v>
      </c>
      <c r="U784" s="373">
        <v>3920</v>
      </c>
      <c r="V784" s="373">
        <v>3920</v>
      </c>
      <c r="W784" s="371" t="s">
        <v>2271</v>
      </c>
      <c r="X784" s="373">
        <v>9560</v>
      </c>
      <c r="Y784" s="373">
        <v>9560</v>
      </c>
      <c r="Z784" s="371" t="s">
        <v>2271</v>
      </c>
      <c r="AA784" s="373">
        <v>0</v>
      </c>
      <c r="AB784" s="373">
        <v>9520</v>
      </c>
      <c r="AC784" s="373">
        <v>9520</v>
      </c>
      <c r="AD784" s="371" t="s">
        <v>2271</v>
      </c>
      <c r="AE784" s="373">
        <v>0</v>
      </c>
      <c r="AF784" s="382">
        <v>0.95694444444444404</v>
      </c>
      <c r="AG784" s="382">
        <v>0.95694444444444504</v>
      </c>
      <c r="AH784" s="371" t="s">
        <v>2276</v>
      </c>
      <c r="AI784" s="382">
        <v>0.99513888888888902</v>
      </c>
      <c r="AJ784" s="382">
        <v>0.99513888888888902</v>
      </c>
      <c r="AK784" s="371" t="s">
        <v>2271</v>
      </c>
      <c r="AL784" s="206" t="s">
        <v>137</v>
      </c>
      <c r="AM784" s="206" t="s">
        <v>137</v>
      </c>
      <c r="AN784" s="371" t="s">
        <v>2271</v>
      </c>
      <c r="AO784" s="206" t="s">
        <v>2951</v>
      </c>
      <c r="AP784" s="206"/>
      <c r="AQ784" s="206" t="s">
        <v>1131</v>
      </c>
      <c r="AR784" s="207" t="s">
        <v>82</v>
      </c>
    </row>
    <row r="785" spans="1:44" x14ac:dyDescent="0.2">
      <c r="A785" s="370">
        <v>766</v>
      </c>
      <c r="B785" s="380">
        <v>576</v>
      </c>
      <c r="C785" s="371" t="s">
        <v>2269</v>
      </c>
      <c r="D785" s="371" t="s">
        <v>2235</v>
      </c>
      <c r="E785" s="206"/>
      <c r="F785" s="206" t="s">
        <v>184</v>
      </c>
      <c r="G785" s="206" t="s">
        <v>184</v>
      </c>
      <c r="H785" s="371" t="s">
        <v>2271</v>
      </c>
      <c r="I785" s="206" t="s">
        <v>1356</v>
      </c>
      <c r="J785" s="206" t="s">
        <v>1356</v>
      </c>
      <c r="K785" s="371" t="s">
        <v>2271</v>
      </c>
      <c r="L785" s="206" t="s">
        <v>2191</v>
      </c>
      <c r="M785" s="206" t="s">
        <v>1355</v>
      </c>
      <c r="N785" s="206" t="s">
        <v>40</v>
      </c>
      <c r="O785" s="372" t="s">
        <v>2193</v>
      </c>
      <c r="P785" s="372">
        <v>46053</v>
      </c>
      <c r="Q785" s="371" t="s">
        <v>2276</v>
      </c>
      <c r="R785" s="373">
        <v>13830</v>
      </c>
      <c r="S785" s="373">
        <v>13830</v>
      </c>
      <c r="T785" s="371" t="s">
        <v>2271</v>
      </c>
      <c r="U785" s="373">
        <v>3910</v>
      </c>
      <c r="V785" s="373">
        <v>3910</v>
      </c>
      <c r="W785" s="371" t="s">
        <v>2271</v>
      </c>
      <c r="X785" s="373">
        <v>9920</v>
      </c>
      <c r="Y785" s="373">
        <v>9920</v>
      </c>
      <c r="Z785" s="371" t="s">
        <v>2271</v>
      </c>
      <c r="AA785" s="373">
        <v>0</v>
      </c>
      <c r="AB785" s="373">
        <v>9880</v>
      </c>
      <c r="AC785" s="373">
        <v>9880</v>
      </c>
      <c r="AD785" s="371" t="s">
        <v>2271</v>
      </c>
      <c r="AE785" s="373">
        <v>0</v>
      </c>
      <c r="AF785" s="382">
        <v>0.95833333333333304</v>
      </c>
      <c r="AG785" s="382">
        <v>0.95833333333333304</v>
      </c>
      <c r="AH785" s="371" t="s">
        <v>2271</v>
      </c>
      <c r="AI785" s="382">
        <v>0.99861111111111101</v>
      </c>
      <c r="AJ785" s="382">
        <v>0.99861111111111101</v>
      </c>
      <c r="AK785" s="371" t="s">
        <v>2271</v>
      </c>
      <c r="AL785" s="206" t="s">
        <v>137</v>
      </c>
      <c r="AM785" s="206" t="s">
        <v>137</v>
      </c>
      <c r="AN785" s="371" t="s">
        <v>2271</v>
      </c>
      <c r="AO785" s="206" t="s">
        <v>2952</v>
      </c>
      <c r="AP785" s="206"/>
      <c r="AQ785" s="206" t="s">
        <v>1131</v>
      </c>
      <c r="AR785" s="207" t="s">
        <v>82</v>
      </c>
    </row>
    <row r="786" spans="1:44" x14ac:dyDescent="0.2">
      <c r="A786" s="370">
        <v>767</v>
      </c>
      <c r="B786" s="380">
        <v>577</v>
      </c>
      <c r="C786" s="371" t="s">
        <v>2269</v>
      </c>
      <c r="D786" s="371" t="s">
        <v>2235</v>
      </c>
      <c r="E786" s="206"/>
      <c r="F786" s="206" t="s">
        <v>151</v>
      </c>
      <c r="G786" s="206" t="s">
        <v>151</v>
      </c>
      <c r="H786" s="371" t="s">
        <v>2271</v>
      </c>
      <c r="I786" s="206" t="s">
        <v>1356</v>
      </c>
      <c r="J786" s="206" t="s">
        <v>1356</v>
      </c>
      <c r="K786" s="371" t="s">
        <v>2271</v>
      </c>
      <c r="L786" s="206" t="s">
        <v>2191</v>
      </c>
      <c r="M786" s="206" t="s">
        <v>1355</v>
      </c>
      <c r="N786" s="206" t="s">
        <v>40</v>
      </c>
      <c r="O786" s="372">
        <v>46024</v>
      </c>
      <c r="P786" s="372">
        <v>46054</v>
      </c>
      <c r="Q786" s="371" t="s">
        <v>2276</v>
      </c>
      <c r="R786" s="373">
        <v>13480</v>
      </c>
      <c r="S786" s="373">
        <v>13480</v>
      </c>
      <c r="T786" s="371" t="s">
        <v>2271</v>
      </c>
      <c r="U786" s="373">
        <v>4140</v>
      </c>
      <c r="V786" s="373">
        <v>4140</v>
      </c>
      <c r="W786" s="371" t="s">
        <v>2271</v>
      </c>
      <c r="X786" s="373">
        <v>9340</v>
      </c>
      <c r="Y786" s="373">
        <v>9340</v>
      </c>
      <c r="Z786" s="371" t="s">
        <v>2271</v>
      </c>
      <c r="AA786" s="373">
        <v>0</v>
      </c>
      <c r="AB786" s="373">
        <v>9330</v>
      </c>
      <c r="AC786" s="373">
        <v>9330</v>
      </c>
      <c r="AD786" s="371" t="s">
        <v>2271</v>
      </c>
      <c r="AE786" s="373">
        <v>0</v>
      </c>
      <c r="AF786" s="382">
        <v>6.18055555555556E-2</v>
      </c>
      <c r="AG786" s="382">
        <v>6.18055555555556E-2</v>
      </c>
      <c r="AH786" s="371" t="s">
        <v>2271</v>
      </c>
      <c r="AI786" s="382">
        <v>8.8194444444444506E-2</v>
      </c>
      <c r="AJ786" s="382">
        <v>8.8194444444444506E-2</v>
      </c>
      <c r="AK786" s="371" t="s">
        <v>2271</v>
      </c>
      <c r="AL786" s="206" t="s">
        <v>137</v>
      </c>
      <c r="AM786" s="206" t="s">
        <v>137</v>
      </c>
      <c r="AN786" s="371" t="s">
        <v>2271</v>
      </c>
      <c r="AO786" s="206" t="s">
        <v>2953</v>
      </c>
      <c r="AP786" s="206"/>
      <c r="AQ786" s="206" t="s">
        <v>1131</v>
      </c>
      <c r="AR786" s="207" t="s">
        <v>82</v>
      </c>
    </row>
    <row r="787" spans="1:44" x14ac:dyDescent="0.2">
      <c r="A787" s="370">
        <v>768</v>
      </c>
      <c r="B787" s="380">
        <v>578</v>
      </c>
      <c r="C787" s="371" t="s">
        <v>2269</v>
      </c>
      <c r="D787" s="371" t="s">
        <v>2235</v>
      </c>
      <c r="E787" s="206"/>
      <c r="F787" s="206" t="s">
        <v>736</v>
      </c>
      <c r="G787" s="206" t="s">
        <v>736</v>
      </c>
      <c r="H787" s="371" t="s">
        <v>2271</v>
      </c>
      <c r="I787" s="206" t="s">
        <v>1356</v>
      </c>
      <c r="J787" s="206" t="s">
        <v>1356</v>
      </c>
      <c r="K787" s="371" t="s">
        <v>2271</v>
      </c>
      <c r="L787" s="206" t="s">
        <v>2191</v>
      </c>
      <c r="M787" s="206" t="s">
        <v>1355</v>
      </c>
      <c r="N787" s="206" t="s">
        <v>40</v>
      </c>
      <c r="O787" s="372">
        <v>46024</v>
      </c>
      <c r="P787" s="372">
        <v>46054</v>
      </c>
      <c r="Q787" s="371" t="s">
        <v>2276</v>
      </c>
      <c r="R787" s="373">
        <v>13920</v>
      </c>
      <c r="S787" s="373">
        <v>13920</v>
      </c>
      <c r="T787" s="371" t="s">
        <v>2271</v>
      </c>
      <c r="U787" s="373">
        <v>4080</v>
      </c>
      <c r="V787" s="373">
        <v>4080</v>
      </c>
      <c r="W787" s="371" t="s">
        <v>2271</v>
      </c>
      <c r="X787" s="373">
        <v>9840</v>
      </c>
      <c r="Y787" s="373">
        <v>9840</v>
      </c>
      <c r="Z787" s="371" t="s">
        <v>2271</v>
      </c>
      <c r="AA787" s="373">
        <v>0</v>
      </c>
      <c r="AB787" s="373">
        <v>9820</v>
      </c>
      <c r="AC787" s="373">
        <v>9820</v>
      </c>
      <c r="AD787" s="371" t="s">
        <v>2271</v>
      </c>
      <c r="AE787" s="373">
        <v>0</v>
      </c>
      <c r="AF787" s="382">
        <v>6.31944444444444E-2</v>
      </c>
      <c r="AG787" s="382">
        <v>6.31944444444444E-2</v>
      </c>
      <c r="AH787" s="371" t="s">
        <v>2271</v>
      </c>
      <c r="AI787" s="382">
        <v>8.9583333333333307E-2</v>
      </c>
      <c r="AJ787" s="382">
        <v>8.9583333333333307E-2</v>
      </c>
      <c r="AK787" s="371" t="s">
        <v>2271</v>
      </c>
      <c r="AL787" s="206" t="s">
        <v>137</v>
      </c>
      <c r="AM787" s="206" t="s">
        <v>137</v>
      </c>
      <c r="AN787" s="371" t="s">
        <v>2271</v>
      </c>
      <c r="AO787" s="206" t="s">
        <v>2954</v>
      </c>
      <c r="AP787" s="206"/>
      <c r="AQ787" s="206" t="s">
        <v>1131</v>
      </c>
      <c r="AR787" s="207" t="s">
        <v>82</v>
      </c>
    </row>
    <row r="788" spans="1:44" x14ac:dyDescent="0.2">
      <c r="A788" s="370">
        <v>769</v>
      </c>
      <c r="B788" s="380">
        <v>579</v>
      </c>
      <c r="C788" s="371" t="s">
        <v>2269</v>
      </c>
      <c r="D788" s="371" t="s">
        <v>2235</v>
      </c>
      <c r="E788" s="206"/>
      <c r="F788" s="206" t="s">
        <v>738</v>
      </c>
      <c r="G788" s="206" t="s">
        <v>738</v>
      </c>
      <c r="H788" s="371" t="s">
        <v>2271</v>
      </c>
      <c r="I788" s="206" t="s">
        <v>1356</v>
      </c>
      <c r="J788" s="206" t="s">
        <v>1356</v>
      </c>
      <c r="K788" s="371" t="s">
        <v>2271</v>
      </c>
      <c r="L788" s="206" t="s">
        <v>2191</v>
      </c>
      <c r="M788" s="206" t="s">
        <v>1355</v>
      </c>
      <c r="N788" s="206" t="s">
        <v>40</v>
      </c>
      <c r="O788" s="372">
        <v>46024</v>
      </c>
      <c r="P788" s="372">
        <v>46054</v>
      </c>
      <c r="Q788" s="371" t="s">
        <v>2276</v>
      </c>
      <c r="R788" s="373">
        <v>12420</v>
      </c>
      <c r="S788" s="373">
        <v>12420</v>
      </c>
      <c r="T788" s="371" t="s">
        <v>2271</v>
      </c>
      <c r="U788" s="373">
        <v>3770</v>
      </c>
      <c r="V788" s="373">
        <v>3770</v>
      </c>
      <c r="W788" s="371" t="s">
        <v>2271</v>
      </c>
      <c r="X788" s="373">
        <v>8650</v>
      </c>
      <c r="Y788" s="373">
        <v>8650</v>
      </c>
      <c r="Z788" s="371" t="s">
        <v>2271</v>
      </c>
      <c r="AA788" s="373">
        <v>0</v>
      </c>
      <c r="AB788" s="373">
        <v>8640</v>
      </c>
      <c r="AC788" s="373">
        <v>8640</v>
      </c>
      <c r="AD788" s="371" t="s">
        <v>2271</v>
      </c>
      <c r="AE788" s="373">
        <v>0</v>
      </c>
      <c r="AF788" s="382">
        <v>6.8750000000000006E-2</v>
      </c>
      <c r="AG788" s="382">
        <v>6.8750000000000006E-2</v>
      </c>
      <c r="AH788" s="371" t="s">
        <v>2271</v>
      </c>
      <c r="AI788" s="382">
        <v>0.100694444444444</v>
      </c>
      <c r="AJ788" s="382">
        <v>0.100694444444444</v>
      </c>
      <c r="AK788" s="371" t="s">
        <v>2271</v>
      </c>
      <c r="AL788" s="206" t="s">
        <v>137</v>
      </c>
      <c r="AM788" s="206" t="s">
        <v>137</v>
      </c>
      <c r="AN788" s="371" t="s">
        <v>2271</v>
      </c>
      <c r="AO788" s="206" t="s">
        <v>2955</v>
      </c>
      <c r="AP788" s="206"/>
      <c r="AQ788" s="206" t="s">
        <v>1131</v>
      </c>
      <c r="AR788" s="207" t="s">
        <v>82</v>
      </c>
    </row>
    <row r="789" spans="1:44" x14ac:dyDescent="0.2">
      <c r="A789" s="370">
        <v>770</v>
      </c>
      <c r="B789" s="380">
        <v>580</v>
      </c>
      <c r="C789" s="371" t="s">
        <v>2269</v>
      </c>
      <c r="D789" s="371" t="s">
        <v>2235</v>
      </c>
      <c r="E789" s="206"/>
      <c r="F789" s="206" t="s">
        <v>156</v>
      </c>
      <c r="G789" s="206" t="s">
        <v>156</v>
      </c>
      <c r="H789" s="371" t="s">
        <v>2271</v>
      </c>
      <c r="I789" s="206" t="s">
        <v>1356</v>
      </c>
      <c r="J789" s="206" t="s">
        <v>1356</v>
      </c>
      <c r="K789" s="371" t="s">
        <v>2271</v>
      </c>
      <c r="L789" s="206" t="s">
        <v>2191</v>
      </c>
      <c r="M789" s="206" t="s">
        <v>1355</v>
      </c>
      <c r="N789" s="206" t="s">
        <v>40</v>
      </c>
      <c r="O789" s="372">
        <v>46024</v>
      </c>
      <c r="P789" s="372">
        <v>46054</v>
      </c>
      <c r="Q789" s="371" t="s">
        <v>2276</v>
      </c>
      <c r="R789" s="373">
        <v>14120</v>
      </c>
      <c r="S789" s="373">
        <v>14120</v>
      </c>
      <c r="T789" s="371" t="s">
        <v>2271</v>
      </c>
      <c r="U789" s="373">
        <v>4140</v>
      </c>
      <c r="V789" s="373">
        <v>4140</v>
      </c>
      <c r="W789" s="371" t="s">
        <v>2271</v>
      </c>
      <c r="X789" s="373">
        <v>9980</v>
      </c>
      <c r="Y789" s="373">
        <v>9980</v>
      </c>
      <c r="Z789" s="371" t="s">
        <v>2271</v>
      </c>
      <c r="AA789" s="373">
        <v>0</v>
      </c>
      <c r="AB789" s="373">
        <v>9960</v>
      </c>
      <c r="AC789" s="373">
        <v>9960</v>
      </c>
      <c r="AD789" s="371" t="s">
        <v>2271</v>
      </c>
      <c r="AE789" s="373">
        <v>0</v>
      </c>
      <c r="AF789" s="382">
        <v>6.9444444444444406E-2</v>
      </c>
      <c r="AG789" s="382">
        <v>6.9444444444444503E-2</v>
      </c>
      <c r="AH789" s="371" t="s">
        <v>2276</v>
      </c>
      <c r="AI789" s="382">
        <v>9.44444444444444E-2</v>
      </c>
      <c r="AJ789" s="382">
        <v>9.44444444444444E-2</v>
      </c>
      <c r="AK789" s="371" t="s">
        <v>2271</v>
      </c>
      <c r="AL789" s="206" t="s">
        <v>137</v>
      </c>
      <c r="AM789" s="206" t="s">
        <v>137</v>
      </c>
      <c r="AN789" s="371" t="s">
        <v>2271</v>
      </c>
      <c r="AO789" s="206" t="s">
        <v>2956</v>
      </c>
      <c r="AP789" s="206"/>
      <c r="AQ789" s="206" t="s">
        <v>1131</v>
      </c>
      <c r="AR789" s="207" t="s">
        <v>82</v>
      </c>
    </row>
    <row r="790" spans="1:44" x14ac:dyDescent="0.2">
      <c r="A790" s="370">
        <v>771</v>
      </c>
      <c r="B790" s="380">
        <v>581</v>
      </c>
      <c r="C790" s="371" t="s">
        <v>2269</v>
      </c>
      <c r="D790" s="371" t="s">
        <v>2235</v>
      </c>
      <c r="E790" s="206"/>
      <c r="F790" s="206" t="s">
        <v>215</v>
      </c>
      <c r="G790" s="206" t="s">
        <v>215</v>
      </c>
      <c r="H790" s="371" t="s">
        <v>2271</v>
      </c>
      <c r="I790" s="206" t="s">
        <v>1356</v>
      </c>
      <c r="J790" s="206" t="s">
        <v>1356</v>
      </c>
      <c r="K790" s="371" t="s">
        <v>2271</v>
      </c>
      <c r="L790" s="206" t="s">
        <v>2191</v>
      </c>
      <c r="M790" s="206" t="s">
        <v>1355</v>
      </c>
      <c r="N790" s="206" t="s">
        <v>40</v>
      </c>
      <c r="O790" s="372">
        <v>46024</v>
      </c>
      <c r="P790" s="372">
        <v>46054</v>
      </c>
      <c r="Q790" s="371" t="s">
        <v>2276</v>
      </c>
      <c r="R790" s="373">
        <v>12760</v>
      </c>
      <c r="S790" s="373">
        <v>12760</v>
      </c>
      <c r="T790" s="371" t="s">
        <v>2271</v>
      </c>
      <c r="U790" s="373">
        <v>3990</v>
      </c>
      <c r="V790" s="373">
        <v>3990</v>
      </c>
      <c r="W790" s="371" t="s">
        <v>2271</v>
      </c>
      <c r="X790" s="373">
        <v>8770</v>
      </c>
      <c r="Y790" s="373">
        <v>8770</v>
      </c>
      <c r="Z790" s="371" t="s">
        <v>2271</v>
      </c>
      <c r="AA790" s="373">
        <v>0</v>
      </c>
      <c r="AB790" s="373">
        <v>8750</v>
      </c>
      <c r="AC790" s="373">
        <v>8750</v>
      </c>
      <c r="AD790" s="371" t="s">
        <v>2271</v>
      </c>
      <c r="AE790" s="373">
        <v>0</v>
      </c>
      <c r="AF790" s="382">
        <v>7.0833333333333304E-2</v>
      </c>
      <c r="AG790" s="382">
        <v>7.0833333333333304E-2</v>
      </c>
      <c r="AH790" s="371" t="s">
        <v>2271</v>
      </c>
      <c r="AI790" s="382">
        <v>0.12291666666666699</v>
      </c>
      <c r="AJ790" s="382">
        <v>0.12291666666666699</v>
      </c>
      <c r="AK790" s="371" t="s">
        <v>2271</v>
      </c>
      <c r="AL790" s="206" t="s">
        <v>137</v>
      </c>
      <c r="AM790" s="206" t="s">
        <v>137</v>
      </c>
      <c r="AN790" s="371" t="s">
        <v>2271</v>
      </c>
      <c r="AO790" s="206" t="s">
        <v>2957</v>
      </c>
      <c r="AP790" s="206"/>
      <c r="AQ790" s="206" t="s">
        <v>1131</v>
      </c>
      <c r="AR790" s="207" t="s">
        <v>82</v>
      </c>
    </row>
    <row r="791" spans="1:44" x14ac:dyDescent="0.2">
      <c r="A791" s="370">
        <v>772</v>
      </c>
      <c r="B791" s="380">
        <v>582</v>
      </c>
      <c r="C791" s="371" t="s">
        <v>2269</v>
      </c>
      <c r="D791" s="371" t="s">
        <v>2270</v>
      </c>
      <c r="E791" s="206"/>
      <c r="F791" s="206" t="s">
        <v>160</v>
      </c>
      <c r="G791" s="206" t="s">
        <v>160</v>
      </c>
      <c r="H791" s="371" t="s">
        <v>2271</v>
      </c>
      <c r="I791" s="206" t="s">
        <v>1356</v>
      </c>
      <c r="J791" s="206" t="s">
        <v>1356</v>
      </c>
      <c r="K791" s="371" t="s">
        <v>2271</v>
      </c>
      <c r="L791" s="206" t="s">
        <v>2191</v>
      </c>
      <c r="M791" s="206" t="s">
        <v>1355</v>
      </c>
      <c r="N791" s="206" t="s">
        <v>40</v>
      </c>
      <c r="O791" s="372">
        <v>46055</v>
      </c>
      <c r="P791" s="372">
        <v>46055</v>
      </c>
      <c r="Q791" s="371" t="s">
        <v>2271</v>
      </c>
      <c r="R791" s="373">
        <v>13470</v>
      </c>
      <c r="S791" s="373">
        <v>13470</v>
      </c>
      <c r="T791" s="371" t="s">
        <v>2271</v>
      </c>
      <c r="U791" s="373">
        <v>3630</v>
      </c>
      <c r="V791" s="373">
        <v>3630</v>
      </c>
      <c r="W791" s="371" t="s">
        <v>2271</v>
      </c>
      <c r="X791" s="373">
        <v>9840</v>
      </c>
      <c r="Y791" s="373">
        <v>9840</v>
      </c>
      <c r="Z791" s="371" t="s">
        <v>2271</v>
      </c>
      <c r="AA791" s="373">
        <v>0</v>
      </c>
      <c r="AB791" s="373">
        <v>9810</v>
      </c>
      <c r="AC791" s="373">
        <v>9810</v>
      </c>
      <c r="AD791" s="371" t="s">
        <v>2271</v>
      </c>
      <c r="AE791" s="373">
        <v>0</v>
      </c>
      <c r="AF791" s="382">
        <v>0.35625000000000001</v>
      </c>
      <c r="AG791" s="382">
        <v>0.35625000000000001</v>
      </c>
      <c r="AH791" s="371" t="s">
        <v>2271</v>
      </c>
      <c r="AI791" s="382">
        <v>0.42499999999999999</v>
      </c>
      <c r="AJ791" s="382">
        <v>0.42499999999999999</v>
      </c>
      <c r="AK791" s="371" t="s">
        <v>2271</v>
      </c>
      <c r="AL791" s="206" t="s">
        <v>137</v>
      </c>
      <c r="AM791" s="206" t="s">
        <v>137</v>
      </c>
      <c r="AN791" s="371" t="s">
        <v>2271</v>
      </c>
      <c r="AO791" s="206" t="s">
        <v>2958</v>
      </c>
      <c r="AP791" s="206"/>
      <c r="AQ791" s="206" t="s">
        <v>1131</v>
      </c>
      <c r="AR791" s="207" t="s">
        <v>82</v>
      </c>
    </row>
    <row r="792" spans="1:44" x14ac:dyDescent="0.2">
      <c r="A792" s="370">
        <v>773</v>
      </c>
      <c r="B792" s="380">
        <v>583</v>
      </c>
      <c r="C792" s="371" t="s">
        <v>2269</v>
      </c>
      <c r="D792" s="371" t="s">
        <v>2270</v>
      </c>
      <c r="E792" s="206"/>
      <c r="F792" s="206" t="s">
        <v>473</v>
      </c>
      <c r="G792" s="206" t="s">
        <v>473</v>
      </c>
      <c r="H792" s="371" t="s">
        <v>2271</v>
      </c>
      <c r="I792" s="206" t="s">
        <v>1356</v>
      </c>
      <c r="J792" s="206" t="s">
        <v>1356</v>
      </c>
      <c r="K792" s="371" t="s">
        <v>2271</v>
      </c>
      <c r="L792" s="206" t="s">
        <v>2191</v>
      </c>
      <c r="M792" s="206" t="s">
        <v>1355</v>
      </c>
      <c r="N792" s="206" t="s">
        <v>40</v>
      </c>
      <c r="O792" s="372">
        <v>46055</v>
      </c>
      <c r="P792" s="372">
        <v>46055</v>
      </c>
      <c r="Q792" s="371" t="s">
        <v>2271</v>
      </c>
      <c r="R792" s="373">
        <v>14490</v>
      </c>
      <c r="S792" s="373">
        <v>14490</v>
      </c>
      <c r="T792" s="371" t="s">
        <v>2271</v>
      </c>
      <c r="U792" s="373">
        <v>4390</v>
      </c>
      <c r="V792" s="373">
        <v>4390</v>
      </c>
      <c r="W792" s="371" t="s">
        <v>2271</v>
      </c>
      <c r="X792" s="373">
        <v>10100</v>
      </c>
      <c r="Y792" s="373">
        <v>10100</v>
      </c>
      <c r="Z792" s="371" t="s">
        <v>2271</v>
      </c>
      <c r="AA792" s="373">
        <v>0</v>
      </c>
      <c r="AB792" s="373">
        <v>10130</v>
      </c>
      <c r="AC792" s="373">
        <v>10130</v>
      </c>
      <c r="AD792" s="371" t="s">
        <v>2271</v>
      </c>
      <c r="AE792" s="373">
        <v>0</v>
      </c>
      <c r="AF792" s="382">
        <v>0.35763888888888901</v>
      </c>
      <c r="AG792" s="382">
        <v>0.35763888888888901</v>
      </c>
      <c r="AH792" s="371" t="s">
        <v>2271</v>
      </c>
      <c r="AI792" s="382">
        <v>0.43055555555555602</v>
      </c>
      <c r="AJ792" s="382">
        <v>0.43055555555555602</v>
      </c>
      <c r="AK792" s="371" t="s">
        <v>2271</v>
      </c>
      <c r="AL792" s="206" t="s">
        <v>137</v>
      </c>
      <c r="AM792" s="206" t="s">
        <v>137</v>
      </c>
      <c r="AN792" s="371" t="s">
        <v>2271</v>
      </c>
      <c r="AO792" s="206" t="s">
        <v>2959</v>
      </c>
      <c r="AP792" s="206"/>
      <c r="AQ792" s="206" t="s">
        <v>1131</v>
      </c>
      <c r="AR792" s="207" t="s">
        <v>82</v>
      </c>
    </row>
    <row r="793" spans="1:44" x14ac:dyDescent="0.2">
      <c r="A793" s="370">
        <v>774</v>
      </c>
      <c r="B793" s="380">
        <v>584</v>
      </c>
      <c r="C793" s="371" t="s">
        <v>2269</v>
      </c>
      <c r="D793" s="371" t="s">
        <v>2270</v>
      </c>
      <c r="E793" s="206"/>
      <c r="F793" s="206" t="s">
        <v>147</v>
      </c>
      <c r="G793" s="206" t="s">
        <v>147</v>
      </c>
      <c r="H793" s="371" t="s">
        <v>2271</v>
      </c>
      <c r="I793" s="206" t="s">
        <v>1356</v>
      </c>
      <c r="J793" s="206" t="s">
        <v>1356</v>
      </c>
      <c r="K793" s="371" t="s">
        <v>2271</v>
      </c>
      <c r="L793" s="206" t="s">
        <v>2191</v>
      </c>
      <c r="M793" s="206" t="s">
        <v>1355</v>
      </c>
      <c r="N793" s="206" t="s">
        <v>40</v>
      </c>
      <c r="O793" s="372">
        <v>46055</v>
      </c>
      <c r="P793" s="372">
        <v>46055</v>
      </c>
      <c r="Q793" s="371" t="s">
        <v>2271</v>
      </c>
      <c r="R793" s="373">
        <v>13970</v>
      </c>
      <c r="S793" s="373">
        <v>13970</v>
      </c>
      <c r="T793" s="371" t="s">
        <v>2271</v>
      </c>
      <c r="U793" s="373">
        <v>3990</v>
      </c>
      <c r="V793" s="373">
        <v>3990</v>
      </c>
      <c r="W793" s="371" t="s">
        <v>2271</v>
      </c>
      <c r="X793" s="373">
        <v>9980</v>
      </c>
      <c r="Y793" s="373">
        <v>9980</v>
      </c>
      <c r="Z793" s="371" t="s">
        <v>2271</v>
      </c>
      <c r="AA793" s="373">
        <v>0</v>
      </c>
      <c r="AB793" s="373">
        <v>9990</v>
      </c>
      <c r="AC793" s="373">
        <v>9990</v>
      </c>
      <c r="AD793" s="371" t="s">
        <v>2271</v>
      </c>
      <c r="AE793" s="373">
        <v>0</v>
      </c>
      <c r="AF793" s="382">
        <v>0.359027777777778</v>
      </c>
      <c r="AG793" s="382">
        <v>0.359027777777778</v>
      </c>
      <c r="AH793" s="371" t="s">
        <v>2271</v>
      </c>
      <c r="AI793" s="382">
        <v>0.41736111111111102</v>
      </c>
      <c r="AJ793" s="382">
        <v>0.41736111111111102</v>
      </c>
      <c r="AK793" s="371" t="s">
        <v>2271</v>
      </c>
      <c r="AL793" s="206" t="s">
        <v>137</v>
      </c>
      <c r="AM793" s="206" t="s">
        <v>137</v>
      </c>
      <c r="AN793" s="371" t="s">
        <v>2271</v>
      </c>
      <c r="AO793" s="206" t="s">
        <v>2960</v>
      </c>
      <c r="AP793" s="206"/>
      <c r="AQ793" s="206" t="s">
        <v>1131</v>
      </c>
      <c r="AR793" s="207" t="s">
        <v>82</v>
      </c>
    </row>
    <row r="794" spans="1:44" x14ac:dyDescent="0.2">
      <c r="A794" s="370">
        <v>775</v>
      </c>
      <c r="B794" s="380">
        <v>585</v>
      </c>
      <c r="C794" s="371" t="s">
        <v>2269</v>
      </c>
      <c r="D794" s="371" t="s">
        <v>2235</v>
      </c>
      <c r="E794" s="206"/>
      <c r="F794" s="206" t="s">
        <v>183</v>
      </c>
      <c r="G794" s="206" t="s">
        <v>183</v>
      </c>
      <c r="H794" s="371" t="s">
        <v>2271</v>
      </c>
      <c r="I794" s="206" t="s">
        <v>1356</v>
      </c>
      <c r="J794" s="206" t="s">
        <v>1356</v>
      </c>
      <c r="K794" s="371" t="s">
        <v>2271</v>
      </c>
      <c r="L794" s="206" t="s">
        <v>2191</v>
      </c>
      <c r="M794" s="206" t="s">
        <v>1355</v>
      </c>
      <c r="N794" s="206" t="s">
        <v>40</v>
      </c>
      <c r="O794" s="372">
        <v>46055</v>
      </c>
      <c r="P794" s="372">
        <v>46055</v>
      </c>
      <c r="Q794" s="371" t="s">
        <v>2271</v>
      </c>
      <c r="R794" s="373">
        <v>14190</v>
      </c>
      <c r="S794" s="373">
        <v>14190</v>
      </c>
      <c r="T794" s="371" t="s">
        <v>2271</v>
      </c>
      <c r="U794" s="373">
        <v>4260</v>
      </c>
      <c r="V794" s="373">
        <v>4260</v>
      </c>
      <c r="W794" s="371" t="s">
        <v>2271</v>
      </c>
      <c r="X794" s="373">
        <v>9930</v>
      </c>
      <c r="Y794" s="373">
        <v>9930</v>
      </c>
      <c r="Z794" s="371" t="s">
        <v>2271</v>
      </c>
      <c r="AA794" s="373">
        <v>0</v>
      </c>
      <c r="AB794" s="373">
        <v>9960</v>
      </c>
      <c r="AC794" s="373">
        <v>9960</v>
      </c>
      <c r="AD794" s="371" t="s">
        <v>2271</v>
      </c>
      <c r="AE794" s="373">
        <v>0</v>
      </c>
      <c r="AF794" s="382">
        <v>0.360416666666667</v>
      </c>
      <c r="AG794" s="382">
        <v>0.360416666666667</v>
      </c>
      <c r="AH794" s="371" t="s">
        <v>2271</v>
      </c>
      <c r="AI794" s="382">
        <v>0.41944444444444401</v>
      </c>
      <c r="AJ794" s="382">
        <v>0.41944444444444501</v>
      </c>
      <c r="AK794" s="371" t="s">
        <v>2276</v>
      </c>
      <c r="AL794" s="206" t="s">
        <v>137</v>
      </c>
      <c r="AM794" s="206" t="s">
        <v>137</v>
      </c>
      <c r="AN794" s="371" t="s">
        <v>2271</v>
      </c>
      <c r="AO794" s="206" t="s">
        <v>2961</v>
      </c>
      <c r="AP794" s="206"/>
      <c r="AQ794" s="206" t="s">
        <v>1131</v>
      </c>
      <c r="AR794" s="207" t="s">
        <v>82</v>
      </c>
    </row>
    <row r="795" spans="1:44" x14ac:dyDescent="0.2">
      <c r="A795" s="370">
        <v>776</v>
      </c>
      <c r="B795" s="380">
        <v>587</v>
      </c>
      <c r="C795" s="371" t="s">
        <v>2269</v>
      </c>
      <c r="D795" s="371" t="s">
        <v>2235</v>
      </c>
      <c r="E795" s="206"/>
      <c r="F795" s="206" t="s">
        <v>53</v>
      </c>
      <c r="G795" s="206" t="s">
        <v>53</v>
      </c>
      <c r="H795" s="371" t="s">
        <v>2271</v>
      </c>
      <c r="I795" s="206" t="s">
        <v>1356</v>
      </c>
      <c r="J795" s="206" t="s">
        <v>1356</v>
      </c>
      <c r="K795" s="371" t="s">
        <v>2271</v>
      </c>
      <c r="L795" s="206" t="s">
        <v>2191</v>
      </c>
      <c r="M795" s="206" t="s">
        <v>1355</v>
      </c>
      <c r="N795" s="206" t="s">
        <v>40</v>
      </c>
      <c r="O795" s="372">
        <v>46083</v>
      </c>
      <c r="P795" s="372">
        <v>46056</v>
      </c>
      <c r="Q795" s="371" t="s">
        <v>2276</v>
      </c>
      <c r="R795" s="373">
        <v>13320</v>
      </c>
      <c r="S795" s="373">
        <v>13320</v>
      </c>
      <c r="T795" s="371" t="s">
        <v>2271</v>
      </c>
      <c r="U795" s="373">
        <v>3790</v>
      </c>
      <c r="V795" s="373">
        <v>3790</v>
      </c>
      <c r="W795" s="371" t="s">
        <v>2271</v>
      </c>
      <c r="X795" s="373">
        <v>9530</v>
      </c>
      <c r="Y795" s="373">
        <v>9530</v>
      </c>
      <c r="Z795" s="371" t="s">
        <v>2271</v>
      </c>
      <c r="AA795" s="373">
        <v>0</v>
      </c>
      <c r="AB795" s="373">
        <v>9510</v>
      </c>
      <c r="AC795" s="373">
        <v>9510</v>
      </c>
      <c r="AD795" s="371" t="s">
        <v>2271</v>
      </c>
      <c r="AE795" s="373">
        <v>0</v>
      </c>
      <c r="AF795" s="382">
        <v>0.28749999999999998</v>
      </c>
      <c r="AG795" s="382">
        <v>0.28749999999999998</v>
      </c>
      <c r="AH795" s="371" t="s">
        <v>2271</v>
      </c>
      <c r="AI795" s="382">
        <v>0.35486111111111102</v>
      </c>
      <c r="AJ795" s="382">
        <v>0.35486111111111102</v>
      </c>
      <c r="AK795" s="371" t="s">
        <v>2271</v>
      </c>
      <c r="AL795" s="206" t="s">
        <v>137</v>
      </c>
      <c r="AM795" s="206" t="s">
        <v>137</v>
      </c>
      <c r="AN795" s="371" t="s">
        <v>2271</v>
      </c>
      <c r="AO795" s="206" t="s">
        <v>2962</v>
      </c>
      <c r="AP795" s="206"/>
      <c r="AQ795" s="206" t="s">
        <v>1131</v>
      </c>
      <c r="AR795" s="207" t="s">
        <v>82</v>
      </c>
    </row>
    <row r="796" spans="1:44" x14ac:dyDescent="0.2">
      <c r="A796" s="370">
        <v>777</v>
      </c>
      <c r="B796" s="380">
        <v>588</v>
      </c>
      <c r="C796" s="371" t="s">
        <v>2269</v>
      </c>
      <c r="D796" s="371" t="s">
        <v>2235</v>
      </c>
      <c r="E796" s="206"/>
      <c r="F796" s="206" t="s">
        <v>163</v>
      </c>
      <c r="G796" s="206" t="s">
        <v>163</v>
      </c>
      <c r="H796" s="371" t="s">
        <v>2271</v>
      </c>
      <c r="I796" s="206" t="s">
        <v>1356</v>
      </c>
      <c r="J796" s="206" t="s">
        <v>1356</v>
      </c>
      <c r="K796" s="371" t="s">
        <v>2271</v>
      </c>
      <c r="L796" s="206" t="s">
        <v>2191</v>
      </c>
      <c r="M796" s="206" t="s">
        <v>1355</v>
      </c>
      <c r="N796" s="206" t="s">
        <v>40</v>
      </c>
      <c r="O796" s="372">
        <v>46083</v>
      </c>
      <c r="P796" s="372">
        <v>46056</v>
      </c>
      <c r="Q796" s="371" t="s">
        <v>2276</v>
      </c>
      <c r="R796" s="373">
        <v>14080</v>
      </c>
      <c r="S796" s="373">
        <v>14080</v>
      </c>
      <c r="T796" s="371" t="s">
        <v>2271</v>
      </c>
      <c r="U796" s="373">
        <v>4010</v>
      </c>
      <c r="V796" s="373">
        <v>4010</v>
      </c>
      <c r="W796" s="371" t="s">
        <v>2271</v>
      </c>
      <c r="X796" s="373">
        <v>10070</v>
      </c>
      <c r="Y796" s="373">
        <v>10070</v>
      </c>
      <c r="Z796" s="371" t="s">
        <v>2271</v>
      </c>
      <c r="AA796" s="373">
        <v>0</v>
      </c>
      <c r="AB796" s="373">
        <v>10100</v>
      </c>
      <c r="AC796" s="373">
        <v>10100</v>
      </c>
      <c r="AD796" s="371" t="s">
        <v>2271</v>
      </c>
      <c r="AE796" s="373">
        <v>0</v>
      </c>
      <c r="AF796" s="382">
        <v>0.28888888888888897</v>
      </c>
      <c r="AG796" s="382">
        <v>0.28888888888888897</v>
      </c>
      <c r="AH796" s="371" t="s">
        <v>2271</v>
      </c>
      <c r="AI796" s="382">
        <v>0.34722222222222199</v>
      </c>
      <c r="AJ796" s="382">
        <v>0.34722222222222199</v>
      </c>
      <c r="AK796" s="371" t="s">
        <v>2271</v>
      </c>
      <c r="AL796" s="206" t="s">
        <v>137</v>
      </c>
      <c r="AM796" s="206" t="s">
        <v>137</v>
      </c>
      <c r="AN796" s="371" t="s">
        <v>2271</v>
      </c>
      <c r="AO796" s="206" t="s">
        <v>2963</v>
      </c>
      <c r="AP796" s="206"/>
      <c r="AQ796" s="206" t="s">
        <v>1131</v>
      </c>
      <c r="AR796" s="207" t="s">
        <v>82</v>
      </c>
    </row>
    <row r="797" spans="1:44" x14ac:dyDescent="0.2">
      <c r="A797" s="370">
        <v>778</v>
      </c>
      <c r="B797" s="380">
        <v>589</v>
      </c>
      <c r="C797" s="371" t="s">
        <v>2269</v>
      </c>
      <c r="D797" s="371" t="s">
        <v>2235</v>
      </c>
      <c r="E797" s="206"/>
      <c r="F797" s="206" t="s">
        <v>181</v>
      </c>
      <c r="G797" s="206" t="s">
        <v>181</v>
      </c>
      <c r="H797" s="371" t="s">
        <v>2271</v>
      </c>
      <c r="I797" s="206" t="s">
        <v>1356</v>
      </c>
      <c r="J797" s="206" t="s">
        <v>1356</v>
      </c>
      <c r="K797" s="371" t="s">
        <v>2271</v>
      </c>
      <c r="L797" s="206" t="s">
        <v>2191</v>
      </c>
      <c r="M797" s="206" t="s">
        <v>1355</v>
      </c>
      <c r="N797" s="206" t="s">
        <v>40</v>
      </c>
      <c r="O797" s="372">
        <v>46083</v>
      </c>
      <c r="P797" s="372">
        <v>46056</v>
      </c>
      <c r="Q797" s="371" t="s">
        <v>2276</v>
      </c>
      <c r="R797" s="373">
        <v>13550</v>
      </c>
      <c r="S797" s="373">
        <v>13550</v>
      </c>
      <c r="T797" s="371" t="s">
        <v>2271</v>
      </c>
      <c r="U797" s="373">
        <v>3970</v>
      </c>
      <c r="V797" s="373">
        <v>3970</v>
      </c>
      <c r="W797" s="371" t="s">
        <v>2271</v>
      </c>
      <c r="X797" s="373">
        <v>9580</v>
      </c>
      <c r="Y797" s="373">
        <v>9580</v>
      </c>
      <c r="Z797" s="371" t="s">
        <v>2271</v>
      </c>
      <c r="AA797" s="373">
        <v>0</v>
      </c>
      <c r="AB797" s="373">
        <v>9570</v>
      </c>
      <c r="AC797" s="373">
        <v>9570</v>
      </c>
      <c r="AD797" s="371" t="s">
        <v>2271</v>
      </c>
      <c r="AE797" s="373">
        <v>0</v>
      </c>
      <c r="AF797" s="382">
        <v>0.29375000000000001</v>
      </c>
      <c r="AG797" s="382">
        <v>0.29375000000000001</v>
      </c>
      <c r="AH797" s="371" t="s">
        <v>2271</v>
      </c>
      <c r="AI797" s="382">
        <v>0.35277777777777802</v>
      </c>
      <c r="AJ797" s="382">
        <v>0.35277777777777802</v>
      </c>
      <c r="AK797" s="371" t="s">
        <v>2271</v>
      </c>
      <c r="AL797" s="206" t="s">
        <v>137</v>
      </c>
      <c r="AM797" s="206" t="s">
        <v>137</v>
      </c>
      <c r="AN797" s="371" t="s">
        <v>2271</v>
      </c>
      <c r="AO797" s="206" t="s">
        <v>2964</v>
      </c>
      <c r="AP797" s="206"/>
      <c r="AQ797" s="206" t="s">
        <v>1131</v>
      </c>
      <c r="AR797" s="207" t="s">
        <v>82</v>
      </c>
    </row>
    <row r="798" spans="1:44" x14ac:dyDescent="0.2">
      <c r="A798" s="370">
        <v>779</v>
      </c>
      <c r="B798" s="380">
        <v>590</v>
      </c>
      <c r="C798" s="371" t="s">
        <v>2269</v>
      </c>
      <c r="D798" s="371" t="s">
        <v>2235</v>
      </c>
      <c r="E798" s="206"/>
      <c r="F798" s="206" t="s">
        <v>166</v>
      </c>
      <c r="G798" s="206" t="s">
        <v>166</v>
      </c>
      <c r="H798" s="371" t="s">
        <v>2271</v>
      </c>
      <c r="I798" s="206" t="s">
        <v>1356</v>
      </c>
      <c r="J798" s="206" t="s">
        <v>1356</v>
      </c>
      <c r="K798" s="371" t="s">
        <v>2271</v>
      </c>
      <c r="L798" s="206" t="s">
        <v>2191</v>
      </c>
      <c r="M798" s="206" t="s">
        <v>1355</v>
      </c>
      <c r="N798" s="206" t="s">
        <v>40</v>
      </c>
      <c r="O798" s="372">
        <v>46083</v>
      </c>
      <c r="P798" s="372">
        <v>46056</v>
      </c>
      <c r="Q798" s="371" t="s">
        <v>2276</v>
      </c>
      <c r="R798" s="373">
        <v>13110</v>
      </c>
      <c r="S798" s="373">
        <v>13110</v>
      </c>
      <c r="T798" s="371" t="s">
        <v>2271</v>
      </c>
      <c r="U798" s="373">
        <v>3760</v>
      </c>
      <c r="V798" s="373">
        <v>3760</v>
      </c>
      <c r="W798" s="371" t="s">
        <v>2271</v>
      </c>
      <c r="X798" s="373">
        <v>9350</v>
      </c>
      <c r="Y798" s="373">
        <v>9350</v>
      </c>
      <c r="Z798" s="371" t="s">
        <v>2271</v>
      </c>
      <c r="AA798" s="373">
        <v>0</v>
      </c>
      <c r="AB798" s="373">
        <v>9320</v>
      </c>
      <c r="AC798" s="373">
        <v>9320</v>
      </c>
      <c r="AD798" s="371" t="s">
        <v>2271</v>
      </c>
      <c r="AE798" s="373">
        <v>0</v>
      </c>
      <c r="AF798" s="382">
        <v>0.29513888888888901</v>
      </c>
      <c r="AG798" s="382">
        <v>0.29513888888888901</v>
      </c>
      <c r="AH798" s="371" t="s">
        <v>2271</v>
      </c>
      <c r="AI798" s="382">
        <v>0.359722222222222</v>
      </c>
      <c r="AJ798" s="382">
        <v>0.359722222222222</v>
      </c>
      <c r="AK798" s="371" t="s">
        <v>2271</v>
      </c>
      <c r="AL798" s="206" t="s">
        <v>137</v>
      </c>
      <c r="AM798" s="206" t="s">
        <v>137</v>
      </c>
      <c r="AN798" s="371" t="s">
        <v>2271</v>
      </c>
      <c r="AO798" s="206" t="s">
        <v>2965</v>
      </c>
      <c r="AP798" s="206"/>
      <c r="AQ798" s="206" t="s">
        <v>1131</v>
      </c>
      <c r="AR798" s="207" t="s">
        <v>82</v>
      </c>
    </row>
    <row r="799" spans="1:44" x14ac:dyDescent="0.2">
      <c r="A799" s="370">
        <v>780</v>
      </c>
      <c r="B799" s="380">
        <v>592</v>
      </c>
      <c r="C799" s="371" t="s">
        <v>2269</v>
      </c>
      <c r="D799" s="371" t="s">
        <v>2235</v>
      </c>
      <c r="E799" s="206"/>
      <c r="F799" s="206" t="s">
        <v>171</v>
      </c>
      <c r="G799" s="206" t="s">
        <v>171</v>
      </c>
      <c r="H799" s="371" t="s">
        <v>2271</v>
      </c>
      <c r="I799" s="206" t="s">
        <v>1356</v>
      </c>
      <c r="J799" s="206" t="s">
        <v>1356</v>
      </c>
      <c r="K799" s="371" t="s">
        <v>2271</v>
      </c>
      <c r="L799" s="206" t="s">
        <v>2191</v>
      </c>
      <c r="M799" s="206" t="s">
        <v>1355</v>
      </c>
      <c r="N799" s="206" t="s">
        <v>40</v>
      </c>
      <c r="O799" s="372">
        <v>46083</v>
      </c>
      <c r="P799" s="372">
        <v>46056</v>
      </c>
      <c r="Q799" s="371" t="s">
        <v>2276</v>
      </c>
      <c r="R799" s="373">
        <v>13210</v>
      </c>
      <c r="S799" s="373">
        <v>13210</v>
      </c>
      <c r="T799" s="371" t="s">
        <v>2271</v>
      </c>
      <c r="U799" s="373">
        <v>3610</v>
      </c>
      <c r="V799" s="373">
        <v>3610</v>
      </c>
      <c r="W799" s="371" t="s">
        <v>2271</v>
      </c>
      <c r="X799" s="373">
        <v>9600</v>
      </c>
      <c r="Y799" s="373">
        <v>9600</v>
      </c>
      <c r="Z799" s="371" t="s">
        <v>2271</v>
      </c>
      <c r="AA799" s="373">
        <v>0</v>
      </c>
      <c r="AB799" s="373">
        <v>9540</v>
      </c>
      <c r="AC799" s="373">
        <v>9540</v>
      </c>
      <c r="AD799" s="371" t="s">
        <v>2271</v>
      </c>
      <c r="AE799" s="373">
        <v>0</v>
      </c>
      <c r="AF799" s="382">
        <v>0.35</v>
      </c>
      <c r="AG799" s="382">
        <v>0.35</v>
      </c>
      <c r="AH799" s="371" t="s">
        <v>2271</v>
      </c>
      <c r="AI799" s="382">
        <v>0.37777777777777799</v>
      </c>
      <c r="AJ799" s="382">
        <v>0.37777777777777799</v>
      </c>
      <c r="AK799" s="371" t="s">
        <v>2271</v>
      </c>
      <c r="AL799" s="206" t="s">
        <v>137</v>
      </c>
      <c r="AM799" s="206" t="s">
        <v>137</v>
      </c>
      <c r="AN799" s="371" t="s">
        <v>2271</v>
      </c>
      <c r="AO799" s="206" t="s">
        <v>2966</v>
      </c>
      <c r="AP799" s="206"/>
      <c r="AQ799" s="206" t="s">
        <v>1131</v>
      </c>
      <c r="AR799" s="207" t="s">
        <v>82</v>
      </c>
    </row>
    <row r="800" spans="1:44" x14ac:dyDescent="0.2">
      <c r="A800" s="370">
        <v>781</v>
      </c>
      <c r="B800" s="380">
        <v>593</v>
      </c>
      <c r="C800" s="371" t="s">
        <v>2337</v>
      </c>
      <c r="D800" s="371" t="s">
        <v>2235</v>
      </c>
      <c r="E800" s="206"/>
      <c r="F800" s="206" t="s">
        <v>46</v>
      </c>
      <c r="G800" s="206" t="s">
        <v>46</v>
      </c>
      <c r="H800" s="371" t="s">
        <v>2271</v>
      </c>
      <c r="I800" s="206" t="s">
        <v>2194</v>
      </c>
      <c r="J800" s="206" t="s">
        <v>1455</v>
      </c>
      <c r="K800" s="371" t="s">
        <v>2276</v>
      </c>
      <c r="L800" s="206" t="s">
        <v>2195</v>
      </c>
      <c r="M800" s="206" t="s">
        <v>1359</v>
      </c>
      <c r="N800" s="206" t="s">
        <v>59</v>
      </c>
      <c r="O800" s="372">
        <v>46083</v>
      </c>
      <c r="P800" s="372">
        <v>46056</v>
      </c>
      <c r="Q800" s="371" t="s">
        <v>2276</v>
      </c>
      <c r="R800" s="373">
        <v>26700</v>
      </c>
      <c r="S800" s="373">
        <v>26700</v>
      </c>
      <c r="T800" s="371" t="s">
        <v>2271</v>
      </c>
      <c r="U800" s="373">
        <v>11900</v>
      </c>
      <c r="V800" s="373">
        <v>11900</v>
      </c>
      <c r="W800" s="371" t="s">
        <v>2271</v>
      </c>
      <c r="X800" s="373">
        <v>14800</v>
      </c>
      <c r="Y800" s="373">
        <v>14800</v>
      </c>
      <c r="Z800" s="371" t="s">
        <v>2271</v>
      </c>
      <c r="AA800" s="373">
        <v>0</v>
      </c>
      <c r="AB800" s="373">
        <v>14840</v>
      </c>
      <c r="AC800" s="373">
        <v>14840</v>
      </c>
      <c r="AD800" s="371" t="s">
        <v>2271</v>
      </c>
      <c r="AE800" s="373">
        <v>0</v>
      </c>
      <c r="AF800" s="382">
        <v>0.718055555555556</v>
      </c>
      <c r="AG800" s="382">
        <v>0.718055555555556</v>
      </c>
      <c r="AH800" s="371" t="s">
        <v>2271</v>
      </c>
      <c r="AI800" s="382">
        <v>0.77916666666666701</v>
      </c>
      <c r="AJ800" s="382">
        <v>0.77916666666666701</v>
      </c>
      <c r="AK800" s="371" t="s">
        <v>2271</v>
      </c>
      <c r="AL800" s="206" t="s">
        <v>42</v>
      </c>
      <c r="AM800" s="206" t="s">
        <v>42</v>
      </c>
      <c r="AN800" s="371" t="s">
        <v>2271</v>
      </c>
      <c r="AO800" s="206" t="s">
        <v>2967</v>
      </c>
      <c r="AP800" s="206" t="s">
        <v>1393</v>
      </c>
      <c r="AQ800" s="206" t="s">
        <v>1132</v>
      </c>
      <c r="AR800" s="207" t="s">
        <v>75</v>
      </c>
    </row>
    <row r="801" spans="1:44" x14ac:dyDescent="0.2">
      <c r="A801" s="370">
        <v>782</v>
      </c>
      <c r="B801" s="380">
        <v>594</v>
      </c>
      <c r="C801" s="371" t="s">
        <v>2337</v>
      </c>
      <c r="D801" s="371" t="s">
        <v>2235</v>
      </c>
      <c r="E801" s="206"/>
      <c r="F801" s="206" t="s">
        <v>56</v>
      </c>
      <c r="G801" s="206" t="s">
        <v>56</v>
      </c>
      <c r="H801" s="371" t="s">
        <v>2271</v>
      </c>
      <c r="I801" s="206" t="s">
        <v>2194</v>
      </c>
      <c r="J801" s="206" t="s">
        <v>1455</v>
      </c>
      <c r="K801" s="371" t="s">
        <v>2276</v>
      </c>
      <c r="L801" s="206" t="s">
        <v>2195</v>
      </c>
      <c r="M801" s="206" t="s">
        <v>1359</v>
      </c>
      <c r="N801" s="206" t="s">
        <v>59</v>
      </c>
      <c r="O801" s="372">
        <v>46083</v>
      </c>
      <c r="P801" s="372">
        <v>46056</v>
      </c>
      <c r="Q801" s="371" t="s">
        <v>2276</v>
      </c>
      <c r="R801" s="373">
        <v>24970</v>
      </c>
      <c r="S801" s="373">
        <v>24970</v>
      </c>
      <c r="T801" s="371" t="s">
        <v>2271</v>
      </c>
      <c r="U801" s="373">
        <v>10690</v>
      </c>
      <c r="V801" s="373">
        <v>10690</v>
      </c>
      <c r="W801" s="371" t="s">
        <v>2271</v>
      </c>
      <c r="X801" s="373">
        <v>14280</v>
      </c>
      <c r="Y801" s="373">
        <v>14280</v>
      </c>
      <c r="Z801" s="371" t="s">
        <v>2271</v>
      </c>
      <c r="AA801" s="373">
        <v>0</v>
      </c>
      <c r="AB801" s="373">
        <v>14300</v>
      </c>
      <c r="AC801" s="373">
        <v>14300</v>
      </c>
      <c r="AD801" s="371" t="s">
        <v>2271</v>
      </c>
      <c r="AE801" s="373">
        <v>0</v>
      </c>
      <c r="AF801" s="382">
        <v>0.78680555555555598</v>
      </c>
      <c r="AG801" s="382">
        <v>0.78680555555555598</v>
      </c>
      <c r="AH801" s="371" t="s">
        <v>2271</v>
      </c>
      <c r="AI801" s="382">
        <v>0.82916666666666705</v>
      </c>
      <c r="AJ801" s="382">
        <v>0.82916666666666705</v>
      </c>
      <c r="AK801" s="371" t="s">
        <v>2271</v>
      </c>
      <c r="AL801" s="206" t="s">
        <v>42</v>
      </c>
      <c r="AM801" s="206" t="s">
        <v>42</v>
      </c>
      <c r="AN801" s="371" t="s">
        <v>2271</v>
      </c>
      <c r="AO801" s="206" t="s">
        <v>2968</v>
      </c>
      <c r="AP801" s="206" t="s">
        <v>1781</v>
      </c>
      <c r="AQ801" s="206" t="s">
        <v>1132</v>
      </c>
      <c r="AR801" s="207" t="s">
        <v>75</v>
      </c>
    </row>
    <row r="802" spans="1:44" x14ac:dyDescent="0.2">
      <c r="A802" s="370">
        <v>783</v>
      </c>
      <c r="B802" s="380">
        <v>595</v>
      </c>
      <c r="C802" s="371" t="s">
        <v>2337</v>
      </c>
      <c r="D802" s="371" t="s">
        <v>2235</v>
      </c>
      <c r="E802" s="206"/>
      <c r="F802" s="206" t="s">
        <v>76</v>
      </c>
      <c r="G802" s="206" t="s">
        <v>76</v>
      </c>
      <c r="H802" s="371" t="s">
        <v>2271</v>
      </c>
      <c r="I802" s="206" t="s">
        <v>2194</v>
      </c>
      <c r="J802" s="206" t="s">
        <v>1455</v>
      </c>
      <c r="K802" s="371" t="s">
        <v>2276</v>
      </c>
      <c r="L802" s="206" t="s">
        <v>2195</v>
      </c>
      <c r="M802" s="206" t="s">
        <v>1359</v>
      </c>
      <c r="N802" s="206" t="s">
        <v>59</v>
      </c>
      <c r="O802" s="372">
        <v>46083</v>
      </c>
      <c r="P802" s="372">
        <v>46056</v>
      </c>
      <c r="Q802" s="371" t="s">
        <v>2276</v>
      </c>
      <c r="R802" s="373">
        <v>45910</v>
      </c>
      <c r="S802" s="373">
        <v>45910</v>
      </c>
      <c r="T802" s="371" t="s">
        <v>2271</v>
      </c>
      <c r="U802" s="373">
        <v>17630</v>
      </c>
      <c r="V802" s="373">
        <v>17630</v>
      </c>
      <c r="W802" s="371" t="s">
        <v>2271</v>
      </c>
      <c r="X802" s="373">
        <v>28280</v>
      </c>
      <c r="Y802" s="373">
        <v>28280</v>
      </c>
      <c r="Z802" s="371" t="s">
        <v>2271</v>
      </c>
      <c r="AA802" s="373">
        <v>0</v>
      </c>
      <c r="AB802" s="373">
        <v>28340</v>
      </c>
      <c r="AC802" s="373">
        <v>28340</v>
      </c>
      <c r="AD802" s="371" t="s">
        <v>2271</v>
      </c>
      <c r="AE802" s="373">
        <v>0</v>
      </c>
      <c r="AF802" s="382">
        <v>0.79444444444444395</v>
      </c>
      <c r="AG802" s="382">
        <v>0.79444444444444395</v>
      </c>
      <c r="AH802" s="371" t="s">
        <v>2271</v>
      </c>
      <c r="AI802" s="382">
        <v>0.84097222222222201</v>
      </c>
      <c r="AJ802" s="382">
        <v>0.84097222222222201</v>
      </c>
      <c r="AK802" s="371" t="s">
        <v>2271</v>
      </c>
      <c r="AL802" s="206" t="s">
        <v>42</v>
      </c>
      <c r="AM802" s="206" t="s">
        <v>42</v>
      </c>
      <c r="AN802" s="371" t="s">
        <v>2271</v>
      </c>
      <c r="AO802" s="206" t="s">
        <v>2969</v>
      </c>
      <c r="AP802" s="206" t="s">
        <v>1372</v>
      </c>
      <c r="AQ802" s="206" t="s">
        <v>1133</v>
      </c>
      <c r="AR802" s="207" t="s">
        <v>75</v>
      </c>
    </row>
    <row r="803" spans="1:44" x14ac:dyDescent="0.2">
      <c r="A803" s="370">
        <v>784</v>
      </c>
      <c r="B803" s="380">
        <v>596</v>
      </c>
      <c r="C803" s="371" t="s">
        <v>2337</v>
      </c>
      <c r="D803" s="371" t="s">
        <v>2235</v>
      </c>
      <c r="E803" s="206"/>
      <c r="F803" s="206" t="s">
        <v>70</v>
      </c>
      <c r="G803" s="206" t="s">
        <v>70</v>
      </c>
      <c r="H803" s="371" t="s">
        <v>2271</v>
      </c>
      <c r="I803" s="206" t="s">
        <v>2194</v>
      </c>
      <c r="J803" s="206" t="s">
        <v>1455</v>
      </c>
      <c r="K803" s="371" t="s">
        <v>2276</v>
      </c>
      <c r="L803" s="206" t="s">
        <v>2195</v>
      </c>
      <c r="M803" s="206" t="s">
        <v>1359</v>
      </c>
      <c r="N803" s="206" t="s">
        <v>59</v>
      </c>
      <c r="O803" s="372">
        <v>46083</v>
      </c>
      <c r="P803" s="372">
        <v>46056</v>
      </c>
      <c r="Q803" s="371" t="s">
        <v>2276</v>
      </c>
      <c r="R803" s="373">
        <v>45680</v>
      </c>
      <c r="S803" s="373">
        <v>45680</v>
      </c>
      <c r="T803" s="371" t="s">
        <v>2271</v>
      </c>
      <c r="U803" s="373">
        <v>17380</v>
      </c>
      <c r="V803" s="373">
        <v>17380</v>
      </c>
      <c r="W803" s="371" t="s">
        <v>2271</v>
      </c>
      <c r="X803" s="373">
        <v>28300</v>
      </c>
      <c r="Y803" s="373">
        <v>28300</v>
      </c>
      <c r="Z803" s="371" t="s">
        <v>2271</v>
      </c>
      <c r="AA803" s="373">
        <v>0</v>
      </c>
      <c r="AB803" s="373">
        <v>28360</v>
      </c>
      <c r="AC803" s="373">
        <v>28360</v>
      </c>
      <c r="AD803" s="371" t="s">
        <v>2271</v>
      </c>
      <c r="AE803" s="373">
        <v>0</v>
      </c>
      <c r="AF803" s="382">
        <v>0.81111111111111101</v>
      </c>
      <c r="AG803" s="382">
        <v>0.81111111111111101</v>
      </c>
      <c r="AH803" s="371" t="s">
        <v>2271</v>
      </c>
      <c r="AI803" s="382">
        <v>0.85694444444444395</v>
      </c>
      <c r="AJ803" s="382">
        <v>0.85694444444444395</v>
      </c>
      <c r="AK803" s="371" t="s">
        <v>2271</v>
      </c>
      <c r="AL803" s="206" t="s">
        <v>42</v>
      </c>
      <c r="AM803" s="206" t="s">
        <v>42</v>
      </c>
      <c r="AN803" s="371" t="s">
        <v>2271</v>
      </c>
      <c r="AO803" s="206" t="s">
        <v>2970</v>
      </c>
      <c r="AP803" s="206" t="s">
        <v>1499</v>
      </c>
      <c r="AQ803" s="206" t="s">
        <v>1133</v>
      </c>
      <c r="AR803" s="207" t="s">
        <v>75</v>
      </c>
    </row>
    <row r="804" spans="1:44" x14ac:dyDescent="0.2">
      <c r="A804" s="370">
        <v>785</v>
      </c>
      <c r="B804" s="380">
        <v>597</v>
      </c>
      <c r="C804" s="371" t="s">
        <v>2269</v>
      </c>
      <c r="D804" s="371" t="s">
        <v>2235</v>
      </c>
      <c r="E804" s="206"/>
      <c r="F804" s="206" t="s">
        <v>215</v>
      </c>
      <c r="G804" s="206" t="s">
        <v>215</v>
      </c>
      <c r="H804" s="371" t="s">
        <v>2271</v>
      </c>
      <c r="I804" s="206" t="s">
        <v>1356</v>
      </c>
      <c r="J804" s="206" t="s">
        <v>1356</v>
      </c>
      <c r="K804" s="371" t="s">
        <v>2271</v>
      </c>
      <c r="L804" s="206" t="s">
        <v>2191</v>
      </c>
      <c r="M804" s="206" t="s">
        <v>1355</v>
      </c>
      <c r="N804" s="206" t="s">
        <v>40</v>
      </c>
      <c r="O804" s="372">
        <v>46083</v>
      </c>
      <c r="P804" s="372">
        <v>46056</v>
      </c>
      <c r="Q804" s="371" t="s">
        <v>2276</v>
      </c>
      <c r="R804" s="373">
        <v>12840</v>
      </c>
      <c r="S804" s="373">
        <v>12840</v>
      </c>
      <c r="T804" s="371" t="s">
        <v>2271</v>
      </c>
      <c r="U804" s="373">
        <v>3960</v>
      </c>
      <c r="V804" s="373">
        <v>3960</v>
      </c>
      <c r="W804" s="371" t="s">
        <v>2271</v>
      </c>
      <c r="X804" s="373">
        <v>8880</v>
      </c>
      <c r="Y804" s="373">
        <v>8880</v>
      </c>
      <c r="Z804" s="371" t="s">
        <v>2271</v>
      </c>
      <c r="AA804" s="373">
        <v>0</v>
      </c>
      <c r="AB804" s="373">
        <v>8830</v>
      </c>
      <c r="AC804" s="373">
        <v>8830</v>
      </c>
      <c r="AD804" s="371" t="s">
        <v>2271</v>
      </c>
      <c r="AE804" s="373">
        <v>0</v>
      </c>
      <c r="AF804" s="382">
        <v>0.84930555555555598</v>
      </c>
      <c r="AG804" s="382">
        <v>0.84930555555555598</v>
      </c>
      <c r="AH804" s="371" t="s">
        <v>2271</v>
      </c>
      <c r="AI804" s="382">
        <v>0.88541666666666696</v>
      </c>
      <c r="AJ804" s="382">
        <v>0.88541666666666696</v>
      </c>
      <c r="AK804" s="371" t="s">
        <v>2271</v>
      </c>
      <c r="AL804" s="206" t="s">
        <v>42</v>
      </c>
      <c r="AM804" s="206" t="s">
        <v>42</v>
      </c>
      <c r="AN804" s="371" t="s">
        <v>2271</v>
      </c>
      <c r="AO804" s="206" t="s">
        <v>2971</v>
      </c>
      <c r="AP804" s="206"/>
      <c r="AQ804" s="206" t="s">
        <v>1131</v>
      </c>
      <c r="AR804" s="207" t="s">
        <v>82</v>
      </c>
    </row>
    <row r="805" spans="1:44" x14ac:dyDescent="0.2">
      <c r="A805" s="370">
        <v>786</v>
      </c>
      <c r="B805" s="380">
        <v>598</v>
      </c>
      <c r="C805" s="371" t="s">
        <v>2269</v>
      </c>
      <c r="D805" s="371" t="s">
        <v>2235</v>
      </c>
      <c r="E805" s="206"/>
      <c r="F805" s="206" t="s">
        <v>738</v>
      </c>
      <c r="G805" s="206" t="s">
        <v>738</v>
      </c>
      <c r="H805" s="371" t="s">
        <v>2271</v>
      </c>
      <c r="I805" s="206" t="s">
        <v>1356</v>
      </c>
      <c r="J805" s="206" t="s">
        <v>1356</v>
      </c>
      <c r="K805" s="371" t="s">
        <v>2271</v>
      </c>
      <c r="L805" s="206" t="s">
        <v>2191</v>
      </c>
      <c r="M805" s="206" t="s">
        <v>1355</v>
      </c>
      <c r="N805" s="206" t="s">
        <v>40</v>
      </c>
      <c r="O805" s="372">
        <v>46083</v>
      </c>
      <c r="P805" s="372">
        <v>46056</v>
      </c>
      <c r="Q805" s="371" t="s">
        <v>2276</v>
      </c>
      <c r="R805" s="373">
        <v>12400</v>
      </c>
      <c r="S805" s="373">
        <v>12400</v>
      </c>
      <c r="T805" s="371" t="s">
        <v>2271</v>
      </c>
      <c r="U805" s="373">
        <v>3770</v>
      </c>
      <c r="V805" s="373">
        <v>3770</v>
      </c>
      <c r="W805" s="371" t="s">
        <v>2271</v>
      </c>
      <c r="X805" s="373">
        <v>8630</v>
      </c>
      <c r="Y805" s="373">
        <v>8630</v>
      </c>
      <c r="Z805" s="371" t="s">
        <v>2271</v>
      </c>
      <c r="AA805" s="373">
        <v>0</v>
      </c>
      <c r="AB805" s="373">
        <v>8540</v>
      </c>
      <c r="AC805" s="373">
        <v>8540</v>
      </c>
      <c r="AD805" s="371" t="s">
        <v>2271</v>
      </c>
      <c r="AE805" s="373">
        <v>0</v>
      </c>
      <c r="AF805" s="382">
        <v>0.85277777777777797</v>
      </c>
      <c r="AG805" s="382">
        <v>0.85277777777777797</v>
      </c>
      <c r="AH805" s="371" t="s">
        <v>2271</v>
      </c>
      <c r="AI805" s="382">
        <v>0.88888888888888895</v>
      </c>
      <c r="AJ805" s="382">
        <v>0.88888888888888895</v>
      </c>
      <c r="AK805" s="371" t="s">
        <v>2271</v>
      </c>
      <c r="AL805" s="206" t="s">
        <v>42</v>
      </c>
      <c r="AM805" s="206" t="s">
        <v>42</v>
      </c>
      <c r="AN805" s="371" t="s">
        <v>2271</v>
      </c>
      <c r="AO805" s="206" t="s">
        <v>2972</v>
      </c>
      <c r="AP805" s="206"/>
      <c r="AQ805" s="206" t="s">
        <v>1131</v>
      </c>
      <c r="AR805" s="207" t="s">
        <v>82</v>
      </c>
    </row>
    <row r="806" spans="1:44" x14ac:dyDescent="0.2">
      <c r="A806" s="370">
        <v>787</v>
      </c>
      <c r="B806" s="380">
        <v>599</v>
      </c>
      <c r="C806" s="371" t="s">
        <v>2269</v>
      </c>
      <c r="D806" s="371" t="s">
        <v>2235</v>
      </c>
      <c r="E806" s="206"/>
      <c r="F806" s="206" t="s">
        <v>156</v>
      </c>
      <c r="G806" s="206" t="s">
        <v>156</v>
      </c>
      <c r="H806" s="371" t="s">
        <v>2271</v>
      </c>
      <c r="I806" s="206" t="s">
        <v>1356</v>
      </c>
      <c r="J806" s="206" t="s">
        <v>1356</v>
      </c>
      <c r="K806" s="371" t="s">
        <v>2271</v>
      </c>
      <c r="L806" s="206" t="s">
        <v>2191</v>
      </c>
      <c r="M806" s="206" t="s">
        <v>1355</v>
      </c>
      <c r="N806" s="206" t="s">
        <v>40</v>
      </c>
      <c r="O806" s="372">
        <v>46083</v>
      </c>
      <c r="P806" s="372">
        <v>46056</v>
      </c>
      <c r="Q806" s="371" t="s">
        <v>2276</v>
      </c>
      <c r="R806" s="373">
        <v>14130</v>
      </c>
      <c r="S806" s="373">
        <v>14130</v>
      </c>
      <c r="T806" s="371" t="s">
        <v>2271</v>
      </c>
      <c r="U806" s="373">
        <v>4120</v>
      </c>
      <c r="V806" s="373">
        <v>4120</v>
      </c>
      <c r="W806" s="371" t="s">
        <v>2271</v>
      </c>
      <c r="X806" s="373">
        <v>10010</v>
      </c>
      <c r="Y806" s="373">
        <v>10010</v>
      </c>
      <c r="Z806" s="371" t="s">
        <v>2271</v>
      </c>
      <c r="AA806" s="373">
        <v>0</v>
      </c>
      <c r="AB806" s="373">
        <v>9980</v>
      </c>
      <c r="AC806" s="373">
        <v>9980</v>
      </c>
      <c r="AD806" s="371" t="s">
        <v>2271</v>
      </c>
      <c r="AE806" s="373">
        <v>0</v>
      </c>
      <c r="AF806" s="382">
        <v>0.85416666666666696</v>
      </c>
      <c r="AG806" s="382">
        <v>0.85416666666666696</v>
      </c>
      <c r="AH806" s="371" t="s">
        <v>2271</v>
      </c>
      <c r="AI806" s="382">
        <v>0.88055555555555598</v>
      </c>
      <c r="AJ806" s="382">
        <v>0.88055555555555598</v>
      </c>
      <c r="AK806" s="371" t="s">
        <v>2271</v>
      </c>
      <c r="AL806" s="206" t="s">
        <v>42</v>
      </c>
      <c r="AM806" s="206" t="s">
        <v>42</v>
      </c>
      <c r="AN806" s="371" t="s">
        <v>2271</v>
      </c>
      <c r="AO806" s="206" t="s">
        <v>2973</v>
      </c>
      <c r="AP806" s="206"/>
      <c r="AQ806" s="206" t="s">
        <v>1131</v>
      </c>
      <c r="AR806" s="207" t="s">
        <v>82</v>
      </c>
    </row>
    <row r="807" spans="1:44" x14ac:dyDescent="0.2">
      <c r="A807" s="370">
        <v>788</v>
      </c>
      <c r="B807" s="380">
        <v>600</v>
      </c>
      <c r="C807" s="371" t="s">
        <v>2269</v>
      </c>
      <c r="D807" s="371" t="s">
        <v>2235</v>
      </c>
      <c r="E807" s="206"/>
      <c r="F807" s="206" t="s">
        <v>39</v>
      </c>
      <c r="G807" s="206" t="s">
        <v>39</v>
      </c>
      <c r="H807" s="371" t="s">
        <v>2271</v>
      </c>
      <c r="I807" s="206" t="s">
        <v>1356</v>
      </c>
      <c r="J807" s="206" t="s">
        <v>1356</v>
      </c>
      <c r="K807" s="371" t="s">
        <v>2271</v>
      </c>
      <c r="L807" s="206" t="s">
        <v>2191</v>
      </c>
      <c r="M807" s="206" t="s">
        <v>1355</v>
      </c>
      <c r="N807" s="206" t="s">
        <v>40</v>
      </c>
      <c r="O807" s="372">
        <v>46083</v>
      </c>
      <c r="P807" s="372">
        <v>46056</v>
      </c>
      <c r="Q807" s="371" t="s">
        <v>2276</v>
      </c>
      <c r="R807" s="373">
        <v>13730</v>
      </c>
      <c r="S807" s="373">
        <v>13730</v>
      </c>
      <c r="T807" s="371" t="s">
        <v>2271</v>
      </c>
      <c r="U807" s="373">
        <v>4090</v>
      </c>
      <c r="V807" s="373">
        <v>4090</v>
      </c>
      <c r="W807" s="371" t="s">
        <v>2271</v>
      </c>
      <c r="X807" s="373">
        <v>9640</v>
      </c>
      <c r="Y807" s="373">
        <v>9640</v>
      </c>
      <c r="Z807" s="371" t="s">
        <v>2271</v>
      </c>
      <c r="AA807" s="373">
        <v>0</v>
      </c>
      <c r="AB807" s="373">
        <v>9620</v>
      </c>
      <c r="AC807" s="373">
        <v>9620</v>
      </c>
      <c r="AD807" s="371" t="s">
        <v>2271</v>
      </c>
      <c r="AE807" s="373">
        <v>0</v>
      </c>
      <c r="AF807" s="382">
        <v>0.93194444444444402</v>
      </c>
      <c r="AG807" s="382">
        <v>0.93194444444444502</v>
      </c>
      <c r="AH807" s="371" t="s">
        <v>2276</v>
      </c>
      <c r="AI807" s="382">
        <v>0.96458333333333302</v>
      </c>
      <c r="AJ807" s="382">
        <v>0.96458333333333302</v>
      </c>
      <c r="AK807" s="371" t="s">
        <v>2271</v>
      </c>
      <c r="AL807" s="206" t="s">
        <v>42</v>
      </c>
      <c r="AM807" s="206" t="s">
        <v>42</v>
      </c>
      <c r="AN807" s="371" t="s">
        <v>2271</v>
      </c>
      <c r="AO807" s="206" t="s">
        <v>2974</v>
      </c>
      <c r="AP807" s="206"/>
      <c r="AQ807" s="206" t="s">
        <v>1131</v>
      </c>
      <c r="AR807" s="207" t="s">
        <v>82</v>
      </c>
    </row>
    <row r="808" spans="1:44" x14ac:dyDescent="0.2">
      <c r="A808" s="370">
        <v>789</v>
      </c>
      <c r="B808" s="380">
        <v>601</v>
      </c>
      <c r="C808" s="371" t="s">
        <v>2269</v>
      </c>
      <c r="D808" s="371" t="s">
        <v>2235</v>
      </c>
      <c r="E808" s="206"/>
      <c r="F808" s="206" t="s">
        <v>158</v>
      </c>
      <c r="G808" s="206" t="s">
        <v>158</v>
      </c>
      <c r="H808" s="371" t="s">
        <v>2271</v>
      </c>
      <c r="I808" s="206" t="s">
        <v>1356</v>
      </c>
      <c r="J808" s="206" t="s">
        <v>1356</v>
      </c>
      <c r="K808" s="371" t="s">
        <v>2271</v>
      </c>
      <c r="L808" s="206" t="s">
        <v>2191</v>
      </c>
      <c r="M808" s="206" t="s">
        <v>1355</v>
      </c>
      <c r="N808" s="206" t="s">
        <v>40</v>
      </c>
      <c r="O808" s="372">
        <v>46083</v>
      </c>
      <c r="P808" s="372">
        <v>46056</v>
      </c>
      <c r="Q808" s="371" t="s">
        <v>2276</v>
      </c>
      <c r="R808" s="373">
        <v>13970</v>
      </c>
      <c r="S808" s="373">
        <v>13970</v>
      </c>
      <c r="T808" s="371" t="s">
        <v>2271</v>
      </c>
      <c r="U808" s="373">
        <v>3870</v>
      </c>
      <c r="V808" s="373">
        <v>3870</v>
      </c>
      <c r="W808" s="371" t="s">
        <v>2271</v>
      </c>
      <c r="X808" s="373">
        <v>10100</v>
      </c>
      <c r="Y808" s="373">
        <v>10100</v>
      </c>
      <c r="Z808" s="371" t="s">
        <v>2271</v>
      </c>
      <c r="AA808" s="373">
        <v>0</v>
      </c>
      <c r="AB808" s="373">
        <v>10030</v>
      </c>
      <c r="AC808" s="373">
        <v>10030</v>
      </c>
      <c r="AD808" s="371" t="s">
        <v>2271</v>
      </c>
      <c r="AE808" s="373">
        <v>0</v>
      </c>
      <c r="AF808" s="382">
        <v>0.93263888888888902</v>
      </c>
      <c r="AG808" s="382">
        <v>0.93263888888888902</v>
      </c>
      <c r="AH808" s="371" t="s">
        <v>2271</v>
      </c>
      <c r="AI808" s="382">
        <v>0.96111111111111103</v>
      </c>
      <c r="AJ808" s="382">
        <v>0.96111111111111103</v>
      </c>
      <c r="AK808" s="371" t="s">
        <v>2271</v>
      </c>
      <c r="AL808" s="206" t="s">
        <v>42</v>
      </c>
      <c r="AM808" s="206" t="s">
        <v>42</v>
      </c>
      <c r="AN808" s="371" t="s">
        <v>2271</v>
      </c>
      <c r="AO808" s="206" t="s">
        <v>2975</v>
      </c>
      <c r="AP808" s="206"/>
      <c r="AQ808" s="206" t="s">
        <v>1131</v>
      </c>
      <c r="AR808" s="207" t="s">
        <v>82</v>
      </c>
    </row>
    <row r="809" spans="1:44" x14ac:dyDescent="0.2">
      <c r="A809" s="370">
        <v>790</v>
      </c>
      <c r="B809" s="380">
        <v>602</v>
      </c>
      <c r="C809" s="371" t="s">
        <v>2269</v>
      </c>
      <c r="D809" s="371" t="s">
        <v>2235</v>
      </c>
      <c r="E809" s="206"/>
      <c r="F809" s="206" t="s">
        <v>186</v>
      </c>
      <c r="G809" s="206" t="s">
        <v>186</v>
      </c>
      <c r="H809" s="371" t="s">
        <v>2271</v>
      </c>
      <c r="I809" s="206" t="s">
        <v>1356</v>
      </c>
      <c r="J809" s="206" t="s">
        <v>1356</v>
      </c>
      <c r="K809" s="371" t="s">
        <v>2271</v>
      </c>
      <c r="L809" s="206" t="s">
        <v>2191</v>
      </c>
      <c r="M809" s="206" t="s">
        <v>1355</v>
      </c>
      <c r="N809" s="206" t="s">
        <v>40</v>
      </c>
      <c r="O809" s="372">
        <v>46083</v>
      </c>
      <c r="P809" s="372">
        <v>46056</v>
      </c>
      <c r="Q809" s="371" t="s">
        <v>2276</v>
      </c>
      <c r="R809" s="373">
        <v>13490</v>
      </c>
      <c r="S809" s="373">
        <v>13490</v>
      </c>
      <c r="T809" s="371" t="s">
        <v>2271</v>
      </c>
      <c r="U809" s="373">
        <v>3940</v>
      </c>
      <c r="V809" s="373">
        <v>3940</v>
      </c>
      <c r="W809" s="371" t="s">
        <v>2271</v>
      </c>
      <c r="X809" s="373">
        <v>9550</v>
      </c>
      <c r="Y809" s="373">
        <v>9550</v>
      </c>
      <c r="Z809" s="371" t="s">
        <v>2271</v>
      </c>
      <c r="AA809" s="373">
        <v>0</v>
      </c>
      <c r="AB809" s="373">
        <v>9520</v>
      </c>
      <c r="AC809" s="373">
        <v>9520</v>
      </c>
      <c r="AD809" s="371" t="s">
        <v>2271</v>
      </c>
      <c r="AE809" s="373">
        <v>0</v>
      </c>
      <c r="AF809" s="382">
        <v>0.93402777777777801</v>
      </c>
      <c r="AG809" s="382">
        <v>0.93402777777777801</v>
      </c>
      <c r="AH809" s="371" t="s">
        <v>2271</v>
      </c>
      <c r="AI809" s="382">
        <v>0.96666666666666701</v>
      </c>
      <c r="AJ809" s="382">
        <v>0.96666666666666701</v>
      </c>
      <c r="AK809" s="371" t="s">
        <v>2271</v>
      </c>
      <c r="AL809" s="206" t="s">
        <v>42</v>
      </c>
      <c r="AM809" s="206" t="s">
        <v>42</v>
      </c>
      <c r="AN809" s="371" t="s">
        <v>2271</v>
      </c>
      <c r="AO809" s="206" t="s">
        <v>2976</v>
      </c>
      <c r="AP809" s="206"/>
      <c r="AQ809" s="206" t="s">
        <v>1131</v>
      </c>
      <c r="AR809" s="207" t="s">
        <v>82</v>
      </c>
    </row>
    <row r="810" spans="1:44" x14ac:dyDescent="0.2">
      <c r="A810" s="370">
        <v>791</v>
      </c>
      <c r="B810" s="380">
        <v>603</v>
      </c>
      <c r="C810" s="371" t="s">
        <v>2269</v>
      </c>
      <c r="D810" s="371" t="s">
        <v>2235</v>
      </c>
      <c r="E810" s="206"/>
      <c r="F810" s="206" t="s">
        <v>763</v>
      </c>
      <c r="G810" s="206" t="s">
        <v>763</v>
      </c>
      <c r="H810" s="371" t="s">
        <v>2271</v>
      </c>
      <c r="I810" s="206" t="s">
        <v>1356</v>
      </c>
      <c r="J810" s="206" t="s">
        <v>1356</v>
      </c>
      <c r="K810" s="371" t="s">
        <v>2271</v>
      </c>
      <c r="L810" s="206" t="s">
        <v>2191</v>
      </c>
      <c r="M810" s="206" t="s">
        <v>1355</v>
      </c>
      <c r="N810" s="206" t="s">
        <v>40</v>
      </c>
      <c r="O810" s="372">
        <v>46083</v>
      </c>
      <c r="P810" s="372">
        <v>46056</v>
      </c>
      <c r="Q810" s="371" t="s">
        <v>2276</v>
      </c>
      <c r="R810" s="373">
        <v>13570</v>
      </c>
      <c r="S810" s="373">
        <v>13570</v>
      </c>
      <c r="T810" s="371" t="s">
        <v>2271</v>
      </c>
      <c r="U810" s="373">
        <v>4140</v>
      </c>
      <c r="V810" s="373">
        <v>4140</v>
      </c>
      <c r="W810" s="371" t="s">
        <v>2271</v>
      </c>
      <c r="X810" s="373">
        <v>9430</v>
      </c>
      <c r="Y810" s="373">
        <v>9430</v>
      </c>
      <c r="Z810" s="371" t="s">
        <v>2271</v>
      </c>
      <c r="AA810" s="373">
        <v>0</v>
      </c>
      <c r="AB810" s="373">
        <v>9380</v>
      </c>
      <c r="AC810" s="373">
        <v>9380</v>
      </c>
      <c r="AD810" s="371" t="s">
        <v>2271</v>
      </c>
      <c r="AE810" s="373">
        <v>0</v>
      </c>
      <c r="AF810" s="382">
        <v>0.94722222222222197</v>
      </c>
      <c r="AG810" s="382">
        <v>0.94722222222222197</v>
      </c>
      <c r="AH810" s="371" t="s">
        <v>2271</v>
      </c>
      <c r="AI810" s="382">
        <v>0.97361111111111098</v>
      </c>
      <c r="AJ810" s="382">
        <v>0.97361111111111098</v>
      </c>
      <c r="AK810" s="371" t="s">
        <v>2271</v>
      </c>
      <c r="AL810" s="206" t="s">
        <v>42</v>
      </c>
      <c r="AM810" s="206" t="s">
        <v>42</v>
      </c>
      <c r="AN810" s="371" t="s">
        <v>2271</v>
      </c>
      <c r="AO810" s="206" t="s">
        <v>2977</v>
      </c>
      <c r="AP810" s="206"/>
      <c r="AQ810" s="206" t="s">
        <v>1131</v>
      </c>
      <c r="AR810" s="207" t="s">
        <v>82</v>
      </c>
    </row>
    <row r="811" spans="1:44" x14ac:dyDescent="0.2">
      <c r="A811" s="370">
        <v>792</v>
      </c>
      <c r="B811" s="380">
        <v>604</v>
      </c>
      <c r="C811" s="371" t="s">
        <v>2269</v>
      </c>
      <c r="D811" s="371" t="s">
        <v>2235</v>
      </c>
      <c r="E811" s="206"/>
      <c r="F811" s="206" t="s">
        <v>765</v>
      </c>
      <c r="G811" s="206" t="s">
        <v>765</v>
      </c>
      <c r="H811" s="371" t="s">
        <v>2271</v>
      </c>
      <c r="I811" s="206" t="s">
        <v>1356</v>
      </c>
      <c r="J811" s="206" t="s">
        <v>1356</v>
      </c>
      <c r="K811" s="371" t="s">
        <v>2271</v>
      </c>
      <c r="L811" s="206" t="s">
        <v>2191</v>
      </c>
      <c r="M811" s="206" t="s">
        <v>1355</v>
      </c>
      <c r="N811" s="206" t="s">
        <v>40</v>
      </c>
      <c r="O811" s="372">
        <v>46083</v>
      </c>
      <c r="P811" s="372">
        <v>46056</v>
      </c>
      <c r="Q811" s="371" t="s">
        <v>2276</v>
      </c>
      <c r="R811" s="373">
        <v>13660</v>
      </c>
      <c r="S811" s="373">
        <v>13660</v>
      </c>
      <c r="T811" s="371" t="s">
        <v>2271</v>
      </c>
      <c r="U811" s="373">
        <v>4000</v>
      </c>
      <c r="V811" s="373">
        <v>4000</v>
      </c>
      <c r="W811" s="371" t="s">
        <v>2271</v>
      </c>
      <c r="X811" s="373">
        <v>9660</v>
      </c>
      <c r="Y811" s="373">
        <v>9660</v>
      </c>
      <c r="Z811" s="371" t="s">
        <v>2271</v>
      </c>
      <c r="AA811" s="373">
        <v>0</v>
      </c>
      <c r="AB811" s="373">
        <v>9620</v>
      </c>
      <c r="AC811" s="373">
        <v>9620</v>
      </c>
      <c r="AD811" s="371" t="s">
        <v>2271</v>
      </c>
      <c r="AE811" s="373">
        <v>0</v>
      </c>
      <c r="AF811" s="382">
        <v>0.95208333333333295</v>
      </c>
      <c r="AG811" s="382">
        <v>0.95208333333333295</v>
      </c>
      <c r="AH811" s="371" t="s">
        <v>2271</v>
      </c>
      <c r="AI811" s="382">
        <v>0.97777777777777797</v>
      </c>
      <c r="AJ811" s="382">
        <v>0.97777777777777797</v>
      </c>
      <c r="AK811" s="371" t="s">
        <v>2271</v>
      </c>
      <c r="AL811" s="206" t="s">
        <v>42</v>
      </c>
      <c r="AM811" s="206" t="s">
        <v>42</v>
      </c>
      <c r="AN811" s="371" t="s">
        <v>2271</v>
      </c>
      <c r="AO811" s="206" t="s">
        <v>2978</v>
      </c>
      <c r="AP811" s="206"/>
      <c r="AQ811" s="206" t="s">
        <v>1131</v>
      </c>
      <c r="AR811" s="207" t="s">
        <v>82</v>
      </c>
    </row>
    <row r="812" spans="1:44" x14ac:dyDescent="0.2">
      <c r="A812" s="370">
        <v>793</v>
      </c>
      <c r="B812" s="380">
        <v>605</v>
      </c>
      <c r="C812" s="371" t="s">
        <v>2269</v>
      </c>
      <c r="D812" s="371" t="s">
        <v>2235</v>
      </c>
      <c r="E812" s="206"/>
      <c r="F812" s="206" t="s">
        <v>73</v>
      </c>
      <c r="G812" s="206" t="s">
        <v>73</v>
      </c>
      <c r="H812" s="371" t="s">
        <v>2271</v>
      </c>
      <c r="I812" s="206" t="s">
        <v>1356</v>
      </c>
      <c r="J812" s="206" t="s">
        <v>1356</v>
      </c>
      <c r="K812" s="371" t="s">
        <v>2271</v>
      </c>
      <c r="L812" s="206" t="s">
        <v>2191</v>
      </c>
      <c r="M812" s="206" t="s">
        <v>1355</v>
      </c>
      <c r="N812" s="206" t="s">
        <v>40</v>
      </c>
      <c r="O812" s="372">
        <v>46114</v>
      </c>
      <c r="P812" s="372">
        <v>46057</v>
      </c>
      <c r="Q812" s="371" t="s">
        <v>2276</v>
      </c>
      <c r="R812" s="373">
        <v>13470</v>
      </c>
      <c r="S812" s="373">
        <v>13470</v>
      </c>
      <c r="T812" s="371" t="s">
        <v>2271</v>
      </c>
      <c r="U812" s="373">
        <v>4020</v>
      </c>
      <c r="V812" s="373">
        <v>4020</v>
      </c>
      <c r="W812" s="371" t="s">
        <v>2271</v>
      </c>
      <c r="X812" s="373">
        <v>9450</v>
      </c>
      <c r="Y812" s="373">
        <v>9450</v>
      </c>
      <c r="Z812" s="371" t="s">
        <v>2271</v>
      </c>
      <c r="AA812" s="373">
        <v>0</v>
      </c>
      <c r="AB812" s="373">
        <v>9420</v>
      </c>
      <c r="AC812" s="373">
        <v>9420</v>
      </c>
      <c r="AD812" s="371" t="s">
        <v>2271</v>
      </c>
      <c r="AE812" s="373">
        <v>0</v>
      </c>
      <c r="AF812" s="382">
        <v>0.34236111111111101</v>
      </c>
      <c r="AG812" s="382">
        <v>0.34236111111111101</v>
      </c>
      <c r="AH812" s="371" t="s">
        <v>2271</v>
      </c>
      <c r="AI812" s="382">
        <v>0.38333333333333303</v>
      </c>
      <c r="AJ812" s="382">
        <v>0.38333333333333303</v>
      </c>
      <c r="AK812" s="371" t="s">
        <v>2271</v>
      </c>
      <c r="AL812" s="206" t="s">
        <v>137</v>
      </c>
      <c r="AM812" s="206" t="s">
        <v>137</v>
      </c>
      <c r="AN812" s="371" t="s">
        <v>2271</v>
      </c>
      <c r="AO812" s="206" t="s">
        <v>2979</v>
      </c>
      <c r="AP812" s="206"/>
      <c r="AQ812" s="206" t="s">
        <v>1131</v>
      </c>
      <c r="AR812" s="207" t="s">
        <v>82</v>
      </c>
    </row>
    <row r="813" spans="1:44" x14ac:dyDescent="0.2">
      <c r="A813" s="370">
        <v>794</v>
      </c>
      <c r="B813" s="380">
        <v>606</v>
      </c>
      <c r="C813" s="371" t="s">
        <v>2269</v>
      </c>
      <c r="D813" s="371" t="s">
        <v>2235</v>
      </c>
      <c r="E813" s="206"/>
      <c r="F813" s="206" t="s">
        <v>184</v>
      </c>
      <c r="G813" s="206" t="s">
        <v>184</v>
      </c>
      <c r="H813" s="371" t="s">
        <v>2271</v>
      </c>
      <c r="I813" s="206" t="s">
        <v>1356</v>
      </c>
      <c r="J813" s="206" t="s">
        <v>1356</v>
      </c>
      <c r="K813" s="371" t="s">
        <v>2271</v>
      </c>
      <c r="L813" s="206" t="s">
        <v>2191</v>
      </c>
      <c r="M813" s="206" t="s">
        <v>1355</v>
      </c>
      <c r="N813" s="206" t="s">
        <v>40</v>
      </c>
      <c r="O813" s="372">
        <v>46114</v>
      </c>
      <c r="P813" s="372">
        <v>46057</v>
      </c>
      <c r="Q813" s="371" t="s">
        <v>2276</v>
      </c>
      <c r="R813" s="373">
        <v>13830</v>
      </c>
      <c r="S813" s="373">
        <v>13830</v>
      </c>
      <c r="T813" s="371" t="s">
        <v>2271</v>
      </c>
      <c r="U813" s="373">
        <v>3920</v>
      </c>
      <c r="V813" s="373">
        <v>3920</v>
      </c>
      <c r="W813" s="371" t="s">
        <v>2271</v>
      </c>
      <c r="X813" s="373">
        <v>9910</v>
      </c>
      <c r="Y813" s="373">
        <v>9910</v>
      </c>
      <c r="Z813" s="371" t="s">
        <v>2271</v>
      </c>
      <c r="AA813" s="373">
        <v>0</v>
      </c>
      <c r="AB813" s="373">
        <v>9880</v>
      </c>
      <c r="AC813" s="373">
        <v>9880</v>
      </c>
      <c r="AD813" s="371" t="s">
        <v>2271</v>
      </c>
      <c r="AE813" s="373">
        <v>0</v>
      </c>
      <c r="AF813" s="382">
        <v>0.34375</v>
      </c>
      <c r="AG813" s="382">
        <v>0.34375</v>
      </c>
      <c r="AH813" s="371" t="s">
        <v>2271</v>
      </c>
      <c r="AI813" s="382">
        <v>0.38194444444444398</v>
      </c>
      <c r="AJ813" s="382">
        <v>0.38194444444444398</v>
      </c>
      <c r="AK813" s="371" t="s">
        <v>2271</v>
      </c>
      <c r="AL813" s="206" t="s">
        <v>137</v>
      </c>
      <c r="AM813" s="206" t="s">
        <v>137</v>
      </c>
      <c r="AN813" s="371" t="s">
        <v>2271</v>
      </c>
      <c r="AO813" s="206" t="s">
        <v>2980</v>
      </c>
      <c r="AP813" s="206"/>
      <c r="AQ813" s="206" t="s">
        <v>1131</v>
      </c>
      <c r="AR813" s="207" t="s">
        <v>82</v>
      </c>
    </row>
    <row r="814" spans="1:44" x14ac:dyDescent="0.2">
      <c r="A814" s="370">
        <v>795</v>
      </c>
      <c r="B814" s="380">
        <v>607</v>
      </c>
      <c r="C814" s="371" t="s">
        <v>2269</v>
      </c>
      <c r="D814" s="371" t="s">
        <v>2235</v>
      </c>
      <c r="E814" s="206"/>
      <c r="F814" s="206" t="s">
        <v>211</v>
      </c>
      <c r="G814" s="206" t="s">
        <v>211</v>
      </c>
      <c r="H814" s="371" t="s">
        <v>2271</v>
      </c>
      <c r="I814" s="206" t="s">
        <v>1356</v>
      </c>
      <c r="J814" s="206" t="s">
        <v>1356</v>
      </c>
      <c r="K814" s="371" t="s">
        <v>2271</v>
      </c>
      <c r="L814" s="206" t="s">
        <v>2191</v>
      </c>
      <c r="M814" s="206" t="s">
        <v>1355</v>
      </c>
      <c r="N814" s="206" t="s">
        <v>40</v>
      </c>
      <c r="O814" s="372">
        <v>46114</v>
      </c>
      <c r="P814" s="372">
        <v>46057</v>
      </c>
      <c r="Q814" s="371" t="s">
        <v>2276</v>
      </c>
      <c r="R814" s="373">
        <v>13070</v>
      </c>
      <c r="S814" s="373">
        <v>13070</v>
      </c>
      <c r="T814" s="371" t="s">
        <v>2271</v>
      </c>
      <c r="U814" s="373">
        <v>4000</v>
      </c>
      <c r="V814" s="373">
        <v>4000</v>
      </c>
      <c r="W814" s="371" t="s">
        <v>2271</v>
      </c>
      <c r="X814" s="373">
        <v>9070</v>
      </c>
      <c r="Y814" s="373">
        <v>9070</v>
      </c>
      <c r="Z814" s="371" t="s">
        <v>2271</v>
      </c>
      <c r="AA814" s="373">
        <v>0</v>
      </c>
      <c r="AB814" s="373">
        <v>9040</v>
      </c>
      <c r="AC814" s="373">
        <v>9040</v>
      </c>
      <c r="AD814" s="371" t="s">
        <v>2271</v>
      </c>
      <c r="AE814" s="373">
        <v>0</v>
      </c>
      <c r="AF814" s="382">
        <v>0.34513888888888899</v>
      </c>
      <c r="AG814" s="382">
        <v>0.34513888888888899</v>
      </c>
      <c r="AH814" s="371" t="s">
        <v>2271</v>
      </c>
      <c r="AI814" s="382">
        <v>0.375694444444444</v>
      </c>
      <c r="AJ814" s="382">
        <v>0.375694444444444</v>
      </c>
      <c r="AK814" s="371" t="s">
        <v>2271</v>
      </c>
      <c r="AL814" s="206" t="s">
        <v>137</v>
      </c>
      <c r="AM814" s="206" t="s">
        <v>137</v>
      </c>
      <c r="AN814" s="371" t="s">
        <v>2271</v>
      </c>
      <c r="AO814" s="206" t="s">
        <v>2981</v>
      </c>
      <c r="AP814" s="206"/>
      <c r="AQ814" s="206" t="s">
        <v>1131</v>
      </c>
      <c r="AR814" s="207" t="s">
        <v>82</v>
      </c>
    </row>
    <row r="815" spans="1:44" x14ac:dyDescent="0.2">
      <c r="A815" s="370">
        <v>796</v>
      </c>
      <c r="B815" s="380">
        <v>608</v>
      </c>
      <c r="C815" s="371" t="s">
        <v>2269</v>
      </c>
      <c r="D815" s="371" t="s">
        <v>2235</v>
      </c>
      <c r="E815" s="206"/>
      <c r="F815" s="206" t="s">
        <v>149</v>
      </c>
      <c r="G815" s="206" t="s">
        <v>149</v>
      </c>
      <c r="H815" s="371" t="s">
        <v>2271</v>
      </c>
      <c r="I815" s="206" t="s">
        <v>1356</v>
      </c>
      <c r="J815" s="206" t="s">
        <v>1356</v>
      </c>
      <c r="K815" s="371" t="s">
        <v>2271</v>
      </c>
      <c r="L815" s="206" t="s">
        <v>2191</v>
      </c>
      <c r="M815" s="206" t="s">
        <v>1355</v>
      </c>
      <c r="N815" s="206" t="s">
        <v>40</v>
      </c>
      <c r="O815" s="372">
        <v>46114</v>
      </c>
      <c r="P815" s="372">
        <v>46057</v>
      </c>
      <c r="Q815" s="371" t="s">
        <v>2276</v>
      </c>
      <c r="R815" s="373">
        <v>13940</v>
      </c>
      <c r="S815" s="373">
        <v>13940</v>
      </c>
      <c r="T815" s="371" t="s">
        <v>2271</v>
      </c>
      <c r="U815" s="373">
        <v>4070</v>
      </c>
      <c r="V815" s="373">
        <v>4070</v>
      </c>
      <c r="W815" s="371" t="s">
        <v>2271</v>
      </c>
      <c r="X815" s="373">
        <v>9870</v>
      </c>
      <c r="Y815" s="373">
        <v>9870</v>
      </c>
      <c r="Z815" s="371" t="s">
        <v>2271</v>
      </c>
      <c r="AA815" s="373">
        <v>0</v>
      </c>
      <c r="AB815" s="373">
        <v>9860</v>
      </c>
      <c r="AC815" s="373">
        <v>9860</v>
      </c>
      <c r="AD815" s="371" t="s">
        <v>2271</v>
      </c>
      <c r="AE815" s="373">
        <v>0</v>
      </c>
      <c r="AF815" s="382">
        <v>0.34722222222222199</v>
      </c>
      <c r="AG815" s="382">
        <v>0.34722222222222199</v>
      </c>
      <c r="AH815" s="371" t="s">
        <v>2271</v>
      </c>
      <c r="AI815" s="382">
        <v>0.37708333333333299</v>
      </c>
      <c r="AJ815" s="382">
        <v>0.37708333333333299</v>
      </c>
      <c r="AK815" s="371" t="s">
        <v>2271</v>
      </c>
      <c r="AL815" s="206" t="s">
        <v>137</v>
      </c>
      <c r="AM815" s="206" t="s">
        <v>137</v>
      </c>
      <c r="AN815" s="371" t="s">
        <v>2271</v>
      </c>
      <c r="AO815" s="206" t="s">
        <v>2982</v>
      </c>
      <c r="AP815" s="206"/>
      <c r="AQ815" s="206" t="s">
        <v>1131</v>
      </c>
      <c r="AR815" s="207" t="s">
        <v>82</v>
      </c>
    </row>
    <row r="816" spans="1:44" x14ac:dyDescent="0.2">
      <c r="A816" s="370">
        <v>797</v>
      </c>
      <c r="B816" s="380">
        <v>609</v>
      </c>
      <c r="C816" s="371" t="s">
        <v>2269</v>
      </c>
      <c r="D816" s="371" t="s">
        <v>2235</v>
      </c>
      <c r="E816" s="206"/>
      <c r="F816" s="206" t="s">
        <v>569</v>
      </c>
      <c r="G816" s="206" t="s">
        <v>569</v>
      </c>
      <c r="H816" s="371" t="s">
        <v>2271</v>
      </c>
      <c r="I816" s="206" t="s">
        <v>1356</v>
      </c>
      <c r="J816" s="206" t="s">
        <v>1356</v>
      </c>
      <c r="K816" s="371" t="s">
        <v>2271</v>
      </c>
      <c r="L816" s="206" t="s">
        <v>2191</v>
      </c>
      <c r="M816" s="206" t="s">
        <v>1355</v>
      </c>
      <c r="N816" s="206" t="s">
        <v>40</v>
      </c>
      <c r="O816" s="372">
        <v>46114</v>
      </c>
      <c r="P816" s="372">
        <v>46057</v>
      </c>
      <c r="Q816" s="371" t="s">
        <v>2276</v>
      </c>
      <c r="R816" s="373">
        <v>13570</v>
      </c>
      <c r="S816" s="373">
        <v>13570</v>
      </c>
      <c r="T816" s="371" t="s">
        <v>2271</v>
      </c>
      <c r="U816" s="373">
        <v>3930</v>
      </c>
      <c r="V816" s="373">
        <v>3930</v>
      </c>
      <c r="W816" s="371" t="s">
        <v>2271</v>
      </c>
      <c r="X816" s="373">
        <v>9640</v>
      </c>
      <c r="Y816" s="373">
        <v>9640</v>
      </c>
      <c r="Z816" s="371" t="s">
        <v>2271</v>
      </c>
      <c r="AA816" s="373">
        <v>0</v>
      </c>
      <c r="AB816" s="373">
        <v>9660</v>
      </c>
      <c r="AC816" s="373">
        <v>9660</v>
      </c>
      <c r="AD816" s="371" t="s">
        <v>2271</v>
      </c>
      <c r="AE816" s="373">
        <v>0</v>
      </c>
      <c r="AF816" s="382">
        <v>0.37986111111111098</v>
      </c>
      <c r="AG816" s="382">
        <v>0.37986111111111098</v>
      </c>
      <c r="AH816" s="371" t="s">
        <v>2271</v>
      </c>
      <c r="AI816" s="382">
        <v>0.41736111111111102</v>
      </c>
      <c r="AJ816" s="382">
        <v>0.41736111111111102</v>
      </c>
      <c r="AK816" s="371" t="s">
        <v>2271</v>
      </c>
      <c r="AL816" s="206" t="s">
        <v>137</v>
      </c>
      <c r="AM816" s="206" t="s">
        <v>137</v>
      </c>
      <c r="AN816" s="371" t="s">
        <v>2271</v>
      </c>
      <c r="AO816" s="206" t="s">
        <v>2983</v>
      </c>
      <c r="AP816" s="206"/>
      <c r="AQ816" s="206" t="s">
        <v>1131</v>
      </c>
      <c r="AR816" s="207" t="s">
        <v>82</v>
      </c>
    </row>
    <row r="817" spans="1:44" x14ac:dyDescent="0.2">
      <c r="A817" s="370">
        <v>798</v>
      </c>
      <c r="B817" s="380">
        <v>610</v>
      </c>
      <c r="C817" s="371" t="s">
        <v>2269</v>
      </c>
      <c r="D817" s="371" t="s">
        <v>2235</v>
      </c>
      <c r="E817" s="206"/>
      <c r="F817" s="206" t="s">
        <v>153</v>
      </c>
      <c r="G817" s="206" t="s">
        <v>153</v>
      </c>
      <c r="H817" s="371" t="s">
        <v>2271</v>
      </c>
      <c r="I817" s="206" t="s">
        <v>1356</v>
      </c>
      <c r="J817" s="206" t="s">
        <v>1356</v>
      </c>
      <c r="K817" s="371" t="s">
        <v>2271</v>
      </c>
      <c r="L817" s="206" t="s">
        <v>2191</v>
      </c>
      <c r="M817" s="206" t="s">
        <v>1355</v>
      </c>
      <c r="N817" s="206" t="s">
        <v>40</v>
      </c>
      <c r="O817" s="372">
        <v>46114</v>
      </c>
      <c r="P817" s="372">
        <v>46057</v>
      </c>
      <c r="Q817" s="371" t="s">
        <v>2276</v>
      </c>
      <c r="R817" s="373">
        <v>13580</v>
      </c>
      <c r="S817" s="373">
        <v>13580</v>
      </c>
      <c r="T817" s="371" t="s">
        <v>2271</v>
      </c>
      <c r="U817" s="373">
        <v>3980</v>
      </c>
      <c r="V817" s="373">
        <v>3980</v>
      </c>
      <c r="W817" s="371" t="s">
        <v>2271</v>
      </c>
      <c r="X817" s="373">
        <v>9600</v>
      </c>
      <c r="Y817" s="373">
        <v>9600</v>
      </c>
      <c r="Z817" s="371" t="s">
        <v>2271</v>
      </c>
      <c r="AA817" s="373">
        <v>0</v>
      </c>
      <c r="AB817" s="373">
        <v>9600</v>
      </c>
      <c r="AC817" s="373">
        <v>9600</v>
      </c>
      <c r="AD817" s="371" t="s">
        <v>2271</v>
      </c>
      <c r="AE817" s="373">
        <v>0</v>
      </c>
      <c r="AF817" s="382">
        <v>0.38055555555555598</v>
      </c>
      <c r="AG817" s="382">
        <v>0.38055555555555598</v>
      </c>
      <c r="AH817" s="371" t="s">
        <v>2271</v>
      </c>
      <c r="AI817" s="382">
        <v>0.41875000000000001</v>
      </c>
      <c r="AJ817" s="382">
        <v>0.41875000000000001</v>
      </c>
      <c r="AK817" s="371" t="s">
        <v>2271</v>
      </c>
      <c r="AL817" s="206" t="s">
        <v>137</v>
      </c>
      <c r="AM817" s="206" t="s">
        <v>137</v>
      </c>
      <c r="AN817" s="371" t="s">
        <v>2271</v>
      </c>
      <c r="AO817" s="206" t="s">
        <v>2984</v>
      </c>
      <c r="AP817" s="206"/>
      <c r="AQ817" s="206" t="s">
        <v>1131</v>
      </c>
      <c r="AR817" s="207" t="s">
        <v>82</v>
      </c>
    </row>
    <row r="818" spans="1:44" x14ac:dyDescent="0.2">
      <c r="A818" s="370">
        <v>799</v>
      </c>
      <c r="B818" s="380">
        <v>611</v>
      </c>
      <c r="C818" s="371" t="s">
        <v>2337</v>
      </c>
      <c r="D818" s="371" t="s">
        <v>2235</v>
      </c>
      <c r="E818" s="206"/>
      <c r="F818" s="206" t="s">
        <v>46</v>
      </c>
      <c r="G818" s="206" t="s">
        <v>46</v>
      </c>
      <c r="H818" s="371" t="s">
        <v>2271</v>
      </c>
      <c r="I818" s="206" t="s">
        <v>2194</v>
      </c>
      <c r="J818" s="206" t="s">
        <v>1455</v>
      </c>
      <c r="K818" s="371" t="s">
        <v>2276</v>
      </c>
      <c r="L818" s="206" t="s">
        <v>2195</v>
      </c>
      <c r="M818" s="206" t="s">
        <v>1359</v>
      </c>
      <c r="N818" s="206" t="s">
        <v>59</v>
      </c>
      <c r="O818" s="372">
        <v>46114</v>
      </c>
      <c r="P818" s="372">
        <v>46057</v>
      </c>
      <c r="Q818" s="371" t="s">
        <v>2276</v>
      </c>
      <c r="R818" s="373">
        <v>26710</v>
      </c>
      <c r="S818" s="373">
        <v>26710</v>
      </c>
      <c r="T818" s="371" t="s">
        <v>2271</v>
      </c>
      <c r="U818" s="373">
        <v>11900</v>
      </c>
      <c r="V818" s="373">
        <v>11900</v>
      </c>
      <c r="W818" s="371" t="s">
        <v>2271</v>
      </c>
      <c r="X818" s="373">
        <v>14810</v>
      </c>
      <c r="Y818" s="373">
        <v>14810</v>
      </c>
      <c r="Z818" s="371" t="s">
        <v>2271</v>
      </c>
      <c r="AA818" s="373">
        <v>0</v>
      </c>
      <c r="AB818" s="373">
        <v>14840</v>
      </c>
      <c r="AC818" s="373">
        <v>14840</v>
      </c>
      <c r="AD818" s="371" t="s">
        <v>2271</v>
      </c>
      <c r="AE818" s="373">
        <v>0</v>
      </c>
      <c r="AF818" s="382">
        <v>0.38888888888888901</v>
      </c>
      <c r="AG818" s="382">
        <v>0.38888888888888901</v>
      </c>
      <c r="AH818" s="371" t="s">
        <v>2271</v>
      </c>
      <c r="AI818" s="382">
        <v>0.45624999999999999</v>
      </c>
      <c r="AJ818" s="382">
        <v>0.45624999999999999</v>
      </c>
      <c r="AK818" s="371" t="s">
        <v>2271</v>
      </c>
      <c r="AL818" s="206" t="s">
        <v>137</v>
      </c>
      <c r="AM818" s="206" t="s">
        <v>137</v>
      </c>
      <c r="AN818" s="371" t="s">
        <v>2271</v>
      </c>
      <c r="AO818" s="206" t="s">
        <v>2985</v>
      </c>
      <c r="AP818" s="206" t="s">
        <v>1393</v>
      </c>
      <c r="AQ818" s="206" t="s">
        <v>1132</v>
      </c>
      <c r="AR818" s="207" t="s">
        <v>75</v>
      </c>
    </row>
    <row r="819" spans="1:44" x14ac:dyDescent="0.2">
      <c r="A819" s="370">
        <v>800</v>
      </c>
      <c r="B819" s="380">
        <v>612</v>
      </c>
      <c r="C819" s="371" t="s">
        <v>2337</v>
      </c>
      <c r="D819" s="371" t="s">
        <v>2235</v>
      </c>
      <c r="E819" s="206"/>
      <c r="F819" s="206" t="s">
        <v>56</v>
      </c>
      <c r="G819" s="206" t="s">
        <v>56</v>
      </c>
      <c r="H819" s="371" t="s">
        <v>2271</v>
      </c>
      <c r="I819" s="206" t="s">
        <v>2194</v>
      </c>
      <c r="J819" s="206" t="s">
        <v>1455</v>
      </c>
      <c r="K819" s="371" t="s">
        <v>2276</v>
      </c>
      <c r="L819" s="206" t="s">
        <v>2195</v>
      </c>
      <c r="M819" s="206" t="s">
        <v>1359</v>
      </c>
      <c r="N819" s="206" t="s">
        <v>59</v>
      </c>
      <c r="O819" s="372">
        <v>46114</v>
      </c>
      <c r="P819" s="372">
        <v>46057</v>
      </c>
      <c r="Q819" s="371" t="s">
        <v>2276</v>
      </c>
      <c r="R819" s="373">
        <v>24970</v>
      </c>
      <c r="S819" s="373">
        <v>24970</v>
      </c>
      <c r="T819" s="371" t="s">
        <v>2271</v>
      </c>
      <c r="U819" s="373">
        <v>10670</v>
      </c>
      <c r="V819" s="373">
        <v>10670</v>
      </c>
      <c r="W819" s="371" t="s">
        <v>2271</v>
      </c>
      <c r="X819" s="373">
        <v>14300</v>
      </c>
      <c r="Y819" s="373">
        <v>14300</v>
      </c>
      <c r="Z819" s="371" t="s">
        <v>2271</v>
      </c>
      <c r="AA819" s="373">
        <v>0</v>
      </c>
      <c r="AB819" s="373">
        <v>14320</v>
      </c>
      <c r="AC819" s="373">
        <v>14320</v>
      </c>
      <c r="AD819" s="371" t="s">
        <v>2271</v>
      </c>
      <c r="AE819" s="373">
        <v>0</v>
      </c>
      <c r="AF819" s="382">
        <v>0.389583333333333</v>
      </c>
      <c r="AG819" s="382">
        <v>0.389583333333333</v>
      </c>
      <c r="AH819" s="371" t="s">
        <v>2271</v>
      </c>
      <c r="AI819" s="382">
        <v>0.44444444444444398</v>
      </c>
      <c r="AJ819" s="382">
        <v>0.44444444444444398</v>
      </c>
      <c r="AK819" s="371" t="s">
        <v>2271</v>
      </c>
      <c r="AL819" s="206" t="s">
        <v>137</v>
      </c>
      <c r="AM819" s="206" t="s">
        <v>137</v>
      </c>
      <c r="AN819" s="371" t="s">
        <v>2271</v>
      </c>
      <c r="AO819" s="206" t="s">
        <v>2986</v>
      </c>
      <c r="AP819" s="206" t="s">
        <v>1781</v>
      </c>
      <c r="AQ819" s="206" t="s">
        <v>1132</v>
      </c>
      <c r="AR819" s="207" t="s">
        <v>75</v>
      </c>
    </row>
    <row r="820" spans="1:44" x14ac:dyDescent="0.2">
      <c r="A820" s="370">
        <v>801</v>
      </c>
      <c r="B820" s="380">
        <v>613</v>
      </c>
      <c r="C820" s="371" t="s">
        <v>2337</v>
      </c>
      <c r="D820" s="371" t="s">
        <v>2235</v>
      </c>
      <c r="E820" s="206"/>
      <c r="F820" s="206" t="s">
        <v>76</v>
      </c>
      <c r="G820" s="206" t="s">
        <v>76</v>
      </c>
      <c r="H820" s="371" t="s">
        <v>2271</v>
      </c>
      <c r="I820" s="206" t="s">
        <v>2194</v>
      </c>
      <c r="J820" s="206" t="s">
        <v>1455</v>
      </c>
      <c r="K820" s="371" t="s">
        <v>2276</v>
      </c>
      <c r="L820" s="206" t="s">
        <v>2195</v>
      </c>
      <c r="M820" s="206" t="s">
        <v>1359</v>
      </c>
      <c r="N820" s="206" t="s">
        <v>59</v>
      </c>
      <c r="O820" s="372">
        <v>46114</v>
      </c>
      <c r="P820" s="372">
        <v>46057</v>
      </c>
      <c r="Q820" s="371" t="s">
        <v>2276</v>
      </c>
      <c r="R820" s="373">
        <v>45900</v>
      </c>
      <c r="S820" s="373">
        <v>45900</v>
      </c>
      <c r="T820" s="371" t="s">
        <v>2271</v>
      </c>
      <c r="U820" s="373">
        <v>17610</v>
      </c>
      <c r="V820" s="373">
        <v>17610</v>
      </c>
      <c r="W820" s="371" t="s">
        <v>2271</v>
      </c>
      <c r="X820" s="373">
        <v>28290</v>
      </c>
      <c r="Y820" s="373">
        <v>28290</v>
      </c>
      <c r="Z820" s="371" t="s">
        <v>2271</v>
      </c>
      <c r="AA820" s="373">
        <v>0</v>
      </c>
      <c r="AB820" s="373">
        <v>28380</v>
      </c>
      <c r="AC820" s="373">
        <v>28380</v>
      </c>
      <c r="AD820" s="371" t="s">
        <v>2271</v>
      </c>
      <c r="AE820" s="373">
        <v>0</v>
      </c>
      <c r="AF820" s="382">
        <v>0.405555555555556</v>
      </c>
      <c r="AG820" s="382">
        <v>0.405555555555556</v>
      </c>
      <c r="AH820" s="371" t="s">
        <v>2271</v>
      </c>
      <c r="AI820" s="382">
        <v>0.46597222222222201</v>
      </c>
      <c r="AJ820" s="382">
        <v>0.46597222222222201</v>
      </c>
      <c r="AK820" s="371" t="s">
        <v>2271</v>
      </c>
      <c r="AL820" s="206" t="s">
        <v>137</v>
      </c>
      <c r="AM820" s="206" t="s">
        <v>137</v>
      </c>
      <c r="AN820" s="371" t="s">
        <v>2271</v>
      </c>
      <c r="AO820" s="206" t="s">
        <v>2987</v>
      </c>
      <c r="AP820" s="206" t="s">
        <v>1372</v>
      </c>
      <c r="AQ820" s="206" t="s">
        <v>1133</v>
      </c>
      <c r="AR820" s="207" t="s">
        <v>75</v>
      </c>
    </row>
    <row r="821" spans="1:44" x14ac:dyDescent="0.2">
      <c r="A821" s="370">
        <v>802</v>
      </c>
      <c r="B821" s="380">
        <v>614</v>
      </c>
      <c r="C821" s="371" t="s">
        <v>2337</v>
      </c>
      <c r="D821" s="371" t="s">
        <v>2235</v>
      </c>
      <c r="E821" s="206"/>
      <c r="F821" s="206" t="s">
        <v>70</v>
      </c>
      <c r="G821" s="206" t="s">
        <v>70</v>
      </c>
      <c r="H821" s="371" t="s">
        <v>2271</v>
      </c>
      <c r="I821" s="206" t="s">
        <v>2194</v>
      </c>
      <c r="J821" s="206" t="s">
        <v>1455</v>
      </c>
      <c r="K821" s="371" t="s">
        <v>2276</v>
      </c>
      <c r="L821" s="206" t="s">
        <v>2195</v>
      </c>
      <c r="M821" s="206" t="s">
        <v>1359</v>
      </c>
      <c r="N821" s="206" t="s">
        <v>59</v>
      </c>
      <c r="O821" s="372">
        <v>46114</v>
      </c>
      <c r="P821" s="372">
        <v>46057</v>
      </c>
      <c r="Q821" s="371" t="s">
        <v>2276</v>
      </c>
      <c r="R821" s="373">
        <v>45910</v>
      </c>
      <c r="S821" s="373">
        <v>45910</v>
      </c>
      <c r="T821" s="371" t="s">
        <v>2271</v>
      </c>
      <c r="U821" s="373">
        <v>17650</v>
      </c>
      <c r="V821" s="373">
        <v>17650</v>
      </c>
      <c r="W821" s="371" t="s">
        <v>2271</v>
      </c>
      <c r="X821" s="373">
        <v>28260</v>
      </c>
      <c r="Y821" s="373">
        <v>28260</v>
      </c>
      <c r="Z821" s="371" t="s">
        <v>2271</v>
      </c>
      <c r="AA821" s="373">
        <v>0</v>
      </c>
      <c r="AB821" s="373">
        <v>28380</v>
      </c>
      <c r="AC821" s="373">
        <v>28380</v>
      </c>
      <c r="AD821" s="371" t="s">
        <v>2271</v>
      </c>
      <c r="AE821" s="373">
        <v>0</v>
      </c>
      <c r="AF821" s="382">
        <v>0.42013888888888901</v>
      </c>
      <c r="AG821" s="382">
        <v>0.42013888888888901</v>
      </c>
      <c r="AH821" s="371" t="s">
        <v>2271</v>
      </c>
      <c r="AI821" s="382">
        <v>0.48263888888888901</v>
      </c>
      <c r="AJ821" s="382">
        <v>0.48263888888888901</v>
      </c>
      <c r="AK821" s="371" t="s">
        <v>2271</v>
      </c>
      <c r="AL821" s="206" t="s">
        <v>137</v>
      </c>
      <c r="AM821" s="206" t="s">
        <v>137</v>
      </c>
      <c r="AN821" s="371" t="s">
        <v>2271</v>
      </c>
      <c r="AO821" s="206" t="s">
        <v>2988</v>
      </c>
      <c r="AP821" s="206" t="s">
        <v>1499</v>
      </c>
      <c r="AQ821" s="206" t="s">
        <v>1133</v>
      </c>
      <c r="AR821" s="207" t="s">
        <v>75</v>
      </c>
    </row>
    <row r="822" spans="1:44" x14ac:dyDescent="0.2">
      <c r="A822" s="370">
        <v>803</v>
      </c>
      <c r="B822" s="380">
        <v>616</v>
      </c>
      <c r="C822" s="371" t="s">
        <v>2337</v>
      </c>
      <c r="D822" s="371" t="s">
        <v>2235</v>
      </c>
      <c r="E822" s="206"/>
      <c r="F822" s="206" t="s">
        <v>76</v>
      </c>
      <c r="G822" s="206" t="s">
        <v>76</v>
      </c>
      <c r="H822" s="371" t="s">
        <v>2271</v>
      </c>
      <c r="I822" s="206" t="s">
        <v>2194</v>
      </c>
      <c r="J822" s="206" t="s">
        <v>1455</v>
      </c>
      <c r="K822" s="371" t="s">
        <v>2276</v>
      </c>
      <c r="L822" s="206" t="s">
        <v>2195</v>
      </c>
      <c r="M822" s="206" t="s">
        <v>1359</v>
      </c>
      <c r="N822" s="206" t="s">
        <v>59</v>
      </c>
      <c r="O822" s="372">
        <v>46114</v>
      </c>
      <c r="P822" s="372">
        <v>46057</v>
      </c>
      <c r="Q822" s="371" t="s">
        <v>2276</v>
      </c>
      <c r="R822" s="373">
        <v>45860</v>
      </c>
      <c r="S822" s="373">
        <v>45860</v>
      </c>
      <c r="T822" s="371" t="s">
        <v>2271</v>
      </c>
      <c r="U822" s="373">
        <v>17550</v>
      </c>
      <c r="V822" s="373">
        <v>17550</v>
      </c>
      <c r="W822" s="371" t="s">
        <v>2271</v>
      </c>
      <c r="X822" s="373">
        <v>28310</v>
      </c>
      <c r="Y822" s="373">
        <v>28310</v>
      </c>
      <c r="Z822" s="371" t="s">
        <v>2271</v>
      </c>
      <c r="AA822" s="373">
        <v>0</v>
      </c>
      <c r="AB822" s="373">
        <v>28360</v>
      </c>
      <c r="AC822" s="373">
        <v>28360</v>
      </c>
      <c r="AD822" s="371" t="s">
        <v>2271</v>
      </c>
      <c r="AE822" s="373">
        <v>0</v>
      </c>
      <c r="AF822" s="382">
        <v>0.66805555555555596</v>
      </c>
      <c r="AG822" s="382">
        <v>0.66805555555555596</v>
      </c>
      <c r="AH822" s="371" t="s">
        <v>2271</v>
      </c>
      <c r="AI822" s="382">
        <v>0.72847222222222197</v>
      </c>
      <c r="AJ822" s="382">
        <v>0.72847222222222197</v>
      </c>
      <c r="AK822" s="371" t="s">
        <v>2271</v>
      </c>
      <c r="AL822" s="206" t="s">
        <v>42</v>
      </c>
      <c r="AM822" s="206" t="s">
        <v>42</v>
      </c>
      <c r="AN822" s="371" t="s">
        <v>2271</v>
      </c>
      <c r="AO822" s="206" t="s">
        <v>2989</v>
      </c>
      <c r="AP822" s="206" t="s">
        <v>1372</v>
      </c>
      <c r="AQ822" s="206" t="s">
        <v>1133</v>
      </c>
      <c r="AR822" s="207" t="s">
        <v>75</v>
      </c>
    </row>
    <row r="823" spans="1:44" x14ac:dyDescent="0.2">
      <c r="A823" s="370">
        <v>804</v>
      </c>
      <c r="B823" s="380">
        <v>617</v>
      </c>
      <c r="C823" s="371" t="s">
        <v>2337</v>
      </c>
      <c r="D823" s="371" t="s">
        <v>2235</v>
      </c>
      <c r="E823" s="206"/>
      <c r="F823" s="206" t="s">
        <v>46</v>
      </c>
      <c r="G823" s="206" t="s">
        <v>46</v>
      </c>
      <c r="H823" s="371" t="s">
        <v>2271</v>
      </c>
      <c r="I823" s="206" t="s">
        <v>2194</v>
      </c>
      <c r="J823" s="206" t="s">
        <v>1455</v>
      </c>
      <c r="K823" s="371" t="s">
        <v>2276</v>
      </c>
      <c r="L823" s="206" t="s">
        <v>2195</v>
      </c>
      <c r="M823" s="206" t="s">
        <v>1359</v>
      </c>
      <c r="N823" s="206" t="s">
        <v>59</v>
      </c>
      <c r="O823" s="372">
        <v>46114</v>
      </c>
      <c r="P823" s="372">
        <v>46057</v>
      </c>
      <c r="Q823" s="371" t="s">
        <v>2276</v>
      </c>
      <c r="R823" s="373">
        <v>26650</v>
      </c>
      <c r="S823" s="373">
        <v>26650</v>
      </c>
      <c r="T823" s="371" t="s">
        <v>2271</v>
      </c>
      <c r="U823" s="373">
        <v>11840</v>
      </c>
      <c r="V823" s="373">
        <v>11840</v>
      </c>
      <c r="W823" s="371" t="s">
        <v>2271</v>
      </c>
      <c r="X823" s="373">
        <v>14810</v>
      </c>
      <c r="Y823" s="373">
        <v>14810</v>
      </c>
      <c r="Z823" s="371" t="s">
        <v>2271</v>
      </c>
      <c r="AA823" s="373">
        <v>0</v>
      </c>
      <c r="AB823" s="373">
        <v>14800</v>
      </c>
      <c r="AC823" s="373">
        <v>14800</v>
      </c>
      <c r="AD823" s="371" t="s">
        <v>2271</v>
      </c>
      <c r="AE823" s="373">
        <v>0</v>
      </c>
      <c r="AF823" s="382">
        <v>0.67986111111111103</v>
      </c>
      <c r="AG823" s="382">
        <v>0.67986111111111103</v>
      </c>
      <c r="AH823" s="371" t="s">
        <v>2271</v>
      </c>
      <c r="AI823" s="382">
        <v>0.75416666666666698</v>
      </c>
      <c r="AJ823" s="382">
        <v>0.75416666666666698</v>
      </c>
      <c r="AK823" s="371" t="s">
        <v>2271</v>
      </c>
      <c r="AL823" s="206" t="s">
        <v>42</v>
      </c>
      <c r="AM823" s="206" t="s">
        <v>42</v>
      </c>
      <c r="AN823" s="371" t="s">
        <v>2271</v>
      </c>
      <c r="AO823" s="206" t="s">
        <v>2990</v>
      </c>
      <c r="AP823" s="206" t="s">
        <v>1393</v>
      </c>
      <c r="AQ823" s="206" t="s">
        <v>1132</v>
      </c>
      <c r="AR823" s="207" t="s">
        <v>75</v>
      </c>
    </row>
    <row r="824" spans="1:44" x14ac:dyDescent="0.2">
      <c r="A824" s="370">
        <v>805</v>
      </c>
      <c r="B824" s="380">
        <v>618</v>
      </c>
      <c r="C824" s="371" t="s">
        <v>2337</v>
      </c>
      <c r="D824" s="371" t="s">
        <v>2235</v>
      </c>
      <c r="E824" s="206"/>
      <c r="F824" s="206" t="s">
        <v>70</v>
      </c>
      <c r="G824" s="206" t="s">
        <v>70</v>
      </c>
      <c r="H824" s="371" t="s">
        <v>2271</v>
      </c>
      <c r="I824" s="206" t="s">
        <v>2194</v>
      </c>
      <c r="J824" s="206" t="s">
        <v>1455</v>
      </c>
      <c r="K824" s="371" t="s">
        <v>2276</v>
      </c>
      <c r="L824" s="206" t="s">
        <v>2195</v>
      </c>
      <c r="M824" s="206" t="s">
        <v>1359</v>
      </c>
      <c r="N824" s="206" t="s">
        <v>59</v>
      </c>
      <c r="O824" s="372">
        <v>46114</v>
      </c>
      <c r="P824" s="372">
        <v>46057</v>
      </c>
      <c r="Q824" s="371" t="s">
        <v>2276</v>
      </c>
      <c r="R824" s="373">
        <v>45860</v>
      </c>
      <c r="S824" s="373">
        <v>45860</v>
      </c>
      <c r="T824" s="371" t="s">
        <v>2271</v>
      </c>
      <c r="U824" s="373">
        <v>17570</v>
      </c>
      <c r="V824" s="373">
        <v>17570</v>
      </c>
      <c r="W824" s="371" t="s">
        <v>2271</v>
      </c>
      <c r="X824" s="373">
        <v>28290</v>
      </c>
      <c r="Y824" s="373">
        <v>28290</v>
      </c>
      <c r="Z824" s="371" t="s">
        <v>2271</v>
      </c>
      <c r="AA824" s="373">
        <v>0</v>
      </c>
      <c r="AB824" s="373">
        <v>28320</v>
      </c>
      <c r="AC824" s="373">
        <v>28320</v>
      </c>
      <c r="AD824" s="371" t="s">
        <v>2271</v>
      </c>
      <c r="AE824" s="373">
        <v>0</v>
      </c>
      <c r="AF824" s="382">
        <v>0.68125000000000002</v>
      </c>
      <c r="AG824" s="382">
        <v>0.68125000000000002</v>
      </c>
      <c r="AH824" s="371" t="s">
        <v>2271</v>
      </c>
      <c r="AI824" s="382">
        <v>0.74027777777777803</v>
      </c>
      <c r="AJ824" s="382">
        <v>0.74027777777777803</v>
      </c>
      <c r="AK824" s="371" t="s">
        <v>2271</v>
      </c>
      <c r="AL824" s="206" t="s">
        <v>42</v>
      </c>
      <c r="AM824" s="206" t="s">
        <v>42</v>
      </c>
      <c r="AN824" s="371" t="s">
        <v>2271</v>
      </c>
      <c r="AO824" s="206" t="s">
        <v>2991</v>
      </c>
      <c r="AP824" s="206" t="s">
        <v>1499</v>
      </c>
      <c r="AQ824" s="206" t="s">
        <v>1133</v>
      </c>
      <c r="AR824" s="207" t="s">
        <v>75</v>
      </c>
    </row>
    <row r="825" spans="1:44" x14ac:dyDescent="0.2">
      <c r="A825" s="370">
        <v>806</v>
      </c>
      <c r="B825" s="380">
        <v>619</v>
      </c>
      <c r="C825" s="371" t="s">
        <v>2337</v>
      </c>
      <c r="D825" s="371" t="s">
        <v>2235</v>
      </c>
      <c r="E825" s="206"/>
      <c r="F825" s="206" t="s">
        <v>56</v>
      </c>
      <c r="G825" s="206" t="s">
        <v>56</v>
      </c>
      <c r="H825" s="371" t="s">
        <v>2271</v>
      </c>
      <c r="I825" s="206" t="s">
        <v>2194</v>
      </c>
      <c r="J825" s="206" t="s">
        <v>1455</v>
      </c>
      <c r="K825" s="371" t="s">
        <v>2276</v>
      </c>
      <c r="L825" s="206" t="s">
        <v>2195</v>
      </c>
      <c r="M825" s="206" t="s">
        <v>1359</v>
      </c>
      <c r="N825" s="206" t="s">
        <v>59</v>
      </c>
      <c r="O825" s="372">
        <v>46114</v>
      </c>
      <c r="P825" s="372">
        <v>46057</v>
      </c>
      <c r="Q825" s="371" t="s">
        <v>2276</v>
      </c>
      <c r="R825" s="373">
        <v>25040</v>
      </c>
      <c r="S825" s="373">
        <v>25040</v>
      </c>
      <c r="T825" s="371" t="s">
        <v>2271</v>
      </c>
      <c r="U825" s="373">
        <v>10760</v>
      </c>
      <c r="V825" s="373">
        <v>10760</v>
      </c>
      <c r="W825" s="371" t="s">
        <v>2271</v>
      </c>
      <c r="X825" s="373">
        <v>14280</v>
      </c>
      <c r="Y825" s="373">
        <v>14280</v>
      </c>
      <c r="Z825" s="371" t="s">
        <v>2271</v>
      </c>
      <c r="AA825" s="373">
        <v>0</v>
      </c>
      <c r="AB825" s="373">
        <v>14300</v>
      </c>
      <c r="AC825" s="373">
        <v>14300</v>
      </c>
      <c r="AD825" s="371" t="s">
        <v>2271</v>
      </c>
      <c r="AE825" s="373">
        <v>0</v>
      </c>
      <c r="AF825" s="382">
        <v>0.68541666666666701</v>
      </c>
      <c r="AG825" s="382">
        <v>0.68541666666666701</v>
      </c>
      <c r="AH825" s="371" t="s">
        <v>2271</v>
      </c>
      <c r="AI825" s="382">
        <v>0.75555555555555598</v>
      </c>
      <c r="AJ825" s="382">
        <v>0.75555555555555598</v>
      </c>
      <c r="AK825" s="371" t="s">
        <v>2271</v>
      </c>
      <c r="AL825" s="206" t="s">
        <v>42</v>
      </c>
      <c r="AM825" s="206" t="s">
        <v>42</v>
      </c>
      <c r="AN825" s="371" t="s">
        <v>2271</v>
      </c>
      <c r="AO825" s="206" t="s">
        <v>2992</v>
      </c>
      <c r="AP825" s="206" t="s">
        <v>1781</v>
      </c>
      <c r="AQ825" s="206" t="s">
        <v>1132</v>
      </c>
      <c r="AR825" s="207" t="s">
        <v>75</v>
      </c>
    </row>
    <row r="826" spans="1:44" x14ac:dyDescent="0.2">
      <c r="A826" s="370">
        <v>807</v>
      </c>
      <c r="B826" s="380">
        <v>620</v>
      </c>
      <c r="C826" s="371" t="s">
        <v>2269</v>
      </c>
      <c r="D826" s="371" t="s">
        <v>2235</v>
      </c>
      <c r="E826" s="206"/>
      <c r="F826" s="206" t="s">
        <v>183</v>
      </c>
      <c r="G826" s="206" t="s">
        <v>183</v>
      </c>
      <c r="H826" s="371" t="s">
        <v>2271</v>
      </c>
      <c r="I826" s="206" t="s">
        <v>1356</v>
      </c>
      <c r="J826" s="206" t="s">
        <v>1356</v>
      </c>
      <c r="K826" s="371" t="s">
        <v>2271</v>
      </c>
      <c r="L826" s="206" t="s">
        <v>2191</v>
      </c>
      <c r="M826" s="206" t="s">
        <v>1355</v>
      </c>
      <c r="N826" s="206" t="s">
        <v>40</v>
      </c>
      <c r="O826" s="372">
        <v>46114</v>
      </c>
      <c r="P826" s="372">
        <v>46057</v>
      </c>
      <c r="Q826" s="371" t="s">
        <v>2276</v>
      </c>
      <c r="R826" s="373">
        <v>14170</v>
      </c>
      <c r="S826" s="373">
        <v>14170</v>
      </c>
      <c r="T826" s="371" t="s">
        <v>2271</v>
      </c>
      <c r="U826" s="373">
        <v>4200</v>
      </c>
      <c r="V826" s="373">
        <v>4200</v>
      </c>
      <c r="W826" s="371" t="s">
        <v>2271</v>
      </c>
      <c r="X826" s="373">
        <v>9970</v>
      </c>
      <c r="Y826" s="373">
        <v>9970</v>
      </c>
      <c r="Z826" s="371" t="s">
        <v>2271</v>
      </c>
      <c r="AA826" s="373">
        <v>0</v>
      </c>
      <c r="AB826" s="373">
        <v>9580</v>
      </c>
      <c r="AC826" s="373">
        <v>9580</v>
      </c>
      <c r="AD826" s="371" t="s">
        <v>2271</v>
      </c>
      <c r="AE826" s="373">
        <v>0</v>
      </c>
      <c r="AF826" s="382">
        <v>0.90902777777777799</v>
      </c>
      <c r="AG826" s="382">
        <v>0.90902777777777799</v>
      </c>
      <c r="AH826" s="371" t="s">
        <v>2271</v>
      </c>
      <c r="AI826" s="382">
        <v>0.94027777777777799</v>
      </c>
      <c r="AJ826" s="382">
        <v>0.94027777777777799</v>
      </c>
      <c r="AK826" s="371" t="s">
        <v>2271</v>
      </c>
      <c r="AL826" s="206" t="s">
        <v>42</v>
      </c>
      <c r="AM826" s="206" t="s">
        <v>42</v>
      </c>
      <c r="AN826" s="371" t="s">
        <v>2271</v>
      </c>
      <c r="AO826" s="206" t="s">
        <v>2993</v>
      </c>
      <c r="AP826" s="206"/>
      <c r="AQ826" s="206" t="s">
        <v>1131</v>
      </c>
      <c r="AR826" s="207" t="s">
        <v>82</v>
      </c>
    </row>
    <row r="827" spans="1:44" x14ac:dyDescent="0.2">
      <c r="A827" s="370">
        <v>808</v>
      </c>
      <c r="B827" s="380">
        <v>621</v>
      </c>
      <c r="C827" s="371" t="s">
        <v>2269</v>
      </c>
      <c r="D827" s="371" t="s">
        <v>2235</v>
      </c>
      <c r="E827" s="206"/>
      <c r="F827" s="206" t="s">
        <v>730</v>
      </c>
      <c r="G827" s="206" t="s">
        <v>730</v>
      </c>
      <c r="H827" s="371" t="s">
        <v>2271</v>
      </c>
      <c r="I827" s="206" t="s">
        <v>1356</v>
      </c>
      <c r="J827" s="206" t="s">
        <v>1356</v>
      </c>
      <c r="K827" s="371" t="s">
        <v>2271</v>
      </c>
      <c r="L827" s="206" t="s">
        <v>2191</v>
      </c>
      <c r="M827" s="206" t="s">
        <v>1355</v>
      </c>
      <c r="N827" s="206" t="s">
        <v>40</v>
      </c>
      <c r="O827" s="372">
        <v>46114</v>
      </c>
      <c r="P827" s="372">
        <v>46057</v>
      </c>
      <c r="Q827" s="371" t="s">
        <v>2276</v>
      </c>
      <c r="R827" s="373">
        <v>13090</v>
      </c>
      <c r="S827" s="373">
        <v>13090</v>
      </c>
      <c r="T827" s="371" t="s">
        <v>2271</v>
      </c>
      <c r="U827" s="373">
        <v>3780</v>
      </c>
      <c r="V827" s="373">
        <v>3780</v>
      </c>
      <c r="W827" s="371" t="s">
        <v>2271</v>
      </c>
      <c r="X827" s="373">
        <v>9310</v>
      </c>
      <c r="Y827" s="373">
        <v>9310</v>
      </c>
      <c r="Z827" s="371" t="s">
        <v>2271</v>
      </c>
      <c r="AA827" s="373">
        <v>0</v>
      </c>
      <c r="AB827" s="373">
        <v>9290</v>
      </c>
      <c r="AC827" s="373">
        <v>9290</v>
      </c>
      <c r="AD827" s="371" t="s">
        <v>2271</v>
      </c>
      <c r="AE827" s="373">
        <v>0</v>
      </c>
      <c r="AF827" s="382">
        <v>0.92847222222222203</v>
      </c>
      <c r="AG827" s="382">
        <v>0.92847222222222203</v>
      </c>
      <c r="AH827" s="371" t="s">
        <v>2271</v>
      </c>
      <c r="AI827" s="382">
        <v>0.95277777777777795</v>
      </c>
      <c r="AJ827" s="382">
        <v>0.95277777777777795</v>
      </c>
      <c r="AK827" s="371" t="s">
        <v>2271</v>
      </c>
      <c r="AL827" s="206" t="s">
        <v>42</v>
      </c>
      <c r="AM827" s="206" t="s">
        <v>42</v>
      </c>
      <c r="AN827" s="371" t="s">
        <v>2271</v>
      </c>
      <c r="AO827" s="206" t="s">
        <v>2994</v>
      </c>
      <c r="AP827" s="206"/>
      <c r="AQ827" s="206" t="s">
        <v>1131</v>
      </c>
      <c r="AR827" s="207" t="s">
        <v>82</v>
      </c>
    </row>
    <row r="828" spans="1:44" x14ac:dyDescent="0.2">
      <c r="A828" s="370">
        <v>809</v>
      </c>
      <c r="B828" s="380">
        <v>622</v>
      </c>
      <c r="C828" s="371" t="s">
        <v>2337</v>
      </c>
      <c r="D828" s="371" t="s">
        <v>2235</v>
      </c>
      <c r="E828" s="206"/>
      <c r="F828" s="206" t="s">
        <v>76</v>
      </c>
      <c r="G828" s="206" t="s">
        <v>76</v>
      </c>
      <c r="H828" s="371" t="s">
        <v>2271</v>
      </c>
      <c r="I828" s="206" t="s">
        <v>2194</v>
      </c>
      <c r="J828" s="206" t="s">
        <v>1455</v>
      </c>
      <c r="K828" s="371" t="s">
        <v>2276</v>
      </c>
      <c r="L828" s="206" t="s">
        <v>2195</v>
      </c>
      <c r="M828" s="206" t="s">
        <v>1359</v>
      </c>
      <c r="N828" s="206" t="s">
        <v>59</v>
      </c>
      <c r="O828" s="372">
        <v>46144</v>
      </c>
      <c r="P828" s="372">
        <v>46058</v>
      </c>
      <c r="Q828" s="371" t="s">
        <v>2276</v>
      </c>
      <c r="R828" s="373">
        <v>45850</v>
      </c>
      <c r="S828" s="373">
        <v>45850</v>
      </c>
      <c r="T828" s="371" t="s">
        <v>2271</v>
      </c>
      <c r="U828" s="373">
        <v>17550</v>
      </c>
      <c r="V828" s="373">
        <v>17550</v>
      </c>
      <c r="W828" s="371" t="s">
        <v>2271</v>
      </c>
      <c r="X828" s="373">
        <v>28300</v>
      </c>
      <c r="Y828" s="373">
        <v>28300</v>
      </c>
      <c r="Z828" s="371" t="s">
        <v>2271</v>
      </c>
      <c r="AA828" s="373">
        <v>0</v>
      </c>
      <c r="AB828" s="373">
        <v>28400</v>
      </c>
      <c r="AC828" s="373">
        <v>28400</v>
      </c>
      <c r="AD828" s="371" t="s">
        <v>2271</v>
      </c>
      <c r="AE828" s="373">
        <v>0</v>
      </c>
      <c r="AF828" s="382">
        <v>0.34930555555555598</v>
      </c>
      <c r="AG828" s="382">
        <v>0.34930555555555598</v>
      </c>
      <c r="AH828" s="371" t="s">
        <v>2271</v>
      </c>
      <c r="AI828" s="382">
        <v>0.40138888888888902</v>
      </c>
      <c r="AJ828" s="382">
        <v>0.40138888888888902</v>
      </c>
      <c r="AK828" s="371" t="s">
        <v>2271</v>
      </c>
      <c r="AL828" s="206" t="s">
        <v>137</v>
      </c>
      <c r="AM828" s="206" t="s">
        <v>137</v>
      </c>
      <c r="AN828" s="371" t="s">
        <v>2271</v>
      </c>
      <c r="AO828" s="206" t="s">
        <v>2995</v>
      </c>
      <c r="AP828" s="206" t="s">
        <v>1372</v>
      </c>
      <c r="AQ828" s="206" t="s">
        <v>1133</v>
      </c>
      <c r="AR828" s="207" t="s">
        <v>75</v>
      </c>
    </row>
    <row r="829" spans="1:44" x14ac:dyDescent="0.2">
      <c r="A829" s="370">
        <v>810</v>
      </c>
      <c r="B829" s="380">
        <v>623</v>
      </c>
      <c r="C829" s="371" t="s">
        <v>2337</v>
      </c>
      <c r="D829" s="371" t="s">
        <v>2235</v>
      </c>
      <c r="E829" s="206"/>
      <c r="F829" s="206" t="s">
        <v>70</v>
      </c>
      <c r="G829" s="206" t="s">
        <v>70</v>
      </c>
      <c r="H829" s="371" t="s">
        <v>2271</v>
      </c>
      <c r="I829" s="206" t="s">
        <v>2194</v>
      </c>
      <c r="J829" s="206" t="s">
        <v>1455</v>
      </c>
      <c r="K829" s="371" t="s">
        <v>2276</v>
      </c>
      <c r="L829" s="206" t="s">
        <v>2195</v>
      </c>
      <c r="M829" s="206" t="s">
        <v>1359</v>
      </c>
      <c r="N829" s="206" t="s">
        <v>59</v>
      </c>
      <c r="O829" s="372">
        <v>46144</v>
      </c>
      <c r="P829" s="372">
        <v>46058</v>
      </c>
      <c r="Q829" s="371" t="s">
        <v>2276</v>
      </c>
      <c r="R829" s="373">
        <v>45850</v>
      </c>
      <c r="S829" s="373">
        <v>45850</v>
      </c>
      <c r="T829" s="371" t="s">
        <v>2271</v>
      </c>
      <c r="U829" s="373">
        <v>17550</v>
      </c>
      <c r="V829" s="373">
        <v>17550</v>
      </c>
      <c r="W829" s="371" t="s">
        <v>2271</v>
      </c>
      <c r="X829" s="373">
        <v>28300</v>
      </c>
      <c r="Y829" s="373">
        <v>28300</v>
      </c>
      <c r="Z829" s="371" t="s">
        <v>2271</v>
      </c>
      <c r="AA829" s="373">
        <v>0</v>
      </c>
      <c r="AB829" s="373">
        <v>28400</v>
      </c>
      <c r="AC829" s="373">
        <v>28400</v>
      </c>
      <c r="AD829" s="371" t="s">
        <v>2271</v>
      </c>
      <c r="AE829" s="373">
        <v>0</v>
      </c>
      <c r="AF829" s="382">
        <v>0.35625000000000001</v>
      </c>
      <c r="AG829" s="382">
        <v>0.35625000000000001</v>
      </c>
      <c r="AH829" s="371" t="s">
        <v>2271</v>
      </c>
      <c r="AI829" s="382">
        <v>0.41319444444444398</v>
      </c>
      <c r="AJ829" s="382">
        <v>0.41319444444444398</v>
      </c>
      <c r="AK829" s="371" t="s">
        <v>2271</v>
      </c>
      <c r="AL829" s="206" t="s">
        <v>137</v>
      </c>
      <c r="AM829" s="206" t="s">
        <v>137</v>
      </c>
      <c r="AN829" s="371" t="s">
        <v>2271</v>
      </c>
      <c r="AO829" s="206" t="s">
        <v>2996</v>
      </c>
      <c r="AP829" s="206" t="s">
        <v>1499</v>
      </c>
      <c r="AQ829" s="206" t="s">
        <v>1133</v>
      </c>
      <c r="AR829" s="207" t="s">
        <v>75</v>
      </c>
    </row>
    <row r="830" spans="1:44" x14ac:dyDescent="0.2">
      <c r="A830" s="370">
        <v>811</v>
      </c>
      <c r="B830" s="380">
        <v>624</v>
      </c>
      <c r="C830" s="371" t="s">
        <v>2337</v>
      </c>
      <c r="D830" s="371" t="s">
        <v>2235</v>
      </c>
      <c r="E830" s="206"/>
      <c r="F830" s="206" t="s">
        <v>56</v>
      </c>
      <c r="G830" s="206" t="s">
        <v>56</v>
      </c>
      <c r="H830" s="371" t="s">
        <v>2271</v>
      </c>
      <c r="I830" s="206" t="s">
        <v>2194</v>
      </c>
      <c r="J830" s="206" t="s">
        <v>1455</v>
      </c>
      <c r="K830" s="371" t="s">
        <v>2276</v>
      </c>
      <c r="L830" s="206" t="s">
        <v>2195</v>
      </c>
      <c r="M830" s="206" t="s">
        <v>1359</v>
      </c>
      <c r="N830" s="206" t="s">
        <v>59</v>
      </c>
      <c r="O830" s="372">
        <v>46144</v>
      </c>
      <c r="P830" s="372">
        <v>46058</v>
      </c>
      <c r="Q830" s="371" t="s">
        <v>2276</v>
      </c>
      <c r="R830" s="373">
        <v>25040</v>
      </c>
      <c r="S830" s="373">
        <v>25040</v>
      </c>
      <c r="T830" s="371" t="s">
        <v>2271</v>
      </c>
      <c r="U830" s="373">
        <v>10740</v>
      </c>
      <c r="V830" s="373">
        <v>10740</v>
      </c>
      <c r="W830" s="371" t="s">
        <v>2271</v>
      </c>
      <c r="X830" s="373">
        <v>14300</v>
      </c>
      <c r="Y830" s="373">
        <v>14300</v>
      </c>
      <c r="Z830" s="371" t="s">
        <v>2271</v>
      </c>
      <c r="AA830" s="373">
        <v>0</v>
      </c>
      <c r="AB830" s="373">
        <v>14340</v>
      </c>
      <c r="AC830" s="373">
        <v>14340</v>
      </c>
      <c r="AD830" s="371" t="s">
        <v>2271</v>
      </c>
      <c r="AE830" s="373">
        <v>0</v>
      </c>
      <c r="AF830" s="382">
        <v>0.360416666666667</v>
      </c>
      <c r="AG830" s="382">
        <v>0.360416666666667</v>
      </c>
      <c r="AH830" s="371" t="s">
        <v>2271</v>
      </c>
      <c r="AI830" s="382">
        <v>0.405555555555556</v>
      </c>
      <c r="AJ830" s="382">
        <v>0.405555555555556</v>
      </c>
      <c r="AK830" s="371" t="s">
        <v>2271</v>
      </c>
      <c r="AL830" s="206" t="s">
        <v>137</v>
      </c>
      <c r="AM830" s="206" t="s">
        <v>137</v>
      </c>
      <c r="AN830" s="371" t="s">
        <v>2271</v>
      </c>
      <c r="AO830" s="206" t="s">
        <v>2997</v>
      </c>
      <c r="AP830" s="206" t="s">
        <v>1781</v>
      </c>
      <c r="AQ830" s="206" t="s">
        <v>1132</v>
      </c>
      <c r="AR830" s="207" t="s">
        <v>75</v>
      </c>
    </row>
    <row r="831" spans="1:44" x14ac:dyDescent="0.2">
      <c r="A831" s="370">
        <v>812</v>
      </c>
      <c r="B831" s="380">
        <v>625</v>
      </c>
      <c r="C831" s="371" t="s">
        <v>2337</v>
      </c>
      <c r="D831" s="371" t="s">
        <v>2235</v>
      </c>
      <c r="E831" s="206"/>
      <c r="F831" s="206" t="s">
        <v>76</v>
      </c>
      <c r="G831" s="206" t="s">
        <v>76</v>
      </c>
      <c r="H831" s="371" t="s">
        <v>2271</v>
      </c>
      <c r="I831" s="206" t="s">
        <v>2194</v>
      </c>
      <c r="J831" s="206" t="s">
        <v>1455</v>
      </c>
      <c r="K831" s="371" t="s">
        <v>2276</v>
      </c>
      <c r="L831" s="206" t="s">
        <v>2195</v>
      </c>
      <c r="M831" s="206" t="s">
        <v>1359</v>
      </c>
      <c r="N831" s="206" t="s">
        <v>59</v>
      </c>
      <c r="O831" s="372">
        <v>46144</v>
      </c>
      <c r="P831" s="372">
        <v>46058</v>
      </c>
      <c r="Q831" s="371" t="s">
        <v>2276</v>
      </c>
      <c r="R831" s="373">
        <v>45790</v>
      </c>
      <c r="S831" s="373">
        <v>45790</v>
      </c>
      <c r="T831" s="371" t="s">
        <v>2271</v>
      </c>
      <c r="U831" s="373">
        <v>17490</v>
      </c>
      <c r="V831" s="373">
        <v>17490</v>
      </c>
      <c r="W831" s="371" t="s">
        <v>2271</v>
      </c>
      <c r="X831" s="373">
        <v>28300</v>
      </c>
      <c r="Y831" s="373">
        <v>28300</v>
      </c>
      <c r="Z831" s="371" t="s">
        <v>2271</v>
      </c>
      <c r="AA831" s="373">
        <v>0</v>
      </c>
      <c r="AB831" s="373">
        <v>28320</v>
      </c>
      <c r="AC831" s="373">
        <v>28320</v>
      </c>
      <c r="AD831" s="371" t="s">
        <v>2271</v>
      </c>
      <c r="AE831" s="373">
        <v>0</v>
      </c>
      <c r="AF831" s="382">
        <v>0.53888888888888897</v>
      </c>
      <c r="AG831" s="382">
        <v>0.53888888888888897</v>
      </c>
      <c r="AH831" s="371" t="s">
        <v>2271</v>
      </c>
      <c r="AI831" s="382">
        <v>0.57499999999999996</v>
      </c>
      <c r="AJ831" s="382">
        <v>0.57499999999999996</v>
      </c>
      <c r="AK831" s="371" t="s">
        <v>2271</v>
      </c>
      <c r="AL831" s="206" t="s">
        <v>137</v>
      </c>
      <c r="AM831" s="206" t="s">
        <v>137</v>
      </c>
      <c r="AN831" s="371" t="s">
        <v>2271</v>
      </c>
      <c r="AO831" s="206" t="s">
        <v>2998</v>
      </c>
      <c r="AP831" s="206" t="s">
        <v>1372</v>
      </c>
      <c r="AQ831" s="206" t="s">
        <v>1133</v>
      </c>
      <c r="AR831" s="207" t="s">
        <v>75</v>
      </c>
    </row>
    <row r="832" spans="1:44" x14ac:dyDescent="0.2">
      <c r="A832" s="370">
        <v>813</v>
      </c>
      <c r="B832" s="380">
        <v>626</v>
      </c>
      <c r="C832" s="371" t="s">
        <v>2337</v>
      </c>
      <c r="D832" s="371" t="s">
        <v>2235</v>
      </c>
      <c r="E832" s="206"/>
      <c r="F832" s="206" t="s">
        <v>70</v>
      </c>
      <c r="G832" s="206" t="s">
        <v>70</v>
      </c>
      <c r="H832" s="371" t="s">
        <v>2271</v>
      </c>
      <c r="I832" s="206" t="s">
        <v>2194</v>
      </c>
      <c r="J832" s="206" t="s">
        <v>1455</v>
      </c>
      <c r="K832" s="371" t="s">
        <v>2276</v>
      </c>
      <c r="L832" s="206" t="s">
        <v>2195</v>
      </c>
      <c r="M832" s="206" t="s">
        <v>1359</v>
      </c>
      <c r="N832" s="206" t="s">
        <v>59</v>
      </c>
      <c r="O832" s="372">
        <v>46144</v>
      </c>
      <c r="P832" s="372">
        <v>46058</v>
      </c>
      <c r="Q832" s="371" t="s">
        <v>2276</v>
      </c>
      <c r="R832" s="373">
        <v>45770</v>
      </c>
      <c r="S832" s="373">
        <v>45770</v>
      </c>
      <c r="T832" s="371" t="s">
        <v>2271</v>
      </c>
      <c r="U832" s="373">
        <v>17500</v>
      </c>
      <c r="V832" s="373">
        <v>17500</v>
      </c>
      <c r="W832" s="371" t="s">
        <v>2271</v>
      </c>
      <c r="X832" s="373">
        <v>28270</v>
      </c>
      <c r="Y832" s="373">
        <v>28270</v>
      </c>
      <c r="Z832" s="371" t="s">
        <v>2271</v>
      </c>
      <c r="AA832" s="373">
        <v>0</v>
      </c>
      <c r="AB832" s="373">
        <v>28320</v>
      </c>
      <c r="AC832" s="373">
        <v>28320</v>
      </c>
      <c r="AD832" s="371" t="s">
        <v>2271</v>
      </c>
      <c r="AE832" s="373">
        <v>0</v>
      </c>
      <c r="AF832" s="382">
        <v>0.60277777777777797</v>
      </c>
      <c r="AG832" s="382">
        <v>0.60277777777777797</v>
      </c>
      <c r="AH832" s="371" t="s">
        <v>2271</v>
      </c>
      <c r="AI832" s="382">
        <v>0.64305555555555605</v>
      </c>
      <c r="AJ832" s="382">
        <v>0.64305555555555605</v>
      </c>
      <c r="AK832" s="371" t="s">
        <v>2271</v>
      </c>
      <c r="AL832" s="206" t="s">
        <v>137</v>
      </c>
      <c r="AM832" s="206" t="s">
        <v>137</v>
      </c>
      <c r="AN832" s="371" t="s">
        <v>2271</v>
      </c>
      <c r="AO832" s="206" t="s">
        <v>2999</v>
      </c>
      <c r="AP832" s="206" t="s">
        <v>1499</v>
      </c>
      <c r="AQ832" s="206" t="s">
        <v>1133</v>
      </c>
      <c r="AR832" s="207" t="s">
        <v>75</v>
      </c>
    </row>
    <row r="833" spans="1:44" x14ac:dyDescent="0.2">
      <c r="A833" s="370">
        <v>814</v>
      </c>
      <c r="B833" s="380">
        <v>627</v>
      </c>
      <c r="C833" s="371" t="s">
        <v>2337</v>
      </c>
      <c r="D833" s="371" t="s">
        <v>2235</v>
      </c>
      <c r="E833" s="206"/>
      <c r="F833" s="206" t="s">
        <v>56</v>
      </c>
      <c r="G833" s="206" t="s">
        <v>56</v>
      </c>
      <c r="H833" s="371" t="s">
        <v>2271</v>
      </c>
      <c r="I833" s="206" t="s">
        <v>2194</v>
      </c>
      <c r="J833" s="206" t="s">
        <v>1455</v>
      </c>
      <c r="K833" s="371" t="s">
        <v>2276</v>
      </c>
      <c r="L833" s="206" t="s">
        <v>2195</v>
      </c>
      <c r="M833" s="206" t="s">
        <v>1359</v>
      </c>
      <c r="N833" s="206" t="s">
        <v>59</v>
      </c>
      <c r="O833" s="372">
        <v>46144</v>
      </c>
      <c r="P833" s="372">
        <v>46058</v>
      </c>
      <c r="Q833" s="371" t="s">
        <v>2276</v>
      </c>
      <c r="R833" s="373">
        <v>25020</v>
      </c>
      <c r="S833" s="373">
        <v>25020</v>
      </c>
      <c r="T833" s="371" t="s">
        <v>2271</v>
      </c>
      <c r="U833" s="373">
        <v>10730</v>
      </c>
      <c r="V833" s="373">
        <v>10730</v>
      </c>
      <c r="W833" s="371" t="s">
        <v>2271</v>
      </c>
      <c r="X833" s="373">
        <v>14290</v>
      </c>
      <c r="Y833" s="373">
        <v>14290</v>
      </c>
      <c r="Z833" s="371" t="s">
        <v>2271</v>
      </c>
      <c r="AA833" s="373">
        <v>0</v>
      </c>
      <c r="AB833" s="373">
        <v>14300</v>
      </c>
      <c r="AC833" s="373">
        <v>14300</v>
      </c>
      <c r="AD833" s="371" t="s">
        <v>2271</v>
      </c>
      <c r="AE833" s="373">
        <v>0</v>
      </c>
      <c r="AF833" s="382">
        <v>0.72152777777777799</v>
      </c>
      <c r="AG833" s="382">
        <v>0.72152777777777799</v>
      </c>
      <c r="AH833" s="371" t="s">
        <v>2271</v>
      </c>
      <c r="AI833" s="382">
        <v>0.77083333333333304</v>
      </c>
      <c r="AJ833" s="382">
        <v>0.77083333333333304</v>
      </c>
      <c r="AK833" s="371" t="s">
        <v>2271</v>
      </c>
      <c r="AL833" s="206" t="s">
        <v>42</v>
      </c>
      <c r="AM833" s="206" t="s">
        <v>42</v>
      </c>
      <c r="AN833" s="371" t="s">
        <v>2271</v>
      </c>
      <c r="AO833" s="206" t="s">
        <v>3000</v>
      </c>
      <c r="AP833" s="206" t="s">
        <v>1781</v>
      </c>
      <c r="AQ833" s="206" t="s">
        <v>1132</v>
      </c>
      <c r="AR833" s="207" t="s">
        <v>75</v>
      </c>
    </row>
    <row r="834" spans="1:44" x14ac:dyDescent="0.2">
      <c r="A834" s="370">
        <v>815</v>
      </c>
      <c r="B834" s="380">
        <v>628</v>
      </c>
      <c r="C834" s="371" t="s">
        <v>2337</v>
      </c>
      <c r="D834" s="371" t="s">
        <v>2235</v>
      </c>
      <c r="E834" s="206"/>
      <c r="F834" s="206" t="s">
        <v>76</v>
      </c>
      <c r="G834" s="206" t="s">
        <v>76</v>
      </c>
      <c r="H834" s="371" t="s">
        <v>2271</v>
      </c>
      <c r="I834" s="206" t="s">
        <v>2194</v>
      </c>
      <c r="J834" s="206" t="s">
        <v>1455</v>
      </c>
      <c r="K834" s="371" t="s">
        <v>2276</v>
      </c>
      <c r="L834" s="206" t="s">
        <v>2195</v>
      </c>
      <c r="M834" s="206" t="s">
        <v>1359</v>
      </c>
      <c r="N834" s="206" t="s">
        <v>59</v>
      </c>
      <c r="O834" s="372">
        <v>46144</v>
      </c>
      <c r="P834" s="372">
        <v>46058</v>
      </c>
      <c r="Q834" s="371" t="s">
        <v>2276</v>
      </c>
      <c r="R834" s="373">
        <v>45870</v>
      </c>
      <c r="S834" s="373">
        <v>45870</v>
      </c>
      <c r="T834" s="371" t="s">
        <v>2271</v>
      </c>
      <c r="U834" s="373">
        <v>17600</v>
      </c>
      <c r="V834" s="373">
        <v>17600</v>
      </c>
      <c r="W834" s="371" t="s">
        <v>2271</v>
      </c>
      <c r="X834" s="373">
        <v>28270</v>
      </c>
      <c r="Y834" s="373">
        <v>28270</v>
      </c>
      <c r="Z834" s="371" t="s">
        <v>2271</v>
      </c>
      <c r="AA834" s="373">
        <v>0</v>
      </c>
      <c r="AB834" s="373">
        <v>28380</v>
      </c>
      <c r="AC834" s="373">
        <v>28380</v>
      </c>
      <c r="AD834" s="371" t="s">
        <v>2271</v>
      </c>
      <c r="AE834" s="373">
        <v>0</v>
      </c>
      <c r="AF834" s="382">
        <v>0.77777777777777801</v>
      </c>
      <c r="AG834" s="382">
        <v>0.77777777777777801</v>
      </c>
      <c r="AH834" s="371" t="s">
        <v>2271</v>
      </c>
      <c r="AI834" s="382">
        <v>0.82986111111111105</v>
      </c>
      <c r="AJ834" s="382">
        <v>0.82986111111111105</v>
      </c>
      <c r="AK834" s="371" t="s">
        <v>2271</v>
      </c>
      <c r="AL834" s="206" t="s">
        <v>42</v>
      </c>
      <c r="AM834" s="206" t="s">
        <v>42</v>
      </c>
      <c r="AN834" s="371" t="s">
        <v>2271</v>
      </c>
      <c r="AO834" s="206" t="s">
        <v>3001</v>
      </c>
      <c r="AP834" s="206" t="s">
        <v>1372</v>
      </c>
      <c r="AQ834" s="206" t="s">
        <v>1133</v>
      </c>
      <c r="AR834" s="207" t="s">
        <v>75</v>
      </c>
    </row>
    <row r="835" spans="1:44" x14ac:dyDescent="0.2">
      <c r="A835" s="370">
        <v>816</v>
      </c>
      <c r="B835" s="380">
        <v>629</v>
      </c>
      <c r="C835" s="371" t="s">
        <v>2269</v>
      </c>
      <c r="D835" s="371" t="s">
        <v>2235</v>
      </c>
      <c r="E835" s="206"/>
      <c r="F835" s="206" t="s">
        <v>147</v>
      </c>
      <c r="G835" s="206" t="s">
        <v>147</v>
      </c>
      <c r="H835" s="371" t="s">
        <v>2271</v>
      </c>
      <c r="I835" s="206" t="s">
        <v>1356</v>
      </c>
      <c r="J835" s="206" t="s">
        <v>1356</v>
      </c>
      <c r="K835" s="371" t="s">
        <v>2271</v>
      </c>
      <c r="L835" s="206" t="s">
        <v>2191</v>
      </c>
      <c r="M835" s="206" t="s">
        <v>1355</v>
      </c>
      <c r="N835" s="206" t="s">
        <v>40</v>
      </c>
      <c r="O835" s="372">
        <v>46144</v>
      </c>
      <c r="P835" s="372">
        <v>46058</v>
      </c>
      <c r="Q835" s="371" t="s">
        <v>2276</v>
      </c>
      <c r="R835" s="373">
        <v>13950</v>
      </c>
      <c r="S835" s="373">
        <v>13950</v>
      </c>
      <c r="T835" s="371" t="s">
        <v>2271</v>
      </c>
      <c r="U835" s="373">
        <v>4000</v>
      </c>
      <c r="V835" s="373">
        <v>4000</v>
      </c>
      <c r="W835" s="371" t="s">
        <v>2271</v>
      </c>
      <c r="X835" s="373">
        <v>9950</v>
      </c>
      <c r="Y835" s="373">
        <v>9950</v>
      </c>
      <c r="Z835" s="371" t="s">
        <v>2271</v>
      </c>
      <c r="AA835" s="373">
        <v>0</v>
      </c>
      <c r="AB835" s="373">
        <v>9970</v>
      </c>
      <c r="AC835" s="373">
        <v>9970</v>
      </c>
      <c r="AD835" s="371" t="s">
        <v>2271</v>
      </c>
      <c r="AE835" s="373">
        <v>0</v>
      </c>
      <c r="AF835" s="382">
        <v>0.94861111111111096</v>
      </c>
      <c r="AG835" s="382">
        <v>0.94861111111111096</v>
      </c>
      <c r="AH835" s="371" t="s">
        <v>2271</v>
      </c>
      <c r="AI835" s="382">
        <v>0.97986111111111096</v>
      </c>
      <c r="AJ835" s="382">
        <v>0.97986111111111096</v>
      </c>
      <c r="AK835" s="371" t="s">
        <v>2271</v>
      </c>
      <c r="AL835" s="206" t="s">
        <v>42</v>
      </c>
      <c r="AM835" s="206" t="s">
        <v>42</v>
      </c>
      <c r="AN835" s="371" t="s">
        <v>2271</v>
      </c>
      <c r="AO835" s="206" t="s">
        <v>3002</v>
      </c>
      <c r="AP835" s="206"/>
      <c r="AQ835" s="206" t="s">
        <v>1131</v>
      </c>
      <c r="AR835" s="207" t="s">
        <v>82</v>
      </c>
    </row>
    <row r="836" spans="1:44" x14ac:dyDescent="0.2">
      <c r="A836" s="370">
        <v>817</v>
      </c>
      <c r="B836" s="380">
        <v>630</v>
      </c>
      <c r="C836" s="371" t="s">
        <v>2269</v>
      </c>
      <c r="D836" s="371" t="s">
        <v>2235</v>
      </c>
      <c r="E836" s="206"/>
      <c r="F836" s="206" t="s">
        <v>473</v>
      </c>
      <c r="G836" s="206" t="s">
        <v>473</v>
      </c>
      <c r="H836" s="371" t="s">
        <v>2271</v>
      </c>
      <c r="I836" s="206" t="s">
        <v>1356</v>
      </c>
      <c r="J836" s="206" t="s">
        <v>1356</v>
      </c>
      <c r="K836" s="371" t="s">
        <v>2271</v>
      </c>
      <c r="L836" s="206" t="s">
        <v>2191</v>
      </c>
      <c r="M836" s="206" t="s">
        <v>1355</v>
      </c>
      <c r="N836" s="206" t="s">
        <v>40</v>
      </c>
      <c r="O836" s="372">
        <v>46144</v>
      </c>
      <c r="P836" s="372">
        <v>46058</v>
      </c>
      <c r="Q836" s="371" t="s">
        <v>2276</v>
      </c>
      <c r="R836" s="373">
        <v>14460</v>
      </c>
      <c r="S836" s="373">
        <v>14460</v>
      </c>
      <c r="T836" s="371" t="s">
        <v>2271</v>
      </c>
      <c r="U836" s="373">
        <v>4340</v>
      </c>
      <c r="V836" s="373">
        <v>4340</v>
      </c>
      <c r="W836" s="371" t="s">
        <v>2271</v>
      </c>
      <c r="X836" s="373">
        <v>10120</v>
      </c>
      <c r="Y836" s="373">
        <v>10120</v>
      </c>
      <c r="Z836" s="371" t="s">
        <v>2271</v>
      </c>
      <c r="AA836" s="373">
        <v>0</v>
      </c>
      <c r="AB836" s="373">
        <v>10130</v>
      </c>
      <c r="AC836" s="373">
        <v>10130</v>
      </c>
      <c r="AD836" s="371" t="s">
        <v>2271</v>
      </c>
      <c r="AE836" s="373">
        <v>0</v>
      </c>
      <c r="AF836" s="382">
        <v>0.95416666666666705</v>
      </c>
      <c r="AG836" s="382">
        <v>0.95416666666666705</v>
      </c>
      <c r="AH836" s="371" t="s">
        <v>2271</v>
      </c>
      <c r="AI836" s="382">
        <v>0.97847222222222197</v>
      </c>
      <c r="AJ836" s="382">
        <v>0.97847222222222197</v>
      </c>
      <c r="AK836" s="371" t="s">
        <v>2271</v>
      </c>
      <c r="AL836" s="206" t="s">
        <v>42</v>
      </c>
      <c r="AM836" s="206" t="s">
        <v>42</v>
      </c>
      <c r="AN836" s="371" t="s">
        <v>2271</v>
      </c>
      <c r="AO836" s="206" t="s">
        <v>3003</v>
      </c>
      <c r="AP836" s="206"/>
      <c r="AQ836" s="206" t="s">
        <v>1131</v>
      </c>
      <c r="AR836" s="207" t="s">
        <v>82</v>
      </c>
    </row>
    <row r="837" spans="1:44" x14ac:dyDescent="0.2">
      <c r="A837" s="370">
        <v>818</v>
      </c>
      <c r="B837" s="380">
        <v>631</v>
      </c>
      <c r="C837" s="371" t="s">
        <v>2269</v>
      </c>
      <c r="D837" s="371" t="s">
        <v>2235</v>
      </c>
      <c r="E837" s="206"/>
      <c r="F837" s="206" t="s">
        <v>160</v>
      </c>
      <c r="G837" s="206" t="s">
        <v>160</v>
      </c>
      <c r="H837" s="371" t="s">
        <v>2271</v>
      </c>
      <c r="I837" s="206" t="s">
        <v>1356</v>
      </c>
      <c r="J837" s="206" t="s">
        <v>1356</v>
      </c>
      <c r="K837" s="371" t="s">
        <v>2271</v>
      </c>
      <c r="L837" s="206" t="s">
        <v>2191</v>
      </c>
      <c r="M837" s="206" t="s">
        <v>1355</v>
      </c>
      <c r="N837" s="206" t="s">
        <v>40</v>
      </c>
      <c r="O837" s="372">
        <v>46144</v>
      </c>
      <c r="P837" s="372">
        <v>46058</v>
      </c>
      <c r="Q837" s="371" t="s">
        <v>2276</v>
      </c>
      <c r="R837" s="373">
        <v>13420</v>
      </c>
      <c r="S837" s="373">
        <v>13420</v>
      </c>
      <c r="T837" s="371" t="s">
        <v>2271</v>
      </c>
      <c r="U837" s="373">
        <v>3660</v>
      </c>
      <c r="V837" s="373">
        <v>3660</v>
      </c>
      <c r="W837" s="371" t="s">
        <v>2271</v>
      </c>
      <c r="X837" s="373">
        <v>9760</v>
      </c>
      <c r="Y837" s="373">
        <v>9760</v>
      </c>
      <c r="Z837" s="371" t="s">
        <v>2271</v>
      </c>
      <c r="AA837" s="373">
        <v>0</v>
      </c>
      <c r="AB837" s="373">
        <v>9750</v>
      </c>
      <c r="AC837" s="373">
        <v>9750</v>
      </c>
      <c r="AD837" s="371" t="s">
        <v>2271</v>
      </c>
      <c r="AE837" s="373">
        <v>0</v>
      </c>
      <c r="AF837" s="382">
        <v>0.95555555555555605</v>
      </c>
      <c r="AG837" s="382">
        <v>0.95555555555555605</v>
      </c>
      <c r="AH837" s="371" t="s">
        <v>2271</v>
      </c>
      <c r="AI837" s="382">
        <v>0.98055555555555596</v>
      </c>
      <c r="AJ837" s="382">
        <v>0.98055555555555596</v>
      </c>
      <c r="AK837" s="371" t="s">
        <v>2271</v>
      </c>
      <c r="AL837" s="206" t="s">
        <v>42</v>
      </c>
      <c r="AM837" s="206" t="s">
        <v>42</v>
      </c>
      <c r="AN837" s="371" t="s">
        <v>2271</v>
      </c>
      <c r="AO837" s="206" t="s">
        <v>3004</v>
      </c>
      <c r="AP837" s="206"/>
      <c r="AQ837" s="206" t="s">
        <v>1131</v>
      </c>
      <c r="AR837" s="207" t="s">
        <v>82</v>
      </c>
    </row>
    <row r="838" spans="1:44" x14ac:dyDescent="0.2">
      <c r="A838" s="370">
        <v>819</v>
      </c>
      <c r="B838" s="380">
        <v>632</v>
      </c>
      <c r="C838" s="371" t="s">
        <v>2269</v>
      </c>
      <c r="D838" s="371" t="s">
        <v>2235</v>
      </c>
      <c r="E838" s="206"/>
      <c r="F838" s="206" t="s">
        <v>171</v>
      </c>
      <c r="G838" s="206" t="s">
        <v>171</v>
      </c>
      <c r="H838" s="371" t="s">
        <v>2271</v>
      </c>
      <c r="I838" s="206" t="s">
        <v>1356</v>
      </c>
      <c r="J838" s="206" t="s">
        <v>1356</v>
      </c>
      <c r="K838" s="371" t="s">
        <v>2271</v>
      </c>
      <c r="L838" s="206" t="s">
        <v>2191</v>
      </c>
      <c r="M838" s="206" t="s">
        <v>1355</v>
      </c>
      <c r="N838" s="206" t="s">
        <v>40</v>
      </c>
      <c r="O838" s="372">
        <v>46175</v>
      </c>
      <c r="P838" s="372">
        <v>46059</v>
      </c>
      <c r="Q838" s="371" t="s">
        <v>2276</v>
      </c>
      <c r="R838" s="373">
        <v>13260</v>
      </c>
      <c r="S838" s="373">
        <v>13260</v>
      </c>
      <c r="T838" s="371" t="s">
        <v>2271</v>
      </c>
      <c r="U838" s="373">
        <v>3780</v>
      </c>
      <c r="V838" s="373">
        <v>3780</v>
      </c>
      <c r="W838" s="371" t="s">
        <v>2271</v>
      </c>
      <c r="X838" s="373">
        <v>9480</v>
      </c>
      <c r="Y838" s="373">
        <v>9480</v>
      </c>
      <c r="Z838" s="371" t="s">
        <v>2271</v>
      </c>
      <c r="AA838" s="373">
        <v>0</v>
      </c>
      <c r="AB838" s="373">
        <v>9510</v>
      </c>
      <c r="AC838" s="373">
        <v>9510</v>
      </c>
      <c r="AD838" s="371" t="s">
        <v>2271</v>
      </c>
      <c r="AE838" s="373">
        <v>0</v>
      </c>
      <c r="AF838" s="382">
        <v>0.34722222222222199</v>
      </c>
      <c r="AG838" s="382">
        <v>0.34722222222222199</v>
      </c>
      <c r="AH838" s="371" t="s">
        <v>2271</v>
      </c>
      <c r="AI838" s="382">
        <v>0.422916666666667</v>
      </c>
      <c r="AJ838" s="382">
        <v>0.422916666666667</v>
      </c>
      <c r="AK838" s="371" t="s">
        <v>2271</v>
      </c>
      <c r="AL838" s="206" t="s">
        <v>137</v>
      </c>
      <c r="AM838" s="206" t="s">
        <v>137</v>
      </c>
      <c r="AN838" s="371" t="s">
        <v>2271</v>
      </c>
      <c r="AO838" s="206" t="s">
        <v>3005</v>
      </c>
      <c r="AP838" s="206"/>
      <c r="AQ838" s="206" t="s">
        <v>1131</v>
      </c>
      <c r="AR838" s="207" t="s">
        <v>82</v>
      </c>
    </row>
    <row r="839" spans="1:44" x14ac:dyDescent="0.2">
      <c r="A839" s="370">
        <v>820</v>
      </c>
      <c r="B839" s="380">
        <v>633</v>
      </c>
      <c r="C839" s="371" t="s">
        <v>2269</v>
      </c>
      <c r="D839" s="371" t="s">
        <v>2235</v>
      </c>
      <c r="E839" s="206"/>
      <c r="F839" s="206" t="s">
        <v>53</v>
      </c>
      <c r="G839" s="206" t="s">
        <v>53</v>
      </c>
      <c r="H839" s="371" t="s">
        <v>2271</v>
      </c>
      <c r="I839" s="206" t="s">
        <v>1356</v>
      </c>
      <c r="J839" s="206" t="s">
        <v>1356</v>
      </c>
      <c r="K839" s="371" t="s">
        <v>2271</v>
      </c>
      <c r="L839" s="206" t="s">
        <v>2191</v>
      </c>
      <c r="M839" s="206" t="s">
        <v>1355</v>
      </c>
      <c r="N839" s="206" t="s">
        <v>40</v>
      </c>
      <c r="O839" s="372">
        <v>46175</v>
      </c>
      <c r="P839" s="372">
        <v>46059</v>
      </c>
      <c r="Q839" s="371" t="s">
        <v>2276</v>
      </c>
      <c r="R839" s="373">
        <v>13370</v>
      </c>
      <c r="S839" s="373">
        <v>13370</v>
      </c>
      <c r="T839" s="371" t="s">
        <v>2271</v>
      </c>
      <c r="U839" s="373">
        <v>3900</v>
      </c>
      <c r="V839" s="373">
        <v>3900</v>
      </c>
      <c r="W839" s="371" t="s">
        <v>2271</v>
      </c>
      <c r="X839" s="373">
        <v>9470</v>
      </c>
      <c r="Y839" s="373">
        <v>9470</v>
      </c>
      <c r="Z839" s="371" t="s">
        <v>2271</v>
      </c>
      <c r="AA839" s="373">
        <v>0</v>
      </c>
      <c r="AB839" s="373">
        <v>9500</v>
      </c>
      <c r="AC839" s="373">
        <v>9500</v>
      </c>
      <c r="AD839" s="371" t="s">
        <v>2271</v>
      </c>
      <c r="AE839" s="373">
        <v>0</v>
      </c>
      <c r="AF839" s="382">
        <v>0.34861111111111098</v>
      </c>
      <c r="AG839" s="382">
        <v>0.34861111111111098</v>
      </c>
      <c r="AH839" s="371" t="s">
        <v>2271</v>
      </c>
      <c r="AI839" s="382">
        <v>0.41666666666666702</v>
      </c>
      <c r="AJ839" s="382">
        <v>0.41666666666666702</v>
      </c>
      <c r="AK839" s="371" t="s">
        <v>2271</v>
      </c>
      <c r="AL839" s="206" t="s">
        <v>137</v>
      </c>
      <c r="AM839" s="206" t="s">
        <v>137</v>
      </c>
      <c r="AN839" s="371" t="s">
        <v>2271</v>
      </c>
      <c r="AO839" s="206" t="s">
        <v>3006</v>
      </c>
      <c r="AP839" s="206"/>
      <c r="AQ839" s="206" t="s">
        <v>1131</v>
      </c>
      <c r="AR839" s="207" t="s">
        <v>82</v>
      </c>
    </row>
    <row r="840" spans="1:44" x14ac:dyDescent="0.2">
      <c r="A840" s="370">
        <v>821</v>
      </c>
      <c r="B840" s="380">
        <v>634</v>
      </c>
      <c r="C840" s="371" t="s">
        <v>2269</v>
      </c>
      <c r="D840" s="371" t="s">
        <v>2235</v>
      </c>
      <c r="E840" s="206"/>
      <c r="F840" s="206" t="s">
        <v>166</v>
      </c>
      <c r="G840" s="206" t="s">
        <v>166</v>
      </c>
      <c r="H840" s="371" t="s">
        <v>2271</v>
      </c>
      <c r="I840" s="206" t="s">
        <v>1356</v>
      </c>
      <c r="J840" s="206" t="s">
        <v>1356</v>
      </c>
      <c r="K840" s="371" t="s">
        <v>2271</v>
      </c>
      <c r="L840" s="206" t="s">
        <v>2191</v>
      </c>
      <c r="M840" s="206" t="s">
        <v>1355</v>
      </c>
      <c r="N840" s="206" t="s">
        <v>40</v>
      </c>
      <c r="O840" s="372">
        <v>46175</v>
      </c>
      <c r="P840" s="372">
        <v>46059</v>
      </c>
      <c r="Q840" s="371" t="s">
        <v>2276</v>
      </c>
      <c r="R840" s="373">
        <v>13190</v>
      </c>
      <c r="S840" s="373">
        <v>13190</v>
      </c>
      <c r="T840" s="371" t="s">
        <v>2271</v>
      </c>
      <c r="U840" s="373">
        <v>3900</v>
      </c>
      <c r="V840" s="373">
        <v>3900</v>
      </c>
      <c r="W840" s="371" t="s">
        <v>2271</v>
      </c>
      <c r="X840" s="373">
        <v>9290</v>
      </c>
      <c r="Y840" s="373">
        <v>9290</v>
      </c>
      <c r="Z840" s="371" t="s">
        <v>2271</v>
      </c>
      <c r="AA840" s="373">
        <v>0</v>
      </c>
      <c r="AB840" s="373">
        <v>9270</v>
      </c>
      <c r="AC840" s="373">
        <v>9270</v>
      </c>
      <c r="AD840" s="371" t="s">
        <v>2271</v>
      </c>
      <c r="AE840" s="373">
        <v>0</v>
      </c>
      <c r="AF840" s="382">
        <v>0.35069444444444398</v>
      </c>
      <c r="AG840" s="382">
        <v>0.35069444444444398</v>
      </c>
      <c r="AH840" s="371" t="s">
        <v>2271</v>
      </c>
      <c r="AI840" s="382">
        <v>0.41944444444444401</v>
      </c>
      <c r="AJ840" s="382">
        <v>0.41944444444444501</v>
      </c>
      <c r="AK840" s="371" t="s">
        <v>2276</v>
      </c>
      <c r="AL840" s="206" t="s">
        <v>137</v>
      </c>
      <c r="AM840" s="206" t="s">
        <v>137</v>
      </c>
      <c r="AN840" s="371" t="s">
        <v>2271</v>
      </c>
      <c r="AO840" s="206" t="s">
        <v>3007</v>
      </c>
      <c r="AP840" s="206"/>
      <c r="AQ840" s="206" t="s">
        <v>1131</v>
      </c>
      <c r="AR840" s="207" t="s">
        <v>82</v>
      </c>
    </row>
    <row r="841" spans="1:44" x14ac:dyDescent="0.2">
      <c r="A841" s="370">
        <v>822</v>
      </c>
      <c r="B841" s="380">
        <v>635</v>
      </c>
      <c r="C841" s="371" t="s">
        <v>2337</v>
      </c>
      <c r="D841" s="371" t="s">
        <v>2235</v>
      </c>
      <c r="E841" s="206"/>
      <c r="F841" s="206" t="s">
        <v>70</v>
      </c>
      <c r="G841" s="206" t="s">
        <v>70</v>
      </c>
      <c r="H841" s="371" t="s">
        <v>2271</v>
      </c>
      <c r="I841" s="206" t="s">
        <v>2194</v>
      </c>
      <c r="J841" s="206" t="s">
        <v>1455</v>
      </c>
      <c r="K841" s="371" t="s">
        <v>2276</v>
      </c>
      <c r="L841" s="206" t="s">
        <v>2195</v>
      </c>
      <c r="M841" s="206" t="s">
        <v>1359</v>
      </c>
      <c r="N841" s="206" t="s">
        <v>59</v>
      </c>
      <c r="O841" s="372">
        <v>46175</v>
      </c>
      <c r="P841" s="372">
        <v>46059</v>
      </c>
      <c r="Q841" s="371" t="s">
        <v>2276</v>
      </c>
      <c r="R841" s="373">
        <v>45800</v>
      </c>
      <c r="S841" s="373">
        <v>45800</v>
      </c>
      <c r="T841" s="371" t="s">
        <v>2271</v>
      </c>
      <c r="U841" s="373">
        <v>17490</v>
      </c>
      <c r="V841" s="373">
        <v>17490</v>
      </c>
      <c r="W841" s="371" t="s">
        <v>2271</v>
      </c>
      <c r="X841" s="373">
        <v>28310</v>
      </c>
      <c r="Y841" s="373">
        <v>28310</v>
      </c>
      <c r="Z841" s="371" t="s">
        <v>2271</v>
      </c>
      <c r="AA841" s="373">
        <v>0</v>
      </c>
      <c r="AB841" s="373">
        <v>28420</v>
      </c>
      <c r="AC841" s="373">
        <v>28420</v>
      </c>
      <c r="AD841" s="371" t="s">
        <v>2271</v>
      </c>
      <c r="AE841" s="373">
        <v>0</v>
      </c>
      <c r="AF841" s="382">
        <v>0.38750000000000001</v>
      </c>
      <c r="AG841" s="382">
        <v>0.38750000000000001</v>
      </c>
      <c r="AH841" s="371" t="s">
        <v>2271</v>
      </c>
      <c r="AI841" s="382">
        <v>0.47499999999999998</v>
      </c>
      <c r="AJ841" s="382">
        <v>0.47499999999999998</v>
      </c>
      <c r="AK841" s="371" t="s">
        <v>2271</v>
      </c>
      <c r="AL841" s="206" t="s">
        <v>137</v>
      </c>
      <c r="AM841" s="206" t="s">
        <v>137</v>
      </c>
      <c r="AN841" s="371" t="s">
        <v>2271</v>
      </c>
      <c r="AO841" s="206" t="s">
        <v>3008</v>
      </c>
      <c r="AP841" s="206" t="s">
        <v>1499</v>
      </c>
      <c r="AQ841" s="206" t="s">
        <v>1133</v>
      </c>
      <c r="AR841" s="207" t="s">
        <v>75</v>
      </c>
    </row>
    <row r="842" spans="1:44" x14ac:dyDescent="0.2">
      <c r="A842" s="370">
        <v>823</v>
      </c>
      <c r="B842" s="380">
        <v>636</v>
      </c>
      <c r="C842" s="371" t="s">
        <v>2337</v>
      </c>
      <c r="D842" s="371" t="s">
        <v>2235</v>
      </c>
      <c r="E842" s="206"/>
      <c r="F842" s="206" t="s">
        <v>56</v>
      </c>
      <c r="G842" s="206" t="s">
        <v>56</v>
      </c>
      <c r="H842" s="371" t="s">
        <v>2271</v>
      </c>
      <c r="I842" s="206" t="s">
        <v>2194</v>
      </c>
      <c r="J842" s="206" t="s">
        <v>1455</v>
      </c>
      <c r="K842" s="371" t="s">
        <v>2276</v>
      </c>
      <c r="L842" s="206" t="s">
        <v>2195</v>
      </c>
      <c r="M842" s="206" t="s">
        <v>1359</v>
      </c>
      <c r="N842" s="206" t="s">
        <v>59</v>
      </c>
      <c r="O842" s="372">
        <v>46175</v>
      </c>
      <c r="P842" s="372">
        <v>46059</v>
      </c>
      <c r="Q842" s="371" t="s">
        <v>2276</v>
      </c>
      <c r="R842" s="373">
        <v>24990</v>
      </c>
      <c r="S842" s="373">
        <v>24990</v>
      </c>
      <c r="T842" s="371" t="s">
        <v>2271</v>
      </c>
      <c r="U842" s="373">
        <v>10680</v>
      </c>
      <c r="V842" s="373">
        <v>10680</v>
      </c>
      <c r="W842" s="371" t="s">
        <v>2271</v>
      </c>
      <c r="X842" s="373">
        <v>14310</v>
      </c>
      <c r="Y842" s="373">
        <v>14310</v>
      </c>
      <c r="Z842" s="371" t="s">
        <v>2271</v>
      </c>
      <c r="AA842" s="373">
        <v>0</v>
      </c>
      <c r="AB842" s="373">
        <v>14320</v>
      </c>
      <c r="AC842" s="373">
        <v>14320</v>
      </c>
      <c r="AD842" s="371" t="s">
        <v>2271</v>
      </c>
      <c r="AE842" s="373">
        <v>0</v>
      </c>
      <c r="AF842" s="382">
        <v>0.406944444444444</v>
      </c>
      <c r="AG842" s="382">
        <v>0.406944444444444</v>
      </c>
      <c r="AH842" s="371" t="s">
        <v>2271</v>
      </c>
      <c r="AI842" s="382">
        <v>0.45972222222222198</v>
      </c>
      <c r="AJ842" s="382">
        <v>0.45972222222222198</v>
      </c>
      <c r="AK842" s="371" t="s">
        <v>2271</v>
      </c>
      <c r="AL842" s="206" t="s">
        <v>137</v>
      </c>
      <c r="AM842" s="206" t="s">
        <v>137</v>
      </c>
      <c r="AN842" s="371" t="s">
        <v>2271</v>
      </c>
      <c r="AO842" s="206" t="s">
        <v>3009</v>
      </c>
      <c r="AP842" s="206" t="s">
        <v>1781</v>
      </c>
      <c r="AQ842" s="206" t="s">
        <v>1132</v>
      </c>
      <c r="AR842" s="207" t="s">
        <v>75</v>
      </c>
    </row>
    <row r="843" spans="1:44" x14ac:dyDescent="0.2">
      <c r="A843" s="370">
        <v>824</v>
      </c>
      <c r="B843" s="380">
        <v>637</v>
      </c>
      <c r="C843" s="371" t="s">
        <v>2337</v>
      </c>
      <c r="D843" s="371" t="s">
        <v>2235</v>
      </c>
      <c r="E843" s="206"/>
      <c r="F843" s="206" t="s">
        <v>76</v>
      </c>
      <c r="G843" s="206" t="s">
        <v>76</v>
      </c>
      <c r="H843" s="371" t="s">
        <v>2271</v>
      </c>
      <c r="I843" s="206" t="s">
        <v>2194</v>
      </c>
      <c r="J843" s="206" t="s">
        <v>1455</v>
      </c>
      <c r="K843" s="371" t="s">
        <v>2276</v>
      </c>
      <c r="L843" s="206" t="s">
        <v>2195</v>
      </c>
      <c r="M843" s="206" t="s">
        <v>1359</v>
      </c>
      <c r="N843" s="206" t="s">
        <v>59</v>
      </c>
      <c r="O843" s="372">
        <v>46175</v>
      </c>
      <c r="P843" s="372">
        <v>46059</v>
      </c>
      <c r="Q843" s="371" t="s">
        <v>2276</v>
      </c>
      <c r="R843" s="373">
        <v>46060</v>
      </c>
      <c r="S843" s="373">
        <v>46060</v>
      </c>
      <c r="T843" s="371" t="s">
        <v>2271</v>
      </c>
      <c r="U843" s="373">
        <v>17810</v>
      </c>
      <c r="V843" s="373">
        <v>17810</v>
      </c>
      <c r="W843" s="371" t="s">
        <v>2271</v>
      </c>
      <c r="X843" s="373">
        <v>28250</v>
      </c>
      <c r="Y843" s="373">
        <v>28250</v>
      </c>
      <c r="Z843" s="371" t="s">
        <v>2271</v>
      </c>
      <c r="AA843" s="373">
        <v>0</v>
      </c>
      <c r="AB843" s="373">
        <v>28340</v>
      </c>
      <c r="AC843" s="373">
        <v>28340</v>
      </c>
      <c r="AD843" s="371" t="s">
        <v>2271</v>
      </c>
      <c r="AE843" s="373">
        <v>0</v>
      </c>
      <c r="AF843" s="382">
        <v>0.422222222222222</v>
      </c>
      <c r="AG843" s="382">
        <v>0.422222222222222</v>
      </c>
      <c r="AH843" s="371" t="s">
        <v>2271</v>
      </c>
      <c r="AI843" s="382">
        <v>0.47569444444444398</v>
      </c>
      <c r="AJ843" s="382">
        <v>0.47569444444444398</v>
      </c>
      <c r="AK843" s="371" t="s">
        <v>2271</v>
      </c>
      <c r="AL843" s="206" t="s">
        <v>137</v>
      </c>
      <c r="AM843" s="206" t="s">
        <v>137</v>
      </c>
      <c r="AN843" s="371" t="s">
        <v>2271</v>
      </c>
      <c r="AO843" s="206" t="s">
        <v>3010</v>
      </c>
      <c r="AP843" s="206" t="s">
        <v>1372</v>
      </c>
      <c r="AQ843" s="206" t="s">
        <v>1133</v>
      </c>
      <c r="AR843" s="207" t="s">
        <v>75</v>
      </c>
    </row>
    <row r="844" spans="1:44" x14ac:dyDescent="0.2">
      <c r="A844" s="370">
        <v>825</v>
      </c>
      <c r="B844" s="380">
        <v>638</v>
      </c>
      <c r="C844" s="371" t="s">
        <v>2337</v>
      </c>
      <c r="D844" s="371" t="s">
        <v>2235</v>
      </c>
      <c r="E844" s="206"/>
      <c r="F844" s="206" t="s">
        <v>738</v>
      </c>
      <c r="G844" s="206" t="s">
        <v>738</v>
      </c>
      <c r="H844" s="371" t="s">
        <v>2271</v>
      </c>
      <c r="I844" s="206"/>
      <c r="J844" s="206" t="s">
        <v>1361</v>
      </c>
      <c r="K844" s="371" t="s">
        <v>2276</v>
      </c>
      <c r="L844" s="206" t="s">
        <v>2196</v>
      </c>
      <c r="M844" s="206" t="s">
        <v>1360</v>
      </c>
      <c r="N844" s="206" t="s">
        <v>40</v>
      </c>
      <c r="O844" s="372">
        <v>46175</v>
      </c>
      <c r="P844" s="372">
        <v>46059</v>
      </c>
      <c r="Q844" s="371" t="s">
        <v>2276</v>
      </c>
      <c r="R844" s="373">
        <v>12380</v>
      </c>
      <c r="S844" s="373">
        <v>12380</v>
      </c>
      <c r="T844" s="371" t="s">
        <v>2271</v>
      </c>
      <c r="U844" s="373">
        <v>3830</v>
      </c>
      <c r="V844" s="373">
        <v>3830</v>
      </c>
      <c r="W844" s="371" t="s">
        <v>2271</v>
      </c>
      <c r="X844" s="373">
        <v>8550</v>
      </c>
      <c r="Y844" s="373">
        <v>8550</v>
      </c>
      <c r="Z844" s="371" t="s">
        <v>2271</v>
      </c>
      <c r="AA844" s="373">
        <v>0</v>
      </c>
      <c r="AB844" s="373">
        <v>8620</v>
      </c>
      <c r="AC844" s="373">
        <v>8620</v>
      </c>
      <c r="AD844" s="371" t="s">
        <v>2271</v>
      </c>
      <c r="AE844" s="373">
        <v>0</v>
      </c>
      <c r="AF844" s="382">
        <v>0.66805555555555596</v>
      </c>
      <c r="AG844" s="382">
        <v>0.66805555555555596</v>
      </c>
      <c r="AH844" s="371" t="s">
        <v>2271</v>
      </c>
      <c r="AI844" s="382">
        <v>0.70902777777777803</v>
      </c>
      <c r="AJ844" s="382">
        <v>0.70902777777777803</v>
      </c>
      <c r="AK844" s="371" t="s">
        <v>2271</v>
      </c>
      <c r="AL844" s="206" t="s">
        <v>137</v>
      </c>
      <c r="AM844" s="206" t="s">
        <v>137</v>
      </c>
      <c r="AN844" s="371" t="s">
        <v>2271</v>
      </c>
      <c r="AO844" s="206" t="s">
        <v>3011</v>
      </c>
      <c r="AP844" s="206"/>
      <c r="AQ844" s="206" t="s">
        <v>1131</v>
      </c>
      <c r="AR844" s="207" t="s">
        <v>82</v>
      </c>
    </row>
    <row r="845" spans="1:44" x14ac:dyDescent="0.2">
      <c r="A845" s="370">
        <v>826</v>
      </c>
      <c r="B845" s="380">
        <v>639</v>
      </c>
      <c r="C845" s="371" t="s">
        <v>2337</v>
      </c>
      <c r="D845" s="371" t="s">
        <v>2235</v>
      </c>
      <c r="E845" s="206"/>
      <c r="F845" s="206" t="s">
        <v>156</v>
      </c>
      <c r="G845" s="206" t="s">
        <v>156</v>
      </c>
      <c r="H845" s="371" t="s">
        <v>2271</v>
      </c>
      <c r="I845" s="206"/>
      <c r="J845" s="206" t="s">
        <v>1361</v>
      </c>
      <c r="K845" s="371" t="s">
        <v>2276</v>
      </c>
      <c r="L845" s="206" t="s">
        <v>2196</v>
      </c>
      <c r="M845" s="206" t="s">
        <v>1360</v>
      </c>
      <c r="N845" s="206" t="s">
        <v>40</v>
      </c>
      <c r="O845" s="372">
        <v>46175</v>
      </c>
      <c r="P845" s="372">
        <v>46059</v>
      </c>
      <c r="Q845" s="371" t="s">
        <v>2276</v>
      </c>
      <c r="R845" s="373">
        <v>14160</v>
      </c>
      <c r="S845" s="373">
        <v>14160</v>
      </c>
      <c r="T845" s="371" t="s">
        <v>2271</v>
      </c>
      <c r="U845" s="373">
        <v>4140</v>
      </c>
      <c r="V845" s="373">
        <v>4140</v>
      </c>
      <c r="W845" s="371" t="s">
        <v>2271</v>
      </c>
      <c r="X845" s="373">
        <v>10020</v>
      </c>
      <c r="Y845" s="373">
        <v>10020</v>
      </c>
      <c r="Z845" s="371" t="s">
        <v>2271</v>
      </c>
      <c r="AA845" s="373">
        <v>0</v>
      </c>
      <c r="AB845" s="373">
        <v>10020</v>
      </c>
      <c r="AC845" s="373">
        <v>10020</v>
      </c>
      <c r="AD845" s="371" t="s">
        <v>2271</v>
      </c>
      <c r="AE845" s="373">
        <v>0</v>
      </c>
      <c r="AF845" s="382">
        <v>0.72847222222222197</v>
      </c>
      <c r="AG845" s="382">
        <v>0.72847222222222197</v>
      </c>
      <c r="AH845" s="371" t="s">
        <v>2271</v>
      </c>
      <c r="AI845" s="382">
        <v>0.75486111111111098</v>
      </c>
      <c r="AJ845" s="382">
        <v>0.75486111111111098</v>
      </c>
      <c r="AK845" s="371" t="s">
        <v>2271</v>
      </c>
      <c r="AL845" s="206" t="s">
        <v>42</v>
      </c>
      <c r="AM845" s="206" t="s">
        <v>42</v>
      </c>
      <c r="AN845" s="371" t="s">
        <v>2271</v>
      </c>
      <c r="AO845" s="206" t="s">
        <v>3012</v>
      </c>
      <c r="AP845" s="206"/>
      <c r="AQ845" s="206" t="s">
        <v>1131</v>
      </c>
      <c r="AR845" s="207" t="s">
        <v>82</v>
      </c>
    </row>
    <row r="846" spans="1:44" x14ac:dyDescent="0.2">
      <c r="A846" s="370">
        <v>827</v>
      </c>
      <c r="B846" s="380">
        <v>640</v>
      </c>
      <c r="C846" s="371" t="s">
        <v>2337</v>
      </c>
      <c r="D846" s="371" t="s">
        <v>2235</v>
      </c>
      <c r="E846" s="206"/>
      <c r="F846" s="206" t="s">
        <v>215</v>
      </c>
      <c r="G846" s="206" t="s">
        <v>215</v>
      </c>
      <c r="H846" s="371" t="s">
        <v>2271</v>
      </c>
      <c r="I846" s="206"/>
      <c r="J846" s="206" t="s">
        <v>1361</v>
      </c>
      <c r="K846" s="371" t="s">
        <v>2276</v>
      </c>
      <c r="L846" s="206" t="s">
        <v>2196</v>
      </c>
      <c r="M846" s="206" t="s">
        <v>1360</v>
      </c>
      <c r="N846" s="206" t="s">
        <v>40</v>
      </c>
      <c r="O846" s="372">
        <v>46175</v>
      </c>
      <c r="P846" s="372">
        <v>46059</v>
      </c>
      <c r="Q846" s="371" t="s">
        <v>2276</v>
      </c>
      <c r="R846" s="373">
        <v>12880</v>
      </c>
      <c r="S846" s="373">
        <v>12880</v>
      </c>
      <c r="T846" s="371" t="s">
        <v>2271</v>
      </c>
      <c r="U846" s="373">
        <v>4000</v>
      </c>
      <c r="V846" s="373">
        <v>4000</v>
      </c>
      <c r="W846" s="371" t="s">
        <v>2271</v>
      </c>
      <c r="X846" s="373">
        <v>8880</v>
      </c>
      <c r="Y846" s="373">
        <v>8880</v>
      </c>
      <c r="Z846" s="371" t="s">
        <v>2271</v>
      </c>
      <c r="AA846" s="373">
        <v>0</v>
      </c>
      <c r="AB846" s="373">
        <v>8850</v>
      </c>
      <c r="AC846" s="373">
        <v>8850</v>
      </c>
      <c r="AD846" s="371" t="s">
        <v>2271</v>
      </c>
      <c r="AE846" s="373">
        <v>0</v>
      </c>
      <c r="AF846" s="382">
        <v>0.72986111111111096</v>
      </c>
      <c r="AG846" s="382">
        <v>0.72986111111111096</v>
      </c>
      <c r="AH846" s="371" t="s">
        <v>2271</v>
      </c>
      <c r="AI846" s="382">
        <v>0.76458333333333295</v>
      </c>
      <c r="AJ846" s="382">
        <v>0.76458333333333295</v>
      </c>
      <c r="AK846" s="371" t="s">
        <v>2271</v>
      </c>
      <c r="AL846" s="206" t="s">
        <v>42</v>
      </c>
      <c r="AM846" s="206" t="s">
        <v>42</v>
      </c>
      <c r="AN846" s="371" t="s">
        <v>2271</v>
      </c>
      <c r="AO846" s="206" t="s">
        <v>3013</v>
      </c>
      <c r="AP846" s="206"/>
      <c r="AQ846" s="206" t="s">
        <v>1131</v>
      </c>
      <c r="AR846" s="207" t="s">
        <v>82</v>
      </c>
    </row>
    <row r="847" spans="1:44" x14ac:dyDescent="0.2">
      <c r="A847" s="370">
        <v>828</v>
      </c>
      <c r="B847" s="380">
        <v>641</v>
      </c>
      <c r="C847" s="371" t="s">
        <v>2269</v>
      </c>
      <c r="D847" s="371" t="s">
        <v>2235</v>
      </c>
      <c r="E847" s="206"/>
      <c r="F847" s="206" t="s">
        <v>163</v>
      </c>
      <c r="G847" s="206" t="s">
        <v>163</v>
      </c>
      <c r="H847" s="371" t="s">
        <v>2271</v>
      </c>
      <c r="I847" s="206" t="s">
        <v>1356</v>
      </c>
      <c r="J847" s="206" t="s">
        <v>1356</v>
      </c>
      <c r="K847" s="371" t="s">
        <v>2271</v>
      </c>
      <c r="L847" s="206" t="s">
        <v>2191</v>
      </c>
      <c r="M847" s="206" t="s">
        <v>1355</v>
      </c>
      <c r="N847" s="206" t="s">
        <v>40</v>
      </c>
      <c r="O847" s="372">
        <v>46175</v>
      </c>
      <c r="P847" s="372">
        <v>46059</v>
      </c>
      <c r="Q847" s="371" t="s">
        <v>2276</v>
      </c>
      <c r="R847" s="373">
        <v>14040</v>
      </c>
      <c r="S847" s="373">
        <v>14040</v>
      </c>
      <c r="T847" s="371" t="s">
        <v>2271</v>
      </c>
      <c r="U847" s="373">
        <v>4030</v>
      </c>
      <c r="V847" s="373">
        <v>4030</v>
      </c>
      <c r="W847" s="371" t="s">
        <v>2271</v>
      </c>
      <c r="X847" s="373">
        <v>10010</v>
      </c>
      <c r="Y847" s="373">
        <v>10010</v>
      </c>
      <c r="Z847" s="371" t="s">
        <v>2271</v>
      </c>
      <c r="AA847" s="373">
        <v>0</v>
      </c>
      <c r="AB847" s="373">
        <v>10050</v>
      </c>
      <c r="AC847" s="373">
        <v>10050</v>
      </c>
      <c r="AD847" s="371" t="s">
        <v>2271</v>
      </c>
      <c r="AE847" s="373">
        <v>0</v>
      </c>
      <c r="AF847" s="382">
        <v>0.73333333333333295</v>
      </c>
      <c r="AG847" s="382">
        <v>0.73333333333333295</v>
      </c>
      <c r="AH847" s="371" t="s">
        <v>2271</v>
      </c>
      <c r="AI847" s="382">
        <v>0.76666666666666705</v>
      </c>
      <c r="AJ847" s="382">
        <v>0.76666666666666705</v>
      </c>
      <c r="AK847" s="371" t="s">
        <v>2271</v>
      </c>
      <c r="AL847" s="206" t="s">
        <v>42</v>
      </c>
      <c r="AM847" s="206" t="s">
        <v>42</v>
      </c>
      <c r="AN847" s="371" t="s">
        <v>2271</v>
      </c>
      <c r="AO847" s="206" t="s">
        <v>3014</v>
      </c>
      <c r="AP847" s="206"/>
      <c r="AQ847" s="206" t="s">
        <v>1131</v>
      </c>
      <c r="AR847" s="207" t="s">
        <v>82</v>
      </c>
    </row>
    <row r="848" spans="1:44" x14ac:dyDescent="0.2">
      <c r="A848" s="370">
        <v>829</v>
      </c>
      <c r="B848" s="380">
        <v>642</v>
      </c>
      <c r="C848" s="371" t="s">
        <v>2269</v>
      </c>
      <c r="D848" s="371" t="s">
        <v>2235</v>
      </c>
      <c r="E848" s="206"/>
      <c r="F848" s="206" t="s">
        <v>205</v>
      </c>
      <c r="G848" s="206" t="s">
        <v>205</v>
      </c>
      <c r="H848" s="371" t="s">
        <v>2271</v>
      </c>
      <c r="I848" s="206" t="s">
        <v>1356</v>
      </c>
      <c r="J848" s="206" t="s">
        <v>1356</v>
      </c>
      <c r="K848" s="371" t="s">
        <v>2271</v>
      </c>
      <c r="L848" s="206" t="s">
        <v>2191</v>
      </c>
      <c r="M848" s="206" t="s">
        <v>1355</v>
      </c>
      <c r="N848" s="206" t="s">
        <v>40</v>
      </c>
      <c r="O848" s="372">
        <v>46175</v>
      </c>
      <c r="P848" s="372">
        <v>46059</v>
      </c>
      <c r="Q848" s="371" t="s">
        <v>2276</v>
      </c>
      <c r="R848" s="373">
        <v>14050</v>
      </c>
      <c r="S848" s="373">
        <v>14050</v>
      </c>
      <c r="T848" s="371" t="s">
        <v>2271</v>
      </c>
      <c r="U848" s="373">
        <v>4140</v>
      </c>
      <c r="V848" s="373">
        <v>4140</v>
      </c>
      <c r="W848" s="371" t="s">
        <v>2271</v>
      </c>
      <c r="X848" s="373">
        <v>9910</v>
      </c>
      <c r="Y848" s="373">
        <v>9910</v>
      </c>
      <c r="Z848" s="371" t="s">
        <v>2271</v>
      </c>
      <c r="AA848" s="373">
        <v>0</v>
      </c>
      <c r="AB848" s="373">
        <v>9890</v>
      </c>
      <c r="AC848" s="373">
        <v>9890</v>
      </c>
      <c r="AD848" s="371" t="s">
        <v>2271</v>
      </c>
      <c r="AE848" s="373">
        <v>0</v>
      </c>
      <c r="AF848" s="382">
        <v>0.73472222222222205</v>
      </c>
      <c r="AG848" s="382">
        <v>0.73472222222222205</v>
      </c>
      <c r="AH848" s="371" t="s">
        <v>2271</v>
      </c>
      <c r="AI848" s="382">
        <v>0.76597222222222205</v>
      </c>
      <c r="AJ848" s="382">
        <v>0.76597222222222205</v>
      </c>
      <c r="AK848" s="371" t="s">
        <v>2271</v>
      </c>
      <c r="AL848" s="206" t="s">
        <v>42</v>
      </c>
      <c r="AM848" s="206" t="s">
        <v>42</v>
      </c>
      <c r="AN848" s="371" t="s">
        <v>2271</v>
      </c>
      <c r="AO848" s="206" t="s">
        <v>3015</v>
      </c>
      <c r="AP848" s="206"/>
      <c r="AQ848" s="206" t="s">
        <v>1131</v>
      </c>
      <c r="AR848" s="207" t="s">
        <v>82</v>
      </c>
    </row>
    <row r="849" spans="1:44" x14ac:dyDescent="0.2">
      <c r="A849" s="370">
        <v>830</v>
      </c>
      <c r="B849" s="380">
        <v>643</v>
      </c>
      <c r="C849" s="371" t="s">
        <v>2337</v>
      </c>
      <c r="D849" s="371" t="s">
        <v>2235</v>
      </c>
      <c r="E849" s="206"/>
      <c r="F849" s="206" t="s">
        <v>39</v>
      </c>
      <c r="G849" s="206" t="s">
        <v>39</v>
      </c>
      <c r="H849" s="371" t="s">
        <v>2271</v>
      </c>
      <c r="I849" s="206"/>
      <c r="J849" s="206" t="s">
        <v>1361</v>
      </c>
      <c r="K849" s="371" t="s">
        <v>2276</v>
      </c>
      <c r="L849" s="206" t="s">
        <v>2196</v>
      </c>
      <c r="M849" s="206" t="s">
        <v>1360</v>
      </c>
      <c r="N849" s="206" t="s">
        <v>40</v>
      </c>
      <c r="O849" s="372">
        <v>46205</v>
      </c>
      <c r="P849" s="372">
        <v>46060</v>
      </c>
      <c r="Q849" s="371" t="s">
        <v>2276</v>
      </c>
      <c r="R849" s="373">
        <v>13720</v>
      </c>
      <c r="S849" s="373">
        <v>13720</v>
      </c>
      <c r="T849" s="371" t="s">
        <v>2271</v>
      </c>
      <c r="U849" s="373">
        <v>4120</v>
      </c>
      <c r="V849" s="373">
        <v>4120</v>
      </c>
      <c r="W849" s="371" t="s">
        <v>2271</v>
      </c>
      <c r="X849" s="373">
        <v>9600</v>
      </c>
      <c r="Y849" s="373">
        <v>9600</v>
      </c>
      <c r="Z849" s="371" t="s">
        <v>2271</v>
      </c>
      <c r="AA849" s="373">
        <v>0</v>
      </c>
      <c r="AB849" s="373">
        <v>9570</v>
      </c>
      <c r="AC849" s="373">
        <v>9570</v>
      </c>
      <c r="AD849" s="371" t="s">
        <v>2271</v>
      </c>
      <c r="AE849" s="373">
        <v>0</v>
      </c>
      <c r="AF849" s="382">
        <v>0.36180555555555599</v>
      </c>
      <c r="AG849" s="382">
        <v>0.36180555555555599</v>
      </c>
      <c r="AH849" s="371" t="s">
        <v>2271</v>
      </c>
      <c r="AI849" s="382">
        <v>0.38888888888888901</v>
      </c>
      <c r="AJ849" s="382">
        <v>0.38888888888888901</v>
      </c>
      <c r="AK849" s="371" t="s">
        <v>2271</v>
      </c>
      <c r="AL849" s="206" t="s">
        <v>137</v>
      </c>
      <c r="AM849" s="206" t="s">
        <v>137</v>
      </c>
      <c r="AN849" s="371" t="s">
        <v>2271</v>
      </c>
      <c r="AO849" s="206" t="s">
        <v>3016</v>
      </c>
      <c r="AP849" s="206"/>
      <c r="AQ849" s="206" t="s">
        <v>1131</v>
      </c>
      <c r="AR849" s="207" t="s">
        <v>82</v>
      </c>
    </row>
    <row r="850" spans="1:44" x14ac:dyDescent="0.2">
      <c r="A850" s="370">
        <v>831</v>
      </c>
      <c r="B850" s="380">
        <v>644</v>
      </c>
      <c r="C850" s="371" t="s">
        <v>2337</v>
      </c>
      <c r="D850" s="371" t="s">
        <v>2235</v>
      </c>
      <c r="E850" s="206"/>
      <c r="F850" s="206" t="s">
        <v>73</v>
      </c>
      <c r="G850" s="206" t="s">
        <v>73</v>
      </c>
      <c r="H850" s="371" t="s">
        <v>2271</v>
      </c>
      <c r="I850" s="206"/>
      <c r="J850" s="206" t="s">
        <v>1361</v>
      </c>
      <c r="K850" s="371" t="s">
        <v>2276</v>
      </c>
      <c r="L850" s="206" t="s">
        <v>2196</v>
      </c>
      <c r="M850" s="206" t="s">
        <v>1360</v>
      </c>
      <c r="N850" s="206" t="s">
        <v>40</v>
      </c>
      <c r="O850" s="372">
        <v>46205</v>
      </c>
      <c r="P850" s="372">
        <v>46060</v>
      </c>
      <c r="Q850" s="371" t="s">
        <v>2276</v>
      </c>
      <c r="R850" s="373">
        <v>13480</v>
      </c>
      <c r="S850" s="373">
        <v>13480</v>
      </c>
      <c r="T850" s="371" t="s">
        <v>2271</v>
      </c>
      <c r="U850" s="373">
        <v>4000</v>
      </c>
      <c r="V850" s="373">
        <v>4000</v>
      </c>
      <c r="W850" s="371" t="s">
        <v>2271</v>
      </c>
      <c r="X850" s="373">
        <v>9480</v>
      </c>
      <c r="Y850" s="373">
        <v>9480</v>
      </c>
      <c r="Z850" s="371" t="s">
        <v>2271</v>
      </c>
      <c r="AA850" s="373">
        <v>0</v>
      </c>
      <c r="AB850" s="373">
        <v>9430</v>
      </c>
      <c r="AC850" s="373">
        <v>9430</v>
      </c>
      <c r="AD850" s="371" t="s">
        <v>2271</v>
      </c>
      <c r="AE850" s="373">
        <v>0</v>
      </c>
      <c r="AF850" s="382">
        <v>0.36319444444444399</v>
      </c>
      <c r="AG850" s="382">
        <v>0.36319444444444399</v>
      </c>
      <c r="AH850" s="371" t="s">
        <v>2271</v>
      </c>
      <c r="AI850" s="382">
        <v>0.390972222222222</v>
      </c>
      <c r="AJ850" s="382">
        <v>0.390972222222222</v>
      </c>
      <c r="AK850" s="371" t="s">
        <v>2271</v>
      </c>
      <c r="AL850" s="206" t="s">
        <v>137</v>
      </c>
      <c r="AM850" s="206" t="s">
        <v>137</v>
      </c>
      <c r="AN850" s="371" t="s">
        <v>2271</v>
      </c>
      <c r="AO850" s="206" t="s">
        <v>3017</v>
      </c>
      <c r="AP850" s="206"/>
      <c r="AQ850" s="206" t="s">
        <v>1131</v>
      </c>
      <c r="AR850" s="207" t="s">
        <v>82</v>
      </c>
    </row>
    <row r="851" spans="1:44" x14ac:dyDescent="0.2">
      <c r="A851" s="370">
        <v>832</v>
      </c>
      <c r="B851" s="380">
        <v>645</v>
      </c>
      <c r="C851" s="371" t="s">
        <v>2337</v>
      </c>
      <c r="D851" s="371" t="s">
        <v>2235</v>
      </c>
      <c r="E851" s="206"/>
      <c r="F851" s="206" t="s">
        <v>151</v>
      </c>
      <c r="G851" s="206" t="s">
        <v>151</v>
      </c>
      <c r="H851" s="371" t="s">
        <v>2271</v>
      </c>
      <c r="I851" s="206"/>
      <c r="J851" s="206" t="s">
        <v>1361</v>
      </c>
      <c r="K851" s="371" t="s">
        <v>2276</v>
      </c>
      <c r="L851" s="206" t="s">
        <v>2196</v>
      </c>
      <c r="M851" s="206" t="s">
        <v>1360</v>
      </c>
      <c r="N851" s="206" t="s">
        <v>40</v>
      </c>
      <c r="O851" s="372">
        <v>46205</v>
      </c>
      <c r="P851" s="372">
        <v>46060</v>
      </c>
      <c r="Q851" s="371" t="s">
        <v>2276</v>
      </c>
      <c r="R851" s="373">
        <v>13560</v>
      </c>
      <c r="S851" s="373">
        <v>13560</v>
      </c>
      <c r="T851" s="371" t="s">
        <v>2271</v>
      </c>
      <c r="U851" s="373">
        <v>4140</v>
      </c>
      <c r="V851" s="373">
        <v>4140</v>
      </c>
      <c r="W851" s="371" t="s">
        <v>2271</v>
      </c>
      <c r="X851" s="373">
        <v>9420</v>
      </c>
      <c r="Y851" s="373">
        <v>9420</v>
      </c>
      <c r="Z851" s="371" t="s">
        <v>2271</v>
      </c>
      <c r="AA851" s="373">
        <v>0</v>
      </c>
      <c r="AB851" s="373">
        <v>9370</v>
      </c>
      <c r="AC851" s="373">
        <v>9370</v>
      </c>
      <c r="AD851" s="371" t="s">
        <v>2271</v>
      </c>
      <c r="AE851" s="373">
        <v>0</v>
      </c>
      <c r="AF851" s="382">
        <v>0.36458333333333298</v>
      </c>
      <c r="AG851" s="382">
        <v>0.36458333333333298</v>
      </c>
      <c r="AH851" s="371" t="s">
        <v>2271</v>
      </c>
      <c r="AI851" s="382">
        <v>0.39513888888888898</v>
      </c>
      <c r="AJ851" s="382">
        <v>0.39513888888888898</v>
      </c>
      <c r="AK851" s="371" t="s">
        <v>2271</v>
      </c>
      <c r="AL851" s="206" t="s">
        <v>137</v>
      </c>
      <c r="AM851" s="206" t="s">
        <v>137</v>
      </c>
      <c r="AN851" s="371" t="s">
        <v>2271</v>
      </c>
      <c r="AO851" s="206" t="s">
        <v>3018</v>
      </c>
      <c r="AP851" s="206"/>
      <c r="AQ851" s="206" t="s">
        <v>1131</v>
      </c>
      <c r="AR851" s="207" t="s">
        <v>82</v>
      </c>
    </row>
    <row r="852" spans="1:44" x14ac:dyDescent="0.2">
      <c r="A852" s="370">
        <v>833</v>
      </c>
      <c r="B852" s="380">
        <v>646</v>
      </c>
      <c r="C852" s="371" t="s">
        <v>2337</v>
      </c>
      <c r="D852" s="371" t="s">
        <v>2235</v>
      </c>
      <c r="E852" s="206"/>
      <c r="F852" s="206" t="s">
        <v>149</v>
      </c>
      <c r="G852" s="206" t="s">
        <v>149</v>
      </c>
      <c r="H852" s="371" t="s">
        <v>2271</v>
      </c>
      <c r="I852" s="206"/>
      <c r="J852" s="206" t="s">
        <v>1361</v>
      </c>
      <c r="K852" s="371" t="s">
        <v>2276</v>
      </c>
      <c r="L852" s="206" t="s">
        <v>2196</v>
      </c>
      <c r="M852" s="206" t="s">
        <v>1360</v>
      </c>
      <c r="N852" s="206" t="s">
        <v>40</v>
      </c>
      <c r="O852" s="372">
        <v>46205</v>
      </c>
      <c r="P852" s="372">
        <v>46060</v>
      </c>
      <c r="Q852" s="371" t="s">
        <v>2276</v>
      </c>
      <c r="R852" s="373">
        <v>13960</v>
      </c>
      <c r="S852" s="373">
        <v>13960</v>
      </c>
      <c r="T852" s="371" t="s">
        <v>2271</v>
      </c>
      <c r="U852" s="373">
        <v>4090</v>
      </c>
      <c r="V852" s="373">
        <v>4090</v>
      </c>
      <c r="W852" s="371" t="s">
        <v>2271</v>
      </c>
      <c r="X852" s="373">
        <v>9870</v>
      </c>
      <c r="Y852" s="373">
        <v>9870</v>
      </c>
      <c r="Z852" s="371" t="s">
        <v>2271</v>
      </c>
      <c r="AA852" s="373">
        <v>0</v>
      </c>
      <c r="AB852" s="373">
        <v>9830</v>
      </c>
      <c r="AC852" s="373">
        <v>9830</v>
      </c>
      <c r="AD852" s="371" t="s">
        <v>2271</v>
      </c>
      <c r="AE852" s="373">
        <v>0</v>
      </c>
      <c r="AF852" s="382">
        <v>0.36527777777777798</v>
      </c>
      <c r="AG852" s="382">
        <v>0.36527777777777798</v>
      </c>
      <c r="AH852" s="371" t="s">
        <v>2271</v>
      </c>
      <c r="AI852" s="382">
        <v>0.390277777777778</v>
      </c>
      <c r="AJ852" s="382">
        <v>0.390277777777778</v>
      </c>
      <c r="AK852" s="371" t="s">
        <v>2271</v>
      </c>
      <c r="AL852" s="206" t="s">
        <v>137</v>
      </c>
      <c r="AM852" s="206" t="s">
        <v>137</v>
      </c>
      <c r="AN852" s="371" t="s">
        <v>2271</v>
      </c>
      <c r="AO852" s="206" t="s">
        <v>3019</v>
      </c>
      <c r="AP852" s="206"/>
      <c r="AQ852" s="206" t="s">
        <v>1131</v>
      </c>
      <c r="AR852" s="207" t="s">
        <v>82</v>
      </c>
    </row>
    <row r="853" spans="1:44" x14ac:dyDescent="0.2">
      <c r="A853" s="370">
        <v>834</v>
      </c>
      <c r="B853" s="380">
        <v>647</v>
      </c>
      <c r="C853" s="371" t="s">
        <v>2337</v>
      </c>
      <c r="D853" s="371" t="s">
        <v>2235</v>
      </c>
      <c r="E853" s="206"/>
      <c r="F853" s="206" t="s">
        <v>153</v>
      </c>
      <c r="G853" s="206" t="s">
        <v>153</v>
      </c>
      <c r="H853" s="371" t="s">
        <v>2271</v>
      </c>
      <c r="I853" s="206"/>
      <c r="J853" s="206" t="s">
        <v>1361</v>
      </c>
      <c r="K853" s="371" t="s">
        <v>2276</v>
      </c>
      <c r="L853" s="206" t="s">
        <v>2196</v>
      </c>
      <c r="M853" s="206" t="s">
        <v>1360</v>
      </c>
      <c r="N853" s="206" t="s">
        <v>40</v>
      </c>
      <c r="O853" s="372">
        <v>46205</v>
      </c>
      <c r="P853" s="372">
        <v>46060</v>
      </c>
      <c r="Q853" s="371" t="s">
        <v>2276</v>
      </c>
      <c r="R853" s="373">
        <v>13580</v>
      </c>
      <c r="S853" s="373">
        <v>13580</v>
      </c>
      <c r="T853" s="371" t="s">
        <v>2271</v>
      </c>
      <c r="U853" s="373">
        <v>3990</v>
      </c>
      <c r="V853" s="373">
        <v>3990</v>
      </c>
      <c r="W853" s="371" t="s">
        <v>2271</v>
      </c>
      <c r="X853" s="373">
        <v>9590</v>
      </c>
      <c r="Y853" s="373">
        <v>9590</v>
      </c>
      <c r="Z853" s="371" t="s">
        <v>2271</v>
      </c>
      <c r="AA853" s="373">
        <v>0</v>
      </c>
      <c r="AB853" s="373">
        <v>9560</v>
      </c>
      <c r="AC853" s="373">
        <v>9560</v>
      </c>
      <c r="AD853" s="371" t="s">
        <v>2271</v>
      </c>
      <c r="AE853" s="373">
        <v>0</v>
      </c>
      <c r="AF853" s="382">
        <v>0.39305555555555599</v>
      </c>
      <c r="AG853" s="382">
        <v>0.39305555555555599</v>
      </c>
      <c r="AH853" s="371" t="s">
        <v>2271</v>
      </c>
      <c r="AI853" s="382">
        <v>0.41875000000000001</v>
      </c>
      <c r="AJ853" s="382">
        <v>0.41875000000000001</v>
      </c>
      <c r="AK853" s="371" t="s">
        <v>2271</v>
      </c>
      <c r="AL853" s="206" t="s">
        <v>137</v>
      </c>
      <c r="AM853" s="206" t="s">
        <v>137</v>
      </c>
      <c r="AN853" s="371" t="s">
        <v>2271</v>
      </c>
      <c r="AO853" s="206" t="s">
        <v>3020</v>
      </c>
      <c r="AP853" s="206"/>
      <c r="AQ853" s="206" t="s">
        <v>1131</v>
      </c>
      <c r="AR853" s="207" t="s">
        <v>82</v>
      </c>
    </row>
    <row r="854" spans="1:44" x14ac:dyDescent="0.2">
      <c r="A854" s="370">
        <v>835</v>
      </c>
      <c r="B854" s="380">
        <v>648</v>
      </c>
      <c r="C854" s="371" t="s">
        <v>2337</v>
      </c>
      <c r="D854" s="371" t="s">
        <v>2235</v>
      </c>
      <c r="E854" s="206"/>
      <c r="F854" s="206" t="s">
        <v>220</v>
      </c>
      <c r="G854" s="206" t="s">
        <v>220</v>
      </c>
      <c r="H854" s="371" t="s">
        <v>2271</v>
      </c>
      <c r="I854" s="206"/>
      <c r="J854" s="206" t="s">
        <v>1361</v>
      </c>
      <c r="K854" s="371" t="s">
        <v>2276</v>
      </c>
      <c r="L854" s="206" t="s">
        <v>2196</v>
      </c>
      <c r="M854" s="206" t="s">
        <v>1360</v>
      </c>
      <c r="N854" s="206" t="s">
        <v>40</v>
      </c>
      <c r="O854" s="372">
        <v>46205</v>
      </c>
      <c r="P854" s="372">
        <v>46060</v>
      </c>
      <c r="Q854" s="371" t="s">
        <v>2276</v>
      </c>
      <c r="R854" s="373">
        <v>13660</v>
      </c>
      <c r="S854" s="373">
        <v>13660</v>
      </c>
      <c r="T854" s="371" t="s">
        <v>2271</v>
      </c>
      <c r="U854" s="373">
        <v>4010</v>
      </c>
      <c r="V854" s="373">
        <v>4010</v>
      </c>
      <c r="W854" s="371" t="s">
        <v>2271</v>
      </c>
      <c r="X854" s="373">
        <v>9650</v>
      </c>
      <c r="Y854" s="373">
        <v>9650</v>
      </c>
      <c r="Z854" s="371" t="s">
        <v>2271</v>
      </c>
      <c r="AA854" s="373">
        <v>0</v>
      </c>
      <c r="AB854" s="373">
        <v>9600</v>
      </c>
      <c r="AC854" s="373">
        <v>9600</v>
      </c>
      <c r="AD854" s="371" t="s">
        <v>2271</v>
      </c>
      <c r="AE854" s="373">
        <v>0</v>
      </c>
      <c r="AF854" s="382">
        <v>0.39444444444444399</v>
      </c>
      <c r="AG854" s="382">
        <v>0.39444444444444399</v>
      </c>
      <c r="AH854" s="371" t="s">
        <v>2271</v>
      </c>
      <c r="AI854" s="382">
        <v>0.41527777777777802</v>
      </c>
      <c r="AJ854" s="382">
        <v>0.41527777777777802</v>
      </c>
      <c r="AK854" s="371" t="s">
        <v>2271</v>
      </c>
      <c r="AL854" s="206" t="s">
        <v>137</v>
      </c>
      <c r="AM854" s="206" t="s">
        <v>137</v>
      </c>
      <c r="AN854" s="371" t="s">
        <v>2271</v>
      </c>
      <c r="AO854" s="206" t="s">
        <v>3021</v>
      </c>
      <c r="AP854" s="206"/>
      <c r="AQ854" s="206" t="s">
        <v>1131</v>
      </c>
      <c r="AR854" s="207" t="s">
        <v>82</v>
      </c>
    </row>
    <row r="855" spans="1:44" x14ac:dyDescent="0.2">
      <c r="A855" s="370">
        <v>836</v>
      </c>
      <c r="B855" s="380">
        <v>649</v>
      </c>
      <c r="C855" s="371" t="s">
        <v>2337</v>
      </c>
      <c r="D855" s="371" t="s">
        <v>2235</v>
      </c>
      <c r="E855" s="206"/>
      <c r="F855" s="206" t="s">
        <v>70</v>
      </c>
      <c r="G855" s="206" t="s">
        <v>70</v>
      </c>
      <c r="H855" s="371" t="s">
        <v>2271</v>
      </c>
      <c r="I855" s="206"/>
      <c r="J855" s="206"/>
      <c r="K855" s="371" t="s">
        <v>2271</v>
      </c>
      <c r="L855" s="206" t="s">
        <v>2197</v>
      </c>
      <c r="M855" s="206" t="s">
        <v>1362</v>
      </c>
      <c r="N855" s="206" t="s">
        <v>59</v>
      </c>
      <c r="O855" s="372">
        <v>46205</v>
      </c>
      <c r="P855" s="372">
        <v>46060</v>
      </c>
      <c r="Q855" s="371" t="s">
        <v>2276</v>
      </c>
      <c r="R855" s="373">
        <v>45790</v>
      </c>
      <c r="S855" s="373">
        <v>45790</v>
      </c>
      <c r="T855" s="371" t="s">
        <v>2271</v>
      </c>
      <c r="U855" s="373">
        <v>17490</v>
      </c>
      <c r="V855" s="373">
        <v>17490</v>
      </c>
      <c r="W855" s="371" t="s">
        <v>2271</v>
      </c>
      <c r="X855" s="373">
        <v>28300</v>
      </c>
      <c r="Y855" s="373">
        <v>28300</v>
      </c>
      <c r="Z855" s="371" t="s">
        <v>2271</v>
      </c>
      <c r="AA855" s="373">
        <v>0</v>
      </c>
      <c r="AB855" s="373">
        <v>28420</v>
      </c>
      <c r="AC855" s="373">
        <v>28420</v>
      </c>
      <c r="AD855" s="371" t="s">
        <v>2271</v>
      </c>
      <c r="AE855" s="373">
        <v>0</v>
      </c>
      <c r="AF855" s="382">
        <v>0.39652777777777798</v>
      </c>
      <c r="AG855" s="382">
        <v>0.39652777777777798</v>
      </c>
      <c r="AH855" s="371" t="s">
        <v>2271</v>
      </c>
      <c r="AI855" s="382">
        <v>0.452777777777778</v>
      </c>
      <c r="AJ855" s="382">
        <v>0.452777777777778</v>
      </c>
      <c r="AK855" s="371" t="s">
        <v>2271</v>
      </c>
      <c r="AL855" s="206" t="s">
        <v>137</v>
      </c>
      <c r="AM855" s="206" t="s">
        <v>137</v>
      </c>
      <c r="AN855" s="371" t="s">
        <v>2271</v>
      </c>
      <c r="AO855" s="206" t="s">
        <v>3022</v>
      </c>
      <c r="AP855" s="206" t="s">
        <v>1499</v>
      </c>
      <c r="AQ855" s="206" t="s">
        <v>1133</v>
      </c>
      <c r="AR855" s="207" t="s">
        <v>75</v>
      </c>
    </row>
    <row r="856" spans="1:44" x14ac:dyDescent="0.2">
      <c r="A856" s="370">
        <v>837</v>
      </c>
      <c r="B856" s="380">
        <v>650</v>
      </c>
      <c r="C856" s="371" t="s">
        <v>2337</v>
      </c>
      <c r="D856" s="371" t="s">
        <v>2235</v>
      </c>
      <c r="E856" s="206"/>
      <c r="F856" s="206" t="s">
        <v>56</v>
      </c>
      <c r="G856" s="206" t="s">
        <v>56</v>
      </c>
      <c r="H856" s="371" t="s">
        <v>2271</v>
      </c>
      <c r="I856" s="206"/>
      <c r="J856" s="206"/>
      <c r="K856" s="371" t="s">
        <v>2271</v>
      </c>
      <c r="L856" s="206" t="s">
        <v>2197</v>
      </c>
      <c r="M856" s="206" t="s">
        <v>1362</v>
      </c>
      <c r="N856" s="206" t="s">
        <v>59</v>
      </c>
      <c r="O856" s="372">
        <v>46205</v>
      </c>
      <c r="P856" s="372">
        <v>46060</v>
      </c>
      <c r="Q856" s="371" t="s">
        <v>2276</v>
      </c>
      <c r="R856" s="373">
        <v>25100</v>
      </c>
      <c r="S856" s="373">
        <v>25100</v>
      </c>
      <c r="T856" s="371" t="s">
        <v>2271</v>
      </c>
      <c r="U856" s="373">
        <v>10800</v>
      </c>
      <c r="V856" s="373">
        <v>10800</v>
      </c>
      <c r="W856" s="371" t="s">
        <v>2271</v>
      </c>
      <c r="X856" s="373">
        <v>14300</v>
      </c>
      <c r="Y856" s="373">
        <v>14300</v>
      </c>
      <c r="Z856" s="371" t="s">
        <v>2271</v>
      </c>
      <c r="AA856" s="373">
        <v>0</v>
      </c>
      <c r="AB856" s="373">
        <v>14340</v>
      </c>
      <c r="AC856" s="373">
        <v>14340</v>
      </c>
      <c r="AD856" s="371" t="s">
        <v>2271</v>
      </c>
      <c r="AE856" s="373">
        <v>0</v>
      </c>
      <c r="AF856" s="382">
        <v>0.39791666666666697</v>
      </c>
      <c r="AG856" s="382">
        <v>0.39791666666666697</v>
      </c>
      <c r="AH856" s="371" t="s">
        <v>2271</v>
      </c>
      <c r="AI856" s="382">
        <v>0.47638888888888897</v>
      </c>
      <c r="AJ856" s="382">
        <v>0.47638888888888897</v>
      </c>
      <c r="AK856" s="371" t="s">
        <v>2271</v>
      </c>
      <c r="AL856" s="206" t="s">
        <v>137</v>
      </c>
      <c r="AM856" s="206" t="s">
        <v>137</v>
      </c>
      <c r="AN856" s="371" t="s">
        <v>2271</v>
      </c>
      <c r="AO856" s="206" t="s">
        <v>3023</v>
      </c>
      <c r="AP856" s="206" t="s">
        <v>1781</v>
      </c>
      <c r="AQ856" s="206" t="s">
        <v>1132</v>
      </c>
      <c r="AR856" s="207" t="s">
        <v>75</v>
      </c>
    </row>
    <row r="857" spans="1:44" x14ac:dyDescent="0.2">
      <c r="A857" s="370">
        <v>838</v>
      </c>
      <c r="B857" s="380">
        <v>651</v>
      </c>
      <c r="C857" s="371" t="s">
        <v>2337</v>
      </c>
      <c r="D857" s="371" t="s">
        <v>2235</v>
      </c>
      <c r="E857" s="206"/>
      <c r="F857" s="206" t="s">
        <v>76</v>
      </c>
      <c r="G857" s="206" t="s">
        <v>76</v>
      </c>
      <c r="H857" s="371" t="s">
        <v>2271</v>
      </c>
      <c r="I857" s="206"/>
      <c r="J857" s="206"/>
      <c r="K857" s="371" t="s">
        <v>2271</v>
      </c>
      <c r="L857" s="206" t="s">
        <v>2197</v>
      </c>
      <c r="M857" s="206" t="s">
        <v>1362</v>
      </c>
      <c r="N857" s="206" t="s">
        <v>59</v>
      </c>
      <c r="O857" s="372">
        <v>46205</v>
      </c>
      <c r="P857" s="372">
        <v>46060</v>
      </c>
      <c r="Q857" s="371" t="s">
        <v>2276</v>
      </c>
      <c r="R857" s="373">
        <v>45990</v>
      </c>
      <c r="S857" s="373">
        <v>45990</v>
      </c>
      <c r="T857" s="371" t="s">
        <v>2271</v>
      </c>
      <c r="U857" s="373">
        <v>17670</v>
      </c>
      <c r="V857" s="373">
        <v>17670</v>
      </c>
      <c r="W857" s="371" t="s">
        <v>2271</v>
      </c>
      <c r="X857" s="373">
        <v>28320</v>
      </c>
      <c r="Y857" s="373">
        <v>28320</v>
      </c>
      <c r="Z857" s="371" t="s">
        <v>2271</v>
      </c>
      <c r="AA857" s="373">
        <v>0</v>
      </c>
      <c r="AB857" s="373">
        <v>28420</v>
      </c>
      <c r="AC857" s="373">
        <v>28420</v>
      </c>
      <c r="AD857" s="371" t="s">
        <v>2271</v>
      </c>
      <c r="AE857" s="373">
        <v>0</v>
      </c>
      <c r="AF857" s="382">
        <v>0.41736111111111102</v>
      </c>
      <c r="AG857" s="382">
        <v>0.41736111111111102</v>
      </c>
      <c r="AH857" s="371" t="s">
        <v>2271</v>
      </c>
      <c r="AI857" s="382">
        <v>0.48194444444444401</v>
      </c>
      <c r="AJ857" s="382">
        <v>0.48194444444444501</v>
      </c>
      <c r="AK857" s="371" t="s">
        <v>2276</v>
      </c>
      <c r="AL857" s="206" t="s">
        <v>137</v>
      </c>
      <c r="AM857" s="206" t="s">
        <v>137</v>
      </c>
      <c r="AN857" s="371" t="s">
        <v>2271</v>
      </c>
      <c r="AO857" s="206" t="s">
        <v>3024</v>
      </c>
      <c r="AP857" s="206" t="s">
        <v>1372</v>
      </c>
      <c r="AQ857" s="206" t="s">
        <v>1133</v>
      </c>
      <c r="AR857" s="207" t="s">
        <v>75</v>
      </c>
    </row>
    <row r="858" spans="1:44" x14ac:dyDescent="0.2">
      <c r="A858" s="370">
        <v>839</v>
      </c>
      <c r="B858" s="380">
        <v>652</v>
      </c>
      <c r="C858" s="371" t="s">
        <v>2337</v>
      </c>
      <c r="D858" s="371" t="s">
        <v>2235</v>
      </c>
      <c r="E858" s="206"/>
      <c r="F858" s="206" t="s">
        <v>158</v>
      </c>
      <c r="G858" s="206" t="s">
        <v>158</v>
      </c>
      <c r="H858" s="371" t="s">
        <v>2271</v>
      </c>
      <c r="I858" s="206"/>
      <c r="J858" s="206" t="s">
        <v>1361</v>
      </c>
      <c r="K858" s="371" t="s">
        <v>2276</v>
      </c>
      <c r="L858" s="206" t="s">
        <v>2196</v>
      </c>
      <c r="M858" s="206" t="s">
        <v>1360</v>
      </c>
      <c r="N858" s="206" t="s">
        <v>40</v>
      </c>
      <c r="O858" s="372">
        <v>46205</v>
      </c>
      <c r="P858" s="372">
        <v>46060</v>
      </c>
      <c r="Q858" s="371" t="s">
        <v>2276</v>
      </c>
      <c r="R858" s="373">
        <v>14170</v>
      </c>
      <c r="S858" s="373">
        <v>14170</v>
      </c>
      <c r="T858" s="371" t="s">
        <v>2271</v>
      </c>
      <c r="U858" s="373">
        <v>4060</v>
      </c>
      <c r="V858" s="373">
        <v>4060</v>
      </c>
      <c r="W858" s="371" t="s">
        <v>2271</v>
      </c>
      <c r="X858" s="373">
        <v>10110</v>
      </c>
      <c r="Y858" s="373">
        <v>10110</v>
      </c>
      <c r="Z858" s="371" t="s">
        <v>2271</v>
      </c>
      <c r="AA858" s="373">
        <v>0</v>
      </c>
      <c r="AB858" s="373">
        <v>10060</v>
      </c>
      <c r="AC858" s="373">
        <v>10060</v>
      </c>
      <c r="AD858" s="371" t="s">
        <v>2271</v>
      </c>
      <c r="AE858" s="373">
        <v>0</v>
      </c>
      <c r="AF858" s="382">
        <v>0.420833333333333</v>
      </c>
      <c r="AG858" s="382">
        <v>0.420833333333333</v>
      </c>
      <c r="AH858" s="371" t="s">
        <v>2271</v>
      </c>
      <c r="AI858" s="382">
        <v>0.44444444444444398</v>
      </c>
      <c r="AJ858" s="382">
        <v>0.44444444444444398</v>
      </c>
      <c r="AK858" s="371" t="s">
        <v>2271</v>
      </c>
      <c r="AL858" s="206" t="s">
        <v>137</v>
      </c>
      <c r="AM858" s="206" t="s">
        <v>137</v>
      </c>
      <c r="AN858" s="371" t="s">
        <v>2271</v>
      </c>
      <c r="AO858" s="206" t="s">
        <v>3025</v>
      </c>
      <c r="AP858" s="206"/>
      <c r="AQ858" s="206" t="s">
        <v>1131</v>
      </c>
      <c r="AR858" s="207" t="s">
        <v>82</v>
      </c>
    </row>
    <row r="859" spans="1:44" x14ac:dyDescent="0.2">
      <c r="A859" s="370">
        <v>840</v>
      </c>
      <c r="B859" s="380">
        <v>653</v>
      </c>
      <c r="C859" s="371" t="s">
        <v>2337</v>
      </c>
      <c r="D859" s="371" t="s">
        <v>2235</v>
      </c>
      <c r="E859" s="206"/>
      <c r="F859" s="206" t="s">
        <v>186</v>
      </c>
      <c r="G859" s="206" t="s">
        <v>186</v>
      </c>
      <c r="H859" s="371" t="s">
        <v>2271</v>
      </c>
      <c r="I859" s="206"/>
      <c r="J859" s="206" t="s">
        <v>1361</v>
      </c>
      <c r="K859" s="371" t="s">
        <v>2276</v>
      </c>
      <c r="L859" s="206" t="s">
        <v>2196</v>
      </c>
      <c r="M859" s="206" t="s">
        <v>1360</v>
      </c>
      <c r="N859" s="206" t="s">
        <v>40</v>
      </c>
      <c r="O859" s="372">
        <v>46205</v>
      </c>
      <c r="P859" s="372">
        <v>46060</v>
      </c>
      <c r="Q859" s="371" t="s">
        <v>2276</v>
      </c>
      <c r="R859" s="373">
        <v>13600</v>
      </c>
      <c r="S859" s="373">
        <v>13600</v>
      </c>
      <c r="T859" s="371" t="s">
        <v>2271</v>
      </c>
      <c r="U859" s="373">
        <v>4000</v>
      </c>
      <c r="V859" s="373">
        <v>4000</v>
      </c>
      <c r="W859" s="371" t="s">
        <v>2271</v>
      </c>
      <c r="X859" s="373">
        <v>9600</v>
      </c>
      <c r="Y859" s="373">
        <v>9600</v>
      </c>
      <c r="Z859" s="371" t="s">
        <v>2271</v>
      </c>
      <c r="AA859" s="373">
        <v>0</v>
      </c>
      <c r="AB859" s="373">
        <v>9570</v>
      </c>
      <c r="AC859" s="373">
        <v>9570</v>
      </c>
      <c r="AD859" s="371" t="s">
        <v>2271</v>
      </c>
      <c r="AE859" s="373">
        <v>0</v>
      </c>
      <c r="AF859" s="382">
        <v>0.44722222222222202</v>
      </c>
      <c r="AG859" s="382">
        <v>0.44722222222222202</v>
      </c>
      <c r="AH859" s="371" t="s">
        <v>2271</v>
      </c>
      <c r="AI859" s="382">
        <v>0.46875</v>
      </c>
      <c r="AJ859" s="382">
        <v>0.46875</v>
      </c>
      <c r="AK859" s="371" t="s">
        <v>2271</v>
      </c>
      <c r="AL859" s="206" t="s">
        <v>137</v>
      </c>
      <c r="AM859" s="206" t="s">
        <v>137</v>
      </c>
      <c r="AN859" s="371" t="s">
        <v>2271</v>
      </c>
      <c r="AO859" s="206" t="s">
        <v>3026</v>
      </c>
      <c r="AP859" s="206"/>
      <c r="AQ859" s="206" t="s">
        <v>1131</v>
      </c>
      <c r="AR859" s="207" t="s">
        <v>82</v>
      </c>
    </row>
    <row r="860" spans="1:44" x14ac:dyDescent="0.2">
      <c r="A860" s="370">
        <v>841</v>
      </c>
      <c r="B860" s="380">
        <v>654</v>
      </c>
      <c r="C860" s="371" t="s">
        <v>2269</v>
      </c>
      <c r="D860" s="371" t="s">
        <v>2235</v>
      </c>
      <c r="E860" s="206"/>
      <c r="F860" s="206" t="s">
        <v>181</v>
      </c>
      <c r="G860" s="206" t="s">
        <v>181</v>
      </c>
      <c r="H860" s="371" t="s">
        <v>2271</v>
      </c>
      <c r="I860" s="206" t="s">
        <v>1356</v>
      </c>
      <c r="J860" s="206" t="s">
        <v>1356</v>
      </c>
      <c r="K860" s="371" t="s">
        <v>2271</v>
      </c>
      <c r="L860" s="206" t="s">
        <v>2191</v>
      </c>
      <c r="M860" s="206" t="s">
        <v>1355</v>
      </c>
      <c r="N860" s="206" t="s">
        <v>40</v>
      </c>
      <c r="O860" s="372">
        <v>46205</v>
      </c>
      <c r="P860" s="372">
        <v>46060</v>
      </c>
      <c r="Q860" s="371" t="s">
        <v>2276</v>
      </c>
      <c r="R860" s="373">
        <v>13610</v>
      </c>
      <c r="S860" s="373">
        <v>13610</v>
      </c>
      <c r="T860" s="371" t="s">
        <v>2271</v>
      </c>
      <c r="U860" s="373">
        <v>13130</v>
      </c>
      <c r="V860" s="373">
        <v>13130</v>
      </c>
      <c r="W860" s="371" t="s">
        <v>2271</v>
      </c>
      <c r="X860" s="373">
        <v>340</v>
      </c>
      <c r="Y860" s="373">
        <v>340</v>
      </c>
      <c r="Z860" s="371" t="s">
        <v>2271</v>
      </c>
      <c r="AA860" s="373">
        <v>0</v>
      </c>
      <c r="AB860" s="373">
        <v>340</v>
      </c>
      <c r="AC860" s="373">
        <v>340</v>
      </c>
      <c r="AD860" s="371" t="s">
        <v>2271</v>
      </c>
      <c r="AE860" s="373">
        <v>0</v>
      </c>
      <c r="AF860" s="382">
        <v>0.45486111111111099</v>
      </c>
      <c r="AG860" s="382">
        <v>0.45486111111111099</v>
      </c>
      <c r="AH860" s="371" t="s">
        <v>2271</v>
      </c>
      <c r="AI860" s="382">
        <v>0.47986111111111102</v>
      </c>
      <c r="AJ860" s="382">
        <v>0.47986111111111102</v>
      </c>
      <c r="AK860" s="371" t="s">
        <v>2271</v>
      </c>
      <c r="AL860" s="206" t="s">
        <v>137</v>
      </c>
      <c r="AM860" s="206" t="s">
        <v>137</v>
      </c>
      <c r="AN860" s="371" t="s">
        <v>2271</v>
      </c>
      <c r="AO860" s="206" t="s">
        <v>3027</v>
      </c>
      <c r="AP860" s="206"/>
      <c r="AQ860" s="206" t="s">
        <v>1131</v>
      </c>
      <c r="AR860" s="207" t="s">
        <v>82</v>
      </c>
    </row>
    <row r="861" spans="1:44" x14ac:dyDescent="0.2">
      <c r="A861" s="370">
        <v>842</v>
      </c>
      <c r="B861" s="380">
        <v>654</v>
      </c>
      <c r="C861" s="371" t="s">
        <v>2337</v>
      </c>
      <c r="D861" s="371" t="s">
        <v>2235</v>
      </c>
      <c r="E861" s="206"/>
      <c r="F861" s="206" t="s">
        <v>181</v>
      </c>
      <c r="G861" s="206" t="s">
        <v>181</v>
      </c>
      <c r="H861" s="371" t="s">
        <v>2271</v>
      </c>
      <c r="I861" s="206"/>
      <c r="J861" s="206" t="s">
        <v>1361</v>
      </c>
      <c r="K861" s="371" t="s">
        <v>2276</v>
      </c>
      <c r="L861" s="206" t="s">
        <v>2196</v>
      </c>
      <c r="M861" s="206" t="s">
        <v>1360</v>
      </c>
      <c r="N861" s="206" t="s">
        <v>40</v>
      </c>
      <c r="O861" s="372">
        <v>46205</v>
      </c>
      <c r="P861" s="372">
        <v>46060</v>
      </c>
      <c r="Q861" s="371" t="s">
        <v>2276</v>
      </c>
      <c r="R861" s="373">
        <v>13610</v>
      </c>
      <c r="S861" s="373">
        <v>13610</v>
      </c>
      <c r="T861" s="371" t="s">
        <v>2271</v>
      </c>
      <c r="U861" s="373">
        <v>4000</v>
      </c>
      <c r="V861" s="373">
        <v>4000</v>
      </c>
      <c r="W861" s="371" t="s">
        <v>2271</v>
      </c>
      <c r="X861" s="373">
        <v>9610</v>
      </c>
      <c r="Y861" s="373">
        <v>9610</v>
      </c>
      <c r="Z861" s="371" t="s">
        <v>2271</v>
      </c>
      <c r="AA861" s="373">
        <v>0</v>
      </c>
      <c r="AB861" s="373">
        <v>9230</v>
      </c>
      <c r="AC861" s="373">
        <v>9230</v>
      </c>
      <c r="AD861" s="371" t="s">
        <v>2271</v>
      </c>
      <c r="AE861" s="373">
        <v>0</v>
      </c>
      <c r="AF861" s="382">
        <v>0.45486111111111099</v>
      </c>
      <c r="AG861" s="382">
        <v>0.45486111111111099</v>
      </c>
      <c r="AH861" s="371" t="s">
        <v>2271</v>
      </c>
      <c r="AI861" s="382">
        <v>0.47986111111111102</v>
      </c>
      <c r="AJ861" s="382">
        <v>0.47986111111111102</v>
      </c>
      <c r="AK861" s="371" t="s">
        <v>2271</v>
      </c>
      <c r="AL861" s="206" t="s">
        <v>137</v>
      </c>
      <c r="AM861" s="206" t="s">
        <v>137</v>
      </c>
      <c r="AN861" s="371" t="s">
        <v>2271</v>
      </c>
      <c r="AO861" s="206" t="s">
        <v>3027</v>
      </c>
      <c r="AP861" s="206"/>
      <c r="AQ861" s="206" t="s">
        <v>1131</v>
      </c>
      <c r="AR861" s="207" t="s">
        <v>82</v>
      </c>
    </row>
    <row r="862" spans="1:44" x14ac:dyDescent="0.2">
      <c r="A862" s="370">
        <v>843</v>
      </c>
      <c r="B862" s="380">
        <v>655</v>
      </c>
      <c r="C862" s="371" t="s">
        <v>2337</v>
      </c>
      <c r="D862" s="371" t="s">
        <v>2235</v>
      </c>
      <c r="E862" s="206"/>
      <c r="F862" s="206" t="s">
        <v>188</v>
      </c>
      <c r="G862" s="206" t="s">
        <v>188</v>
      </c>
      <c r="H862" s="371" t="s">
        <v>2271</v>
      </c>
      <c r="I862" s="206"/>
      <c r="J862" s="206" t="s">
        <v>1361</v>
      </c>
      <c r="K862" s="371" t="s">
        <v>2276</v>
      </c>
      <c r="L862" s="206" t="s">
        <v>2196</v>
      </c>
      <c r="M862" s="206" t="s">
        <v>1360</v>
      </c>
      <c r="N862" s="206" t="s">
        <v>40</v>
      </c>
      <c r="O862" s="372">
        <v>46205</v>
      </c>
      <c r="P862" s="372">
        <v>46060</v>
      </c>
      <c r="Q862" s="371" t="s">
        <v>2276</v>
      </c>
      <c r="R862" s="373">
        <v>13250</v>
      </c>
      <c r="S862" s="373">
        <v>13250</v>
      </c>
      <c r="T862" s="371" t="s">
        <v>2271</v>
      </c>
      <c r="U862" s="373">
        <v>3810</v>
      </c>
      <c r="V862" s="373">
        <v>3810</v>
      </c>
      <c r="W862" s="371" t="s">
        <v>2271</v>
      </c>
      <c r="X862" s="373">
        <v>9440</v>
      </c>
      <c r="Y862" s="373">
        <v>9440</v>
      </c>
      <c r="Z862" s="371" t="s">
        <v>2271</v>
      </c>
      <c r="AA862" s="373">
        <v>0</v>
      </c>
      <c r="AB862" s="373">
        <v>9400</v>
      </c>
      <c r="AC862" s="373">
        <v>9400</v>
      </c>
      <c r="AD862" s="371" t="s">
        <v>2271</v>
      </c>
      <c r="AE862" s="373">
        <v>0</v>
      </c>
      <c r="AF862" s="382">
        <v>0.47083333333333299</v>
      </c>
      <c r="AG862" s="382">
        <v>0.47083333333333299</v>
      </c>
      <c r="AH862" s="371" t="s">
        <v>2271</v>
      </c>
      <c r="AI862" s="382">
        <v>0.50763888888888897</v>
      </c>
      <c r="AJ862" s="382">
        <v>0.50763888888888897</v>
      </c>
      <c r="AK862" s="371" t="s">
        <v>2271</v>
      </c>
      <c r="AL862" s="206" t="s">
        <v>137</v>
      </c>
      <c r="AM862" s="206" t="s">
        <v>137</v>
      </c>
      <c r="AN862" s="371" t="s">
        <v>2271</v>
      </c>
      <c r="AO862" s="206" t="s">
        <v>3028</v>
      </c>
      <c r="AP862" s="206"/>
      <c r="AQ862" s="206" t="s">
        <v>1131</v>
      </c>
      <c r="AR862" s="207" t="s">
        <v>82</v>
      </c>
    </row>
    <row r="863" spans="1:44" x14ac:dyDescent="0.2">
      <c r="A863" s="370">
        <v>844</v>
      </c>
      <c r="B863" s="380">
        <v>656</v>
      </c>
      <c r="C863" s="371" t="s">
        <v>2337</v>
      </c>
      <c r="D863" s="371" t="s">
        <v>2235</v>
      </c>
      <c r="E863" s="206"/>
      <c r="F863" s="206" t="s">
        <v>155</v>
      </c>
      <c r="G863" s="206" t="s">
        <v>155</v>
      </c>
      <c r="H863" s="371" t="s">
        <v>2271</v>
      </c>
      <c r="I863" s="206"/>
      <c r="J863" s="206" t="s">
        <v>1361</v>
      </c>
      <c r="K863" s="371" t="s">
        <v>2276</v>
      </c>
      <c r="L863" s="206" t="s">
        <v>2196</v>
      </c>
      <c r="M863" s="206" t="s">
        <v>1360</v>
      </c>
      <c r="N863" s="206" t="s">
        <v>40</v>
      </c>
      <c r="O863" s="372">
        <v>46205</v>
      </c>
      <c r="P863" s="372">
        <v>46060</v>
      </c>
      <c r="Q863" s="371" t="s">
        <v>2276</v>
      </c>
      <c r="R863" s="373">
        <v>13640</v>
      </c>
      <c r="S863" s="373">
        <v>13640</v>
      </c>
      <c r="T863" s="371" t="s">
        <v>2271</v>
      </c>
      <c r="U863" s="373">
        <v>3980</v>
      </c>
      <c r="V863" s="373">
        <v>3980</v>
      </c>
      <c r="W863" s="371" t="s">
        <v>2271</v>
      </c>
      <c r="X863" s="373">
        <v>9660</v>
      </c>
      <c r="Y863" s="373">
        <v>9660</v>
      </c>
      <c r="Z863" s="371" t="s">
        <v>2271</v>
      </c>
      <c r="AA863" s="373">
        <v>0</v>
      </c>
      <c r="AB863" s="373">
        <v>9670</v>
      </c>
      <c r="AC863" s="373">
        <v>9670</v>
      </c>
      <c r="AD863" s="371" t="s">
        <v>2271</v>
      </c>
      <c r="AE863" s="373">
        <v>0</v>
      </c>
      <c r="AF863" s="382">
        <v>0.47916666666666702</v>
      </c>
      <c r="AG863" s="382">
        <v>0.47916666666666702</v>
      </c>
      <c r="AH863" s="371" t="s">
        <v>2271</v>
      </c>
      <c r="AI863" s="382">
        <v>0.50902777777777797</v>
      </c>
      <c r="AJ863" s="382">
        <v>0.50902777777777797</v>
      </c>
      <c r="AK863" s="371" t="s">
        <v>2271</v>
      </c>
      <c r="AL863" s="206" t="s">
        <v>137</v>
      </c>
      <c r="AM863" s="206" t="s">
        <v>137</v>
      </c>
      <c r="AN863" s="371" t="s">
        <v>2271</v>
      </c>
      <c r="AO863" s="206" t="s">
        <v>3029</v>
      </c>
      <c r="AP863" s="206"/>
      <c r="AQ863" s="206" t="s">
        <v>1131</v>
      </c>
      <c r="AR863" s="207" t="s">
        <v>82</v>
      </c>
    </row>
    <row r="864" spans="1:44" x14ac:dyDescent="0.2">
      <c r="A864" s="370">
        <v>845</v>
      </c>
      <c r="B864" s="380">
        <v>657</v>
      </c>
      <c r="C864" s="371" t="s">
        <v>2337</v>
      </c>
      <c r="D864" s="371" t="s">
        <v>2235</v>
      </c>
      <c r="E864" s="206"/>
      <c r="F864" s="206" t="s">
        <v>56</v>
      </c>
      <c r="G864" s="206" t="s">
        <v>56</v>
      </c>
      <c r="H864" s="371" t="s">
        <v>2271</v>
      </c>
      <c r="I864" s="206"/>
      <c r="J864" s="206"/>
      <c r="K864" s="371" t="s">
        <v>2271</v>
      </c>
      <c r="L864" s="206" t="s">
        <v>2197</v>
      </c>
      <c r="M864" s="206" t="s">
        <v>1362</v>
      </c>
      <c r="N864" s="206" t="s">
        <v>59</v>
      </c>
      <c r="O864" s="372">
        <v>46205</v>
      </c>
      <c r="P864" s="372">
        <v>46060</v>
      </c>
      <c r="Q864" s="371" t="s">
        <v>2276</v>
      </c>
      <c r="R864" s="373">
        <v>25060</v>
      </c>
      <c r="S864" s="373">
        <v>25060</v>
      </c>
      <c r="T864" s="371" t="s">
        <v>2271</v>
      </c>
      <c r="U864" s="373">
        <v>10760</v>
      </c>
      <c r="V864" s="373">
        <v>10760</v>
      </c>
      <c r="W864" s="371" t="s">
        <v>2271</v>
      </c>
      <c r="X864" s="373">
        <v>14300</v>
      </c>
      <c r="Y864" s="373">
        <v>14300</v>
      </c>
      <c r="Z864" s="371" t="s">
        <v>2271</v>
      </c>
      <c r="AA864" s="373">
        <v>0</v>
      </c>
      <c r="AB864" s="373">
        <v>14300</v>
      </c>
      <c r="AC864" s="373">
        <v>14300</v>
      </c>
      <c r="AD864" s="371" t="s">
        <v>2271</v>
      </c>
      <c r="AE864" s="373">
        <v>0</v>
      </c>
      <c r="AF864" s="382">
        <v>0.70694444444444404</v>
      </c>
      <c r="AG864" s="382">
        <v>0.70694444444444504</v>
      </c>
      <c r="AH864" s="371" t="s">
        <v>2276</v>
      </c>
      <c r="AI864" s="382">
        <v>0.75277777777777799</v>
      </c>
      <c r="AJ864" s="382">
        <v>0.75277777777777799</v>
      </c>
      <c r="AK864" s="371" t="s">
        <v>2271</v>
      </c>
      <c r="AL864" s="206" t="s">
        <v>42</v>
      </c>
      <c r="AM864" s="206" t="s">
        <v>42</v>
      </c>
      <c r="AN864" s="371" t="s">
        <v>2271</v>
      </c>
      <c r="AO864" s="206" t="s">
        <v>3030</v>
      </c>
      <c r="AP864" s="206" t="s">
        <v>1781</v>
      </c>
      <c r="AQ864" s="206" t="s">
        <v>1132</v>
      </c>
      <c r="AR864" s="207" t="s">
        <v>75</v>
      </c>
    </row>
    <row r="865" spans="1:44" x14ac:dyDescent="0.2">
      <c r="A865" s="370">
        <v>846</v>
      </c>
      <c r="B865" s="380">
        <v>658</v>
      </c>
      <c r="C865" s="371" t="s">
        <v>2337</v>
      </c>
      <c r="D865" s="371" t="s">
        <v>2235</v>
      </c>
      <c r="E865" s="206"/>
      <c r="F865" s="206" t="s">
        <v>70</v>
      </c>
      <c r="G865" s="206" t="s">
        <v>70</v>
      </c>
      <c r="H865" s="371" t="s">
        <v>2271</v>
      </c>
      <c r="I865" s="206"/>
      <c r="J865" s="206"/>
      <c r="K865" s="371" t="s">
        <v>2271</v>
      </c>
      <c r="L865" s="206" t="s">
        <v>2197</v>
      </c>
      <c r="M865" s="206" t="s">
        <v>1362</v>
      </c>
      <c r="N865" s="206" t="s">
        <v>59</v>
      </c>
      <c r="O865" s="372">
        <v>46205</v>
      </c>
      <c r="P865" s="372">
        <v>46060</v>
      </c>
      <c r="Q865" s="371" t="s">
        <v>2276</v>
      </c>
      <c r="R865" s="373">
        <v>45910</v>
      </c>
      <c r="S865" s="373">
        <v>45910</v>
      </c>
      <c r="T865" s="371" t="s">
        <v>2271</v>
      </c>
      <c r="U865" s="373">
        <v>17670</v>
      </c>
      <c r="V865" s="373">
        <v>17670</v>
      </c>
      <c r="W865" s="371" t="s">
        <v>2271</v>
      </c>
      <c r="X865" s="373">
        <v>28240</v>
      </c>
      <c r="Y865" s="373">
        <v>28240</v>
      </c>
      <c r="Z865" s="371" t="s">
        <v>2271</v>
      </c>
      <c r="AA865" s="373">
        <v>0</v>
      </c>
      <c r="AB865" s="373">
        <v>28340</v>
      </c>
      <c r="AC865" s="373">
        <v>28340</v>
      </c>
      <c r="AD865" s="371" t="s">
        <v>2271</v>
      </c>
      <c r="AE865" s="373">
        <v>0</v>
      </c>
      <c r="AF865" s="382">
        <v>0.70902777777777803</v>
      </c>
      <c r="AG865" s="382">
        <v>0.70902777777777803</v>
      </c>
      <c r="AH865" s="371" t="s">
        <v>2271</v>
      </c>
      <c r="AI865" s="382">
        <v>0.77361111111111103</v>
      </c>
      <c r="AJ865" s="382">
        <v>0.77361111111111103</v>
      </c>
      <c r="AK865" s="371" t="s">
        <v>2271</v>
      </c>
      <c r="AL865" s="206" t="s">
        <v>42</v>
      </c>
      <c r="AM865" s="206" t="s">
        <v>42</v>
      </c>
      <c r="AN865" s="371" t="s">
        <v>2271</v>
      </c>
      <c r="AO865" s="206" t="s">
        <v>3031</v>
      </c>
      <c r="AP865" s="206" t="s">
        <v>1499</v>
      </c>
      <c r="AQ865" s="206" t="s">
        <v>1133</v>
      </c>
      <c r="AR865" s="207" t="s">
        <v>75</v>
      </c>
    </row>
    <row r="866" spans="1:44" x14ac:dyDescent="0.2">
      <c r="A866" s="370">
        <v>847</v>
      </c>
      <c r="B866" s="380">
        <v>659</v>
      </c>
      <c r="C866" s="371" t="s">
        <v>2337</v>
      </c>
      <c r="D866" s="371" t="s">
        <v>2235</v>
      </c>
      <c r="E866" s="206"/>
      <c r="F866" s="206" t="s">
        <v>76</v>
      </c>
      <c r="G866" s="206" t="s">
        <v>76</v>
      </c>
      <c r="H866" s="371" t="s">
        <v>2271</v>
      </c>
      <c r="I866" s="206"/>
      <c r="J866" s="206"/>
      <c r="K866" s="371" t="s">
        <v>2271</v>
      </c>
      <c r="L866" s="206" t="s">
        <v>2197</v>
      </c>
      <c r="M866" s="206" t="s">
        <v>1362</v>
      </c>
      <c r="N866" s="206" t="s">
        <v>59</v>
      </c>
      <c r="O866" s="372">
        <v>46205</v>
      </c>
      <c r="P866" s="372">
        <v>46060</v>
      </c>
      <c r="Q866" s="371" t="s">
        <v>2276</v>
      </c>
      <c r="R866" s="373">
        <v>45860</v>
      </c>
      <c r="S866" s="373">
        <v>45860</v>
      </c>
      <c r="T866" s="371" t="s">
        <v>2271</v>
      </c>
      <c r="U866" s="373">
        <v>17630</v>
      </c>
      <c r="V866" s="373">
        <v>17630</v>
      </c>
      <c r="W866" s="371" t="s">
        <v>2271</v>
      </c>
      <c r="X866" s="373">
        <v>28230</v>
      </c>
      <c r="Y866" s="373">
        <v>28230</v>
      </c>
      <c r="Z866" s="371" t="s">
        <v>2271</v>
      </c>
      <c r="AA866" s="373">
        <v>0</v>
      </c>
      <c r="AB866" s="373">
        <v>28260</v>
      </c>
      <c r="AC866" s="373">
        <v>28260</v>
      </c>
      <c r="AD866" s="371" t="s">
        <v>2271</v>
      </c>
      <c r="AE866" s="373">
        <v>0</v>
      </c>
      <c r="AF866" s="382">
        <v>0.71111111111111103</v>
      </c>
      <c r="AG866" s="382">
        <v>0.71111111111111103</v>
      </c>
      <c r="AH866" s="371" t="s">
        <v>2271</v>
      </c>
      <c r="AI866" s="382">
        <v>0.77500000000000002</v>
      </c>
      <c r="AJ866" s="382">
        <v>0.77500000000000002</v>
      </c>
      <c r="AK866" s="371" t="s">
        <v>2271</v>
      </c>
      <c r="AL866" s="206" t="s">
        <v>42</v>
      </c>
      <c r="AM866" s="206" t="s">
        <v>42</v>
      </c>
      <c r="AN866" s="371" t="s">
        <v>2271</v>
      </c>
      <c r="AO866" s="206" t="s">
        <v>3032</v>
      </c>
      <c r="AP866" s="206" t="s">
        <v>1372</v>
      </c>
      <c r="AQ866" s="206" t="s">
        <v>1133</v>
      </c>
      <c r="AR866" s="207" t="s">
        <v>75</v>
      </c>
    </row>
    <row r="867" spans="1:44" x14ac:dyDescent="0.2">
      <c r="A867" s="370">
        <v>848</v>
      </c>
      <c r="B867" s="380">
        <v>660</v>
      </c>
      <c r="C867" s="371" t="s">
        <v>2337</v>
      </c>
      <c r="D867" s="371" t="s">
        <v>2235</v>
      </c>
      <c r="E867" s="206"/>
      <c r="F867" s="206" t="s">
        <v>730</v>
      </c>
      <c r="G867" s="206" t="s">
        <v>730</v>
      </c>
      <c r="H867" s="371" t="s">
        <v>2271</v>
      </c>
      <c r="I867" s="206"/>
      <c r="J867" s="206" t="s">
        <v>1361</v>
      </c>
      <c r="K867" s="371" t="s">
        <v>2276</v>
      </c>
      <c r="L867" s="206" t="s">
        <v>2196</v>
      </c>
      <c r="M867" s="206" t="s">
        <v>1360</v>
      </c>
      <c r="N867" s="206" t="s">
        <v>40</v>
      </c>
      <c r="O867" s="372">
        <v>46205</v>
      </c>
      <c r="P867" s="372">
        <v>46060</v>
      </c>
      <c r="Q867" s="371" t="s">
        <v>2276</v>
      </c>
      <c r="R867" s="373">
        <v>13190</v>
      </c>
      <c r="S867" s="373">
        <v>13190</v>
      </c>
      <c r="T867" s="371" t="s">
        <v>2271</v>
      </c>
      <c r="U867" s="373">
        <v>3840</v>
      </c>
      <c r="V867" s="373">
        <v>3840</v>
      </c>
      <c r="W867" s="371" t="s">
        <v>2271</v>
      </c>
      <c r="X867" s="373">
        <v>9350</v>
      </c>
      <c r="Y867" s="373">
        <v>9350</v>
      </c>
      <c r="Z867" s="371" t="s">
        <v>2271</v>
      </c>
      <c r="AA867" s="373">
        <v>0</v>
      </c>
      <c r="AB867" s="373">
        <v>9330</v>
      </c>
      <c r="AC867" s="373">
        <v>9330</v>
      </c>
      <c r="AD867" s="371" t="s">
        <v>2271</v>
      </c>
      <c r="AE867" s="373">
        <v>0</v>
      </c>
      <c r="AF867" s="382">
        <v>0.71666666666666701</v>
      </c>
      <c r="AG867" s="382">
        <v>0.71666666666666701</v>
      </c>
      <c r="AH867" s="371" t="s">
        <v>2271</v>
      </c>
      <c r="AI867" s="382">
        <v>0.75902777777777797</v>
      </c>
      <c r="AJ867" s="382">
        <v>0.75902777777777797</v>
      </c>
      <c r="AK867" s="371" t="s">
        <v>2271</v>
      </c>
      <c r="AL867" s="206" t="s">
        <v>42</v>
      </c>
      <c r="AM867" s="206" t="s">
        <v>42</v>
      </c>
      <c r="AN867" s="371" t="s">
        <v>2271</v>
      </c>
      <c r="AO867" s="206" t="s">
        <v>3033</v>
      </c>
      <c r="AP867" s="206"/>
      <c r="AQ867" s="206" t="s">
        <v>1131</v>
      </c>
      <c r="AR867" s="207" t="s">
        <v>82</v>
      </c>
    </row>
    <row r="868" spans="1:44" x14ac:dyDescent="0.2">
      <c r="A868" s="370">
        <v>849</v>
      </c>
      <c r="B868" s="380">
        <v>661</v>
      </c>
      <c r="C868" s="371" t="s">
        <v>2337</v>
      </c>
      <c r="D868" s="371" t="s">
        <v>2235</v>
      </c>
      <c r="E868" s="206"/>
      <c r="F868" s="206" t="s">
        <v>183</v>
      </c>
      <c r="G868" s="206" t="s">
        <v>183</v>
      </c>
      <c r="H868" s="371" t="s">
        <v>2271</v>
      </c>
      <c r="I868" s="206"/>
      <c r="J868" s="206" t="s">
        <v>1361</v>
      </c>
      <c r="K868" s="371" t="s">
        <v>2276</v>
      </c>
      <c r="L868" s="206" t="s">
        <v>2196</v>
      </c>
      <c r="M868" s="206" t="s">
        <v>1360</v>
      </c>
      <c r="N868" s="206" t="s">
        <v>40</v>
      </c>
      <c r="O868" s="372">
        <v>46205</v>
      </c>
      <c r="P868" s="372">
        <v>46060</v>
      </c>
      <c r="Q868" s="371" t="s">
        <v>2276</v>
      </c>
      <c r="R868" s="373">
        <v>14210</v>
      </c>
      <c r="S868" s="373">
        <v>14210</v>
      </c>
      <c r="T868" s="371" t="s">
        <v>2271</v>
      </c>
      <c r="U868" s="373">
        <v>4250</v>
      </c>
      <c r="V868" s="373">
        <v>4250</v>
      </c>
      <c r="W868" s="371" t="s">
        <v>2271</v>
      </c>
      <c r="X868" s="373">
        <v>9960</v>
      </c>
      <c r="Y868" s="373">
        <v>9960</v>
      </c>
      <c r="Z868" s="371" t="s">
        <v>2271</v>
      </c>
      <c r="AA868" s="373">
        <v>0</v>
      </c>
      <c r="AB868" s="373">
        <v>9990</v>
      </c>
      <c r="AC868" s="373">
        <v>9990</v>
      </c>
      <c r="AD868" s="371" t="s">
        <v>2271</v>
      </c>
      <c r="AE868" s="373">
        <v>0</v>
      </c>
      <c r="AF868" s="382">
        <v>0.74444444444444402</v>
      </c>
      <c r="AG868" s="382">
        <v>0.74444444444444502</v>
      </c>
      <c r="AH868" s="371" t="s">
        <v>2276</v>
      </c>
      <c r="AI868" s="382">
        <v>0.77569444444444402</v>
      </c>
      <c r="AJ868" s="382">
        <v>0.77569444444444502</v>
      </c>
      <c r="AK868" s="371" t="s">
        <v>2276</v>
      </c>
      <c r="AL868" s="206" t="s">
        <v>42</v>
      </c>
      <c r="AM868" s="206" t="s">
        <v>42</v>
      </c>
      <c r="AN868" s="371" t="s">
        <v>2271</v>
      </c>
      <c r="AO868" s="206" t="s">
        <v>3034</v>
      </c>
      <c r="AP868" s="206"/>
      <c r="AQ868" s="206" t="s">
        <v>1131</v>
      </c>
      <c r="AR868" s="207" t="s">
        <v>82</v>
      </c>
    </row>
    <row r="869" spans="1:44" x14ac:dyDescent="0.2">
      <c r="A869" s="370">
        <v>850</v>
      </c>
      <c r="B869" s="380">
        <v>662</v>
      </c>
      <c r="C869" s="371" t="s">
        <v>2337</v>
      </c>
      <c r="D869" s="371" t="s">
        <v>2235</v>
      </c>
      <c r="E869" s="206"/>
      <c r="F869" s="206" t="s">
        <v>70</v>
      </c>
      <c r="G869" s="206" t="s">
        <v>70</v>
      </c>
      <c r="H869" s="371" t="s">
        <v>2271</v>
      </c>
      <c r="I869" s="206"/>
      <c r="J869" s="206"/>
      <c r="K869" s="371" t="s">
        <v>2271</v>
      </c>
      <c r="L869" s="206" t="s">
        <v>2197</v>
      </c>
      <c r="M869" s="206" t="s">
        <v>1362</v>
      </c>
      <c r="N869" s="206" t="s">
        <v>59</v>
      </c>
      <c r="O869" s="372" t="s">
        <v>2199</v>
      </c>
      <c r="P869" s="372">
        <v>46066</v>
      </c>
      <c r="Q869" s="371" t="s">
        <v>2276</v>
      </c>
      <c r="R869" s="373">
        <v>46000</v>
      </c>
      <c r="S869" s="373">
        <v>46000</v>
      </c>
      <c r="T869" s="371" t="s">
        <v>2271</v>
      </c>
      <c r="U869" s="373">
        <v>17570</v>
      </c>
      <c r="V869" s="373">
        <v>17570</v>
      </c>
      <c r="W869" s="371" t="s">
        <v>2271</v>
      </c>
      <c r="X869" s="373">
        <v>28430</v>
      </c>
      <c r="Y869" s="373">
        <v>28430</v>
      </c>
      <c r="Z869" s="371" t="s">
        <v>2271</v>
      </c>
      <c r="AA869" s="373">
        <v>0</v>
      </c>
      <c r="AB869" s="373">
        <v>28480</v>
      </c>
      <c r="AC869" s="373">
        <v>28480</v>
      </c>
      <c r="AD869" s="371" t="s">
        <v>2271</v>
      </c>
      <c r="AE869" s="373">
        <v>0</v>
      </c>
      <c r="AF869" s="382">
        <v>0.54305555555555596</v>
      </c>
      <c r="AG869" s="382">
        <v>0.54305555555555596</v>
      </c>
      <c r="AH869" s="371" t="s">
        <v>2271</v>
      </c>
      <c r="AI869" s="382">
        <v>0.59583333333333299</v>
      </c>
      <c r="AJ869" s="382">
        <v>0.59583333333333299</v>
      </c>
      <c r="AK869" s="371" t="s">
        <v>2271</v>
      </c>
      <c r="AL869" s="206" t="s">
        <v>42</v>
      </c>
      <c r="AM869" s="206" t="s">
        <v>42</v>
      </c>
      <c r="AN869" s="371" t="s">
        <v>2271</v>
      </c>
      <c r="AO869" s="206" t="s">
        <v>3035</v>
      </c>
      <c r="AP869" s="206" t="s">
        <v>1499</v>
      </c>
      <c r="AQ869" s="206" t="s">
        <v>1133</v>
      </c>
      <c r="AR869" s="207" t="s">
        <v>75</v>
      </c>
    </row>
    <row r="870" spans="1:44" x14ac:dyDescent="0.2">
      <c r="A870" s="370">
        <v>851</v>
      </c>
      <c r="B870" s="380">
        <v>663</v>
      </c>
      <c r="C870" s="371" t="s">
        <v>2337</v>
      </c>
      <c r="D870" s="371" t="s">
        <v>2235</v>
      </c>
      <c r="E870" s="206"/>
      <c r="F870" s="206" t="s">
        <v>46</v>
      </c>
      <c r="G870" s="206" t="s">
        <v>46</v>
      </c>
      <c r="H870" s="371" t="s">
        <v>2271</v>
      </c>
      <c r="I870" s="206"/>
      <c r="J870" s="206"/>
      <c r="K870" s="371" t="s">
        <v>2271</v>
      </c>
      <c r="L870" s="206" t="s">
        <v>2197</v>
      </c>
      <c r="M870" s="206" t="s">
        <v>1362</v>
      </c>
      <c r="N870" s="206" t="s">
        <v>59</v>
      </c>
      <c r="O870" s="372" t="s">
        <v>2199</v>
      </c>
      <c r="P870" s="372">
        <v>46066</v>
      </c>
      <c r="Q870" s="371" t="s">
        <v>2276</v>
      </c>
      <c r="R870" s="373">
        <v>26720</v>
      </c>
      <c r="S870" s="373">
        <v>26720</v>
      </c>
      <c r="T870" s="371" t="s">
        <v>2271</v>
      </c>
      <c r="U870" s="373">
        <v>11860</v>
      </c>
      <c r="V870" s="373">
        <v>11860</v>
      </c>
      <c r="W870" s="371" t="s">
        <v>2271</v>
      </c>
      <c r="X870" s="373">
        <v>14860</v>
      </c>
      <c r="Y870" s="373">
        <v>14860</v>
      </c>
      <c r="Z870" s="371" t="s">
        <v>2271</v>
      </c>
      <c r="AA870" s="373">
        <v>0</v>
      </c>
      <c r="AB870" s="373">
        <v>14880</v>
      </c>
      <c r="AC870" s="373">
        <v>14880</v>
      </c>
      <c r="AD870" s="371" t="s">
        <v>2271</v>
      </c>
      <c r="AE870" s="373">
        <v>0</v>
      </c>
      <c r="AF870" s="382">
        <v>0.77916666666666701</v>
      </c>
      <c r="AG870" s="382">
        <v>0.77916666666666701</v>
      </c>
      <c r="AH870" s="371" t="s">
        <v>2271</v>
      </c>
      <c r="AI870" s="382">
        <v>0.83125000000000004</v>
      </c>
      <c r="AJ870" s="382">
        <v>0.83125000000000004</v>
      </c>
      <c r="AK870" s="371" t="s">
        <v>2271</v>
      </c>
      <c r="AL870" s="206" t="s">
        <v>137</v>
      </c>
      <c r="AM870" s="206" t="s">
        <v>137</v>
      </c>
      <c r="AN870" s="371" t="s">
        <v>2271</v>
      </c>
      <c r="AO870" s="206" t="s">
        <v>3036</v>
      </c>
      <c r="AP870" s="206" t="s">
        <v>1393</v>
      </c>
      <c r="AQ870" s="206" t="s">
        <v>1132</v>
      </c>
      <c r="AR870" s="207" t="s">
        <v>75</v>
      </c>
    </row>
    <row r="871" spans="1:44" x14ac:dyDescent="0.2">
      <c r="A871" s="370">
        <v>852</v>
      </c>
      <c r="B871" s="380">
        <v>664</v>
      </c>
      <c r="C871" s="371" t="s">
        <v>2337</v>
      </c>
      <c r="D871" s="371" t="s">
        <v>2235</v>
      </c>
      <c r="E871" s="206"/>
      <c r="F871" s="206" t="s">
        <v>70</v>
      </c>
      <c r="G871" s="206" t="s">
        <v>70</v>
      </c>
      <c r="H871" s="371" t="s">
        <v>2271</v>
      </c>
      <c r="I871" s="206"/>
      <c r="J871" s="206"/>
      <c r="K871" s="371" t="s">
        <v>2271</v>
      </c>
      <c r="L871" s="206" t="s">
        <v>2197</v>
      </c>
      <c r="M871" s="206" t="s">
        <v>1362</v>
      </c>
      <c r="N871" s="206" t="s">
        <v>59</v>
      </c>
      <c r="O871" s="372" t="s">
        <v>2199</v>
      </c>
      <c r="P871" s="372">
        <v>46066</v>
      </c>
      <c r="Q871" s="371" t="s">
        <v>2276</v>
      </c>
      <c r="R871" s="373">
        <v>45940</v>
      </c>
      <c r="S871" s="373">
        <v>45940</v>
      </c>
      <c r="T871" s="371" t="s">
        <v>2271</v>
      </c>
      <c r="U871" s="373">
        <v>17530</v>
      </c>
      <c r="V871" s="373">
        <v>17530</v>
      </c>
      <c r="W871" s="371" t="s">
        <v>2271</v>
      </c>
      <c r="X871" s="373">
        <v>28410</v>
      </c>
      <c r="Y871" s="373">
        <v>28410</v>
      </c>
      <c r="Z871" s="371" t="s">
        <v>2271</v>
      </c>
      <c r="AA871" s="373">
        <v>0</v>
      </c>
      <c r="AB871" s="373">
        <v>28480</v>
      </c>
      <c r="AC871" s="373">
        <v>28480</v>
      </c>
      <c r="AD871" s="371" t="s">
        <v>2271</v>
      </c>
      <c r="AE871" s="373">
        <v>0</v>
      </c>
      <c r="AF871" s="382">
        <v>0.78541666666666698</v>
      </c>
      <c r="AG871" s="382">
        <v>0.78541666666666698</v>
      </c>
      <c r="AH871" s="371" t="s">
        <v>2271</v>
      </c>
      <c r="AI871" s="382">
        <v>0.86388888888888904</v>
      </c>
      <c r="AJ871" s="382">
        <v>0.86388888888888904</v>
      </c>
      <c r="AK871" s="371" t="s">
        <v>2271</v>
      </c>
      <c r="AL871" s="206" t="s">
        <v>137</v>
      </c>
      <c r="AM871" s="206" t="s">
        <v>137</v>
      </c>
      <c r="AN871" s="371" t="s">
        <v>2271</v>
      </c>
      <c r="AO871" s="206" t="s">
        <v>3037</v>
      </c>
      <c r="AP871" s="206" t="s">
        <v>1499</v>
      </c>
      <c r="AQ871" s="206" t="s">
        <v>1133</v>
      </c>
      <c r="AR871" s="207" t="s">
        <v>75</v>
      </c>
    </row>
    <row r="872" spans="1:44" x14ac:dyDescent="0.2">
      <c r="A872" s="370">
        <v>853</v>
      </c>
      <c r="B872" s="380">
        <v>668</v>
      </c>
      <c r="C872" s="371" t="s">
        <v>2337</v>
      </c>
      <c r="D872" s="371" t="s">
        <v>2235</v>
      </c>
      <c r="E872" s="206"/>
      <c r="F872" s="206" t="s">
        <v>73</v>
      </c>
      <c r="G872" s="206" t="s">
        <v>73</v>
      </c>
      <c r="H872" s="371" t="s">
        <v>2271</v>
      </c>
      <c r="I872" s="206"/>
      <c r="J872" s="206" t="s">
        <v>1361</v>
      </c>
      <c r="K872" s="371" t="s">
        <v>2276</v>
      </c>
      <c r="L872" s="206" t="s">
        <v>2196</v>
      </c>
      <c r="M872" s="206" t="s">
        <v>1360</v>
      </c>
      <c r="N872" s="206" t="s">
        <v>40</v>
      </c>
      <c r="O872" s="372" t="s">
        <v>2199</v>
      </c>
      <c r="P872" s="372">
        <v>46066</v>
      </c>
      <c r="Q872" s="371" t="s">
        <v>2276</v>
      </c>
      <c r="R872" s="373">
        <v>13410</v>
      </c>
      <c r="S872" s="373">
        <v>13410</v>
      </c>
      <c r="T872" s="371" t="s">
        <v>2271</v>
      </c>
      <c r="U872" s="373">
        <v>4000</v>
      </c>
      <c r="V872" s="373">
        <v>4000</v>
      </c>
      <c r="W872" s="371" t="s">
        <v>2271</v>
      </c>
      <c r="X872" s="373">
        <v>9410</v>
      </c>
      <c r="Y872" s="373">
        <v>9410</v>
      </c>
      <c r="Z872" s="371" t="s">
        <v>2271</v>
      </c>
      <c r="AA872" s="373">
        <v>0</v>
      </c>
      <c r="AB872" s="373">
        <v>9370</v>
      </c>
      <c r="AC872" s="373">
        <v>9370</v>
      </c>
      <c r="AD872" s="371" t="s">
        <v>2271</v>
      </c>
      <c r="AE872" s="373">
        <v>0</v>
      </c>
      <c r="AF872" s="382">
        <v>0.94444444444444497</v>
      </c>
      <c r="AG872" s="382">
        <v>0.94444444444444398</v>
      </c>
      <c r="AH872" s="371" t="s">
        <v>2276</v>
      </c>
      <c r="AI872" s="382">
        <v>0.98819444444444404</v>
      </c>
      <c r="AJ872" s="382">
        <v>0.98819444444444504</v>
      </c>
      <c r="AK872" s="371" t="s">
        <v>2276</v>
      </c>
      <c r="AL872" s="206" t="s">
        <v>137</v>
      </c>
      <c r="AM872" s="206" t="s">
        <v>137</v>
      </c>
      <c r="AN872" s="371" t="s">
        <v>2271</v>
      </c>
      <c r="AO872" s="206" t="s">
        <v>3038</v>
      </c>
      <c r="AP872" s="206"/>
      <c r="AQ872" s="206" t="s">
        <v>1131</v>
      </c>
      <c r="AR872" s="207" t="s">
        <v>82</v>
      </c>
    </row>
    <row r="873" spans="1:44" x14ac:dyDescent="0.2">
      <c r="A873" s="370">
        <v>854</v>
      </c>
      <c r="B873" s="380">
        <v>669</v>
      </c>
      <c r="C873" s="371" t="s">
        <v>2337</v>
      </c>
      <c r="D873" s="371" t="s">
        <v>2235</v>
      </c>
      <c r="E873" s="206"/>
      <c r="F873" s="206" t="s">
        <v>39</v>
      </c>
      <c r="G873" s="206" t="s">
        <v>39</v>
      </c>
      <c r="H873" s="371" t="s">
        <v>2271</v>
      </c>
      <c r="I873" s="206"/>
      <c r="J873" s="206" t="s">
        <v>1361</v>
      </c>
      <c r="K873" s="371" t="s">
        <v>2276</v>
      </c>
      <c r="L873" s="206" t="s">
        <v>2196</v>
      </c>
      <c r="M873" s="206" t="s">
        <v>1360</v>
      </c>
      <c r="N873" s="206" t="s">
        <v>40</v>
      </c>
      <c r="O873" s="372" t="s">
        <v>2199</v>
      </c>
      <c r="P873" s="372">
        <v>46066</v>
      </c>
      <c r="Q873" s="371" t="s">
        <v>2276</v>
      </c>
      <c r="R873" s="373">
        <v>13730</v>
      </c>
      <c r="S873" s="373">
        <v>13730</v>
      </c>
      <c r="T873" s="371" t="s">
        <v>2271</v>
      </c>
      <c r="U873" s="373">
        <v>4120</v>
      </c>
      <c r="V873" s="373">
        <v>4120</v>
      </c>
      <c r="W873" s="371" t="s">
        <v>2271</v>
      </c>
      <c r="X873" s="373">
        <v>9610</v>
      </c>
      <c r="Y873" s="373">
        <v>9610</v>
      </c>
      <c r="Z873" s="371" t="s">
        <v>2271</v>
      </c>
      <c r="AA873" s="373">
        <v>0</v>
      </c>
      <c r="AB873" s="373">
        <v>9580</v>
      </c>
      <c r="AC873" s="373">
        <v>9580</v>
      </c>
      <c r="AD873" s="371" t="s">
        <v>2271</v>
      </c>
      <c r="AE873" s="373">
        <v>0</v>
      </c>
      <c r="AF873" s="382">
        <v>0.94513888888888897</v>
      </c>
      <c r="AG873" s="382">
        <v>0.94513888888888897</v>
      </c>
      <c r="AH873" s="371" t="s">
        <v>2271</v>
      </c>
      <c r="AI873" s="382">
        <v>0.98958333333333304</v>
      </c>
      <c r="AJ873" s="382">
        <v>0.98958333333333304</v>
      </c>
      <c r="AK873" s="371" t="s">
        <v>2271</v>
      </c>
      <c r="AL873" s="206" t="s">
        <v>137</v>
      </c>
      <c r="AM873" s="206" t="s">
        <v>137</v>
      </c>
      <c r="AN873" s="371" t="s">
        <v>2271</v>
      </c>
      <c r="AO873" s="206" t="s">
        <v>3039</v>
      </c>
      <c r="AP873" s="206"/>
      <c r="AQ873" s="206" t="s">
        <v>1131</v>
      </c>
      <c r="AR873" s="207" t="s">
        <v>82</v>
      </c>
    </row>
    <row r="874" spans="1:44" x14ac:dyDescent="0.2">
      <c r="A874" s="370">
        <v>855</v>
      </c>
      <c r="B874" s="380">
        <v>670</v>
      </c>
      <c r="C874" s="371" t="s">
        <v>2337</v>
      </c>
      <c r="D874" s="371" t="s">
        <v>2235</v>
      </c>
      <c r="E874" s="206"/>
      <c r="F874" s="206" t="s">
        <v>184</v>
      </c>
      <c r="G874" s="206" t="s">
        <v>184</v>
      </c>
      <c r="H874" s="371" t="s">
        <v>2271</v>
      </c>
      <c r="I874" s="206"/>
      <c r="J874" s="206" t="s">
        <v>1361</v>
      </c>
      <c r="K874" s="371" t="s">
        <v>2276</v>
      </c>
      <c r="L874" s="206" t="s">
        <v>2196</v>
      </c>
      <c r="M874" s="206" t="s">
        <v>1360</v>
      </c>
      <c r="N874" s="206" t="s">
        <v>40</v>
      </c>
      <c r="O874" s="372" t="s">
        <v>2199</v>
      </c>
      <c r="P874" s="372">
        <v>46066</v>
      </c>
      <c r="Q874" s="371" t="s">
        <v>2276</v>
      </c>
      <c r="R874" s="373">
        <v>13770</v>
      </c>
      <c r="S874" s="373">
        <v>13770</v>
      </c>
      <c r="T874" s="371" t="s">
        <v>2271</v>
      </c>
      <c r="U874" s="373">
        <v>3910</v>
      </c>
      <c r="V874" s="373">
        <v>3910</v>
      </c>
      <c r="W874" s="371" t="s">
        <v>2271</v>
      </c>
      <c r="X874" s="373">
        <v>9860</v>
      </c>
      <c r="Y874" s="373">
        <v>9860</v>
      </c>
      <c r="Z874" s="371" t="s">
        <v>2271</v>
      </c>
      <c r="AA874" s="373">
        <v>0</v>
      </c>
      <c r="AB874" s="373">
        <v>9810</v>
      </c>
      <c r="AC874" s="373">
        <v>9810</v>
      </c>
      <c r="AD874" s="371" t="s">
        <v>2271</v>
      </c>
      <c r="AE874" s="373">
        <v>0</v>
      </c>
      <c r="AF874" s="382">
        <v>0.94652777777777797</v>
      </c>
      <c r="AG874" s="382">
        <v>0.94652777777777797</v>
      </c>
      <c r="AH874" s="371" t="s">
        <v>2271</v>
      </c>
      <c r="AI874" s="382">
        <v>0.99097222222222203</v>
      </c>
      <c r="AJ874" s="382">
        <v>0.99097222222222203</v>
      </c>
      <c r="AK874" s="371" t="s">
        <v>2271</v>
      </c>
      <c r="AL874" s="206" t="s">
        <v>137</v>
      </c>
      <c r="AM874" s="206" t="s">
        <v>137</v>
      </c>
      <c r="AN874" s="371" t="s">
        <v>2271</v>
      </c>
      <c r="AO874" s="206" t="s">
        <v>3040</v>
      </c>
      <c r="AP874" s="206"/>
      <c r="AQ874" s="206" t="s">
        <v>1131</v>
      </c>
      <c r="AR874" s="207" t="s">
        <v>82</v>
      </c>
    </row>
    <row r="875" spans="1:44" x14ac:dyDescent="0.2">
      <c r="A875" s="370">
        <v>856</v>
      </c>
      <c r="B875" s="380">
        <v>672</v>
      </c>
      <c r="C875" s="371" t="s">
        <v>2337</v>
      </c>
      <c r="D875" s="371" t="s">
        <v>2235</v>
      </c>
      <c r="E875" s="206"/>
      <c r="F875" s="206" t="s">
        <v>166</v>
      </c>
      <c r="G875" s="206" t="s">
        <v>166</v>
      </c>
      <c r="H875" s="371" t="s">
        <v>2271</v>
      </c>
      <c r="I875" s="206"/>
      <c r="J875" s="206" t="s">
        <v>1361</v>
      </c>
      <c r="K875" s="371" t="s">
        <v>2276</v>
      </c>
      <c r="L875" s="206" t="s">
        <v>2196</v>
      </c>
      <c r="M875" s="206" t="s">
        <v>1360</v>
      </c>
      <c r="N875" s="206" t="s">
        <v>40</v>
      </c>
      <c r="O875" s="372" t="s">
        <v>2200</v>
      </c>
      <c r="P875" s="372">
        <v>46067</v>
      </c>
      <c r="Q875" s="371" t="s">
        <v>2276</v>
      </c>
      <c r="R875" s="373">
        <v>13070</v>
      </c>
      <c r="S875" s="373">
        <v>13070</v>
      </c>
      <c r="T875" s="371" t="s">
        <v>2271</v>
      </c>
      <c r="U875" s="373">
        <v>3750</v>
      </c>
      <c r="V875" s="373">
        <v>3750</v>
      </c>
      <c r="W875" s="371" t="s">
        <v>2271</v>
      </c>
      <c r="X875" s="373">
        <v>9320</v>
      </c>
      <c r="Y875" s="373">
        <v>9320</v>
      </c>
      <c r="Z875" s="371" t="s">
        <v>2271</v>
      </c>
      <c r="AA875" s="373">
        <v>0</v>
      </c>
      <c r="AB875" s="373">
        <v>9190</v>
      </c>
      <c r="AC875" s="373">
        <v>9190</v>
      </c>
      <c r="AD875" s="371" t="s">
        <v>2271</v>
      </c>
      <c r="AE875" s="373">
        <v>0</v>
      </c>
      <c r="AF875" s="382">
        <v>0.4375</v>
      </c>
      <c r="AG875" s="382">
        <v>0.4375</v>
      </c>
      <c r="AH875" s="371" t="s">
        <v>2271</v>
      </c>
      <c r="AI875" s="382">
        <v>0.47152777777777799</v>
      </c>
      <c r="AJ875" s="382">
        <v>0.47152777777777799</v>
      </c>
      <c r="AK875" s="371" t="s">
        <v>2271</v>
      </c>
      <c r="AL875" s="206" t="s">
        <v>42</v>
      </c>
      <c r="AM875" s="206" t="s">
        <v>42</v>
      </c>
      <c r="AN875" s="371" t="s">
        <v>2271</v>
      </c>
      <c r="AO875" s="206" t="s">
        <v>3041</v>
      </c>
      <c r="AP875" s="206"/>
      <c r="AQ875" s="206" t="s">
        <v>1131</v>
      </c>
      <c r="AR875" s="207" t="s">
        <v>82</v>
      </c>
    </row>
    <row r="876" spans="1:44" x14ac:dyDescent="0.2">
      <c r="A876" s="370">
        <v>857</v>
      </c>
      <c r="B876" s="380">
        <v>673</v>
      </c>
      <c r="C876" s="371" t="s">
        <v>2337</v>
      </c>
      <c r="D876" s="371" t="s">
        <v>2235</v>
      </c>
      <c r="E876" s="206"/>
      <c r="F876" s="206" t="s">
        <v>149</v>
      </c>
      <c r="G876" s="206" t="s">
        <v>149</v>
      </c>
      <c r="H876" s="371" t="s">
        <v>2271</v>
      </c>
      <c r="I876" s="206"/>
      <c r="J876" s="206" t="s">
        <v>1361</v>
      </c>
      <c r="K876" s="371" t="s">
        <v>2276</v>
      </c>
      <c r="L876" s="206" t="s">
        <v>2196</v>
      </c>
      <c r="M876" s="206" t="s">
        <v>1360</v>
      </c>
      <c r="N876" s="206" t="s">
        <v>40</v>
      </c>
      <c r="O876" s="372" t="s">
        <v>2200</v>
      </c>
      <c r="P876" s="372">
        <v>46067</v>
      </c>
      <c r="Q876" s="371" t="s">
        <v>2276</v>
      </c>
      <c r="R876" s="373">
        <v>13890</v>
      </c>
      <c r="S876" s="373">
        <v>13890</v>
      </c>
      <c r="T876" s="371" t="s">
        <v>2271</v>
      </c>
      <c r="U876" s="373">
        <v>4050</v>
      </c>
      <c r="V876" s="373">
        <v>4050</v>
      </c>
      <c r="W876" s="371" t="s">
        <v>2271</v>
      </c>
      <c r="X876" s="373">
        <v>9840</v>
      </c>
      <c r="Y876" s="373">
        <v>9840</v>
      </c>
      <c r="Z876" s="371" t="s">
        <v>2271</v>
      </c>
      <c r="AA876" s="373">
        <v>0</v>
      </c>
      <c r="AB876" s="373">
        <v>9770</v>
      </c>
      <c r="AC876" s="373">
        <v>9770</v>
      </c>
      <c r="AD876" s="371" t="s">
        <v>2271</v>
      </c>
      <c r="AE876" s="373">
        <v>0</v>
      </c>
      <c r="AF876" s="382">
        <v>0.43888888888888899</v>
      </c>
      <c r="AG876" s="382">
        <v>0.43888888888888899</v>
      </c>
      <c r="AH876" s="371" t="s">
        <v>2271</v>
      </c>
      <c r="AI876" s="382">
        <v>0.47847222222222202</v>
      </c>
      <c r="AJ876" s="382">
        <v>0.47847222222222202</v>
      </c>
      <c r="AK876" s="371" t="s">
        <v>2271</v>
      </c>
      <c r="AL876" s="206" t="s">
        <v>42</v>
      </c>
      <c r="AM876" s="206" t="s">
        <v>42</v>
      </c>
      <c r="AN876" s="371" t="s">
        <v>2271</v>
      </c>
      <c r="AO876" s="206" t="s">
        <v>3042</v>
      </c>
      <c r="AP876" s="206"/>
      <c r="AQ876" s="206" t="s">
        <v>1131</v>
      </c>
      <c r="AR876" s="207" t="s">
        <v>82</v>
      </c>
    </row>
    <row r="877" spans="1:44" x14ac:dyDescent="0.2">
      <c r="A877" s="370">
        <v>858</v>
      </c>
      <c r="B877" s="380">
        <v>675</v>
      </c>
      <c r="C877" s="371" t="s">
        <v>2337</v>
      </c>
      <c r="D877" s="371" t="s">
        <v>2235</v>
      </c>
      <c r="E877" s="206"/>
      <c r="F877" s="206" t="s">
        <v>46</v>
      </c>
      <c r="G877" s="206" t="s">
        <v>46</v>
      </c>
      <c r="H877" s="371" t="s">
        <v>2271</v>
      </c>
      <c r="I877" s="206"/>
      <c r="J877" s="206" t="s">
        <v>1358</v>
      </c>
      <c r="K877" s="371" t="s">
        <v>2276</v>
      </c>
      <c r="L877" s="206" t="s">
        <v>2198</v>
      </c>
      <c r="M877" s="206" t="s">
        <v>1357</v>
      </c>
      <c r="N877" s="206" t="s">
        <v>78</v>
      </c>
      <c r="O877" s="372" t="s">
        <v>2200</v>
      </c>
      <c r="P877" s="372">
        <v>46067</v>
      </c>
      <c r="Q877" s="371" t="s">
        <v>2276</v>
      </c>
      <c r="R877" s="373">
        <v>26610</v>
      </c>
      <c r="S877" s="373">
        <v>26610</v>
      </c>
      <c r="T877" s="371" t="s">
        <v>2271</v>
      </c>
      <c r="U877" s="373">
        <v>11800</v>
      </c>
      <c r="V877" s="373">
        <v>11800</v>
      </c>
      <c r="W877" s="371" t="s">
        <v>2271</v>
      </c>
      <c r="X877" s="373">
        <v>14810</v>
      </c>
      <c r="Y877" s="373">
        <v>14810</v>
      </c>
      <c r="Z877" s="371" t="s">
        <v>2271</v>
      </c>
      <c r="AA877" s="373">
        <v>0</v>
      </c>
      <c r="AB877" s="373">
        <v>14860</v>
      </c>
      <c r="AC877" s="373">
        <v>14860</v>
      </c>
      <c r="AD877" s="371" t="s">
        <v>2271</v>
      </c>
      <c r="AE877" s="373">
        <v>0</v>
      </c>
      <c r="AF877" s="382">
        <v>0.56388888888888899</v>
      </c>
      <c r="AG877" s="382">
        <v>0.56388888888888899</v>
      </c>
      <c r="AH877" s="371" t="s">
        <v>2271</v>
      </c>
      <c r="AI877" s="382">
        <v>0.64166666666666705</v>
      </c>
      <c r="AJ877" s="382">
        <v>0.64166666666666705</v>
      </c>
      <c r="AK877" s="371" t="s">
        <v>2271</v>
      </c>
      <c r="AL877" s="206" t="s">
        <v>42</v>
      </c>
      <c r="AM877" s="206" t="s">
        <v>42</v>
      </c>
      <c r="AN877" s="371" t="s">
        <v>2271</v>
      </c>
      <c r="AO877" s="206" t="s">
        <v>3043</v>
      </c>
      <c r="AP877" s="206" t="s">
        <v>1393</v>
      </c>
      <c r="AQ877" s="206" t="s">
        <v>1132</v>
      </c>
      <c r="AR877" s="207" t="s">
        <v>88</v>
      </c>
    </row>
    <row r="878" spans="1:44" x14ac:dyDescent="0.2">
      <c r="A878" s="370">
        <v>859</v>
      </c>
      <c r="B878" s="380">
        <v>676</v>
      </c>
      <c r="C878" s="371" t="s">
        <v>2337</v>
      </c>
      <c r="D878" s="371" t="s">
        <v>2235</v>
      </c>
      <c r="E878" s="206"/>
      <c r="F878" s="206" t="s">
        <v>70</v>
      </c>
      <c r="G878" s="206" t="s">
        <v>70</v>
      </c>
      <c r="H878" s="371" t="s">
        <v>2271</v>
      </c>
      <c r="I878" s="206"/>
      <c r="J878" s="206" t="s">
        <v>1358</v>
      </c>
      <c r="K878" s="371" t="s">
        <v>2276</v>
      </c>
      <c r="L878" s="206" t="s">
        <v>2198</v>
      </c>
      <c r="M878" s="206" t="s">
        <v>1357</v>
      </c>
      <c r="N878" s="206" t="s">
        <v>78</v>
      </c>
      <c r="O878" s="372" t="s">
        <v>2200</v>
      </c>
      <c r="P878" s="372">
        <v>46067</v>
      </c>
      <c r="Q878" s="371" t="s">
        <v>2276</v>
      </c>
      <c r="R878" s="373">
        <v>45790</v>
      </c>
      <c r="S878" s="373">
        <v>45790</v>
      </c>
      <c r="T878" s="371" t="s">
        <v>2271</v>
      </c>
      <c r="U878" s="373">
        <v>17420</v>
      </c>
      <c r="V878" s="373">
        <v>17420</v>
      </c>
      <c r="W878" s="371" t="s">
        <v>2271</v>
      </c>
      <c r="X878" s="373">
        <v>28370</v>
      </c>
      <c r="Y878" s="373">
        <v>28370</v>
      </c>
      <c r="Z878" s="371" t="s">
        <v>2271</v>
      </c>
      <c r="AA878" s="373">
        <v>0</v>
      </c>
      <c r="AB878" s="373">
        <v>28380</v>
      </c>
      <c r="AC878" s="373">
        <v>28380</v>
      </c>
      <c r="AD878" s="371" t="s">
        <v>2271</v>
      </c>
      <c r="AE878" s="373">
        <v>0</v>
      </c>
      <c r="AF878" s="382">
        <v>0.58263888888888904</v>
      </c>
      <c r="AG878" s="382">
        <v>0.58263888888888904</v>
      </c>
      <c r="AH878" s="371" t="s">
        <v>2271</v>
      </c>
      <c r="AI878" s="382">
        <v>0.62986111111111098</v>
      </c>
      <c r="AJ878" s="382">
        <v>0.62986111111111098</v>
      </c>
      <c r="AK878" s="371" t="s">
        <v>2271</v>
      </c>
      <c r="AL878" s="206" t="s">
        <v>42</v>
      </c>
      <c r="AM878" s="206" t="s">
        <v>42</v>
      </c>
      <c r="AN878" s="371" t="s">
        <v>2271</v>
      </c>
      <c r="AO878" s="206" t="s">
        <v>3044</v>
      </c>
      <c r="AP878" s="206" t="s">
        <v>1499</v>
      </c>
      <c r="AQ878" s="206" t="s">
        <v>1133</v>
      </c>
      <c r="AR878" s="207" t="s">
        <v>88</v>
      </c>
    </row>
    <row r="879" spans="1:44" x14ac:dyDescent="0.2">
      <c r="A879" s="370">
        <v>860</v>
      </c>
      <c r="B879" s="380">
        <v>677</v>
      </c>
      <c r="C879" s="371" t="s">
        <v>2337</v>
      </c>
      <c r="D879" s="371" t="s">
        <v>2235</v>
      </c>
      <c r="E879" s="206"/>
      <c r="F879" s="206" t="s">
        <v>169</v>
      </c>
      <c r="G879" s="206" t="s">
        <v>169</v>
      </c>
      <c r="H879" s="371" t="s">
        <v>2271</v>
      </c>
      <c r="I879" s="206"/>
      <c r="J879" s="206" t="s">
        <v>1361</v>
      </c>
      <c r="K879" s="371" t="s">
        <v>2276</v>
      </c>
      <c r="L879" s="206" t="s">
        <v>2196</v>
      </c>
      <c r="M879" s="206" t="s">
        <v>1360</v>
      </c>
      <c r="N879" s="206" t="s">
        <v>40</v>
      </c>
      <c r="O879" s="372" t="s">
        <v>2200</v>
      </c>
      <c r="P879" s="372">
        <v>46067</v>
      </c>
      <c r="Q879" s="371" t="s">
        <v>2276</v>
      </c>
      <c r="R879" s="373">
        <v>13420</v>
      </c>
      <c r="S879" s="373">
        <v>13420</v>
      </c>
      <c r="T879" s="371" t="s">
        <v>2271</v>
      </c>
      <c r="U879" s="373">
        <v>4020</v>
      </c>
      <c r="V879" s="373">
        <v>4020</v>
      </c>
      <c r="W879" s="371" t="s">
        <v>2271</v>
      </c>
      <c r="X879" s="373">
        <v>9400</v>
      </c>
      <c r="Y879" s="373">
        <v>9400</v>
      </c>
      <c r="Z879" s="371" t="s">
        <v>2271</v>
      </c>
      <c r="AA879" s="373">
        <v>0</v>
      </c>
      <c r="AB879" s="373">
        <v>9260</v>
      </c>
      <c r="AC879" s="373">
        <v>9260</v>
      </c>
      <c r="AD879" s="371" t="s">
        <v>2271</v>
      </c>
      <c r="AE879" s="373">
        <v>0</v>
      </c>
      <c r="AF879" s="382">
        <v>0.59791666666666698</v>
      </c>
      <c r="AG879" s="382">
        <v>0.59791666666666698</v>
      </c>
      <c r="AH879" s="371" t="s">
        <v>2271</v>
      </c>
      <c r="AI879" s="382">
        <v>0.65347222222222201</v>
      </c>
      <c r="AJ879" s="382">
        <v>0.65347222222222201</v>
      </c>
      <c r="AK879" s="371" t="s">
        <v>2271</v>
      </c>
      <c r="AL879" s="206" t="s">
        <v>42</v>
      </c>
      <c r="AM879" s="206" t="s">
        <v>42</v>
      </c>
      <c r="AN879" s="371" t="s">
        <v>2271</v>
      </c>
      <c r="AO879" s="206" t="s">
        <v>3045</v>
      </c>
      <c r="AP879" s="206"/>
      <c r="AQ879" s="206" t="s">
        <v>1131</v>
      </c>
      <c r="AR879" s="207" t="s">
        <v>82</v>
      </c>
    </row>
    <row r="880" spans="1:44" x14ac:dyDescent="0.2">
      <c r="A880" s="370">
        <v>861</v>
      </c>
      <c r="B880" s="380">
        <v>678</v>
      </c>
      <c r="C880" s="371" t="s">
        <v>2337</v>
      </c>
      <c r="D880" s="371" t="s">
        <v>2235</v>
      </c>
      <c r="E880" s="206"/>
      <c r="F880" s="206" t="s">
        <v>183</v>
      </c>
      <c r="G880" s="206" t="s">
        <v>183</v>
      </c>
      <c r="H880" s="371" t="s">
        <v>2271</v>
      </c>
      <c r="I880" s="206"/>
      <c r="J880" s="206" t="s">
        <v>1361</v>
      </c>
      <c r="K880" s="371" t="s">
        <v>2276</v>
      </c>
      <c r="L880" s="206" t="s">
        <v>2196</v>
      </c>
      <c r="M880" s="206" t="s">
        <v>1360</v>
      </c>
      <c r="N880" s="206" t="s">
        <v>40</v>
      </c>
      <c r="O880" s="372" t="s">
        <v>2200</v>
      </c>
      <c r="P880" s="372">
        <v>46067</v>
      </c>
      <c r="Q880" s="371" t="s">
        <v>2276</v>
      </c>
      <c r="R880" s="373">
        <v>14210</v>
      </c>
      <c r="S880" s="373">
        <v>14210</v>
      </c>
      <c r="T880" s="371" t="s">
        <v>2271</v>
      </c>
      <c r="U880" s="373">
        <v>4200</v>
      </c>
      <c r="V880" s="373">
        <v>4200</v>
      </c>
      <c r="W880" s="371" t="s">
        <v>2271</v>
      </c>
      <c r="X880" s="373">
        <v>10010</v>
      </c>
      <c r="Y880" s="373">
        <v>10010</v>
      </c>
      <c r="Z880" s="371" t="s">
        <v>2271</v>
      </c>
      <c r="AA880" s="373">
        <v>0</v>
      </c>
      <c r="AB880" s="373">
        <v>9970</v>
      </c>
      <c r="AC880" s="373">
        <v>9970</v>
      </c>
      <c r="AD880" s="371" t="s">
        <v>2271</v>
      </c>
      <c r="AE880" s="373">
        <v>0</v>
      </c>
      <c r="AF880" s="382">
        <v>0.70902777777777803</v>
      </c>
      <c r="AG880" s="382">
        <v>0.70902777777777803</v>
      </c>
      <c r="AH880" s="371" t="s">
        <v>2271</v>
      </c>
      <c r="AI880" s="382">
        <v>0.76875000000000004</v>
      </c>
      <c r="AJ880" s="382">
        <v>0.76875000000000004</v>
      </c>
      <c r="AK880" s="371" t="s">
        <v>2271</v>
      </c>
      <c r="AL880" s="206" t="s">
        <v>137</v>
      </c>
      <c r="AM880" s="206" t="s">
        <v>137</v>
      </c>
      <c r="AN880" s="371" t="s">
        <v>2271</v>
      </c>
      <c r="AO880" s="206" t="s">
        <v>3046</v>
      </c>
      <c r="AP880" s="206"/>
      <c r="AQ880" s="206" t="s">
        <v>1131</v>
      </c>
      <c r="AR880" s="207" t="s">
        <v>82</v>
      </c>
    </row>
    <row r="881" spans="1:44" x14ac:dyDescent="0.2">
      <c r="A881" s="370">
        <v>862</v>
      </c>
      <c r="B881" s="380">
        <v>679</v>
      </c>
      <c r="C881" s="371" t="s">
        <v>2337</v>
      </c>
      <c r="D881" s="371" t="s">
        <v>2235</v>
      </c>
      <c r="E881" s="206"/>
      <c r="F881" s="206" t="s">
        <v>155</v>
      </c>
      <c r="G881" s="206" t="s">
        <v>155</v>
      </c>
      <c r="H881" s="371" t="s">
        <v>2271</v>
      </c>
      <c r="I881" s="206"/>
      <c r="J881" s="206" t="s">
        <v>1361</v>
      </c>
      <c r="K881" s="371" t="s">
        <v>2276</v>
      </c>
      <c r="L881" s="206" t="s">
        <v>2196</v>
      </c>
      <c r="M881" s="206" t="s">
        <v>1360</v>
      </c>
      <c r="N881" s="206" t="s">
        <v>40</v>
      </c>
      <c r="O881" s="372" t="s">
        <v>2200</v>
      </c>
      <c r="P881" s="372">
        <v>46067</v>
      </c>
      <c r="Q881" s="371" t="s">
        <v>2276</v>
      </c>
      <c r="R881" s="373">
        <v>13510</v>
      </c>
      <c r="S881" s="373">
        <v>13510</v>
      </c>
      <c r="T881" s="371" t="s">
        <v>2271</v>
      </c>
      <c r="U881" s="373">
        <v>3860</v>
      </c>
      <c r="V881" s="373">
        <v>3860</v>
      </c>
      <c r="W881" s="371" t="s">
        <v>2271</v>
      </c>
      <c r="X881" s="373">
        <v>9650</v>
      </c>
      <c r="Y881" s="373">
        <v>9650</v>
      </c>
      <c r="Z881" s="371" t="s">
        <v>2271</v>
      </c>
      <c r="AA881" s="373">
        <v>0</v>
      </c>
      <c r="AB881" s="373">
        <v>9620</v>
      </c>
      <c r="AC881" s="373">
        <v>9620</v>
      </c>
      <c r="AD881" s="371" t="s">
        <v>2271</v>
      </c>
      <c r="AE881" s="373">
        <v>0</v>
      </c>
      <c r="AF881" s="382">
        <v>0.71041666666666703</v>
      </c>
      <c r="AG881" s="382">
        <v>0.71041666666666703</v>
      </c>
      <c r="AH881" s="371" t="s">
        <v>2271</v>
      </c>
      <c r="AI881" s="382">
        <v>0.76180555555555596</v>
      </c>
      <c r="AJ881" s="382">
        <v>0.76180555555555596</v>
      </c>
      <c r="AK881" s="371" t="s">
        <v>2271</v>
      </c>
      <c r="AL881" s="206" t="s">
        <v>137</v>
      </c>
      <c r="AM881" s="206" t="s">
        <v>137</v>
      </c>
      <c r="AN881" s="371" t="s">
        <v>2271</v>
      </c>
      <c r="AO881" s="206" t="s">
        <v>3047</v>
      </c>
      <c r="AP881" s="206"/>
      <c r="AQ881" s="206" t="s">
        <v>1131</v>
      </c>
      <c r="AR881" s="207" t="s">
        <v>82</v>
      </c>
    </row>
    <row r="882" spans="1:44" x14ac:dyDescent="0.2">
      <c r="A882" s="370">
        <v>863</v>
      </c>
      <c r="B882" s="380">
        <v>680</v>
      </c>
      <c r="C882" s="371" t="s">
        <v>2337</v>
      </c>
      <c r="D882" s="371" t="s">
        <v>2235</v>
      </c>
      <c r="E882" s="206"/>
      <c r="F882" s="206" t="s">
        <v>194</v>
      </c>
      <c r="G882" s="206" t="s">
        <v>194</v>
      </c>
      <c r="H882" s="371" t="s">
        <v>2271</v>
      </c>
      <c r="I882" s="206"/>
      <c r="J882" s="206" t="s">
        <v>1361</v>
      </c>
      <c r="K882" s="371" t="s">
        <v>2276</v>
      </c>
      <c r="L882" s="206" t="s">
        <v>2196</v>
      </c>
      <c r="M882" s="206" t="s">
        <v>1360</v>
      </c>
      <c r="N882" s="206" t="s">
        <v>40</v>
      </c>
      <c r="O882" s="372" t="s">
        <v>2200</v>
      </c>
      <c r="P882" s="372">
        <v>46067</v>
      </c>
      <c r="Q882" s="371" t="s">
        <v>2276</v>
      </c>
      <c r="R882" s="373">
        <v>13200</v>
      </c>
      <c r="S882" s="373">
        <v>13200</v>
      </c>
      <c r="T882" s="371" t="s">
        <v>2271</v>
      </c>
      <c r="U882" s="373">
        <v>3940</v>
      </c>
      <c r="V882" s="373">
        <v>3940</v>
      </c>
      <c r="W882" s="371" t="s">
        <v>2271</v>
      </c>
      <c r="X882" s="373">
        <v>9260</v>
      </c>
      <c r="Y882" s="373">
        <v>9260</v>
      </c>
      <c r="Z882" s="371" t="s">
        <v>2271</v>
      </c>
      <c r="AA882" s="373">
        <v>0</v>
      </c>
      <c r="AB882" s="373">
        <v>9250</v>
      </c>
      <c r="AC882" s="373">
        <v>9250</v>
      </c>
      <c r="AD882" s="371" t="s">
        <v>2271</v>
      </c>
      <c r="AE882" s="373">
        <v>0</v>
      </c>
      <c r="AF882" s="382">
        <v>0.71111111111111103</v>
      </c>
      <c r="AG882" s="382">
        <v>0.71111111111111103</v>
      </c>
      <c r="AH882" s="371" t="s">
        <v>2271</v>
      </c>
      <c r="AI882" s="382">
        <v>0.750694444444444</v>
      </c>
      <c r="AJ882" s="382">
        <v>0.750694444444444</v>
      </c>
      <c r="AK882" s="371" t="s">
        <v>2271</v>
      </c>
      <c r="AL882" s="206" t="s">
        <v>137</v>
      </c>
      <c r="AM882" s="206" t="s">
        <v>137</v>
      </c>
      <c r="AN882" s="371" t="s">
        <v>2271</v>
      </c>
      <c r="AO882" s="206" t="s">
        <v>3048</v>
      </c>
      <c r="AP882" s="206"/>
      <c r="AQ882" s="206" t="s">
        <v>1131</v>
      </c>
      <c r="AR882" s="207" t="s">
        <v>82</v>
      </c>
    </row>
    <row r="883" spans="1:44" x14ac:dyDescent="0.2">
      <c r="A883" s="370">
        <v>864</v>
      </c>
      <c r="B883" s="380">
        <v>681</v>
      </c>
      <c r="C883" s="371" t="s">
        <v>2337</v>
      </c>
      <c r="D883" s="371" t="s">
        <v>2235</v>
      </c>
      <c r="E883" s="206"/>
      <c r="F883" s="206" t="s">
        <v>56</v>
      </c>
      <c r="G883" s="206" t="s">
        <v>56</v>
      </c>
      <c r="H883" s="371" t="s">
        <v>2271</v>
      </c>
      <c r="I883" s="206"/>
      <c r="J883" s="206"/>
      <c r="K883" s="371" t="s">
        <v>2271</v>
      </c>
      <c r="L883" s="206" t="s">
        <v>2197</v>
      </c>
      <c r="M883" s="206" t="s">
        <v>1362</v>
      </c>
      <c r="N883" s="206" t="s">
        <v>59</v>
      </c>
      <c r="O883" s="372" t="s">
        <v>2200</v>
      </c>
      <c r="P883" s="372">
        <v>46067</v>
      </c>
      <c r="Q883" s="371" t="s">
        <v>2276</v>
      </c>
      <c r="R883" s="373">
        <v>25180</v>
      </c>
      <c r="S883" s="373">
        <v>25180</v>
      </c>
      <c r="T883" s="371" t="s">
        <v>2271</v>
      </c>
      <c r="U883" s="373">
        <v>10820</v>
      </c>
      <c r="V883" s="373">
        <v>10820</v>
      </c>
      <c r="W883" s="371" t="s">
        <v>2271</v>
      </c>
      <c r="X883" s="373">
        <v>14360</v>
      </c>
      <c r="Y883" s="373">
        <v>14360</v>
      </c>
      <c r="Z883" s="371" t="s">
        <v>2271</v>
      </c>
      <c r="AA883" s="373">
        <v>0</v>
      </c>
      <c r="AB883" s="373">
        <v>14400</v>
      </c>
      <c r="AC883" s="373">
        <v>14400</v>
      </c>
      <c r="AD883" s="371" t="s">
        <v>2271</v>
      </c>
      <c r="AE883" s="373">
        <v>0</v>
      </c>
      <c r="AF883" s="382">
        <v>0.71250000000000002</v>
      </c>
      <c r="AG883" s="382">
        <v>0.71250000000000002</v>
      </c>
      <c r="AH883" s="371" t="s">
        <v>2271</v>
      </c>
      <c r="AI883" s="382">
        <v>0.79583333333333295</v>
      </c>
      <c r="AJ883" s="382">
        <v>0.79583333333333295</v>
      </c>
      <c r="AK883" s="371" t="s">
        <v>2271</v>
      </c>
      <c r="AL883" s="206" t="s">
        <v>137</v>
      </c>
      <c r="AM883" s="206" t="s">
        <v>137</v>
      </c>
      <c r="AN883" s="371" t="s">
        <v>2271</v>
      </c>
      <c r="AO883" s="206" t="s">
        <v>3049</v>
      </c>
      <c r="AP883" s="206" t="s">
        <v>1781</v>
      </c>
      <c r="AQ883" s="206" t="s">
        <v>1132</v>
      </c>
      <c r="AR883" s="207" t="s">
        <v>75</v>
      </c>
    </row>
    <row r="884" spans="1:44" x14ac:dyDescent="0.2">
      <c r="A884" s="370">
        <v>865</v>
      </c>
      <c r="B884" s="380">
        <v>682</v>
      </c>
      <c r="C884" s="371" t="s">
        <v>2337</v>
      </c>
      <c r="D884" s="371" t="s">
        <v>2235</v>
      </c>
      <c r="E884" s="206"/>
      <c r="F884" s="206" t="s">
        <v>151</v>
      </c>
      <c r="G884" s="206" t="s">
        <v>151</v>
      </c>
      <c r="H884" s="371" t="s">
        <v>2271</v>
      </c>
      <c r="I884" s="206"/>
      <c r="J884" s="206" t="s">
        <v>1361</v>
      </c>
      <c r="K884" s="371" t="s">
        <v>2276</v>
      </c>
      <c r="L884" s="206" t="s">
        <v>2196</v>
      </c>
      <c r="M884" s="206" t="s">
        <v>1360</v>
      </c>
      <c r="N884" s="206" t="s">
        <v>40</v>
      </c>
      <c r="O884" s="372" t="s">
        <v>2200</v>
      </c>
      <c r="P884" s="372">
        <v>46067</v>
      </c>
      <c r="Q884" s="371" t="s">
        <v>2276</v>
      </c>
      <c r="R884" s="373">
        <v>13540</v>
      </c>
      <c r="S884" s="373">
        <v>13540</v>
      </c>
      <c r="T884" s="371" t="s">
        <v>2271</v>
      </c>
      <c r="U884" s="373">
        <v>4160</v>
      </c>
      <c r="V884" s="373">
        <v>4160</v>
      </c>
      <c r="W884" s="371" t="s">
        <v>2271</v>
      </c>
      <c r="X884" s="373">
        <v>9380</v>
      </c>
      <c r="Y884" s="373">
        <v>9380</v>
      </c>
      <c r="Z884" s="371" t="s">
        <v>2271</v>
      </c>
      <c r="AA884" s="373">
        <v>0</v>
      </c>
      <c r="AB884" s="373">
        <v>9350</v>
      </c>
      <c r="AC884" s="373">
        <v>9350</v>
      </c>
      <c r="AD884" s="371" t="s">
        <v>2271</v>
      </c>
      <c r="AE884" s="373">
        <v>0</v>
      </c>
      <c r="AF884" s="382">
        <v>0.71388888888888902</v>
      </c>
      <c r="AG884" s="382">
        <v>0.71388888888888902</v>
      </c>
      <c r="AH884" s="371" t="s">
        <v>2271</v>
      </c>
      <c r="AI884" s="382">
        <v>0.77916666666666701</v>
      </c>
      <c r="AJ884" s="382">
        <v>0.77916666666666701</v>
      </c>
      <c r="AK884" s="371" t="s">
        <v>2271</v>
      </c>
      <c r="AL884" s="206" t="s">
        <v>137</v>
      </c>
      <c r="AM884" s="206" t="s">
        <v>137</v>
      </c>
      <c r="AN884" s="371" t="s">
        <v>2271</v>
      </c>
      <c r="AO884" s="206" t="s">
        <v>3050</v>
      </c>
      <c r="AP884" s="206"/>
      <c r="AQ884" s="206" t="s">
        <v>1131</v>
      </c>
      <c r="AR884" s="207" t="s">
        <v>82</v>
      </c>
    </row>
    <row r="885" spans="1:44" x14ac:dyDescent="0.2">
      <c r="A885" s="370">
        <v>866</v>
      </c>
      <c r="B885" s="380">
        <v>683</v>
      </c>
      <c r="C885" s="371" t="s">
        <v>2337</v>
      </c>
      <c r="D885" s="371" t="s">
        <v>2235</v>
      </c>
      <c r="E885" s="206"/>
      <c r="F885" s="206" t="s">
        <v>70</v>
      </c>
      <c r="G885" s="206" t="s">
        <v>70</v>
      </c>
      <c r="H885" s="371" t="s">
        <v>2271</v>
      </c>
      <c r="I885" s="206"/>
      <c r="J885" s="206"/>
      <c r="K885" s="371" t="s">
        <v>2271</v>
      </c>
      <c r="L885" s="206" t="s">
        <v>2197</v>
      </c>
      <c r="M885" s="206" t="s">
        <v>1362</v>
      </c>
      <c r="N885" s="206" t="s">
        <v>59</v>
      </c>
      <c r="O885" s="372" t="s">
        <v>2200</v>
      </c>
      <c r="P885" s="372">
        <v>46067</v>
      </c>
      <c r="Q885" s="371" t="s">
        <v>2276</v>
      </c>
      <c r="R885" s="373">
        <v>45790</v>
      </c>
      <c r="S885" s="373">
        <v>45790</v>
      </c>
      <c r="T885" s="371" t="s">
        <v>2271</v>
      </c>
      <c r="U885" s="373">
        <v>17470</v>
      </c>
      <c r="V885" s="373">
        <v>17470</v>
      </c>
      <c r="W885" s="371" t="s">
        <v>2271</v>
      </c>
      <c r="X885" s="373">
        <v>28320</v>
      </c>
      <c r="Y885" s="373">
        <v>28320</v>
      </c>
      <c r="Z885" s="371" t="s">
        <v>2271</v>
      </c>
      <c r="AA885" s="373">
        <v>0</v>
      </c>
      <c r="AB885" s="373">
        <v>28480</v>
      </c>
      <c r="AC885" s="373">
        <v>28480</v>
      </c>
      <c r="AD885" s="371" t="s">
        <v>2271</v>
      </c>
      <c r="AE885" s="373">
        <v>0</v>
      </c>
      <c r="AF885" s="382">
        <v>0.77013888888888904</v>
      </c>
      <c r="AG885" s="382">
        <v>0.77013888888888904</v>
      </c>
      <c r="AH885" s="371" t="s">
        <v>2271</v>
      </c>
      <c r="AI885" s="382">
        <v>0.81111111111111101</v>
      </c>
      <c r="AJ885" s="382">
        <v>0.81111111111111101</v>
      </c>
      <c r="AK885" s="371" t="s">
        <v>2271</v>
      </c>
      <c r="AL885" s="206" t="s">
        <v>137</v>
      </c>
      <c r="AM885" s="206" t="s">
        <v>137</v>
      </c>
      <c r="AN885" s="371" t="s">
        <v>2271</v>
      </c>
      <c r="AO885" s="206" t="s">
        <v>3051</v>
      </c>
      <c r="AP885" s="206" t="s">
        <v>1499</v>
      </c>
      <c r="AQ885" s="206" t="s">
        <v>1133</v>
      </c>
      <c r="AR885" s="207" t="s">
        <v>75</v>
      </c>
    </row>
    <row r="886" spans="1:44" x14ac:dyDescent="0.2">
      <c r="A886" s="370">
        <v>867</v>
      </c>
      <c r="B886" s="380">
        <v>684</v>
      </c>
      <c r="C886" s="371" t="s">
        <v>2337</v>
      </c>
      <c r="D886" s="371" t="s">
        <v>2235</v>
      </c>
      <c r="E886" s="206"/>
      <c r="F886" s="206" t="s">
        <v>46</v>
      </c>
      <c r="G886" s="206" t="s">
        <v>46</v>
      </c>
      <c r="H886" s="371" t="s">
        <v>2271</v>
      </c>
      <c r="I886" s="206"/>
      <c r="J886" s="206"/>
      <c r="K886" s="371" t="s">
        <v>2271</v>
      </c>
      <c r="L886" s="206" t="s">
        <v>2197</v>
      </c>
      <c r="M886" s="206" t="s">
        <v>1362</v>
      </c>
      <c r="N886" s="206" t="s">
        <v>59</v>
      </c>
      <c r="O886" s="372" t="s">
        <v>2200</v>
      </c>
      <c r="P886" s="372">
        <v>46067</v>
      </c>
      <c r="Q886" s="371" t="s">
        <v>2276</v>
      </c>
      <c r="R886" s="373">
        <v>26600</v>
      </c>
      <c r="S886" s="373">
        <v>26600</v>
      </c>
      <c r="T886" s="371" t="s">
        <v>2271</v>
      </c>
      <c r="U886" s="373">
        <v>11770</v>
      </c>
      <c r="V886" s="373">
        <v>11770</v>
      </c>
      <c r="W886" s="371" t="s">
        <v>2271</v>
      </c>
      <c r="X886" s="373">
        <v>14830</v>
      </c>
      <c r="Y886" s="373">
        <v>14830</v>
      </c>
      <c r="Z886" s="371" t="s">
        <v>2271</v>
      </c>
      <c r="AA886" s="373">
        <v>0</v>
      </c>
      <c r="AB886" s="373">
        <v>14860</v>
      </c>
      <c r="AC886" s="373">
        <v>14860</v>
      </c>
      <c r="AD886" s="371" t="s">
        <v>2271</v>
      </c>
      <c r="AE886" s="373">
        <v>0</v>
      </c>
      <c r="AF886" s="382">
        <v>0.78125</v>
      </c>
      <c r="AG886" s="382">
        <v>0.78125</v>
      </c>
      <c r="AH886" s="371" t="s">
        <v>2271</v>
      </c>
      <c r="AI886" s="382">
        <v>0.81944444444444497</v>
      </c>
      <c r="AJ886" s="382">
        <v>0.81944444444444398</v>
      </c>
      <c r="AK886" s="371" t="s">
        <v>2276</v>
      </c>
      <c r="AL886" s="206" t="s">
        <v>137</v>
      </c>
      <c r="AM886" s="206" t="s">
        <v>137</v>
      </c>
      <c r="AN886" s="371" t="s">
        <v>2271</v>
      </c>
      <c r="AO886" s="206" t="s">
        <v>3052</v>
      </c>
      <c r="AP886" s="206" t="s">
        <v>1393</v>
      </c>
      <c r="AQ886" s="206" t="s">
        <v>1132</v>
      </c>
      <c r="AR886" s="207" t="s">
        <v>75</v>
      </c>
    </row>
    <row r="887" spans="1:44" x14ac:dyDescent="0.2">
      <c r="A887" s="370">
        <v>868</v>
      </c>
      <c r="B887" s="380">
        <v>685</v>
      </c>
      <c r="C887" s="371" t="s">
        <v>2337</v>
      </c>
      <c r="D887" s="371" t="s">
        <v>2235</v>
      </c>
      <c r="E887" s="206"/>
      <c r="F887" s="206" t="s">
        <v>171</v>
      </c>
      <c r="G887" s="206" t="s">
        <v>171</v>
      </c>
      <c r="H887" s="371" t="s">
        <v>2271</v>
      </c>
      <c r="I887" s="206"/>
      <c r="J887" s="206" t="s">
        <v>1361</v>
      </c>
      <c r="K887" s="371" t="s">
        <v>2276</v>
      </c>
      <c r="L887" s="206" t="s">
        <v>2196</v>
      </c>
      <c r="M887" s="206" t="s">
        <v>1360</v>
      </c>
      <c r="N887" s="206" t="s">
        <v>40</v>
      </c>
      <c r="O887" s="372" t="s">
        <v>2200</v>
      </c>
      <c r="P887" s="372">
        <v>46067</v>
      </c>
      <c r="Q887" s="371" t="s">
        <v>2276</v>
      </c>
      <c r="R887" s="373">
        <v>13200</v>
      </c>
      <c r="S887" s="373">
        <v>13200</v>
      </c>
      <c r="T887" s="371" t="s">
        <v>2271</v>
      </c>
      <c r="U887" s="373">
        <v>3620</v>
      </c>
      <c r="V887" s="373">
        <v>3620</v>
      </c>
      <c r="W887" s="371" t="s">
        <v>2271</v>
      </c>
      <c r="X887" s="373">
        <v>9580</v>
      </c>
      <c r="Y887" s="373">
        <v>9580</v>
      </c>
      <c r="Z887" s="371" t="s">
        <v>2271</v>
      </c>
      <c r="AA887" s="373">
        <v>0</v>
      </c>
      <c r="AB887" s="373">
        <v>9360</v>
      </c>
      <c r="AC887" s="373">
        <v>9360</v>
      </c>
      <c r="AD887" s="371" t="s">
        <v>2271</v>
      </c>
      <c r="AE887" s="373">
        <v>0</v>
      </c>
      <c r="AF887" s="382">
        <v>0.92708333333333304</v>
      </c>
      <c r="AG887" s="382">
        <v>0.92708333333333304</v>
      </c>
      <c r="AH887" s="371" t="s">
        <v>2271</v>
      </c>
      <c r="AI887" s="382">
        <v>0.969444444444444</v>
      </c>
      <c r="AJ887" s="382">
        <v>0.969444444444444</v>
      </c>
      <c r="AK887" s="371" t="s">
        <v>2271</v>
      </c>
      <c r="AL887" s="206" t="s">
        <v>137</v>
      </c>
      <c r="AM887" s="206" t="s">
        <v>137</v>
      </c>
      <c r="AN887" s="371" t="s">
        <v>2271</v>
      </c>
      <c r="AO887" s="206" t="s">
        <v>3053</v>
      </c>
      <c r="AP887" s="206"/>
      <c r="AQ887" s="206" t="s">
        <v>1131</v>
      </c>
      <c r="AR887" s="207" t="s">
        <v>82</v>
      </c>
    </row>
    <row r="888" spans="1:44" x14ac:dyDescent="0.2">
      <c r="A888" s="370">
        <v>869</v>
      </c>
      <c r="B888" s="380">
        <v>686</v>
      </c>
      <c r="C888" s="371" t="s">
        <v>2337</v>
      </c>
      <c r="D888" s="371" t="s">
        <v>2235</v>
      </c>
      <c r="E888" s="206"/>
      <c r="F888" s="206" t="s">
        <v>158</v>
      </c>
      <c r="G888" s="206" t="s">
        <v>158</v>
      </c>
      <c r="H888" s="371" t="s">
        <v>2271</v>
      </c>
      <c r="I888" s="206"/>
      <c r="J888" s="206" t="s">
        <v>1361</v>
      </c>
      <c r="K888" s="371" t="s">
        <v>2276</v>
      </c>
      <c r="L888" s="206" t="s">
        <v>2196</v>
      </c>
      <c r="M888" s="206" t="s">
        <v>1360</v>
      </c>
      <c r="N888" s="206" t="s">
        <v>40</v>
      </c>
      <c r="O888" s="372" t="s">
        <v>2200</v>
      </c>
      <c r="P888" s="372">
        <v>46067</v>
      </c>
      <c r="Q888" s="371" t="s">
        <v>2276</v>
      </c>
      <c r="R888" s="373">
        <v>13980</v>
      </c>
      <c r="S888" s="373">
        <v>13980</v>
      </c>
      <c r="T888" s="371" t="s">
        <v>2271</v>
      </c>
      <c r="U888" s="373">
        <v>3910</v>
      </c>
      <c r="V888" s="373">
        <v>3910</v>
      </c>
      <c r="W888" s="371" t="s">
        <v>2271</v>
      </c>
      <c r="X888" s="373">
        <v>10070</v>
      </c>
      <c r="Y888" s="373">
        <v>10070</v>
      </c>
      <c r="Z888" s="371" t="s">
        <v>2271</v>
      </c>
      <c r="AA888" s="373">
        <v>0</v>
      </c>
      <c r="AB888" s="373">
        <v>10000</v>
      </c>
      <c r="AC888" s="373">
        <v>10000</v>
      </c>
      <c r="AD888" s="371" t="s">
        <v>2271</v>
      </c>
      <c r="AE888" s="373">
        <v>0</v>
      </c>
      <c r="AF888" s="382">
        <v>0.92777777777777803</v>
      </c>
      <c r="AG888" s="382">
        <v>0.92777777777777803</v>
      </c>
      <c r="AH888" s="371" t="s">
        <v>2271</v>
      </c>
      <c r="AI888" s="382">
        <v>0.97152777777777799</v>
      </c>
      <c r="AJ888" s="382">
        <v>0.97152777777777799</v>
      </c>
      <c r="AK888" s="371" t="s">
        <v>2271</v>
      </c>
      <c r="AL888" s="206" t="s">
        <v>137</v>
      </c>
      <c r="AM888" s="206" t="s">
        <v>137</v>
      </c>
      <c r="AN888" s="371" t="s">
        <v>2271</v>
      </c>
      <c r="AO888" s="206" t="s">
        <v>3054</v>
      </c>
      <c r="AP888" s="206"/>
      <c r="AQ888" s="206" t="s">
        <v>1131</v>
      </c>
      <c r="AR888" s="207" t="s">
        <v>82</v>
      </c>
    </row>
    <row r="889" spans="1:44" x14ac:dyDescent="0.2">
      <c r="A889" s="370">
        <v>870</v>
      </c>
      <c r="B889" s="380">
        <v>687</v>
      </c>
      <c r="C889" s="371" t="s">
        <v>2337</v>
      </c>
      <c r="D889" s="371" t="s">
        <v>2235</v>
      </c>
      <c r="E889" s="206"/>
      <c r="F889" s="206" t="s">
        <v>181</v>
      </c>
      <c r="G889" s="206" t="s">
        <v>181</v>
      </c>
      <c r="H889" s="371" t="s">
        <v>2271</v>
      </c>
      <c r="I889" s="206"/>
      <c r="J889" s="206" t="s">
        <v>1361</v>
      </c>
      <c r="K889" s="371" t="s">
        <v>2276</v>
      </c>
      <c r="L889" s="206" t="s">
        <v>2196</v>
      </c>
      <c r="M889" s="206" t="s">
        <v>1360</v>
      </c>
      <c r="N889" s="206" t="s">
        <v>40</v>
      </c>
      <c r="O889" s="372" t="s">
        <v>2200</v>
      </c>
      <c r="P889" s="372">
        <v>46067</v>
      </c>
      <c r="Q889" s="371" t="s">
        <v>2276</v>
      </c>
      <c r="R889" s="373">
        <v>13550</v>
      </c>
      <c r="S889" s="373">
        <v>13550</v>
      </c>
      <c r="T889" s="371" t="s">
        <v>2271</v>
      </c>
      <c r="U889" s="373">
        <v>3970</v>
      </c>
      <c r="V889" s="373">
        <v>3970</v>
      </c>
      <c r="W889" s="371" t="s">
        <v>2271</v>
      </c>
      <c r="X889" s="373">
        <v>9580</v>
      </c>
      <c r="Y889" s="373">
        <v>9580</v>
      </c>
      <c r="Z889" s="371" t="s">
        <v>2271</v>
      </c>
      <c r="AA889" s="373">
        <v>0</v>
      </c>
      <c r="AB889" s="373">
        <v>9570</v>
      </c>
      <c r="AC889" s="373">
        <v>9570</v>
      </c>
      <c r="AD889" s="371" t="s">
        <v>2271</v>
      </c>
      <c r="AE889" s="373">
        <v>0</v>
      </c>
      <c r="AF889" s="382">
        <v>0.92916666666666703</v>
      </c>
      <c r="AG889" s="382">
        <v>0.92916666666666703</v>
      </c>
      <c r="AH889" s="371" t="s">
        <v>2271</v>
      </c>
      <c r="AI889" s="382">
        <v>0.97777777777777797</v>
      </c>
      <c r="AJ889" s="382">
        <v>0.97777777777777797</v>
      </c>
      <c r="AK889" s="371" t="s">
        <v>2271</v>
      </c>
      <c r="AL889" s="206" t="s">
        <v>137</v>
      </c>
      <c r="AM889" s="206" t="s">
        <v>137</v>
      </c>
      <c r="AN889" s="371" t="s">
        <v>2271</v>
      </c>
      <c r="AO889" s="206" t="s">
        <v>3055</v>
      </c>
      <c r="AP889" s="206"/>
      <c r="AQ889" s="206" t="s">
        <v>1131</v>
      </c>
      <c r="AR889" s="207" t="s">
        <v>82</v>
      </c>
    </row>
    <row r="890" spans="1:44" x14ac:dyDescent="0.2">
      <c r="A890" s="370">
        <v>871</v>
      </c>
      <c r="B890" s="380">
        <v>690</v>
      </c>
      <c r="C890" s="371" t="s">
        <v>2337</v>
      </c>
      <c r="D890" s="371" t="s">
        <v>2235</v>
      </c>
      <c r="E890" s="206"/>
      <c r="F890" s="206" t="s">
        <v>56</v>
      </c>
      <c r="G890" s="206" t="s">
        <v>56</v>
      </c>
      <c r="H890" s="371" t="s">
        <v>2271</v>
      </c>
      <c r="I890" s="206"/>
      <c r="J890" s="206" t="s">
        <v>1443</v>
      </c>
      <c r="K890" s="371" t="s">
        <v>2276</v>
      </c>
      <c r="L890" s="206" t="s">
        <v>2201</v>
      </c>
      <c r="M890" s="206" t="s">
        <v>1364</v>
      </c>
      <c r="N890" s="206" t="s">
        <v>49</v>
      </c>
      <c r="O890" s="372" t="s">
        <v>2202</v>
      </c>
      <c r="P890" s="372">
        <v>46069</v>
      </c>
      <c r="Q890" s="371" t="s">
        <v>2276</v>
      </c>
      <c r="R890" s="373">
        <v>25100</v>
      </c>
      <c r="S890" s="373">
        <v>25100</v>
      </c>
      <c r="T890" s="371" t="s">
        <v>2271</v>
      </c>
      <c r="U890" s="373">
        <v>10780</v>
      </c>
      <c r="V890" s="373">
        <v>10780</v>
      </c>
      <c r="W890" s="371" t="s">
        <v>2271</v>
      </c>
      <c r="X890" s="373">
        <v>14320</v>
      </c>
      <c r="Y890" s="373">
        <v>14320</v>
      </c>
      <c r="Z890" s="371" t="s">
        <v>2271</v>
      </c>
      <c r="AA890" s="373">
        <v>0</v>
      </c>
      <c r="AB890" s="373">
        <v>14280</v>
      </c>
      <c r="AC890" s="373">
        <v>14280</v>
      </c>
      <c r="AD890" s="371" t="s">
        <v>2271</v>
      </c>
      <c r="AE890" s="373">
        <v>0</v>
      </c>
      <c r="AF890" s="382">
        <v>0.69166666666666698</v>
      </c>
      <c r="AG890" s="382">
        <v>0.69166666666666698</v>
      </c>
      <c r="AH890" s="371" t="s">
        <v>2271</v>
      </c>
      <c r="AI890" s="382">
        <v>0.73611111111111105</v>
      </c>
      <c r="AJ890" s="382">
        <v>0.73611111111111105</v>
      </c>
      <c r="AK890" s="371" t="s">
        <v>2271</v>
      </c>
      <c r="AL890" s="206" t="s">
        <v>42</v>
      </c>
      <c r="AM890" s="206" t="s">
        <v>42</v>
      </c>
      <c r="AN890" s="371" t="s">
        <v>2271</v>
      </c>
      <c r="AO890" s="206" t="s">
        <v>3056</v>
      </c>
      <c r="AP890" s="206" t="s">
        <v>1781</v>
      </c>
      <c r="AQ890" s="206" t="s">
        <v>1132</v>
      </c>
      <c r="AR890" s="207" t="s">
        <v>68</v>
      </c>
    </row>
    <row r="891" spans="1:44" x14ac:dyDescent="0.2">
      <c r="A891" s="370">
        <v>872</v>
      </c>
      <c r="B891" s="380">
        <v>691</v>
      </c>
      <c r="C891" s="371" t="s">
        <v>2337</v>
      </c>
      <c r="D891" s="371" t="s">
        <v>2235</v>
      </c>
      <c r="E891" s="206"/>
      <c r="F891" s="206" t="s">
        <v>46</v>
      </c>
      <c r="G891" s="206" t="s">
        <v>46</v>
      </c>
      <c r="H891" s="371" t="s">
        <v>2271</v>
      </c>
      <c r="I891" s="206"/>
      <c r="J891" s="206" t="s">
        <v>1443</v>
      </c>
      <c r="K891" s="371" t="s">
        <v>2276</v>
      </c>
      <c r="L891" s="206" t="s">
        <v>2201</v>
      </c>
      <c r="M891" s="206" t="s">
        <v>1364</v>
      </c>
      <c r="N891" s="206" t="s">
        <v>49</v>
      </c>
      <c r="O891" s="372" t="s">
        <v>2202</v>
      </c>
      <c r="P891" s="372">
        <v>46069</v>
      </c>
      <c r="Q891" s="371" t="s">
        <v>2276</v>
      </c>
      <c r="R891" s="373">
        <v>26510</v>
      </c>
      <c r="S891" s="373">
        <v>26510</v>
      </c>
      <c r="T891" s="371" t="s">
        <v>2271</v>
      </c>
      <c r="U891" s="373">
        <v>11750</v>
      </c>
      <c r="V891" s="373">
        <v>11750</v>
      </c>
      <c r="W891" s="371" t="s">
        <v>2271</v>
      </c>
      <c r="X891" s="373">
        <v>14760</v>
      </c>
      <c r="Y891" s="373">
        <v>14760</v>
      </c>
      <c r="Z891" s="371" t="s">
        <v>2271</v>
      </c>
      <c r="AA891" s="373">
        <v>0</v>
      </c>
      <c r="AB891" s="373">
        <v>14730</v>
      </c>
      <c r="AC891" s="373">
        <v>14730</v>
      </c>
      <c r="AD891" s="371" t="s">
        <v>2271</v>
      </c>
      <c r="AE891" s="373">
        <v>0</v>
      </c>
      <c r="AF891" s="382">
        <v>0.70625000000000004</v>
      </c>
      <c r="AG891" s="382">
        <v>0.70625000000000004</v>
      </c>
      <c r="AH891" s="371" t="s">
        <v>2271</v>
      </c>
      <c r="AI891" s="382">
        <v>0.73819444444444404</v>
      </c>
      <c r="AJ891" s="382">
        <v>0.73819444444444504</v>
      </c>
      <c r="AK891" s="371" t="s">
        <v>2276</v>
      </c>
      <c r="AL891" s="206" t="s">
        <v>42</v>
      </c>
      <c r="AM891" s="206" t="s">
        <v>42</v>
      </c>
      <c r="AN891" s="371" t="s">
        <v>2271</v>
      </c>
      <c r="AO891" s="206" t="s">
        <v>3057</v>
      </c>
      <c r="AP891" s="206" t="s">
        <v>1393</v>
      </c>
      <c r="AQ891" s="206" t="s">
        <v>1132</v>
      </c>
      <c r="AR891" s="207" t="s">
        <v>68</v>
      </c>
    </row>
    <row r="892" spans="1:44" x14ac:dyDescent="0.2">
      <c r="A892" s="370">
        <v>873</v>
      </c>
      <c r="B892" s="380">
        <v>692</v>
      </c>
      <c r="C892" s="371" t="s">
        <v>2337</v>
      </c>
      <c r="D892" s="371" t="s">
        <v>2235</v>
      </c>
      <c r="E892" s="206"/>
      <c r="F892" s="206" t="s">
        <v>70</v>
      </c>
      <c r="G892" s="206" t="s">
        <v>70</v>
      </c>
      <c r="H892" s="371" t="s">
        <v>2271</v>
      </c>
      <c r="I892" s="206"/>
      <c r="J892" s="206" t="s">
        <v>1443</v>
      </c>
      <c r="K892" s="371" t="s">
        <v>2276</v>
      </c>
      <c r="L892" s="206" t="s">
        <v>2201</v>
      </c>
      <c r="M892" s="206" t="s">
        <v>1364</v>
      </c>
      <c r="N892" s="206" t="s">
        <v>49</v>
      </c>
      <c r="O892" s="372" t="s">
        <v>2202</v>
      </c>
      <c r="P892" s="372">
        <v>46069</v>
      </c>
      <c r="Q892" s="371" t="s">
        <v>2276</v>
      </c>
      <c r="R892" s="373">
        <v>45900</v>
      </c>
      <c r="S892" s="373">
        <v>45900</v>
      </c>
      <c r="T892" s="371" t="s">
        <v>2271</v>
      </c>
      <c r="U892" s="373">
        <v>17580</v>
      </c>
      <c r="V892" s="373">
        <v>17580</v>
      </c>
      <c r="W892" s="371" t="s">
        <v>2271</v>
      </c>
      <c r="X892" s="373">
        <v>28320</v>
      </c>
      <c r="Y892" s="373">
        <v>28320</v>
      </c>
      <c r="Z892" s="371" t="s">
        <v>2271</v>
      </c>
      <c r="AA892" s="373">
        <v>0</v>
      </c>
      <c r="AB892" s="373">
        <v>28250</v>
      </c>
      <c r="AC892" s="373">
        <v>28250</v>
      </c>
      <c r="AD892" s="371" t="s">
        <v>2271</v>
      </c>
      <c r="AE892" s="373">
        <v>0</v>
      </c>
      <c r="AF892" s="382">
        <v>0.73888888888888904</v>
      </c>
      <c r="AG892" s="382">
        <v>0.73888888888888904</v>
      </c>
      <c r="AH892" s="371" t="s">
        <v>2271</v>
      </c>
      <c r="AI892" s="382">
        <v>0.78749999999999998</v>
      </c>
      <c r="AJ892" s="382">
        <v>0.78749999999999998</v>
      </c>
      <c r="AK892" s="371" t="s">
        <v>2271</v>
      </c>
      <c r="AL892" s="206" t="s">
        <v>42</v>
      </c>
      <c r="AM892" s="206" t="s">
        <v>42</v>
      </c>
      <c r="AN892" s="371" t="s">
        <v>2271</v>
      </c>
      <c r="AO892" s="206" t="s">
        <v>3058</v>
      </c>
      <c r="AP892" s="206" t="s">
        <v>1499</v>
      </c>
      <c r="AQ892" s="206" t="s">
        <v>1133</v>
      </c>
      <c r="AR892" s="207" t="s">
        <v>68</v>
      </c>
    </row>
    <row r="893" spans="1:44" x14ac:dyDescent="0.2">
      <c r="A893" s="370">
        <v>874</v>
      </c>
      <c r="B893" s="380">
        <v>694</v>
      </c>
      <c r="C893" s="371" t="s">
        <v>2337</v>
      </c>
      <c r="D893" s="371" t="s">
        <v>2235</v>
      </c>
      <c r="E893" s="206"/>
      <c r="F893" s="206" t="s">
        <v>46</v>
      </c>
      <c r="G893" s="206" t="s">
        <v>46</v>
      </c>
      <c r="H893" s="371" t="s">
        <v>2271</v>
      </c>
      <c r="I893" s="206"/>
      <c r="J893" s="206" t="s">
        <v>1443</v>
      </c>
      <c r="K893" s="371" t="s">
        <v>2276</v>
      </c>
      <c r="L893" s="206" t="s">
        <v>2201</v>
      </c>
      <c r="M893" s="206" t="s">
        <v>1364</v>
      </c>
      <c r="N893" s="206" t="s">
        <v>49</v>
      </c>
      <c r="O893" s="372" t="s">
        <v>2203</v>
      </c>
      <c r="P893" s="372">
        <v>46071</v>
      </c>
      <c r="Q893" s="371" t="s">
        <v>2276</v>
      </c>
      <c r="R893" s="373">
        <v>26680</v>
      </c>
      <c r="S893" s="373">
        <v>26680</v>
      </c>
      <c r="T893" s="371" t="s">
        <v>2271</v>
      </c>
      <c r="U893" s="373">
        <v>11850</v>
      </c>
      <c r="V893" s="373">
        <v>11850</v>
      </c>
      <c r="W893" s="371" t="s">
        <v>2271</v>
      </c>
      <c r="X893" s="373">
        <v>14830</v>
      </c>
      <c r="Y893" s="373">
        <v>14830</v>
      </c>
      <c r="Z893" s="371" t="s">
        <v>2271</v>
      </c>
      <c r="AA893" s="373">
        <v>0</v>
      </c>
      <c r="AB893" s="373">
        <v>14780</v>
      </c>
      <c r="AC893" s="373">
        <v>14780</v>
      </c>
      <c r="AD893" s="371" t="s">
        <v>2271</v>
      </c>
      <c r="AE893" s="373">
        <v>0</v>
      </c>
      <c r="AF893" s="382">
        <v>0.59513888888888899</v>
      </c>
      <c r="AG893" s="382">
        <v>0.59513888888888899</v>
      </c>
      <c r="AH893" s="371" t="s">
        <v>2271</v>
      </c>
      <c r="AI893" s="382">
        <v>0.63888888888888895</v>
      </c>
      <c r="AJ893" s="382">
        <v>0.63888888888888895</v>
      </c>
      <c r="AK893" s="371" t="s">
        <v>2271</v>
      </c>
      <c r="AL893" s="206" t="s">
        <v>137</v>
      </c>
      <c r="AM893" s="206" t="s">
        <v>137</v>
      </c>
      <c r="AN893" s="371" t="s">
        <v>2271</v>
      </c>
      <c r="AO893" s="206" t="s">
        <v>3059</v>
      </c>
      <c r="AP893" s="206" t="s">
        <v>1393</v>
      </c>
      <c r="AQ893" s="206" t="s">
        <v>1132</v>
      </c>
      <c r="AR893" s="207" t="s">
        <v>68</v>
      </c>
    </row>
    <row r="894" spans="1:44" x14ac:dyDescent="0.2">
      <c r="A894" s="370">
        <v>875</v>
      </c>
      <c r="B894" s="380">
        <v>695</v>
      </c>
      <c r="C894" s="371" t="s">
        <v>2337</v>
      </c>
      <c r="D894" s="371" t="s">
        <v>2235</v>
      </c>
      <c r="E894" s="206"/>
      <c r="F894" s="206" t="s">
        <v>56</v>
      </c>
      <c r="G894" s="206" t="s">
        <v>56</v>
      </c>
      <c r="H894" s="371" t="s">
        <v>2271</v>
      </c>
      <c r="I894" s="206"/>
      <c r="J894" s="206" t="s">
        <v>1443</v>
      </c>
      <c r="K894" s="371" t="s">
        <v>2276</v>
      </c>
      <c r="L894" s="206" t="s">
        <v>2201</v>
      </c>
      <c r="M894" s="206" t="s">
        <v>1364</v>
      </c>
      <c r="N894" s="206" t="s">
        <v>49</v>
      </c>
      <c r="O894" s="372" t="s">
        <v>2203</v>
      </c>
      <c r="P894" s="372">
        <v>46071</v>
      </c>
      <c r="Q894" s="371" t="s">
        <v>2276</v>
      </c>
      <c r="R894" s="373">
        <v>25010</v>
      </c>
      <c r="S894" s="373">
        <v>25010</v>
      </c>
      <c r="T894" s="371" t="s">
        <v>2271</v>
      </c>
      <c r="U894" s="373">
        <v>10710</v>
      </c>
      <c r="V894" s="373">
        <v>10710</v>
      </c>
      <c r="W894" s="371" t="s">
        <v>2271</v>
      </c>
      <c r="X894" s="373">
        <v>14300</v>
      </c>
      <c r="Y894" s="373">
        <v>14300</v>
      </c>
      <c r="Z894" s="371" t="s">
        <v>2271</v>
      </c>
      <c r="AA894" s="373">
        <v>0</v>
      </c>
      <c r="AB894" s="373">
        <v>14240</v>
      </c>
      <c r="AC894" s="373">
        <v>14240</v>
      </c>
      <c r="AD894" s="371" t="s">
        <v>2271</v>
      </c>
      <c r="AE894" s="373">
        <v>0</v>
      </c>
      <c r="AF894" s="382">
        <v>0.60277777777777797</v>
      </c>
      <c r="AG894" s="382">
        <v>0.60277777777777797</v>
      </c>
      <c r="AH894" s="371" t="s">
        <v>2271</v>
      </c>
      <c r="AI894" s="382">
        <v>0.64236111111111105</v>
      </c>
      <c r="AJ894" s="382">
        <v>0.64236111111111105</v>
      </c>
      <c r="AK894" s="371" t="s">
        <v>2271</v>
      </c>
      <c r="AL894" s="206" t="s">
        <v>137</v>
      </c>
      <c r="AM894" s="206" t="s">
        <v>137</v>
      </c>
      <c r="AN894" s="371" t="s">
        <v>2271</v>
      </c>
      <c r="AO894" s="206" t="s">
        <v>3060</v>
      </c>
      <c r="AP894" s="206" t="s">
        <v>1781</v>
      </c>
      <c r="AQ894" s="206" t="s">
        <v>1132</v>
      </c>
      <c r="AR894" s="207" t="s">
        <v>68</v>
      </c>
    </row>
    <row r="895" spans="1:44" x14ac:dyDescent="0.2">
      <c r="A895" s="370">
        <v>876</v>
      </c>
      <c r="B895" s="380">
        <v>696</v>
      </c>
      <c r="C895" s="371" t="s">
        <v>2337</v>
      </c>
      <c r="D895" s="371" t="s">
        <v>2235</v>
      </c>
      <c r="E895" s="206"/>
      <c r="F895" s="206" t="s">
        <v>70</v>
      </c>
      <c r="G895" s="206" t="s">
        <v>70</v>
      </c>
      <c r="H895" s="371" t="s">
        <v>2271</v>
      </c>
      <c r="I895" s="206"/>
      <c r="J895" s="206" t="s">
        <v>1443</v>
      </c>
      <c r="K895" s="371" t="s">
        <v>2276</v>
      </c>
      <c r="L895" s="206" t="s">
        <v>2201</v>
      </c>
      <c r="M895" s="206" t="s">
        <v>1364</v>
      </c>
      <c r="N895" s="206" t="s">
        <v>49</v>
      </c>
      <c r="O895" s="372" t="s">
        <v>2203</v>
      </c>
      <c r="P895" s="372">
        <v>46071</v>
      </c>
      <c r="Q895" s="371" t="s">
        <v>2276</v>
      </c>
      <c r="R895" s="373">
        <v>45810</v>
      </c>
      <c r="S895" s="373">
        <v>45810</v>
      </c>
      <c r="T895" s="371" t="s">
        <v>2271</v>
      </c>
      <c r="U895" s="373">
        <v>17510</v>
      </c>
      <c r="V895" s="373">
        <v>17510</v>
      </c>
      <c r="W895" s="371" t="s">
        <v>2271</v>
      </c>
      <c r="X895" s="373">
        <v>28300</v>
      </c>
      <c r="Y895" s="373">
        <v>28300</v>
      </c>
      <c r="Z895" s="371" t="s">
        <v>2271</v>
      </c>
      <c r="AA895" s="373">
        <v>0</v>
      </c>
      <c r="AB895" s="373">
        <v>28230</v>
      </c>
      <c r="AC895" s="373">
        <v>28230</v>
      </c>
      <c r="AD895" s="371" t="s">
        <v>2271</v>
      </c>
      <c r="AE895" s="373">
        <v>0</v>
      </c>
      <c r="AF895" s="382">
        <v>0.625</v>
      </c>
      <c r="AG895" s="382">
        <v>0.625</v>
      </c>
      <c r="AH895" s="371" t="s">
        <v>2271</v>
      </c>
      <c r="AI895" s="382">
        <v>0.65416666666666701</v>
      </c>
      <c r="AJ895" s="382">
        <v>0.65416666666666701</v>
      </c>
      <c r="AK895" s="371" t="s">
        <v>2271</v>
      </c>
      <c r="AL895" s="206" t="s">
        <v>137</v>
      </c>
      <c r="AM895" s="206" t="s">
        <v>137</v>
      </c>
      <c r="AN895" s="371" t="s">
        <v>2271</v>
      </c>
      <c r="AO895" s="206" t="s">
        <v>3061</v>
      </c>
      <c r="AP895" s="206" t="s">
        <v>1499</v>
      </c>
      <c r="AQ895" s="206" t="s">
        <v>1133</v>
      </c>
      <c r="AR895" s="207" t="s">
        <v>68</v>
      </c>
    </row>
    <row r="896" spans="1:44" x14ac:dyDescent="0.2">
      <c r="A896" s="370">
        <v>877</v>
      </c>
      <c r="B896" s="380">
        <v>697</v>
      </c>
      <c r="C896" s="371" t="s">
        <v>2337</v>
      </c>
      <c r="D896" s="371" t="s">
        <v>2235</v>
      </c>
      <c r="E896" s="206"/>
      <c r="F896" s="206" t="s">
        <v>46</v>
      </c>
      <c r="G896" s="206" t="s">
        <v>46</v>
      </c>
      <c r="H896" s="371" t="s">
        <v>2271</v>
      </c>
      <c r="I896" s="206"/>
      <c r="J896" s="206" t="s">
        <v>1443</v>
      </c>
      <c r="K896" s="371" t="s">
        <v>2276</v>
      </c>
      <c r="L896" s="206" t="s">
        <v>2201</v>
      </c>
      <c r="M896" s="206" t="s">
        <v>1364</v>
      </c>
      <c r="N896" s="206" t="s">
        <v>49</v>
      </c>
      <c r="O896" s="372" t="s">
        <v>2204</v>
      </c>
      <c r="P896" s="372">
        <v>46072</v>
      </c>
      <c r="Q896" s="371" t="s">
        <v>2276</v>
      </c>
      <c r="R896" s="373">
        <v>26590</v>
      </c>
      <c r="S896" s="373">
        <v>26590</v>
      </c>
      <c r="T896" s="371" t="s">
        <v>2271</v>
      </c>
      <c r="U896" s="373">
        <v>11910</v>
      </c>
      <c r="V896" s="373">
        <v>11910</v>
      </c>
      <c r="W896" s="371" t="s">
        <v>2271</v>
      </c>
      <c r="X896" s="373">
        <v>14680</v>
      </c>
      <c r="Y896" s="373">
        <v>14680</v>
      </c>
      <c r="Z896" s="371" t="s">
        <v>2271</v>
      </c>
      <c r="AA896" s="373">
        <v>0</v>
      </c>
      <c r="AB896" s="373">
        <v>14630</v>
      </c>
      <c r="AC896" s="373">
        <v>14630</v>
      </c>
      <c r="AD896" s="371" t="s">
        <v>2271</v>
      </c>
      <c r="AE896" s="373">
        <v>0</v>
      </c>
      <c r="AF896" s="382">
        <v>0.469444444444444</v>
      </c>
      <c r="AG896" s="382">
        <v>0.469444444444444</v>
      </c>
      <c r="AH896" s="371" t="s">
        <v>2271</v>
      </c>
      <c r="AI896" s="382">
        <v>0.51736111111111105</v>
      </c>
      <c r="AJ896" s="382">
        <v>0.51736111111111105</v>
      </c>
      <c r="AK896" s="371" t="s">
        <v>2271</v>
      </c>
      <c r="AL896" s="206" t="s">
        <v>137</v>
      </c>
      <c r="AM896" s="206" t="s">
        <v>137</v>
      </c>
      <c r="AN896" s="371" t="s">
        <v>2271</v>
      </c>
      <c r="AO896" s="206" t="s">
        <v>3062</v>
      </c>
      <c r="AP896" s="206" t="s">
        <v>1393</v>
      </c>
      <c r="AQ896" s="206" t="s">
        <v>1132</v>
      </c>
      <c r="AR896" s="207" t="s">
        <v>68</v>
      </c>
    </row>
    <row r="897" spans="1:44" x14ac:dyDescent="0.2">
      <c r="A897" s="370">
        <v>878</v>
      </c>
      <c r="B897" s="380">
        <v>698</v>
      </c>
      <c r="C897" s="371" t="s">
        <v>2337</v>
      </c>
      <c r="D897" s="371" t="s">
        <v>2235</v>
      </c>
      <c r="E897" s="206"/>
      <c r="F897" s="206" t="s">
        <v>56</v>
      </c>
      <c r="G897" s="206" t="s">
        <v>56</v>
      </c>
      <c r="H897" s="371" t="s">
        <v>2271</v>
      </c>
      <c r="I897" s="206"/>
      <c r="J897" s="206" t="s">
        <v>1443</v>
      </c>
      <c r="K897" s="371" t="s">
        <v>2276</v>
      </c>
      <c r="L897" s="206" t="s">
        <v>2201</v>
      </c>
      <c r="M897" s="206" t="s">
        <v>1364</v>
      </c>
      <c r="N897" s="206" t="s">
        <v>49</v>
      </c>
      <c r="O897" s="372" t="s">
        <v>2204</v>
      </c>
      <c r="P897" s="372">
        <v>46072</v>
      </c>
      <c r="Q897" s="371" t="s">
        <v>2276</v>
      </c>
      <c r="R897" s="373">
        <v>25090</v>
      </c>
      <c r="S897" s="373">
        <v>25090</v>
      </c>
      <c r="T897" s="371" t="s">
        <v>2271</v>
      </c>
      <c r="U897" s="373">
        <v>10800</v>
      </c>
      <c r="V897" s="373">
        <v>10800</v>
      </c>
      <c r="W897" s="371" t="s">
        <v>2271</v>
      </c>
      <c r="X897" s="373">
        <v>14290</v>
      </c>
      <c r="Y897" s="373">
        <v>14290</v>
      </c>
      <c r="Z897" s="371" t="s">
        <v>2271</v>
      </c>
      <c r="AA897" s="373">
        <v>0</v>
      </c>
      <c r="AB897" s="373">
        <v>14250</v>
      </c>
      <c r="AC897" s="373">
        <v>14250</v>
      </c>
      <c r="AD897" s="371" t="s">
        <v>2271</v>
      </c>
      <c r="AE897" s="373">
        <v>0</v>
      </c>
      <c r="AF897" s="382">
        <v>0.51111111111111096</v>
      </c>
      <c r="AG897" s="382">
        <v>0.51111111111111096</v>
      </c>
      <c r="AH897" s="371" t="s">
        <v>2271</v>
      </c>
      <c r="AI897" s="382">
        <v>0.54583333333333295</v>
      </c>
      <c r="AJ897" s="382">
        <v>0.54583333333333295</v>
      </c>
      <c r="AK897" s="371" t="s">
        <v>2271</v>
      </c>
      <c r="AL897" s="206" t="s">
        <v>137</v>
      </c>
      <c r="AM897" s="206" t="s">
        <v>137</v>
      </c>
      <c r="AN897" s="371" t="s">
        <v>2271</v>
      </c>
      <c r="AO897" s="206" t="s">
        <v>3063</v>
      </c>
      <c r="AP897" s="206" t="s">
        <v>1781</v>
      </c>
      <c r="AQ897" s="206" t="s">
        <v>1132</v>
      </c>
      <c r="AR897" s="207" t="s">
        <v>68</v>
      </c>
    </row>
    <row r="898" spans="1:44" x14ac:dyDescent="0.2">
      <c r="A898" s="370">
        <v>879</v>
      </c>
      <c r="B898" s="380">
        <v>699</v>
      </c>
      <c r="C898" s="371" t="s">
        <v>2337</v>
      </c>
      <c r="D898" s="371" t="s">
        <v>2235</v>
      </c>
      <c r="E898" s="206"/>
      <c r="F898" s="206" t="s">
        <v>70</v>
      </c>
      <c r="G898" s="206" t="s">
        <v>70</v>
      </c>
      <c r="H898" s="371" t="s">
        <v>2271</v>
      </c>
      <c r="I898" s="206"/>
      <c r="J898" s="206" t="s">
        <v>1443</v>
      </c>
      <c r="K898" s="371" t="s">
        <v>2276</v>
      </c>
      <c r="L898" s="206" t="s">
        <v>2201</v>
      </c>
      <c r="M898" s="206" t="s">
        <v>1364</v>
      </c>
      <c r="N898" s="206" t="s">
        <v>49</v>
      </c>
      <c r="O898" s="372" t="s">
        <v>2204</v>
      </c>
      <c r="P898" s="372">
        <v>46072</v>
      </c>
      <c r="Q898" s="371" t="s">
        <v>2276</v>
      </c>
      <c r="R898" s="373">
        <v>45840</v>
      </c>
      <c r="S898" s="373">
        <v>45840</v>
      </c>
      <c r="T898" s="371" t="s">
        <v>2271</v>
      </c>
      <c r="U898" s="373">
        <v>17470</v>
      </c>
      <c r="V898" s="373">
        <v>17470</v>
      </c>
      <c r="W898" s="371" t="s">
        <v>2271</v>
      </c>
      <c r="X898" s="373">
        <v>28370</v>
      </c>
      <c r="Y898" s="373">
        <v>28370</v>
      </c>
      <c r="Z898" s="371" t="s">
        <v>2271</v>
      </c>
      <c r="AA898" s="373">
        <v>0</v>
      </c>
      <c r="AB898" s="373">
        <v>28310</v>
      </c>
      <c r="AC898" s="373">
        <v>28310</v>
      </c>
      <c r="AD898" s="371" t="s">
        <v>2271</v>
      </c>
      <c r="AE898" s="373">
        <v>0</v>
      </c>
      <c r="AF898" s="382">
        <v>0.51944444444444404</v>
      </c>
      <c r="AG898" s="382">
        <v>0.51944444444444504</v>
      </c>
      <c r="AH898" s="371" t="s">
        <v>2276</v>
      </c>
      <c r="AI898" s="382">
        <v>0.563194444444444</v>
      </c>
      <c r="AJ898" s="382">
        <v>0.563194444444444</v>
      </c>
      <c r="AK898" s="371" t="s">
        <v>2271</v>
      </c>
      <c r="AL898" s="206" t="s">
        <v>137</v>
      </c>
      <c r="AM898" s="206" t="s">
        <v>137</v>
      </c>
      <c r="AN898" s="371" t="s">
        <v>2271</v>
      </c>
      <c r="AO898" s="206" t="s">
        <v>3064</v>
      </c>
      <c r="AP898" s="206" t="s">
        <v>1499</v>
      </c>
      <c r="AQ898" s="206" t="s">
        <v>1133</v>
      </c>
      <c r="AR898" s="207" t="s">
        <v>68</v>
      </c>
    </row>
    <row r="899" spans="1:44" x14ac:dyDescent="0.2">
      <c r="A899" s="370">
        <v>880</v>
      </c>
      <c r="B899" s="380">
        <v>700</v>
      </c>
      <c r="C899" s="371" t="s">
        <v>2337</v>
      </c>
      <c r="D899" s="371" t="s">
        <v>2235</v>
      </c>
      <c r="E899" s="206"/>
      <c r="F899" s="206" t="s">
        <v>46</v>
      </c>
      <c r="G899" s="206" t="s">
        <v>46</v>
      </c>
      <c r="H899" s="371" t="s">
        <v>2271</v>
      </c>
      <c r="I899" s="206"/>
      <c r="J899" s="206" t="s">
        <v>1443</v>
      </c>
      <c r="K899" s="371" t="s">
        <v>2276</v>
      </c>
      <c r="L899" s="206" t="s">
        <v>2201</v>
      </c>
      <c r="M899" s="206" t="s">
        <v>1364</v>
      </c>
      <c r="N899" s="206" t="s">
        <v>49</v>
      </c>
      <c r="O899" s="372" t="s">
        <v>2204</v>
      </c>
      <c r="P899" s="372">
        <v>46072</v>
      </c>
      <c r="Q899" s="371" t="s">
        <v>2276</v>
      </c>
      <c r="R899" s="373">
        <v>26650</v>
      </c>
      <c r="S899" s="373">
        <v>26650</v>
      </c>
      <c r="T899" s="371" t="s">
        <v>2271</v>
      </c>
      <c r="U899" s="373">
        <v>11850</v>
      </c>
      <c r="V899" s="373">
        <v>11850</v>
      </c>
      <c r="W899" s="371" t="s">
        <v>2271</v>
      </c>
      <c r="X899" s="373">
        <v>14800</v>
      </c>
      <c r="Y899" s="373">
        <v>14800</v>
      </c>
      <c r="Z899" s="371" t="s">
        <v>2271</v>
      </c>
      <c r="AA899" s="373">
        <v>0</v>
      </c>
      <c r="AB899" s="373">
        <v>14750</v>
      </c>
      <c r="AC899" s="373">
        <v>14750</v>
      </c>
      <c r="AD899" s="371" t="s">
        <v>2271</v>
      </c>
      <c r="AE899" s="373">
        <v>0</v>
      </c>
      <c r="AF899" s="382">
        <v>0.7</v>
      </c>
      <c r="AG899" s="382">
        <v>0.7</v>
      </c>
      <c r="AH899" s="371" t="s">
        <v>2271</v>
      </c>
      <c r="AI899" s="382">
        <v>0.73055555555555596</v>
      </c>
      <c r="AJ899" s="382">
        <v>0.73055555555555596</v>
      </c>
      <c r="AK899" s="371" t="s">
        <v>2271</v>
      </c>
      <c r="AL899" s="206" t="s">
        <v>42</v>
      </c>
      <c r="AM899" s="206" t="s">
        <v>42</v>
      </c>
      <c r="AN899" s="371" t="s">
        <v>2271</v>
      </c>
      <c r="AO899" s="206" t="s">
        <v>3065</v>
      </c>
      <c r="AP899" s="206" t="s">
        <v>1393</v>
      </c>
      <c r="AQ899" s="206" t="s">
        <v>1132</v>
      </c>
      <c r="AR899" s="207" t="s">
        <v>68</v>
      </c>
    </row>
    <row r="900" spans="1:44" x14ac:dyDescent="0.2">
      <c r="A900" s="370">
        <v>881</v>
      </c>
      <c r="B900" s="380">
        <v>701</v>
      </c>
      <c r="C900" s="371" t="s">
        <v>2337</v>
      </c>
      <c r="D900" s="371" t="s">
        <v>2235</v>
      </c>
      <c r="E900" s="206"/>
      <c r="F900" s="206" t="s">
        <v>56</v>
      </c>
      <c r="G900" s="206" t="s">
        <v>56</v>
      </c>
      <c r="H900" s="371" t="s">
        <v>2271</v>
      </c>
      <c r="I900" s="206"/>
      <c r="J900" s="206" t="s">
        <v>1443</v>
      </c>
      <c r="K900" s="371" t="s">
        <v>2276</v>
      </c>
      <c r="L900" s="206" t="s">
        <v>2201</v>
      </c>
      <c r="M900" s="206" t="s">
        <v>1364</v>
      </c>
      <c r="N900" s="206" t="s">
        <v>49</v>
      </c>
      <c r="O900" s="372" t="s">
        <v>2204</v>
      </c>
      <c r="P900" s="372">
        <v>46072</v>
      </c>
      <c r="Q900" s="371" t="s">
        <v>2276</v>
      </c>
      <c r="R900" s="373">
        <v>25020</v>
      </c>
      <c r="S900" s="373">
        <v>25020</v>
      </c>
      <c r="T900" s="371" t="s">
        <v>2271</v>
      </c>
      <c r="U900" s="373">
        <v>10750</v>
      </c>
      <c r="V900" s="373">
        <v>10750</v>
      </c>
      <c r="W900" s="371" t="s">
        <v>2271</v>
      </c>
      <c r="X900" s="373">
        <v>14270</v>
      </c>
      <c r="Y900" s="373">
        <v>14270</v>
      </c>
      <c r="Z900" s="371" t="s">
        <v>2271</v>
      </c>
      <c r="AA900" s="373">
        <v>0</v>
      </c>
      <c r="AB900" s="373">
        <v>14230</v>
      </c>
      <c r="AC900" s="373">
        <v>14230</v>
      </c>
      <c r="AD900" s="371" t="s">
        <v>2271</v>
      </c>
      <c r="AE900" s="373">
        <v>0</v>
      </c>
      <c r="AF900" s="382">
        <v>0.72291666666666698</v>
      </c>
      <c r="AG900" s="382">
        <v>0.72291666666666698</v>
      </c>
      <c r="AH900" s="371" t="s">
        <v>2271</v>
      </c>
      <c r="AI900" s="382">
        <v>0.76111111111111096</v>
      </c>
      <c r="AJ900" s="382">
        <v>0.76111111111111096</v>
      </c>
      <c r="AK900" s="371" t="s">
        <v>2271</v>
      </c>
      <c r="AL900" s="206" t="s">
        <v>42</v>
      </c>
      <c r="AM900" s="206" t="s">
        <v>42</v>
      </c>
      <c r="AN900" s="371" t="s">
        <v>2271</v>
      </c>
      <c r="AO900" s="206" t="s">
        <v>3066</v>
      </c>
      <c r="AP900" s="206" t="s">
        <v>1781</v>
      </c>
      <c r="AQ900" s="206" t="s">
        <v>1132</v>
      </c>
      <c r="AR900" s="207" t="s">
        <v>68</v>
      </c>
    </row>
    <row r="901" spans="1:44" x14ac:dyDescent="0.2">
      <c r="A901" s="370">
        <v>882</v>
      </c>
      <c r="B901" s="380">
        <v>702</v>
      </c>
      <c r="C901" s="371" t="s">
        <v>2337</v>
      </c>
      <c r="D901" s="371" t="s">
        <v>2235</v>
      </c>
      <c r="E901" s="206"/>
      <c r="F901" s="206" t="s">
        <v>70</v>
      </c>
      <c r="G901" s="206" t="s">
        <v>70</v>
      </c>
      <c r="H901" s="371" t="s">
        <v>2271</v>
      </c>
      <c r="I901" s="206"/>
      <c r="J901" s="206" t="s">
        <v>1443</v>
      </c>
      <c r="K901" s="371" t="s">
        <v>2276</v>
      </c>
      <c r="L901" s="206" t="s">
        <v>2201</v>
      </c>
      <c r="M901" s="206" t="s">
        <v>1364</v>
      </c>
      <c r="N901" s="206" t="s">
        <v>49</v>
      </c>
      <c r="O901" s="372" t="s">
        <v>2204</v>
      </c>
      <c r="P901" s="372">
        <v>46072</v>
      </c>
      <c r="Q901" s="371" t="s">
        <v>2276</v>
      </c>
      <c r="R901" s="373">
        <v>45670</v>
      </c>
      <c r="S901" s="373">
        <v>45670</v>
      </c>
      <c r="T901" s="371" t="s">
        <v>2271</v>
      </c>
      <c r="U901" s="373">
        <v>17410</v>
      </c>
      <c r="V901" s="373">
        <v>17410</v>
      </c>
      <c r="W901" s="371" t="s">
        <v>2271</v>
      </c>
      <c r="X901" s="373">
        <v>28260</v>
      </c>
      <c r="Y901" s="373">
        <v>28260</v>
      </c>
      <c r="Z901" s="371" t="s">
        <v>2271</v>
      </c>
      <c r="AA901" s="373">
        <v>0</v>
      </c>
      <c r="AB901" s="373">
        <v>28190</v>
      </c>
      <c r="AC901" s="373">
        <v>28190</v>
      </c>
      <c r="AD901" s="371" t="s">
        <v>2271</v>
      </c>
      <c r="AE901" s="373">
        <v>0</v>
      </c>
      <c r="AF901" s="382">
        <v>0.79930555555555605</v>
      </c>
      <c r="AG901" s="382">
        <v>0.79930555555555605</v>
      </c>
      <c r="AH901" s="371" t="s">
        <v>2271</v>
      </c>
      <c r="AI901" s="382">
        <v>0.83541666666666703</v>
      </c>
      <c r="AJ901" s="382">
        <v>0.83541666666666703</v>
      </c>
      <c r="AK901" s="371" t="s">
        <v>2271</v>
      </c>
      <c r="AL901" s="206" t="s">
        <v>42</v>
      </c>
      <c r="AM901" s="206" t="s">
        <v>42</v>
      </c>
      <c r="AN901" s="371" t="s">
        <v>2271</v>
      </c>
      <c r="AO901" s="206" t="s">
        <v>3067</v>
      </c>
      <c r="AP901" s="206" t="s">
        <v>1499</v>
      </c>
      <c r="AQ901" s="206" t="s">
        <v>1133</v>
      </c>
      <c r="AR901" s="207" t="s">
        <v>68</v>
      </c>
    </row>
    <row r="902" spans="1:44" x14ac:dyDescent="0.2">
      <c r="A902" s="370">
        <v>883</v>
      </c>
      <c r="B902" s="380">
        <v>703</v>
      </c>
      <c r="C902" s="371" t="s">
        <v>2337</v>
      </c>
      <c r="D902" s="371" t="s">
        <v>2235</v>
      </c>
      <c r="E902" s="206"/>
      <c r="F902" s="206" t="s">
        <v>46</v>
      </c>
      <c r="G902" s="206" t="s">
        <v>46</v>
      </c>
      <c r="H902" s="371" t="s">
        <v>2271</v>
      </c>
      <c r="I902" s="206"/>
      <c r="J902" s="206" t="s">
        <v>1443</v>
      </c>
      <c r="K902" s="371" t="s">
        <v>2276</v>
      </c>
      <c r="L902" s="206" t="s">
        <v>2201</v>
      </c>
      <c r="M902" s="206" t="s">
        <v>1364</v>
      </c>
      <c r="N902" s="206" t="s">
        <v>49</v>
      </c>
      <c r="O902" s="372" t="s">
        <v>2205</v>
      </c>
      <c r="P902" s="372">
        <v>46073</v>
      </c>
      <c r="Q902" s="371" t="s">
        <v>2276</v>
      </c>
      <c r="R902" s="373">
        <v>26630</v>
      </c>
      <c r="S902" s="373">
        <v>26630</v>
      </c>
      <c r="T902" s="371" t="s">
        <v>2271</v>
      </c>
      <c r="U902" s="373">
        <v>11830</v>
      </c>
      <c r="V902" s="373">
        <v>11830</v>
      </c>
      <c r="W902" s="371" t="s">
        <v>2271</v>
      </c>
      <c r="X902" s="373">
        <v>14800</v>
      </c>
      <c r="Y902" s="373">
        <v>14800</v>
      </c>
      <c r="Z902" s="371" t="s">
        <v>2271</v>
      </c>
      <c r="AA902" s="373">
        <v>0</v>
      </c>
      <c r="AB902" s="373">
        <v>14780</v>
      </c>
      <c r="AC902" s="373">
        <v>14780</v>
      </c>
      <c r="AD902" s="371" t="s">
        <v>2271</v>
      </c>
      <c r="AE902" s="373">
        <v>0</v>
      </c>
      <c r="AF902" s="382">
        <v>0.44166666666666698</v>
      </c>
      <c r="AG902" s="382">
        <v>0.44166666666666698</v>
      </c>
      <c r="AH902" s="371" t="s">
        <v>2271</v>
      </c>
      <c r="AI902" s="382">
        <v>0.55902777777777801</v>
      </c>
      <c r="AJ902" s="382">
        <v>0.55902777777777801</v>
      </c>
      <c r="AK902" s="371" t="s">
        <v>2271</v>
      </c>
      <c r="AL902" s="206" t="s">
        <v>137</v>
      </c>
      <c r="AM902" s="206" t="s">
        <v>137</v>
      </c>
      <c r="AN902" s="371" t="s">
        <v>2271</v>
      </c>
      <c r="AO902" s="206" t="s">
        <v>3068</v>
      </c>
      <c r="AP902" s="206" t="s">
        <v>1393</v>
      </c>
      <c r="AQ902" s="206" t="s">
        <v>1132</v>
      </c>
      <c r="AR902" s="207" t="s">
        <v>68</v>
      </c>
    </row>
    <row r="903" spans="1:44" x14ac:dyDescent="0.2">
      <c r="A903" s="370">
        <v>884</v>
      </c>
      <c r="B903" s="380">
        <v>704</v>
      </c>
      <c r="C903" s="371" t="s">
        <v>2337</v>
      </c>
      <c r="D903" s="371" t="s">
        <v>2235</v>
      </c>
      <c r="E903" s="206"/>
      <c r="F903" s="206" t="s">
        <v>70</v>
      </c>
      <c r="G903" s="206" t="s">
        <v>70</v>
      </c>
      <c r="H903" s="371" t="s">
        <v>2271</v>
      </c>
      <c r="I903" s="206"/>
      <c r="J903" s="206" t="s">
        <v>1443</v>
      </c>
      <c r="K903" s="371" t="s">
        <v>2276</v>
      </c>
      <c r="L903" s="206" t="s">
        <v>2201</v>
      </c>
      <c r="M903" s="206" t="s">
        <v>1364</v>
      </c>
      <c r="N903" s="206" t="s">
        <v>49</v>
      </c>
      <c r="O903" s="372" t="s">
        <v>2205</v>
      </c>
      <c r="P903" s="372">
        <v>46073</v>
      </c>
      <c r="Q903" s="371" t="s">
        <v>2276</v>
      </c>
      <c r="R903" s="373">
        <v>45870</v>
      </c>
      <c r="S903" s="373">
        <v>45870</v>
      </c>
      <c r="T903" s="371" t="s">
        <v>2271</v>
      </c>
      <c r="U903" s="373">
        <v>17580</v>
      </c>
      <c r="V903" s="373">
        <v>17580</v>
      </c>
      <c r="W903" s="371" t="s">
        <v>2271</v>
      </c>
      <c r="X903" s="373">
        <v>28290</v>
      </c>
      <c r="Y903" s="373">
        <v>28290</v>
      </c>
      <c r="Z903" s="371" t="s">
        <v>2271</v>
      </c>
      <c r="AA903" s="373">
        <v>0</v>
      </c>
      <c r="AB903" s="373">
        <v>28250</v>
      </c>
      <c r="AC903" s="373">
        <v>28250</v>
      </c>
      <c r="AD903" s="371" t="s">
        <v>2271</v>
      </c>
      <c r="AE903" s="373">
        <v>0</v>
      </c>
      <c r="AF903" s="382">
        <v>0.46458333333333302</v>
      </c>
      <c r="AG903" s="382">
        <v>0.46458333333333302</v>
      </c>
      <c r="AH903" s="371" t="s">
        <v>2271</v>
      </c>
      <c r="AI903" s="382">
        <v>0.55694444444444402</v>
      </c>
      <c r="AJ903" s="382">
        <v>0.55694444444444502</v>
      </c>
      <c r="AK903" s="371" t="s">
        <v>2276</v>
      </c>
      <c r="AL903" s="206" t="s">
        <v>137</v>
      </c>
      <c r="AM903" s="206" t="s">
        <v>137</v>
      </c>
      <c r="AN903" s="371" t="s">
        <v>2271</v>
      </c>
      <c r="AO903" s="206" t="s">
        <v>3069</v>
      </c>
      <c r="AP903" s="206" t="s">
        <v>1499</v>
      </c>
      <c r="AQ903" s="206" t="s">
        <v>1133</v>
      </c>
      <c r="AR903" s="207" t="s">
        <v>68</v>
      </c>
    </row>
    <row r="904" spans="1:44" x14ac:dyDescent="0.2">
      <c r="A904" s="370">
        <v>885</v>
      </c>
      <c r="B904" s="380">
        <v>705</v>
      </c>
      <c r="C904" s="371" t="s">
        <v>2337</v>
      </c>
      <c r="D904" s="371" t="s">
        <v>2235</v>
      </c>
      <c r="E904" s="206"/>
      <c r="F904" s="206" t="s">
        <v>56</v>
      </c>
      <c r="G904" s="206" t="s">
        <v>56</v>
      </c>
      <c r="H904" s="371" t="s">
        <v>2271</v>
      </c>
      <c r="I904" s="206"/>
      <c r="J904" s="206" t="s">
        <v>1443</v>
      </c>
      <c r="K904" s="371" t="s">
        <v>2276</v>
      </c>
      <c r="L904" s="206" t="s">
        <v>2201</v>
      </c>
      <c r="M904" s="206" t="s">
        <v>1364</v>
      </c>
      <c r="N904" s="206" t="s">
        <v>49</v>
      </c>
      <c r="O904" s="372" t="s">
        <v>2205</v>
      </c>
      <c r="P904" s="372">
        <v>46073</v>
      </c>
      <c r="Q904" s="371" t="s">
        <v>2276</v>
      </c>
      <c r="R904" s="373">
        <v>25000</v>
      </c>
      <c r="S904" s="373">
        <v>25000</v>
      </c>
      <c r="T904" s="371" t="s">
        <v>2271</v>
      </c>
      <c r="U904" s="373">
        <v>10700</v>
      </c>
      <c r="V904" s="373">
        <v>10700</v>
      </c>
      <c r="W904" s="371" t="s">
        <v>2271</v>
      </c>
      <c r="X904" s="373">
        <v>14300</v>
      </c>
      <c r="Y904" s="373">
        <v>14300</v>
      </c>
      <c r="Z904" s="371" t="s">
        <v>2271</v>
      </c>
      <c r="AA904" s="373">
        <v>0</v>
      </c>
      <c r="AB904" s="373">
        <v>14250</v>
      </c>
      <c r="AC904" s="373">
        <v>14250</v>
      </c>
      <c r="AD904" s="371" t="s">
        <v>2271</v>
      </c>
      <c r="AE904" s="373">
        <v>0</v>
      </c>
      <c r="AF904" s="382">
        <v>0.46666666666666701</v>
      </c>
      <c r="AG904" s="382">
        <v>0.46666666666666701</v>
      </c>
      <c r="AH904" s="371" t="s">
        <v>2271</v>
      </c>
      <c r="AI904" s="382">
        <v>0.57916666666666705</v>
      </c>
      <c r="AJ904" s="382">
        <v>0.57916666666666705</v>
      </c>
      <c r="AK904" s="371" t="s">
        <v>2271</v>
      </c>
      <c r="AL904" s="206" t="s">
        <v>137</v>
      </c>
      <c r="AM904" s="206" t="s">
        <v>137</v>
      </c>
      <c r="AN904" s="371" t="s">
        <v>2271</v>
      </c>
      <c r="AO904" s="206" t="s">
        <v>3070</v>
      </c>
      <c r="AP904" s="206" t="s">
        <v>1781</v>
      </c>
      <c r="AQ904" s="206" t="s">
        <v>1132</v>
      </c>
      <c r="AR904" s="207" t="s">
        <v>68</v>
      </c>
    </row>
    <row r="905" spans="1:44" x14ac:dyDescent="0.2">
      <c r="A905" s="370">
        <v>886</v>
      </c>
      <c r="B905" s="380">
        <v>709</v>
      </c>
      <c r="C905" s="371" t="s">
        <v>2337</v>
      </c>
      <c r="D905" s="371" t="s">
        <v>2235</v>
      </c>
      <c r="E905" s="206"/>
      <c r="F905" s="206" t="s">
        <v>46</v>
      </c>
      <c r="G905" s="206" t="s">
        <v>46</v>
      </c>
      <c r="H905" s="371" t="s">
        <v>2271</v>
      </c>
      <c r="I905" s="206"/>
      <c r="J905" s="206"/>
      <c r="K905" s="371" t="s">
        <v>2271</v>
      </c>
      <c r="L905" s="206" t="s">
        <v>2197</v>
      </c>
      <c r="M905" s="206" t="s">
        <v>1362</v>
      </c>
      <c r="N905" s="206" t="s">
        <v>59</v>
      </c>
      <c r="O905" s="372" t="s">
        <v>2206</v>
      </c>
      <c r="P905" s="372">
        <v>46074</v>
      </c>
      <c r="Q905" s="371" t="s">
        <v>2276</v>
      </c>
      <c r="R905" s="373">
        <v>26820</v>
      </c>
      <c r="S905" s="373">
        <v>26820</v>
      </c>
      <c r="T905" s="371" t="s">
        <v>2271</v>
      </c>
      <c r="U905" s="373">
        <v>11990</v>
      </c>
      <c r="V905" s="373">
        <v>11990</v>
      </c>
      <c r="W905" s="371" t="s">
        <v>2271</v>
      </c>
      <c r="X905" s="373">
        <v>14830</v>
      </c>
      <c r="Y905" s="373">
        <v>14830</v>
      </c>
      <c r="Z905" s="371" t="s">
        <v>2271</v>
      </c>
      <c r="AA905" s="373">
        <v>0</v>
      </c>
      <c r="AB905" s="373">
        <v>14880</v>
      </c>
      <c r="AC905" s="373">
        <v>14880</v>
      </c>
      <c r="AD905" s="371" t="s">
        <v>2271</v>
      </c>
      <c r="AE905" s="373">
        <v>0</v>
      </c>
      <c r="AF905" s="382">
        <v>0.75208333333333299</v>
      </c>
      <c r="AG905" s="382">
        <v>0.75208333333333299</v>
      </c>
      <c r="AH905" s="371" t="s">
        <v>2271</v>
      </c>
      <c r="AI905" s="382">
        <v>0.81944444444444497</v>
      </c>
      <c r="AJ905" s="382">
        <v>0.81944444444444398</v>
      </c>
      <c r="AK905" s="371" t="s">
        <v>2276</v>
      </c>
      <c r="AL905" s="206" t="s">
        <v>42</v>
      </c>
      <c r="AM905" s="206" t="s">
        <v>42</v>
      </c>
      <c r="AN905" s="371" t="s">
        <v>2271</v>
      </c>
      <c r="AO905" s="206" t="s">
        <v>3071</v>
      </c>
      <c r="AP905" s="206" t="s">
        <v>1393</v>
      </c>
      <c r="AQ905" s="206" t="s">
        <v>1132</v>
      </c>
      <c r="AR905" s="207" t="s">
        <v>75</v>
      </c>
    </row>
    <row r="906" spans="1:44" x14ac:dyDescent="0.2">
      <c r="A906" s="370">
        <v>887</v>
      </c>
      <c r="B906" s="380">
        <v>710</v>
      </c>
      <c r="C906" s="371" t="s">
        <v>2337</v>
      </c>
      <c r="D906" s="371" t="s">
        <v>2235</v>
      </c>
      <c r="E906" s="206"/>
      <c r="F906" s="206" t="s">
        <v>56</v>
      </c>
      <c r="G906" s="206" t="s">
        <v>56</v>
      </c>
      <c r="H906" s="371" t="s">
        <v>2271</v>
      </c>
      <c r="I906" s="206"/>
      <c r="J906" s="206"/>
      <c r="K906" s="371" t="s">
        <v>2271</v>
      </c>
      <c r="L906" s="206" t="s">
        <v>2197</v>
      </c>
      <c r="M906" s="206" t="s">
        <v>1362</v>
      </c>
      <c r="N906" s="206" t="s">
        <v>59</v>
      </c>
      <c r="O906" s="372" t="s">
        <v>2206</v>
      </c>
      <c r="P906" s="372">
        <v>46074</v>
      </c>
      <c r="Q906" s="371" t="s">
        <v>2276</v>
      </c>
      <c r="R906" s="373">
        <v>25110</v>
      </c>
      <c r="S906" s="373">
        <v>25110</v>
      </c>
      <c r="T906" s="371" t="s">
        <v>2271</v>
      </c>
      <c r="U906" s="373">
        <v>10850</v>
      </c>
      <c r="V906" s="373">
        <v>10850</v>
      </c>
      <c r="W906" s="371" t="s">
        <v>2271</v>
      </c>
      <c r="X906" s="373">
        <v>14260</v>
      </c>
      <c r="Y906" s="373">
        <v>14260</v>
      </c>
      <c r="Z906" s="371" t="s">
        <v>2271</v>
      </c>
      <c r="AA906" s="373">
        <v>0</v>
      </c>
      <c r="AB906" s="373">
        <v>14300</v>
      </c>
      <c r="AC906" s="373">
        <v>14300</v>
      </c>
      <c r="AD906" s="371" t="s">
        <v>2271</v>
      </c>
      <c r="AE906" s="373">
        <v>0</v>
      </c>
      <c r="AF906" s="382">
        <v>0.78819444444444497</v>
      </c>
      <c r="AG906" s="382">
        <v>0.78819444444444398</v>
      </c>
      <c r="AH906" s="371" t="s">
        <v>2276</v>
      </c>
      <c r="AI906" s="382">
        <v>0.82083333333333297</v>
      </c>
      <c r="AJ906" s="382">
        <v>0.82083333333333297</v>
      </c>
      <c r="AK906" s="371" t="s">
        <v>2271</v>
      </c>
      <c r="AL906" s="206" t="s">
        <v>42</v>
      </c>
      <c r="AM906" s="206" t="s">
        <v>42</v>
      </c>
      <c r="AN906" s="371" t="s">
        <v>2271</v>
      </c>
      <c r="AO906" s="206" t="s">
        <v>3072</v>
      </c>
      <c r="AP906" s="206" t="s">
        <v>1781</v>
      </c>
      <c r="AQ906" s="206" t="s">
        <v>1132</v>
      </c>
      <c r="AR906" s="207" t="s">
        <v>75</v>
      </c>
    </row>
    <row r="907" spans="1:44" x14ac:dyDescent="0.2">
      <c r="A907" s="370">
        <v>888</v>
      </c>
      <c r="B907" s="380">
        <v>711</v>
      </c>
      <c r="C907" s="371" t="s">
        <v>2337</v>
      </c>
      <c r="D907" s="371" t="s">
        <v>2235</v>
      </c>
      <c r="E907" s="206"/>
      <c r="F907" s="206" t="s">
        <v>70</v>
      </c>
      <c r="G907" s="206" t="s">
        <v>70</v>
      </c>
      <c r="H907" s="371" t="s">
        <v>2271</v>
      </c>
      <c r="I907" s="206"/>
      <c r="J907" s="206"/>
      <c r="K907" s="371" t="s">
        <v>2271</v>
      </c>
      <c r="L907" s="206" t="s">
        <v>2197</v>
      </c>
      <c r="M907" s="206" t="s">
        <v>1362</v>
      </c>
      <c r="N907" s="206" t="s">
        <v>59</v>
      </c>
      <c r="O907" s="372" t="s">
        <v>2206</v>
      </c>
      <c r="P907" s="372">
        <v>46074</v>
      </c>
      <c r="Q907" s="371" t="s">
        <v>2276</v>
      </c>
      <c r="R907" s="373">
        <v>45910</v>
      </c>
      <c r="S907" s="373">
        <v>45910</v>
      </c>
      <c r="T907" s="371" t="s">
        <v>2271</v>
      </c>
      <c r="U907" s="373">
        <v>17680</v>
      </c>
      <c r="V907" s="373">
        <v>17680</v>
      </c>
      <c r="W907" s="371" t="s">
        <v>2271</v>
      </c>
      <c r="X907" s="373">
        <v>28230</v>
      </c>
      <c r="Y907" s="373">
        <v>28230</v>
      </c>
      <c r="Z907" s="371" t="s">
        <v>2271</v>
      </c>
      <c r="AA907" s="373">
        <v>0</v>
      </c>
      <c r="AB907" s="373">
        <v>28420</v>
      </c>
      <c r="AC907" s="373">
        <v>28420</v>
      </c>
      <c r="AD907" s="371" t="s">
        <v>2271</v>
      </c>
      <c r="AE907" s="373">
        <v>0</v>
      </c>
      <c r="AF907" s="382">
        <v>0.80069444444444404</v>
      </c>
      <c r="AG907" s="382">
        <v>0.80069444444444504</v>
      </c>
      <c r="AH907" s="371" t="s">
        <v>2276</v>
      </c>
      <c r="AI907" s="382">
        <v>0.84027777777777801</v>
      </c>
      <c r="AJ907" s="382">
        <v>0.84027777777777801</v>
      </c>
      <c r="AK907" s="371" t="s">
        <v>2271</v>
      </c>
      <c r="AL907" s="206" t="s">
        <v>42</v>
      </c>
      <c r="AM907" s="206" t="s">
        <v>42</v>
      </c>
      <c r="AN907" s="371" t="s">
        <v>2271</v>
      </c>
      <c r="AO907" s="206" t="s">
        <v>3073</v>
      </c>
      <c r="AP907" s="206" t="s">
        <v>1499</v>
      </c>
      <c r="AQ907" s="206" t="s">
        <v>1133</v>
      </c>
      <c r="AR907" s="207" t="s">
        <v>75</v>
      </c>
    </row>
    <row r="908" spans="1:44" x14ac:dyDescent="0.2">
      <c r="A908" s="370">
        <v>889</v>
      </c>
      <c r="B908" s="380">
        <v>712</v>
      </c>
      <c r="C908" s="371" t="s">
        <v>2337</v>
      </c>
      <c r="D908" s="371" t="s">
        <v>2235</v>
      </c>
      <c r="E908" s="206"/>
      <c r="F908" s="206" t="s">
        <v>56</v>
      </c>
      <c r="G908" s="206" t="s">
        <v>56</v>
      </c>
      <c r="H908" s="371" t="s">
        <v>2271</v>
      </c>
      <c r="I908" s="206"/>
      <c r="J908" s="206" t="s">
        <v>1358</v>
      </c>
      <c r="K908" s="371" t="s">
        <v>2276</v>
      </c>
      <c r="L908" s="206" t="s">
        <v>2198</v>
      </c>
      <c r="M908" s="206" t="s">
        <v>1357</v>
      </c>
      <c r="N908" s="206" t="s">
        <v>78</v>
      </c>
      <c r="O908" s="372" t="s">
        <v>2207</v>
      </c>
      <c r="P908" s="372">
        <v>46076</v>
      </c>
      <c r="Q908" s="371" t="s">
        <v>2276</v>
      </c>
      <c r="R908" s="373">
        <v>25020</v>
      </c>
      <c r="S908" s="373">
        <v>25020</v>
      </c>
      <c r="T908" s="371" t="s">
        <v>2271</v>
      </c>
      <c r="U908" s="373">
        <v>10730</v>
      </c>
      <c r="V908" s="373">
        <v>10730</v>
      </c>
      <c r="W908" s="371" t="s">
        <v>2271</v>
      </c>
      <c r="X908" s="373">
        <v>14290</v>
      </c>
      <c r="Y908" s="373">
        <v>14290</v>
      </c>
      <c r="Z908" s="371" t="s">
        <v>2271</v>
      </c>
      <c r="AA908" s="373">
        <v>0</v>
      </c>
      <c r="AB908" s="373">
        <v>14230</v>
      </c>
      <c r="AC908" s="373">
        <v>14230</v>
      </c>
      <c r="AD908" s="371" t="s">
        <v>2271</v>
      </c>
      <c r="AE908" s="373">
        <v>0</v>
      </c>
      <c r="AF908" s="382">
        <v>0.63194444444444398</v>
      </c>
      <c r="AG908" s="382">
        <v>0.63194444444444398</v>
      </c>
      <c r="AH908" s="371" t="s">
        <v>2271</v>
      </c>
      <c r="AI908" s="382">
        <v>0.66388888888888897</v>
      </c>
      <c r="AJ908" s="382">
        <v>0.66388888888888897</v>
      </c>
      <c r="AK908" s="371" t="s">
        <v>2271</v>
      </c>
      <c r="AL908" s="206" t="s">
        <v>137</v>
      </c>
      <c r="AM908" s="206" t="s">
        <v>137</v>
      </c>
      <c r="AN908" s="371" t="s">
        <v>2271</v>
      </c>
      <c r="AO908" s="206" t="s">
        <v>3074</v>
      </c>
      <c r="AP908" s="206" t="s">
        <v>1781</v>
      </c>
      <c r="AQ908" s="206" t="s">
        <v>1132</v>
      </c>
      <c r="AR908" s="207" t="s">
        <v>88</v>
      </c>
    </row>
    <row r="909" spans="1:44" x14ac:dyDescent="0.2">
      <c r="A909" s="370">
        <v>890</v>
      </c>
      <c r="B909" s="380">
        <v>713</v>
      </c>
      <c r="C909" s="371" t="s">
        <v>2337</v>
      </c>
      <c r="D909" s="371" t="s">
        <v>2235</v>
      </c>
      <c r="E909" s="206"/>
      <c r="F909" s="206" t="s">
        <v>46</v>
      </c>
      <c r="G909" s="206" t="s">
        <v>46</v>
      </c>
      <c r="H909" s="371" t="s">
        <v>2271</v>
      </c>
      <c r="I909" s="206"/>
      <c r="J909" s="206" t="s">
        <v>1358</v>
      </c>
      <c r="K909" s="371" t="s">
        <v>2276</v>
      </c>
      <c r="L909" s="206" t="s">
        <v>2198</v>
      </c>
      <c r="M909" s="206" t="s">
        <v>1357</v>
      </c>
      <c r="N909" s="206" t="s">
        <v>78</v>
      </c>
      <c r="O909" s="372" t="s">
        <v>2207</v>
      </c>
      <c r="P909" s="372">
        <v>46076</v>
      </c>
      <c r="Q909" s="371" t="s">
        <v>2276</v>
      </c>
      <c r="R909" s="373">
        <v>26680</v>
      </c>
      <c r="S909" s="373">
        <v>26680</v>
      </c>
      <c r="T909" s="371" t="s">
        <v>2271</v>
      </c>
      <c r="U909" s="373">
        <v>11870</v>
      </c>
      <c r="V909" s="373">
        <v>11870</v>
      </c>
      <c r="W909" s="371" t="s">
        <v>2271</v>
      </c>
      <c r="X909" s="373">
        <v>14810</v>
      </c>
      <c r="Y909" s="373">
        <v>14810</v>
      </c>
      <c r="Z909" s="371" t="s">
        <v>2271</v>
      </c>
      <c r="AA909" s="373">
        <v>0</v>
      </c>
      <c r="AB909" s="373">
        <v>14780</v>
      </c>
      <c r="AC909" s="373">
        <v>14780</v>
      </c>
      <c r="AD909" s="371" t="s">
        <v>2271</v>
      </c>
      <c r="AE909" s="373">
        <v>0</v>
      </c>
      <c r="AF909" s="382">
        <v>0.63263888888888897</v>
      </c>
      <c r="AG909" s="382">
        <v>0.63263888888888897</v>
      </c>
      <c r="AH909" s="371" t="s">
        <v>2271</v>
      </c>
      <c r="AI909" s="382">
        <v>0.66666666666666696</v>
      </c>
      <c r="AJ909" s="382">
        <v>0.66666666666666696</v>
      </c>
      <c r="AK909" s="371" t="s">
        <v>2271</v>
      </c>
      <c r="AL909" s="206" t="s">
        <v>137</v>
      </c>
      <c r="AM909" s="206" t="s">
        <v>137</v>
      </c>
      <c r="AN909" s="371" t="s">
        <v>2271</v>
      </c>
      <c r="AO909" s="206" t="s">
        <v>3075</v>
      </c>
      <c r="AP909" s="206" t="s">
        <v>1393</v>
      </c>
      <c r="AQ909" s="206" t="s">
        <v>1132</v>
      </c>
      <c r="AR909" s="207" t="s">
        <v>88</v>
      </c>
    </row>
    <row r="910" spans="1:44" x14ac:dyDescent="0.2">
      <c r="A910" s="370">
        <v>891</v>
      </c>
      <c r="B910" s="380">
        <v>714</v>
      </c>
      <c r="C910" s="371" t="s">
        <v>2337</v>
      </c>
      <c r="D910" s="371" t="s">
        <v>2235</v>
      </c>
      <c r="E910" s="206"/>
      <c r="F910" s="206" t="s">
        <v>70</v>
      </c>
      <c r="G910" s="206" t="s">
        <v>70</v>
      </c>
      <c r="H910" s="371" t="s">
        <v>2271</v>
      </c>
      <c r="I910" s="206"/>
      <c r="J910" s="206" t="s">
        <v>1358</v>
      </c>
      <c r="K910" s="371" t="s">
        <v>2276</v>
      </c>
      <c r="L910" s="206" t="s">
        <v>2198</v>
      </c>
      <c r="M910" s="206" t="s">
        <v>1357</v>
      </c>
      <c r="N910" s="206" t="s">
        <v>78</v>
      </c>
      <c r="O910" s="372" t="s">
        <v>2207</v>
      </c>
      <c r="P910" s="372">
        <v>46076</v>
      </c>
      <c r="Q910" s="371" t="s">
        <v>2276</v>
      </c>
      <c r="R910" s="373">
        <v>45730</v>
      </c>
      <c r="S910" s="373">
        <v>45730</v>
      </c>
      <c r="T910" s="371" t="s">
        <v>2271</v>
      </c>
      <c r="U910" s="373">
        <v>17450</v>
      </c>
      <c r="V910" s="373">
        <v>17450</v>
      </c>
      <c r="W910" s="371" t="s">
        <v>2271</v>
      </c>
      <c r="X910" s="373">
        <v>28280</v>
      </c>
      <c r="Y910" s="373">
        <v>28280</v>
      </c>
      <c r="Z910" s="371" t="s">
        <v>2271</v>
      </c>
      <c r="AA910" s="373">
        <v>0</v>
      </c>
      <c r="AB910" s="373">
        <v>28180</v>
      </c>
      <c r="AC910" s="373">
        <v>28180</v>
      </c>
      <c r="AD910" s="371" t="s">
        <v>2271</v>
      </c>
      <c r="AE910" s="373">
        <v>0</v>
      </c>
      <c r="AF910" s="382">
        <v>0.64097222222222205</v>
      </c>
      <c r="AG910" s="382">
        <v>0.64097222222222205</v>
      </c>
      <c r="AH910" s="371" t="s">
        <v>2271</v>
      </c>
      <c r="AI910" s="382">
        <v>0.67569444444444404</v>
      </c>
      <c r="AJ910" s="382">
        <v>0.67569444444444504</v>
      </c>
      <c r="AK910" s="371" t="s">
        <v>2276</v>
      </c>
      <c r="AL910" s="206" t="s">
        <v>137</v>
      </c>
      <c r="AM910" s="206" t="s">
        <v>137</v>
      </c>
      <c r="AN910" s="371" t="s">
        <v>2271</v>
      </c>
      <c r="AO910" s="206" t="s">
        <v>3076</v>
      </c>
      <c r="AP910" s="206" t="s">
        <v>1499</v>
      </c>
      <c r="AQ910" s="206" t="s">
        <v>1133</v>
      </c>
      <c r="AR910" s="207" t="s">
        <v>88</v>
      </c>
    </row>
    <row r="911" spans="1:44" x14ac:dyDescent="0.2">
      <c r="A911" s="370">
        <v>892</v>
      </c>
      <c r="B911" s="380">
        <v>717</v>
      </c>
      <c r="C911" s="371" t="s">
        <v>2337</v>
      </c>
      <c r="D911" s="371" t="s">
        <v>2235</v>
      </c>
      <c r="E911" s="206"/>
      <c r="F911" s="206" t="s">
        <v>56</v>
      </c>
      <c r="G911" s="206" t="s">
        <v>56</v>
      </c>
      <c r="H911" s="371" t="s">
        <v>2271</v>
      </c>
      <c r="I911" s="206"/>
      <c r="J911" s="206" t="s">
        <v>1443</v>
      </c>
      <c r="K911" s="371" t="s">
        <v>2276</v>
      </c>
      <c r="L911" s="206" t="s">
        <v>2201</v>
      </c>
      <c r="M911" s="206" t="s">
        <v>1364</v>
      </c>
      <c r="N911" s="206" t="s">
        <v>49</v>
      </c>
      <c r="O911" s="372" t="s">
        <v>2208</v>
      </c>
      <c r="P911" s="372">
        <v>46077</v>
      </c>
      <c r="Q911" s="371" t="s">
        <v>2276</v>
      </c>
      <c r="R911" s="373">
        <v>25080</v>
      </c>
      <c r="S911" s="373">
        <v>25080</v>
      </c>
      <c r="T911" s="371" t="s">
        <v>2271</v>
      </c>
      <c r="U911" s="373">
        <v>10790</v>
      </c>
      <c r="V911" s="373">
        <v>10790</v>
      </c>
      <c r="W911" s="371" t="s">
        <v>2271</v>
      </c>
      <c r="X911" s="373">
        <v>14290</v>
      </c>
      <c r="Y911" s="373">
        <v>14290</v>
      </c>
      <c r="Z911" s="371" t="s">
        <v>2271</v>
      </c>
      <c r="AA911" s="373">
        <v>0</v>
      </c>
      <c r="AB911" s="373">
        <v>14260</v>
      </c>
      <c r="AC911" s="373">
        <v>14260</v>
      </c>
      <c r="AD911" s="371" t="s">
        <v>2271</v>
      </c>
      <c r="AE911" s="373">
        <v>0</v>
      </c>
      <c r="AF911" s="382">
        <v>0.56527777777777799</v>
      </c>
      <c r="AG911" s="382">
        <v>0.56527777777777799</v>
      </c>
      <c r="AH911" s="371" t="s">
        <v>2271</v>
      </c>
      <c r="AI911" s="382">
        <v>0.62013888888888902</v>
      </c>
      <c r="AJ911" s="382">
        <v>0.62013888888888902</v>
      </c>
      <c r="AK911" s="371" t="s">
        <v>2271</v>
      </c>
      <c r="AL911" s="206" t="s">
        <v>137</v>
      </c>
      <c r="AM911" s="206" t="s">
        <v>137</v>
      </c>
      <c r="AN911" s="371" t="s">
        <v>2271</v>
      </c>
      <c r="AO911" s="206" t="s">
        <v>3077</v>
      </c>
      <c r="AP911" s="206" t="s">
        <v>1781</v>
      </c>
      <c r="AQ911" s="206" t="s">
        <v>1132</v>
      </c>
      <c r="AR911" s="207" t="s">
        <v>68</v>
      </c>
    </row>
    <row r="912" spans="1:44" x14ac:dyDescent="0.2">
      <c r="A912" s="370">
        <v>893</v>
      </c>
      <c r="B912" s="380">
        <v>718</v>
      </c>
      <c r="C912" s="371" t="s">
        <v>2337</v>
      </c>
      <c r="D912" s="371" t="s">
        <v>2235</v>
      </c>
      <c r="E912" s="206"/>
      <c r="F912" s="206" t="s">
        <v>46</v>
      </c>
      <c r="G912" s="206" t="s">
        <v>46</v>
      </c>
      <c r="H912" s="371" t="s">
        <v>2271</v>
      </c>
      <c r="I912" s="206"/>
      <c r="J912" s="206" t="s">
        <v>1443</v>
      </c>
      <c r="K912" s="371" t="s">
        <v>2276</v>
      </c>
      <c r="L912" s="206" t="s">
        <v>2201</v>
      </c>
      <c r="M912" s="206" t="s">
        <v>1364</v>
      </c>
      <c r="N912" s="206" t="s">
        <v>49</v>
      </c>
      <c r="O912" s="372" t="s">
        <v>2208</v>
      </c>
      <c r="P912" s="372">
        <v>46077</v>
      </c>
      <c r="Q912" s="371" t="s">
        <v>2276</v>
      </c>
      <c r="R912" s="373">
        <v>26650</v>
      </c>
      <c r="S912" s="373">
        <v>26650</v>
      </c>
      <c r="T912" s="371" t="s">
        <v>2271</v>
      </c>
      <c r="U912" s="373">
        <v>11830</v>
      </c>
      <c r="V912" s="373">
        <v>11830</v>
      </c>
      <c r="W912" s="371" t="s">
        <v>2271</v>
      </c>
      <c r="X912" s="373">
        <v>14820</v>
      </c>
      <c r="Y912" s="373">
        <v>14820</v>
      </c>
      <c r="Z912" s="371" t="s">
        <v>2271</v>
      </c>
      <c r="AA912" s="373">
        <v>0</v>
      </c>
      <c r="AB912" s="373">
        <v>14790</v>
      </c>
      <c r="AC912" s="373">
        <v>14790</v>
      </c>
      <c r="AD912" s="371" t="s">
        <v>2271</v>
      </c>
      <c r="AE912" s="373">
        <v>0</v>
      </c>
      <c r="AF912" s="382">
        <v>0.57847222222222205</v>
      </c>
      <c r="AG912" s="382">
        <v>0.57847222222222205</v>
      </c>
      <c r="AH912" s="371" t="s">
        <v>2271</v>
      </c>
      <c r="AI912" s="382">
        <v>0.62916666666666698</v>
      </c>
      <c r="AJ912" s="382">
        <v>0.62916666666666698</v>
      </c>
      <c r="AK912" s="371" t="s">
        <v>2271</v>
      </c>
      <c r="AL912" s="206" t="s">
        <v>137</v>
      </c>
      <c r="AM912" s="206" t="s">
        <v>137</v>
      </c>
      <c r="AN912" s="371" t="s">
        <v>2271</v>
      </c>
      <c r="AO912" s="206" t="s">
        <v>3078</v>
      </c>
      <c r="AP912" s="206" t="s">
        <v>1393</v>
      </c>
      <c r="AQ912" s="206" t="s">
        <v>1132</v>
      </c>
      <c r="AR912" s="207" t="s">
        <v>68</v>
      </c>
    </row>
    <row r="913" spans="1:44" x14ac:dyDescent="0.2">
      <c r="A913" s="370">
        <v>894</v>
      </c>
      <c r="B913" s="380">
        <v>719</v>
      </c>
      <c r="C913" s="371" t="s">
        <v>2337</v>
      </c>
      <c r="D913" s="371" t="s">
        <v>2235</v>
      </c>
      <c r="E913" s="206"/>
      <c r="F913" s="206" t="s">
        <v>70</v>
      </c>
      <c r="G913" s="206" t="s">
        <v>70</v>
      </c>
      <c r="H913" s="371" t="s">
        <v>2271</v>
      </c>
      <c r="I913" s="206"/>
      <c r="J913" s="206" t="s">
        <v>1443</v>
      </c>
      <c r="K913" s="371" t="s">
        <v>2276</v>
      </c>
      <c r="L913" s="206" t="s">
        <v>2201</v>
      </c>
      <c r="M913" s="206" t="s">
        <v>1364</v>
      </c>
      <c r="N913" s="206" t="s">
        <v>49</v>
      </c>
      <c r="O913" s="372" t="s">
        <v>2208</v>
      </c>
      <c r="P913" s="372">
        <v>46077</v>
      </c>
      <c r="Q913" s="371" t="s">
        <v>2276</v>
      </c>
      <c r="R913" s="373">
        <v>45720</v>
      </c>
      <c r="S913" s="373">
        <v>45720</v>
      </c>
      <c r="T913" s="371" t="s">
        <v>2271</v>
      </c>
      <c r="U913" s="373">
        <v>17410</v>
      </c>
      <c r="V913" s="373">
        <v>17410</v>
      </c>
      <c r="W913" s="371" t="s">
        <v>2271</v>
      </c>
      <c r="X913" s="373">
        <v>28310</v>
      </c>
      <c r="Y913" s="373">
        <v>28310</v>
      </c>
      <c r="Z913" s="371" t="s">
        <v>2271</v>
      </c>
      <c r="AA913" s="373">
        <v>0</v>
      </c>
      <c r="AB913" s="373">
        <v>28260</v>
      </c>
      <c r="AC913" s="373">
        <v>28260</v>
      </c>
      <c r="AD913" s="371" t="s">
        <v>2271</v>
      </c>
      <c r="AE913" s="373">
        <v>0</v>
      </c>
      <c r="AF913" s="382">
        <v>0.60069444444444398</v>
      </c>
      <c r="AG913" s="382">
        <v>0.60069444444444398</v>
      </c>
      <c r="AH913" s="371" t="s">
        <v>2271</v>
      </c>
      <c r="AI913" s="382">
        <v>0.63124999999999998</v>
      </c>
      <c r="AJ913" s="382">
        <v>0.63124999999999998</v>
      </c>
      <c r="AK913" s="371" t="s">
        <v>2271</v>
      </c>
      <c r="AL913" s="206" t="s">
        <v>137</v>
      </c>
      <c r="AM913" s="206" t="s">
        <v>137</v>
      </c>
      <c r="AN913" s="371" t="s">
        <v>2271</v>
      </c>
      <c r="AO913" s="206" t="s">
        <v>3079</v>
      </c>
      <c r="AP913" s="206" t="s">
        <v>1499</v>
      </c>
      <c r="AQ913" s="206" t="s">
        <v>1133</v>
      </c>
      <c r="AR913" s="207" t="s">
        <v>68</v>
      </c>
    </row>
    <row r="914" spans="1:44" x14ac:dyDescent="0.2">
      <c r="A914" s="370">
        <v>895</v>
      </c>
      <c r="B914" s="380">
        <v>720</v>
      </c>
      <c r="C914" s="371" t="s">
        <v>2337</v>
      </c>
      <c r="D914" s="371" t="s">
        <v>2235</v>
      </c>
      <c r="E914" s="206"/>
      <c r="F914" s="206" t="s">
        <v>56</v>
      </c>
      <c r="G914" s="206" t="s">
        <v>56</v>
      </c>
      <c r="H914" s="371" t="s">
        <v>2271</v>
      </c>
      <c r="I914" s="206"/>
      <c r="J914" s="206" t="s">
        <v>1443</v>
      </c>
      <c r="K914" s="371" t="s">
        <v>2276</v>
      </c>
      <c r="L914" s="206" t="s">
        <v>2201</v>
      </c>
      <c r="M914" s="206" t="s">
        <v>1364</v>
      </c>
      <c r="N914" s="206" t="s">
        <v>49</v>
      </c>
      <c r="O914" s="372" t="s">
        <v>2208</v>
      </c>
      <c r="P914" s="372">
        <v>46077</v>
      </c>
      <c r="Q914" s="371" t="s">
        <v>2276</v>
      </c>
      <c r="R914" s="373">
        <v>25020</v>
      </c>
      <c r="S914" s="373">
        <v>25020</v>
      </c>
      <c r="T914" s="371" t="s">
        <v>2271</v>
      </c>
      <c r="U914" s="373">
        <v>10770</v>
      </c>
      <c r="V914" s="373">
        <v>10770</v>
      </c>
      <c r="W914" s="371" t="s">
        <v>2271</v>
      </c>
      <c r="X914" s="373">
        <v>14250</v>
      </c>
      <c r="Y914" s="373">
        <v>14250</v>
      </c>
      <c r="Z914" s="371" t="s">
        <v>2271</v>
      </c>
      <c r="AA914" s="373">
        <v>0</v>
      </c>
      <c r="AB914" s="373">
        <v>14180</v>
      </c>
      <c r="AC914" s="373">
        <v>14180</v>
      </c>
      <c r="AD914" s="371" t="s">
        <v>2271</v>
      </c>
      <c r="AE914" s="373">
        <v>0</v>
      </c>
      <c r="AF914" s="382">
        <v>0.79930555555555605</v>
      </c>
      <c r="AG914" s="382">
        <v>0.79930555555555605</v>
      </c>
      <c r="AH914" s="371" t="s">
        <v>2271</v>
      </c>
      <c r="AI914" s="382">
        <v>0.82986111111111105</v>
      </c>
      <c r="AJ914" s="382">
        <v>0.82986111111111105</v>
      </c>
      <c r="AK914" s="371" t="s">
        <v>2271</v>
      </c>
      <c r="AL914" s="206" t="s">
        <v>42</v>
      </c>
      <c r="AM914" s="206" t="s">
        <v>42</v>
      </c>
      <c r="AN914" s="371" t="s">
        <v>2271</v>
      </c>
      <c r="AO914" s="206" t="s">
        <v>3080</v>
      </c>
      <c r="AP914" s="206" t="s">
        <v>1781</v>
      </c>
      <c r="AQ914" s="206" t="s">
        <v>1132</v>
      </c>
      <c r="AR914" s="207" t="s">
        <v>68</v>
      </c>
    </row>
    <row r="915" spans="1:44" x14ac:dyDescent="0.2">
      <c r="A915" s="370">
        <v>896</v>
      </c>
      <c r="B915" s="380">
        <v>721</v>
      </c>
      <c r="C915" s="371" t="s">
        <v>2337</v>
      </c>
      <c r="D915" s="371" t="s">
        <v>2235</v>
      </c>
      <c r="E915" s="206"/>
      <c r="F915" s="206" t="s">
        <v>46</v>
      </c>
      <c r="G915" s="206" t="s">
        <v>46</v>
      </c>
      <c r="H915" s="371" t="s">
        <v>2271</v>
      </c>
      <c r="I915" s="206"/>
      <c r="J915" s="206" t="s">
        <v>1443</v>
      </c>
      <c r="K915" s="371" t="s">
        <v>2276</v>
      </c>
      <c r="L915" s="206" t="s">
        <v>2201</v>
      </c>
      <c r="M915" s="206" t="s">
        <v>1364</v>
      </c>
      <c r="N915" s="206" t="s">
        <v>49</v>
      </c>
      <c r="O915" s="372" t="s">
        <v>2208</v>
      </c>
      <c r="P915" s="372">
        <v>46077</v>
      </c>
      <c r="Q915" s="371" t="s">
        <v>2276</v>
      </c>
      <c r="R915" s="373">
        <v>26620</v>
      </c>
      <c r="S915" s="373">
        <v>26620</v>
      </c>
      <c r="T915" s="371" t="s">
        <v>2271</v>
      </c>
      <c r="U915" s="373">
        <v>11820</v>
      </c>
      <c r="V915" s="373">
        <v>11820</v>
      </c>
      <c r="W915" s="371" t="s">
        <v>2271</v>
      </c>
      <c r="X915" s="373">
        <v>14800</v>
      </c>
      <c r="Y915" s="373">
        <v>14800</v>
      </c>
      <c r="Z915" s="371" t="s">
        <v>2271</v>
      </c>
      <c r="AA915" s="373">
        <v>0</v>
      </c>
      <c r="AB915" s="373">
        <v>14770</v>
      </c>
      <c r="AC915" s="373">
        <v>14770</v>
      </c>
      <c r="AD915" s="371" t="s">
        <v>2271</v>
      </c>
      <c r="AE915" s="373">
        <v>0</v>
      </c>
      <c r="AF915" s="382">
        <v>0.84236111111111101</v>
      </c>
      <c r="AG915" s="382">
        <v>0.84236111111111101</v>
      </c>
      <c r="AH915" s="371" t="s">
        <v>2271</v>
      </c>
      <c r="AI915" s="382">
        <v>0.88888888888888895</v>
      </c>
      <c r="AJ915" s="382">
        <v>0.88888888888888895</v>
      </c>
      <c r="AK915" s="371" t="s">
        <v>2271</v>
      </c>
      <c r="AL915" s="206" t="s">
        <v>42</v>
      </c>
      <c r="AM915" s="206" t="s">
        <v>42</v>
      </c>
      <c r="AN915" s="371" t="s">
        <v>2271</v>
      </c>
      <c r="AO915" s="206" t="s">
        <v>3081</v>
      </c>
      <c r="AP915" s="206" t="s">
        <v>1393</v>
      </c>
      <c r="AQ915" s="206" t="s">
        <v>1132</v>
      </c>
      <c r="AR915" s="207" t="s">
        <v>68</v>
      </c>
    </row>
    <row r="916" spans="1:44" x14ac:dyDescent="0.2">
      <c r="A916" s="370">
        <v>897</v>
      </c>
      <c r="B916" s="380">
        <v>722</v>
      </c>
      <c r="C916" s="371" t="s">
        <v>2337</v>
      </c>
      <c r="D916" s="371" t="s">
        <v>2235</v>
      </c>
      <c r="E916" s="206"/>
      <c r="F916" s="206" t="s">
        <v>70</v>
      </c>
      <c r="G916" s="206" t="s">
        <v>70</v>
      </c>
      <c r="H916" s="371" t="s">
        <v>2271</v>
      </c>
      <c r="I916" s="206"/>
      <c r="J916" s="206" t="s">
        <v>1443</v>
      </c>
      <c r="K916" s="371" t="s">
        <v>2276</v>
      </c>
      <c r="L916" s="206" t="s">
        <v>2201</v>
      </c>
      <c r="M916" s="206" t="s">
        <v>1364</v>
      </c>
      <c r="N916" s="206" t="s">
        <v>49</v>
      </c>
      <c r="O916" s="372" t="s">
        <v>2208</v>
      </c>
      <c r="P916" s="372">
        <v>46077</v>
      </c>
      <c r="Q916" s="371" t="s">
        <v>2276</v>
      </c>
      <c r="R916" s="373">
        <v>45920</v>
      </c>
      <c r="S916" s="373">
        <v>45920</v>
      </c>
      <c r="T916" s="371" t="s">
        <v>2271</v>
      </c>
      <c r="U916" s="373">
        <v>17750</v>
      </c>
      <c r="V916" s="373">
        <v>17750</v>
      </c>
      <c r="W916" s="371" t="s">
        <v>2271</v>
      </c>
      <c r="X916" s="373">
        <v>28170</v>
      </c>
      <c r="Y916" s="373">
        <v>28170</v>
      </c>
      <c r="Z916" s="371" t="s">
        <v>2271</v>
      </c>
      <c r="AA916" s="373">
        <v>0</v>
      </c>
      <c r="AB916" s="373">
        <v>28250</v>
      </c>
      <c r="AC916" s="373">
        <v>28250</v>
      </c>
      <c r="AD916" s="371" t="s">
        <v>2271</v>
      </c>
      <c r="AE916" s="373">
        <v>0</v>
      </c>
      <c r="AF916" s="382">
        <v>0.85694444444444395</v>
      </c>
      <c r="AG916" s="382">
        <v>0.85694444444444395</v>
      </c>
      <c r="AH916" s="371" t="s">
        <v>2271</v>
      </c>
      <c r="AI916" s="382">
        <v>0.89166666666666705</v>
      </c>
      <c r="AJ916" s="382">
        <v>0.89166666666666705</v>
      </c>
      <c r="AK916" s="371" t="s">
        <v>2271</v>
      </c>
      <c r="AL916" s="206" t="s">
        <v>42</v>
      </c>
      <c r="AM916" s="206" t="s">
        <v>42</v>
      </c>
      <c r="AN916" s="371" t="s">
        <v>2271</v>
      </c>
      <c r="AO916" s="206" t="s">
        <v>3082</v>
      </c>
      <c r="AP916" s="206" t="s">
        <v>1499</v>
      </c>
      <c r="AQ916" s="206" t="s">
        <v>1133</v>
      </c>
      <c r="AR916" s="207" t="s">
        <v>68</v>
      </c>
    </row>
    <row r="917" spans="1:44" x14ac:dyDescent="0.2">
      <c r="A917" s="370">
        <v>898</v>
      </c>
      <c r="B917" s="380">
        <v>725</v>
      </c>
      <c r="C917" s="371" t="s">
        <v>2337</v>
      </c>
      <c r="D917" s="371" t="s">
        <v>2235</v>
      </c>
      <c r="E917" s="206"/>
      <c r="F917" s="206" t="s">
        <v>56</v>
      </c>
      <c r="G917" s="206" t="s">
        <v>56</v>
      </c>
      <c r="H917" s="371" t="s">
        <v>2271</v>
      </c>
      <c r="I917" s="206"/>
      <c r="J917" s="206" t="s">
        <v>1358</v>
      </c>
      <c r="K917" s="371" t="s">
        <v>2276</v>
      </c>
      <c r="L917" s="206" t="s">
        <v>2198</v>
      </c>
      <c r="M917" s="206" t="s">
        <v>1357</v>
      </c>
      <c r="N917" s="206" t="s">
        <v>78</v>
      </c>
      <c r="O917" s="372" t="s">
        <v>2209</v>
      </c>
      <c r="P917" s="372">
        <v>46078</v>
      </c>
      <c r="Q917" s="371" t="s">
        <v>2276</v>
      </c>
      <c r="R917" s="373">
        <v>24990</v>
      </c>
      <c r="S917" s="373">
        <v>24990</v>
      </c>
      <c r="T917" s="371" t="s">
        <v>2271</v>
      </c>
      <c r="U917" s="373">
        <v>10740</v>
      </c>
      <c r="V917" s="373">
        <v>10740</v>
      </c>
      <c r="W917" s="371" t="s">
        <v>2271</v>
      </c>
      <c r="X917" s="373">
        <v>14250</v>
      </c>
      <c r="Y917" s="373">
        <v>14250</v>
      </c>
      <c r="Z917" s="371" t="s">
        <v>2271</v>
      </c>
      <c r="AA917" s="373">
        <v>0</v>
      </c>
      <c r="AB917" s="373">
        <v>14260</v>
      </c>
      <c r="AC917" s="373">
        <v>14260</v>
      </c>
      <c r="AD917" s="371" t="s">
        <v>2271</v>
      </c>
      <c r="AE917" s="373">
        <v>0</v>
      </c>
      <c r="AF917" s="382">
        <v>0.78888888888888897</v>
      </c>
      <c r="AG917" s="382">
        <v>0.78888888888888897</v>
      </c>
      <c r="AH917" s="371" t="s">
        <v>2271</v>
      </c>
      <c r="AI917" s="382">
        <v>0.84166666666666701</v>
      </c>
      <c r="AJ917" s="382">
        <v>0.84166666666666701</v>
      </c>
      <c r="AK917" s="371" t="s">
        <v>2271</v>
      </c>
      <c r="AL917" s="206" t="s">
        <v>137</v>
      </c>
      <c r="AM917" s="206" t="s">
        <v>137</v>
      </c>
      <c r="AN917" s="371" t="s">
        <v>2271</v>
      </c>
      <c r="AO917" s="206" t="s">
        <v>3083</v>
      </c>
      <c r="AP917" s="206" t="s">
        <v>1781</v>
      </c>
      <c r="AQ917" s="206" t="s">
        <v>1132</v>
      </c>
      <c r="AR917" s="207" t="s">
        <v>88</v>
      </c>
    </row>
    <row r="918" spans="1:44" x14ac:dyDescent="0.2">
      <c r="A918" s="370">
        <v>899</v>
      </c>
      <c r="B918" s="380">
        <v>726</v>
      </c>
      <c r="C918" s="371" t="s">
        <v>2337</v>
      </c>
      <c r="D918" s="371" t="s">
        <v>2235</v>
      </c>
      <c r="E918" s="206"/>
      <c r="F918" s="206" t="s">
        <v>46</v>
      </c>
      <c r="G918" s="206" t="s">
        <v>46</v>
      </c>
      <c r="H918" s="371" t="s">
        <v>2271</v>
      </c>
      <c r="I918" s="206"/>
      <c r="J918" s="206" t="s">
        <v>1358</v>
      </c>
      <c r="K918" s="371" t="s">
        <v>2276</v>
      </c>
      <c r="L918" s="206" t="s">
        <v>2198</v>
      </c>
      <c r="M918" s="206" t="s">
        <v>1357</v>
      </c>
      <c r="N918" s="206" t="s">
        <v>78</v>
      </c>
      <c r="O918" s="372" t="s">
        <v>2209</v>
      </c>
      <c r="P918" s="372">
        <v>46078</v>
      </c>
      <c r="Q918" s="371" t="s">
        <v>2276</v>
      </c>
      <c r="R918" s="373">
        <v>26680</v>
      </c>
      <c r="S918" s="373">
        <v>26680</v>
      </c>
      <c r="T918" s="371" t="s">
        <v>2271</v>
      </c>
      <c r="U918" s="373">
        <v>11890</v>
      </c>
      <c r="V918" s="373">
        <v>11890</v>
      </c>
      <c r="W918" s="371" t="s">
        <v>2271</v>
      </c>
      <c r="X918" s="373">
        <v>14790</v>
      </c>
      <c r="Y918" s="373">
        <v>14790</v>
      </c>
      <c r="Z918" s="371" t="s">
        <v>2271</v>
      </c>
      <c r="AA918" s="373">
        <v>0</v>
      </c>
      <c r="AB918" s="373">
        <v>14750</v>
      </c>
      <c r="AC918" s="373">
        <v>14750</v>
      </c>
      <c r="AD918" s="371" t="s">
        <v>2271</v>
      </c>
      <c r="AE918" s="373">
        <v>0</v>
      </c>
      <c r="AF918" s="382">
        <v>0.811805555555556</v>
      </c>
      <c r="AG918" s="382">
        <v>0.811805555555556</v>
      </c>
      <c r="AH918" s="371" t="s">
        <v>2271</v>
      </c>
      <c r="AI918" s="382">
        <v>0.87083333333333302</v>
      </c>
      <c r="AJ918" s="382">
        <v>0.87083333333333302</v>
      </c>
      <c r="AK918" s="371" t="s">
        <v>2271</v>
      </c>
      <c r="AL918" s="206" t="s">
        <v>137</v>
      </c>
      <c r="AM918" s="206" t="s">
        <v>137</v>
      </c>
      <c r="AN918" s="371" t="s">
        <v>2271</v>
      </c>
      <c r="AO918" s="206" t="s">
        <v>3084</v>
      </c>
      <c r="AP918" s="206" t="s">
        <v>1393</v>
      </c>
      <c r="AQ918" s="206" t="s">
        <v>1132</v>
      </c>
      <c r="AR918" s="207" t="s">
        <v>88</v>
      </c>
    </row>
    <row r="919" spans="1:44" x14ac:dyDescent="0.2">
      <c r="A919" s="370">
        <v>900</v>
      </c>
      <c r="B919" s="380">
        <v>727</v>
      </c>
      <c r="C919" s="371" t="s">
        <v>2337</v>
      </c>
      <c r="D919" s="371" t="s">
        <v>2235</v>
      </c>
      <c r="E919" s="206"/>
      <c r="F919" s="206" t="s">
        <v>70</v>
      </c>
      <c r="G919" s="206" t="s">
        <v>70</v>
      </c>
      <c r="H919" s="371" t="s">
        <v>2271</v>
      </c>
      <c r="I919" s="206"/>
      <c r="J919" s="206" t="s">
        <v>1358</v>
      </c>
      <c r="K919" s="371" t="s">
        <v>2276</v>
      </c>
      <c r="L919" s="206" t="s">
        <v>2198</v>
      </c>
      <c r="M919" s="206" t="s">
        <v>1357</v>
      </c>
      <c r="N919" s="206" t="s">
        <v>78</v>
      </c>
      <c r="O919" s="372" t="s">
        <v>2209</v>
      </c>
      <c r="P919" s="372">
        <v>46078</v>
      </c>
      <c r="Q919" s="371" t="s">
        <v>2276</v>
      </c>
      <c r="R919" s="373">
        <v>45710</v>
      </c>
      <c r="S919" s="373">
        <v>45710</v>
      </c>
      <c r="T919" s="371" t="s">
        <v>2271</v>
      </c>
      <c r="U919" s="373">
        <v>17480</v>
      </c>
      <c r="V919" s="373">
        <v>17480</v>
      </c>
      <c r="W919" s="371" t="s">
        <v>2271</v>
      </c>
      <c r="X919" s="373">
        <v>28230</v>
      </c>
      <c r="Y919" s="373">
        <v>28230</v>
      </c>
      <c r="Z919" s="371" t="s">
        <v>2271</v>
      </c>
      <c r="AA919" s="373">
        <v>0</v>
      </c>
      <c r="AB919" s="373">
        <v>28220</v>
      </c>
      <c r="AC919" s="373">
        <v>28220</v>
      </c>
      <c r="AD919" s="371" t="s">
        <v>2271</v>
      </c>
      <c r="AE919" s="373">
        <v>0</v>
      </c>
      <c r="AF919" s="382">
        <v>0.83472222222222203</v>
      </c>
      <c r="AG919" s="382">
        <v>0.83472222222222203</v>
      </c>
      <c r="AH919" s="371" t="s">
        <v>2271</v>
      </c>
      <c r="AI919" s="382">
        <v>0.88194444444444497</v>
      </c>
      <c r="AJ919" s="382">
        <v>0.88194444444444398</v>
      </c>
      <c r="AK919" s="371" t="s">
        <v>2276</v>
      </c>
      <c r="AL919" s="206" t="s">
        <v>137</v>
      </c>
      <c r="AM919" s="206" t="s">
        <v>137</v>
      </c>
      <c r="AN919" s="371" t="s">
        <v>2271</v>
      </c>
      <c r="AO919" s="206" t="s">
        <v>3085</v>
      </c>
      <c r="AP919" s="206" t="s">
        <v>1499</v>
      </c>
      <c r="AQ919" s="206" t="s">
        <v>1133</v>
      </c>
      <c r="AR919" s="207" t="s">
        <v>88</v>
      </c>
    </row>
    <row r="920" spans="1:44" x14ac:dyDescent="0.2">
      <c r="A920" s="370">
        <v>901</v>
      </c>
      <c r="B920" s="380">
        <v>728</v>
      </c>
      <c r="C920" s="371" t="s">
        <v>2337</v>
      </c>
      <c r="D920" s="371" t="s">
        <v>2235</v>
      </c>
      <c r="E920" s="206"/>
      <c r="F920" s="206" t="s">
        <v>70</v>
      </c>
      <c r="G920" s="206" t="s">
        <v>70</v>
      </c>
      <c r="H920" s="371" t="s">
        <v>2271</v>
      </c>
      <c r="I920" s="206"/>
      <c r="J920" s="206" t="s">
        <v>1358</v>
      </c>
      <c r="K920" s="371" t="s">
        <v>2276</v>
      </c>
      <c r="L920" s="206" t="s">
        <v>2198</v>
      </c>
      <c r="M920" s="206" t="s">
        <v>1357</v>
      </c>
      <c r="N920" s="206" t="s">
        <v>78</v>
      </c>
      <c r="O920" s="372" t="s">
        <v>2210</v>
      </c>
      <c r="P920" s="372">
        <v>46079</v>
      </c>
      <c r="Q920" s="371" t="s">
        <v>2276</v>
      </c>
      <c r="R920" s="373">
        <v>45570</v>
      </c>
      <c r="S920" s="373">
        <v>45570</v>
      </c>
      <c r="T920" s="371" t="s">
        <v>2271</v>
      </c>
      <c r="U920" s="373">
        <v>17330</v>
      </c>
      <c r="V920" s="373">
        <v>17330</v>
      </c>
      <c r="W920" s="371" t="s">
        <v>2271</v>
      </c>
      <c r="X920" s="373">
        <v>28240</v>
      </c>
      <c r="Y920" s="373">
        <v>28240</v>
      </c>
      <c r="Z920" s="371" t="s">
        <v>2271</v>
      </c>
      <c r="AA920" s="373">
        <v>0</v>
      </c>
      <c r="AB920" s="373">
        <v>28230</v>
      </c>
      <c r="AC920" s="373">
        <v>28230</v>
      </c>
      <c r="AD920" s="371" t="s">
        <v>2271</v>
      </c>
      <c r="AE920" s="373">
        <v>0</v>
      </c>
      <c r="AF920" s="382">
        <v>0.61111111111111105</v>
      </c>
      <c r="AG920" s="382">
        <v>0.61111111111111105</v>
      </c>
      <c r="AH920" s="371" t="s">
        <v>2271</v>
      </c>
      <c r="AI920" s="382">
        <v>0.65763888888888899</v>
      </c>
      <c r="AJ920" s="382">
        <v>0.65763888888888899</v>
      </c>
      <c r="AK920" s="371" t="s">
        <v>2271</v>
      </c>
      <c r="AL920" s="206" t="s">
        <v>42</v>
      </c>
      <c r="AM920" s="206" t="s">
        <v>42</v>
      </c>
      <c r="AN920" s="371" t="s">
        <v>2271</v>
      </c>
      <c r="AO920" s="206" t="s">
        <v>3086</v>
      </c>
      <c r="AP920" s="206" t="s">
        <v>1499</v>
      </c>
      <c r="AQ920" s="206" t="s">
        <v>1133</v>
      </c>
      <c r="AR920" s="207" t="s">
        <v>88</v>
      </c>
    </row>
    <row r="921" spans="1:44" x14ac:dyDescent="0.2">
      <c r="A921" s="370">
        <v>902</v>
      </c>
      <c r="B921" s="380">
        <v>729</v>
      </c>
      <c r="C921" s="371" t="s">
        <v>2337</v>
      </c>
      <c r="D921" s="371" t="s">
        <v>2235</v>
      </c>
      <c r="E921" s="206"/>
      <c r="F921" s="206" t="s">
        <v>46</v>
      </c>
      <c r="G921" s="206" t="s">
        <v>46</v>
      </c>
      <c r="H921" s="371" t="s">
        <v>2271</v>
      </c>
      <c r="I921" s="206"/>
      <c r="J921" s="206" t="s">
        <v>1358</v>
      </c>
      <c r="K921" s="371" t="s">
        <v>2276</v>
      </c>
      <c r="L921" s="206" t="s">
        <v>2198</v>
      </c>
      <c r="M921" s="206" t="s">
        <v>1357</v>
      </c>
      <c r="N921" s="206" t="s">
        <v>78</v>
      </c>
      <c r="O921" s="372" t="s">
        <v>2210</v>
      </c>
      <c r="P921" s="372">
        <v>46079</v>
      </c>
      <c r="Q921" s="371" t="s">
        <v>2276</v>
      </c>
      <c r="R921" s="373">
        <v>26580</v>
      </c>
      <c r="S921" s="373">
        <v>26580</v>
      </c>
      <c r="T921" s="371" t="s">
        <v>2271</v>
      </c>
      <c r="U921" s="373">
        <v>11810</v>
      </c>
      <c r="V921" s="373">
        <v>11810</v>
      </c>
      <c r="W921" s="371" t="s">
        <v>2271</v>
      </c>
      <c r="X921" s="373">
        <v>14770</v>
      </c>
      <c r="Y921" s="373">
        <v>14770</v>
      </c>
      <c r="Z921" s="371" t="s">
        <v>2271</v>
      </c>
      <c r="AA921" s="373">
        <v>0</v>
      </c>
      <c r="AB921" s="373">
        <v>14750</v>
      </c>
      <c r="AC921" s="373">
        <v>14750</v>
      </c>
      <c r="AD921" s="371" t="s">
        <v>2271</v>
      </c>
      <c r="AE921" s="373">
        <v>0</v>
      </c>
      <c r="AF921" s="382">
        <v>0.61597222222222203</v>
      </c>
      <c r="AG921" s="382">
        <v>0.61597222222222203</v>
      </c>
      <c r="AH921" s="371" t="s">
        <v>2271</v>
      </c>
      <c r="AI921" s="382">
        <v>0.65902777777777799</v>
      </c>
      <c r="AJ921" s="382">
        <v>0.65902777777777799</v>
      </c>
      <c r="AK921" s="371" t="s">
        <v>2271</v>
      </c>
      <c r="AL921" s="206" t="s">
        <v>42</v>
      </c>
      <c r="AM921" s="206" t="s">
        <v>42</v>
      </c>
      <c r="AN921" s="371" t="s">
        <v>2271</v>
      </c>
      <c r="AO921" s="206" t="s">
        <v>3087</v>
      </c>
      <c r="AP921" s="206" t="s">
        <v>1393</v>
      </c>
      <c r="AQ921" s="206" t="s">
        <v>1132</v>
      </c>
      <c r="AR921" s="207" t="s">
        <v>88</v>
      </c>
    </row>
    <row r="922" spans="1:44" x14ac:dyDescent="0.2">
      <c r="A922" s="370">
        <v>903</v>
      </c>
      <c r="B922" s="380">
        <v>730</v>
      </c>
      <c r="C922" s="371" t="s">
        <v>2337</v>
      </c>
      <c r="D922" s="371" t="s">
        <v>2235</v>
      </c>
      <c r="E922" s="206"/>
      <c r="F922" s="206" t="s">
        <v>56</v>
      </c>
      <c r="G922" s="206" t="s">
        <v>56</v>
      </c>
      <c r="H922" s="371" t="s">
        <v>2271</v>
      </c>
      <c r="I922" s="206"/>
      <c r="J922" s="206" t="s">
        <v>1358</v>
      </c>
      <c r="K922" s="371" t="s">
        <v>2276</v>
      </c>
      <c r="L922" s="206" t="s">
        <v>2198</v>
      </c>
      <c r="M922" s="206" t="s">
        <v>1357</v>
      </c>
      <c r="N922" s="206" t="s">
        <v>78</v>
      </c>
      <c r="O922" s="372" t="s">
        <v>2210</v>
      </c>
      <c r="P922" s="372">
        <v>46079</v>
      </c>
      <c r="Q922" s="371" t="s">
        <v>2276</v>
      </c>
      <c r="R922" s="373">
        <v>25010</v>
      </c>
      <c r="S922" s="373">
        <v>25010</v>
      </c>
      <c r="T922" s="371" t="s">
        <v>2271</v>
      </c>
      <c r="U922" s="373">
        <v>10770</v>
      </c>
      <c r="V922" s="373">
        <v>10770</v>
      </c>
      <c r="W922" s="371" t="s">
        <v>2271</v>
      </c>
      <c r="X922" s="373">
        <v>14240</v>
      </c>
      <c r="Y922" s="373">
        <v>14240</v>
      </c>
      <c r="Z922" s="371" t="s">
        <v>2271</v>
      </c>
      <c r="AA922" s="373">
        <v>0</v>
      </c>
      <c r="AB922" s="373">
        <v>14210</v>
      </c>
      <c r="AC922" s="373">
        <v>14210</v>
      </c>
      <c r="AD922" s="371" t="s">
        <v>2271</v>
      </c>
      <c r="AE922" s="373">
        <v>0</v>
      </c>
      <c r="AF922" s="382">
        <v>0.61736111111111103</v>
      </c>
      <c r="AG922" s="382">
        <v>0.61736111111111103</v>
      </c>
      <c r="AH922" s="371" t="s">
        <v>2271</v>
      </c>
      <c r="AI922" s="382">
        <v>0.66527777777777797</v>
      </c>
      <c r="AJ922" s="382">
        <v>0.66527777777777797</v>
      </c>
      <c r="AK922" s="371" t="s">
        <v>2271</v>
      </c>
      <c r="AL922" s="206" t="s">
        <v>42</v>
      </c>
      <c r="AM922" s="206" t="s">
        <v>42</v>
      </c>
      <c r="AN922" s="371" t="s">
        <v>2271</v>
      </c>
      <c r="AO922" s="206" t="s">
        <v>3088</v>
      </c>
      <c r="AP922" s="206" t="s">
        <v>1781</v>
      </c>
      <c r="AQ922" s="206" t="s">
        <v>1132</v>
      </c>
      <c r="AR922" s="207" t="s">
        <v>88</v>
      </c>
    </row>
    <row r="923" spans="1:44" x14ac:dyDescent="0.2">
      <c r="A923" s="370">
        <v>904</v>
      </c>
      <c r="B923" s="380">
        <v>731</v>
      </c>
      <c r="C923" s="371" t="s">
        <v>2337</v>
      </c>
      <c r="D923" s="371" t="s">
        <v>2235</v>
      </c>
      <c r="E923" s="206"/>
      <c r="F923" s="206" t="s">
        <v>46</v>
      </c>
      <c r="G923" s="206" t="s">
        <v>46</v>
      </c>
      <c r="H923" s="371" t="s">
        <v>2271</v>
      </c>
      <c r="I923" s="206"/>
      <c r="J923" s="206" t="s">
        <v>1443</v>
      </c>
      <c r="K923" s="371" t="s">
        <v>2276</v>
      </c>
      <c r="L923" s="206" t="s">
        <v>2201</v>
      </c>
      <c r="M923" s="206" t="s">
        <v>1364</v>
      </c>
      <c r="N923" s="206" t="s">
        <v>49</v>
      </c>
      <c r="O923" s="372" t="s">
        <v>2210</v>
      </c>
      <c r="P923" s="372">
        <v>46079</v>
      </c>
      <c r="Q923" s="371" t="s">
        <v>2276</v>
      </c>
      <c r="R923" s="373">
        <v>26780</v>
      </c>
      <c r="S923" s="373">
        <v>26780</v>
      </c>
      <c r="T923" s="371" t="s">
        <v>2271</v>
      </c>
      <c r="U923" s="373">
        <v>11930</v>
      </c>
      <c r="V923" s="373">
        <v>11930</v>
      </c>
      <c r="W923" s="371" t="s">
        <v>2271</v>
      </c>
      <c r="X923" s="373">
        <v>14850</v>
      </c>
      <c r="Y923" s="373">
        <v>14850</v>
      </c>
      <c r="Z923" s="371" t="s">
        <v>2271</v>
      </c>
      <c r="AA923" s="373">
        <v>0</v>
      </c>
      <c r="AB923" s="373">
        <v>14820</v>
      </c>
      <c r="AC923" s="373">
        <v>14820</v>
      </c>
      <c r="AD923" s="371" t="s">
        <v>2271</v>
      </c>
      <c r="AE923" s="373">
        <v>0</v>
      </c>
      <c r="AF923" s="382">
        <v>0.85208333333333297</v>
      </c>
      <c r="AG923" s="382">
        <v>0.85208333333333297</v>
      </c>
      <c r="AH923" s="371" t="s">
        <v>2271</v>
      </c>
      <c r="AI923" s="382">
        <v>0.89166666666666705</v>
      </c>
      <c r="AJ923" s="382">
        <v>0.89166666666666705</v>
      </c>
      <c r="AK923" s="371" t="s">
        <v>2271</v>
      </c>
      <c r="AL923" s="206" t="s">
        <v>137</v>
      </c>
      <c r="AM923" s="206" t="s">
        <v>137</v>
      </c>
      <c r="AN923" s="371" t="s">
        <v>2271</v>
      </c>
      <c r="AO923" s="206" t="s">
        <v>3089</v>
      </c>
      <c r="AP923" s="206" t="s">
        <v>1393</v>
      </c>
      <c r="AQ923" s="206" t="s">
        <v>1132</v>
      </c>
      <c r="AR923" s="207" t="s">
        <v>68</v>
      </c>
    </row>
    <row r="924" spans="1:44" x14ac:dyDescent="0.2">
      <c r="A924" s="370">
        <v>905</v>
      </c>
      <c r="B924" s="380">
        <v>732</v>
      </c>
      <c r="C924" s="371" t="s">
        <v>2337</v>
      </c>
      <c r="D924" s="371" t="s">
        <v>2235</v>
      </c>
      <c r="E924" s="206"/>
      <c r="F924" s="206" t="s">
        <v>70</v>
      </c>
      <c r="G924" s="206" t="s">
        <v>70</v>
      </c>
      <c r="H924" s="371" t="s">
        <v>2271</v>
      </c>
      <c r="I924" s="206"/>
      <c r="J924" s="206" t="s">
        <v>1443</v>
      </c>
      <c r="K924" s="371" t="s">
        <v>2276</v>
      </c>
      <c r="L924" s="206" t="s">
        <v>2201</v>
      </c>
      <c r="M924" s="206" t="s">
        <v>1364</v>
      </c>
      <c r="N924" s="206" t="s">
        <v>49</v>
      </c>
      <c r="O924" s="372" t="s">
        <v>2210</v>
      </c>
      <c r="P924" s="372">
        <v>46079</v>
      </c>
      <c r="Q924" s="371" t="s">
        <v>2276</v>
      </c>
      <c r="R924" s="373">
        <v>45950</v>
      </c>
      <c r="S924" s="373">
        <v>45950</v>
      </c>
      <c r="T924" s="371" t="s">
        <v>2271</v>
      </c>
      <c r="U924" s="373">
        <v>17560</v>
      </c>
      <c r="V924" s="373">
        <v>17560</v>
      </c>
      <c r="W924" s="371" t="s">
        <v>2271</v>
      </c>
      <c r="X924" s="373">
        <v>28390</v>
      </c>
      <c r="Y924" s="373">
        <v>28390</v>
      </c>
      <c r="Z924" s="371" t="s">
        <v>2271</v>
      </c>
      <c r="AA924" s="373">
        <v>0</v>
      </c>
      <c r="AB924" s="373">
        <v>28340</v>
      </c>
      <c r="AC924" s="373">
        <v>28340</v>
      </c>
      <c r="AD924" s="371" t="s">
        <v>2271</v>
      </c>
      <c r="AE924" s="373">
        <v>0</v>
      </c>
      <c r="AF924" s="382">
        <v>0.90902777777777799</v>
      </c>
      <c r="AG924" s="382">
        <v>0.90902777777777799</v>
      </c>
      <c r="AH924" s="371" t="s">
        <v>2271</v>
      </c>
      <c r="AI924" s="382">
        <v>0.95069444444444395</v>
      </c>
      <c r="AJ924" s="382">
        <v>0.95069444444444395</v>
      </c>
      <c r="AK924" s="371" t="s">
        <v>2271</v>
      </c>
      <c r="AL924" s="206" t="s">
        <v>137</v>
      </c>
      <c r="AM924" s="206" t="s">
        <v>137</v>
      </c>
      <c r="AN924" s="371" t="s">
        <v>2271</v>
      </c>
      <c r="AO924" s="206" t="s">
        <v>3090</v>
      </c>
      <c r="AP924" s="206" t="s">
        <v>1499</v>
      </c>
      <c r="AQ924" s="206" t="s">
        <v>1133</v>
      </c>
      <c r="AR924" s="207" t="s">
        <v>68</v>
      </c>
    </row>
    <row r="925" spans="1:44" x14ac:dyDescent="0.2">
      <c r="A925" s="370">
        <v>906</v>
      </c>
      <c r="B925" s="380">
        <v>733</v>
      </c>
      <c r="C925" s="371" t="s">
        <v>2337</v>
      </c>
      <c r="D925" s="371" t="s">
        <v>2235</v>
      </c>
      <c r="E925" s="206"/>
      <c r="F925" s="206" t="s">
        <v>56</v>
      </c>
      <c r="G925" s="206" t="s">
        <v>56</v>
      </c>
      <c r="H925" s="371" t="s">
        <v>2271</v>
      </c>
      <c r="I925" s="206"/>
      <c r="J925" s="206" t="s">
        <v>1358</v>
      </c>
      <c r="K925" s="371" t="s">
        <v>2276</v>
      </c>
      <c r="L925" s="206" t="s">
        <v>2198</v>
      </c>
      <c r="M925" s="206" t="s">
        <v>1357</v>
      </c>
      <c r="N925" s="206" t="s">
        <v>78</v>
      </c>
      <c r="O925" s="372" t="s">
        <v>2211</v>
      </c>
      <c r="P925" s="372">
        <v>46080</v>
      </c>
      <c r="Q925" s="371" t="s">
        <v>2276</v>
      </c>
      <c r="R925" s="373">
        <v>24980</v>
      </c>
      <c r="S925" s="373">
        <v>24980</v>
      </c>
      <c r="T925" s="371" t="s">
        <v>2271</v>
      </c>
      <c r="U925" s="373">
        <v>10710</v>
      </c>
      <c r="V925" s="373">
        <v>10710</v>
      </c>
      <c r="W925" s="371" t="s">
        <v>2271</v>
      </c>
      <c r="X925" s="373">
        <v>14270</v>
      </c>
      <c r="Y925" s="373">
        <v>14270</v>
      </c>
      <c r="Z925" s="371" t="s">
        <v>2271</v>
      </c>
      <c r="AA925" s="373">
        <v>0</v>
      </c>
      <c r="AB925" s="373">
        <v>14250</v>
      </c>
      <c r="AC925" s="373">
        <v>14250</v>
      </c>
      <c r="AD925" s="371" t="s">
        <v>2271</v>
      </c>
      <c r="AE925" s="373">
        <v>0</v>
      </c>
      <c r="AF925" s="382">
        <v>0.54374999999999996</v>
      </c>
      <c r="AG925" s="382">
        <v>0.54374999999999996</v>
      </c>
      <c r="AH925" s="371" t="s">
        <v>2271</v>
      </c>
      <c r="AI925" s="382">
        <v>0.60347222222222197</v>
      </c>
      <c r="AJ925" s="382">
        <v>0.60347222222222197</v>
      </c>
      <c r="AK925" s="371" t="s">
        <v>2271</v>
      </c>
      <c r="AL925" s="206" t="s">
        <v>42</v>
      </c>
      <c r="AM925" s="206" t="s">
        <v>42</v>
      </c>
      <c r="AN925" s="371" t="s">
        <v>2271</v>
      </c>
      <c r="AO925" s="206" t="s">
        <v>3091</v>
      </c>
      <c r="AP925" s="206" t="s">
        <v>1781</v>
      </c>
      <c r="AQ925" s="206" t="s">
        <v>1132</v>
      </c>
      <c r="AR925" s="207" t="s">
        <v>88</v>
      </c>
    </row>
    <row r="926" spans="1:44" x14ac:dyDescent="0.2">
      <c r="A926" s="370">
        <v>907</v>
      </c>
      <c r="B926" s="380">
        <v>734</v>
      </c>
      <c r="C926" s="371" t="s">
        <v>2337</v>
      </c>
      <c r="D926" s="371" t="s">
        <v>2235</v>
      </c>
      <c r="E926" s="206"/>
      <c r="F926" s="206" t="s">
        <v>46</v>
      </c>
      <c r="G926" s="206" t="s">
        <v>46</v>
      </c>
      <c r="H926" s="371" t="s">
        <v>2271</v>
      </c>
      <c r="I926" s="206"/>
      <c r="J926" s="206" t="s">
        <v>1358</v>
      </c>
      <c r="K926" s="371" t="s">
        <v>2276</v>
      </c>
      <c r="L926" s="206" t="s">
        <v>2198</v>
      </c>
      <c r="M926" s="206" t="s">
        <v>1357</v>
      </c>
      <c r="N926" s="206" t="s">
        <v>78</v>
      </c>
      <c r="O926" s="372" t="s">
        <v>2211</v>
      </c>
      <c r="P926" s="372">
        <v>46080</v>
      </c>
      <c r="Q926" s="371" t="s">
        <v>2276</v>
      </c>
      <c r="R926" s="373">
        <v>26680</v>
      </c>
      <c r="S926" s="373">
        <v>26680</v>
      </c>
      <c r="T926" s="371" t="s">
        <v>2271</v>
      </c>
      <c r="U926" s="373">
        <v>11890</v>
      </c>
      <c r="V926" s="373">
        <v>11890</v>
      </c>
      <c r="W926" s="371" t="s">
        <v>2271</v>
      </c>
      <c r="X926" s="373">
        <v>14790</v>
      </c>
      <c r="Y926" s="373">
        <v>14790</v>
      </c>
      <c r="Z926" s="371" t="s">
        <v>2271</v>
      </c>
      <c r="AA926" s="373">
        <v>0</v>
      </c>
      <c r="AB926" s="373">
        <v>14780</v>
      </c>
      <c r="AC926" s="373">
        <v>14780</v>
      </c>
      <c r="AD926" s="371" t="s">
        <v>2271</v>
      </c>
      <c r="AE926" s="373">
        <v>0</v>
      </c>
      <c r="AF926" s="382">
        <v>0.55833333333333302</v>
      </c>
      <c r="AG926" s="382">
        <v>0.55833333333333302</v>
      </c>
      <c r="AH926" s="371" t="s">
        <v>2271</v>
      </c>
      <c r="AI926" s="382">
        <v>0.60902777777777795</v>
      </c>
      <c r="AJ926" s="382">
        <v>0.60902777777777795</v>
      </c>
      <c r="AK926" s="371" t="s">
        <v>2271</v>
      </c>
      <c r="AL926" s="206" t="s">
        <v>42</v>
      </c>
      <c r="AM926" s="206" t="s">
        <v>42</v>
      </c>
      <c r="AN926" s="371" t="s">
        <v>2271</v>
      </c>
      <c r="AO926" s="206" t="s">
        <v>3092</v>
      </c>
      <c r="AP926" s="206" t="s">
        <v>1393</v>
      </c>
      <c r="AQ926" s="206" t="s">
        <v>1132</v>
      </c>
      <c r="AR926" s="207" t="s">
        <v>88</v>
      </c>
    </row>
    <row r="927" spans="1:44" x14ac:dyDescent="0.2">
      <c r="A927" s="370">
        <v>908</v>
      </c>
      <c r="B927" s="380">
        <v>735</v>
      </c>
      <c r="C927" s="371" t="s">
        <v>2337</v>
      </c>
      <c r="D927" s="371" t="s">
        <v>2235</v>
      </c>
      <c r="E927" s="206"/>
      <c r="F927" s="206" t="s">
        <v>70</v>
      </c>
      <c r="G927" s="206" t="s">
        <v>70</v>
      </c>
      <c r="H927" s="371" t="s">
        <v>2271</v>
      </c>
      <c r="I927" s="206"/>
      <c r="J927" s="206" t="s">
        <v>1358</v>
      </c>
      <c r="K927" s="371" t="s">
        <v>2276</v>
      </c>
      <c r="L927" s="206" t="s">
        <v>2198</v>
      </c>
      <c r="M927" s="206" t="s">
        <v>1357</v>
      </c>
      <c r="N927" s="206" t="s">
        <v>78</v>
      </c>
      <c r="O927" s="372" t="s">
        <v>2211</v>
      </c>
      <c r="P927" s="372">
        <v>46080</v>
      </c>
      <c r="Q927" s="371" t="s">
        <v>2276</v>
      </c>
      <c r="R927" s="373">
        <v>45770</v>
      </c>
      <c r="S927" s="373">
        <v>45770</v>
      </c>
      <c r="T927" s="371" t="s">
        <v>2271</v>
      </c>
      <c r="U927" s="373">
        <v>17490</v>
      </c>
      <c r="V927" s="373">
        <v>17490</v>
      </c>
      <c r="W927" s="371" t="s">
        <v>2271</v>
      </c>
      <c r="X927" s="373">
        <v>28280</v>
      </c>
      <c r="Y927" s="373">
        <v>28280</v>
      </c>
      <c r="Z927" s="371" t="s">
        <v>2271</v>
      </c>
      <c r="AA927" s="373">
        <v>0</v>
      </c>
      <c r="AB927" s="373">
        <v>28280</v>
      </c>
      <c r="AC927" s="373">
        <v>28280</v>
      </c>
      <c r="AD927" s="371" t="s">
        <v>2271</v>
      </c>
      <c r="AE927" s="373">
        <v>0</v>
      </c>
      <c r="AF927" s="382">
        <v>0.56736111111111098</v>
      </c>
      <c r="AG927" s="382">
        <v>0.56736111111111098</v>
      </c>
      <c r="AH927" s="371" t="s">
        <v>2271</v>
      </c>
      <c r="AI927" s="382">
        <v>0.62222222222222201</v>
      </c>
      <c r="AJ927" s="382">
        <v>0.62222222222222201</v>
      </c>
      <c r="AK927" s="371" t="s">
        <v>2271</v>
      </c>
      <c r="AL927" s="206" t="s">
        <v>42</v>
      </c>
      <c r="AM927" s="206" t="s">
        <v>42</v>
      </c>
      <c r="AN927" s="371" t="s">
        <v>2271</v>
      </c>
      <c r="AO927" s="206" t="s">
        <v>3093</v>
      </c>
      <c r="AP927" s="206" t="s">
        <v>1499</v>
      </c>
      <c r="AQ927" s="206" t="s">
        <v>1133</v>
      </c>
      <c r="AR927" s="207" t="s">
        <v>88</v>
      </c>
    </row>
    <row r="928" spans="1:44" x14ac:dyDescent="0.2">
      <c r="A928" s="370">
        <v>909</v>
      </c>
      <c r="B928" s="380">
        <v>736</v>
      </c>
      <c r="C928" s="371" t="s">
        <v>2275</v>
      </c>
      <c r="D928" s="371" t="s">
        <v>2235</v>
      </c>
      <c r="E928" s="206"/>
      <c r="F928" s="206" t="s">
        <v>56</v>
      </c>
      <c r="G928" s="206" t="s">
        <v>56</v>
      </c>
      <c r="H928" s="371" t="s">
        <v>2271</v>
      </c>
      <c r="I928" s="206"/>
      <c r="J928" s="206" t="s">
        <v>1358</v>
      </c>
      <c r="K928" s="371" t="s">
        <v>2276</v>
      </c>
      <c r="L928" s="206" t="s">
        <v>2198</v>
      </c>
      <c r="M928" s="206" t="s">
        <v>1357</v>
      </c>
      <c r="N928" s="206" t="s">
        <v>78</v>
      </c>
      <c r="O928" s="372">
        <v>46056</v>
      </c>
      <c r="P928" s="372">
        <v>46056</v>
      </c>
      <c r="Q928" s="371" t="s">
        <v>2271</v>
      </c>
      <c r="R928" s="373">
        <v>24990</v>
      </c>
      <c r="S928" s="373">
        <v>24990</v>
      </c>
      <c r="T928" s="371" t="s">
        <v>2271</v>
      </c>
      <c r="U928" s="373">
        <v>10680</v>
      </c>
      <c r="V928" s="373">
        <v>10680</v>
      </c>
      <c r="W928" s="371" t="s">
        <v>2271</v>
      </c>
      <c r="X928" s="373">
        <v>14310</v>
      </c>
      <c r="Y928" s="373">
        <v>14310</v>
      </c>
      <c r="Z928" s="371" t="s">
        <v>2271</v>
      </c>
      <c r="AA928" s="373">
        <v>0</v>
      </c>
      <c r="AB928" s="373">
        <v>14290</v>
      </c>
      <c r="AC928" s="373">
        <v>14290</v>
      </c>
      <c r="AD928" s="371" t="s">
        <v>2271</v>
      </c>
      <c r="AE928" s="373">
        <v>0</v>
      </c>
      <c r="AF928" s="382">
        <v>0.59236111111111101</v>
      </c>
      <c r="AG928" s="382">
        <v>0.59236111111111101</v>
      </c>
      <c r="AH928" s="371" t="s">
        <v>2271</v>
      </c>
      <c r="AI928" s="382">
        <v>0.65208333333333302</v>
      </c>
      <c r="AJ928" s="382">
        <v>0.65208333333333302</v>
      </c>
      <c r="AK928" s="371" t="s">
        <v>2271</v>
      </c>
      <c r="AL928" s="206" t="s">
        <v>137</v>
      </c>
      <c r="AM928" s="206" t="s">
        <v>137</v>
      </c>
      <c r="AN928" s="371" t="s">
        <v>2271</v>
      </c>
      <c r="AO928" s="206" t="s">
        <v>3094</v>
      </c>
      <c r="AP928" s="206" t="s">
        <v>1781</v>
      </c>
      <c r="AQ928" s="206" t="s">
        <v>1132</v>
      </c>
      <c r="AR928" s="207" t="s">
        <v>88</v>
      </c>
    </row>
    <row r="929" spans="1:44" x14ac:dyDescent="0.2">
      <c r="A929" s="370">
        <v>910</v>
      </c>
      <c r="B929" s="380">
        <v>737</v>
      </c>
      <c r="C929" s="371" t="s">
        <v>2275</v>
      </c>
      <c r="D929" s="371" t="s">
        <v>2235</v>
      </c>
      <c r="E929" s="206"/>
      <c r="F929" s="206" t="s">
        <v>46</v>
      </c>
      <c r="G929" s="206" t="s">
        <v>46</v>
      </c>
      <c r="H929" s="371" t="s">
        <v>2271</v>
      </c>
      <c r="I929" s="206"/>
      <c r="J929" s="206" t="s">
        <v>1358</v>
      </c>
      <c r="K929" s="371" t="s">
        <v>2276</v>
      </c>
      <c r="L929" s="206" t="s">
        <v>2198</v>
      </c>
      <c r="M929" s="206" t="s">
        <v>1357</v>
      </c>
      <c r="N929" s="206" t="s">
        <v>78</v>
      </c>
      <c r="O929" s="372">
        <v>46056</v>
      </c>
      <c r="P929" s="372">
        <v>46056</v>
      </c>
      <c r="Q929" s="371" t="s">
        <v>2271</v>
      </c>
      <c r="R929" s="373">
        <v>26700</v>
      </c>
      <c r="S929" s="373">
        <v>26700</v>
      </c>
      <c r="T929" s="371" t="s">
        <v>2271</v>
      </c>
      <c r="U929" s="373">
        <v>11880</v>
      </c>
      <c r="V929" s="373">
        <v>11880</v>
      </c>
      <c r="W929" s="371" t="s">
        <v>2271</v>
      </c>
      <c r="X929" s="373">
        <v>14820</v>
      </c>
      <c r="Y929" s="373">
        <v>14820</v>
      </c>
      <c r="Z929" s="371" t="s">
        <v>2271</v>
      </c>
      <c r="AA929" s="373">
        <v>0</v>
      </c>
      <c r="AB929" s="373">
        <v>14500</v>
      </c>
      <c r="AC929" s="373">
        <v>14500</v>
      </c>
      <c r="AD929" s="371" t="s">
        <v>2271</v>
      </c>
      <c r="AE929" s="373">
        <v>0</v>
      </c>
      <c r="AF929" s="382">
        <v>0.62361111111111101</v>
      </c>
      <c r="AG929" s="382">
        <v>0.62361111111111101</v>
      </c>
      <c r="AH929" s="371" t="s">
        <v>2271</v>
      </c>
      <c r="AI929" s="382">
        <v>0.65833333333333299</v>
      </c>
      <c r="AJ929" s="382">
        <v>0.65833333333333299</v>
      </c>
      <c r="AK929" s="371" t="s">
        <v>2271</v>
      </c>
      <c r="AL929" s="206" t="s">
        <v>137</v>
      </c>
      <c r="AM929" s="206" t="s">
        <v>137</v>
      </c>
      <c r="AN929" s="371" t="s">
        <v>2271</v>
      </c>
      <c r="AO929" s="206" t="s">
        <v>3095</v>
      </c>
      <c r="AP929" s="206" t="s">
        <v>1393</v>
      </c>
      <c r="AQ929" s="206" t="s">
        <v>1132</v>
      </c>
      <c r="AR929" s="207" t="s">
        <v>88</v>
      </c>
    </row>
    <row r="930" spans="1:44" x14ac:dyDescent="0.2">
      <c r="A930" s="370">
        <v>911</v>
      </c>
      <c r="B930" s="380">
        <v>738</v>
      </c>
      <c r="C930" s="371" t="s">
        <v>2275</v>
      </c>
      <c r="D930" s="371" t="s">
        <v>2235</v>
      </c>
      <c r="E930" s="206"/>
      <c r="F930" s="206" t="s">
        <v>76</v>
      </c>
      <c r="G930" s="206" t="s">
        <v>76</v>
      </c>
      <c r="H930" s="371" t="s">
        <v>2271</v>
      </c>
      <c r="I930" s="206"/>
      <c r="J930" s="206" t="s">
        <v>1358</v>
      </c>
      <c r="K930" s="371" t="s">
        <v>2276</v>
      </c>
      <c r="L930" s="206" t="s">
        <v>2198</v>
      </c>
      <c r="M930" s="206" t="s">
        <v>1357</v>
      </c>
      <c r="N930" s="206" t="s">
        <v>78</v>
      </c>
      <c r="O930" s="372">
        <v>46056</v>
      </c>
      <c r="P930" s="372">
        <v>46056</v>
      </c>
      <c r="Q930" s="371" t="s">
        <v>2271</v>
      </c>
      <c r="R930" s="373">
        <v>45840</v>
      </c>
      <c r="S930" s="373">
        <v>45840</v>
      </c>
      <c r="T930" s="371" t="s">
        <v>2271</v>
      </c>
      <c r="U930" s="373">
        <v>17520</v>
      </c>
      <c r="V930" s="373">
        <v>17520</v>
      </c>
      <c r="W930" s="371" t="s">
        <v>2271</v>
      </c>
      <c r="X930" s="373">
        <v>28320</v>
      </c>
      <c r="Y930" s="373">
        <v>28320</v>
      </c>
      <c r="Z930" s="371" t="s">
        <v>2271</v>
      </c>
      <c r="AA930" s="373">
        <v>0</v>
      </c>
      <c r="AB930" s="373">
        <v>28370</v>
      </c>
      <c r="AC930" s="373">
        <v>28370</v>
      </c>
      <c r="AD930" s="371" t="s">
        <v>2271</v>
      </c>
      <c r="AE930" s="373">
        <v>0</v>
      </c>
      <c r="AF930" s="382">
        <v>0.625694444444444</v>
      </c>
      <c r="AG930" s="382">
        <v>0.625694444444444</v>
      </c>
      <c r="AH930" s="371" t="s">
        <v>2271</v>
      </c>
      <c r="AI930" s="382">
        <v>0.69722222222222197</v>
      </c>
      <c r="AJ930" s="382">
        <v>0.69722222222222197</v>
      </c>
      <c r="AK930" s="371" t="s">
        <v>2271</v>
      </c>
      <c r="AL930" s="206" t="s">
        <v>42</v>
      </c>
      <c r="AM930" s="206" t="s">
        <v>42</v>
      </c>
      <c r="AN930" s="371" t="s">
        <v>2271</v>
      </c>
      <c r="AO930" s="206" t="s">
        <v>3096</v>
      </c>
      <c r="AP930" s="206" t="s">
        <v>1372</v>
      </c>
      <c r="AQ930" s="206" t="s">
        <v>1133</v>
      </c>
      <c r="AR930" s="207" t="s">
        <v>88</v>
      </c>
    </row>
    <row r="931" spans="1:44" x14ac:dyDescent="0.2">
      <c r="A931" s="370">
        <v>912</v>
      </c>
      <c r="B931" s="380">
        <v>739</v>
      </c>
      <c r="C931" s="371" t="s">
        <v>2275</v>
      </c>
      <c r="D931" s="371" t="s">
        <v>2235</v>
      </c>
      <c r="E931" s="206"/>
      <c r="F931" s="206" t="s">
        <v>84</v>
      </c>
      <c r="G931" s="206" t="s">
        <v>84</v>
      </c>
      <c r="H931" s="371" t="s">
        <v>2271</v>
      </c>
      <c r="I931" s="206"/>
      <c r="J931" s="206" t="s">
        <v>1358</v>
      </c>
      <c r="K931" s="371" t="s">
        <v>2276</v>
      </c>
      <c r="L931" s="206" t="s">
        <v>2198</v>
      </c>
      <c r="M931" s="206" t="s">
        <v>1357</v>
      </c>
      <c r="N931" s="206" t="s">
        <v>78</v>
      </c>
      <c r="O931" s="372">
        <v>46056</v>
      </c>
      <c r="P931" s="372">
        <v>46056</v>
      </c>
      <c r="Q931" s="371" t="s">
        <v>2271</v>
      </c>
      <c r="R931" s="373">
        <v>26580</v>
      </c>
      <c r="S931" s="373">
        <v>26580</v>
      </c>
      <c r="T931" s="371" t="s">
        <v>2271</v>
      </c>
      <c r="U931" s="373">
        <v>12070</v>
      </c>
      <c r="V931" s="373">
        <v>12070</v>
      </c>
      <c r="W931" s="371" t="s">
        <v>2271</v>
      </c>
      <c r="X931" s="373">
        <v>14510</v>
      </c>
      <c r="Y931" s="373">
        <v>14510</v>
      </c>
      <c r="Z931" s="371" t="s">
        <v>2271</v>
      </c>
      <c r="AA931" s="373">
        <v>0</v>
      </c>
      <c r="AB931" s="373">
        <v>14820</v>
      </c>
      <c r="AC931" s="373">
        <v>14820</v>
      </c>
      <c r="AD931" s="371" t="s">
        <v>2271</v>
      </c>
      <c r="AE931" s="373">
        <v>0</v>
      </c>
      <c r="AF931" s="382">
        <v>0.62777777777777799</v>
      </c>
      <c r="AG931" s="382">
        <v>0.62777777777777799</v>
      </c>
      <c r="AH931" s="371" t="s">
        <v>2271</v>
      </c>
      <c r="AI931" s="382">
        <v>0.686805555555556</v>
      </c>
      <c r="AJ931" s="382">
        <v>0.686805555555556</v>
      </c>
      <c r="AK931" s="371" t="s">
        <v>2271</v>
      </c>
      <c r="AL931" s="206" t="s">
        <v>42</v>
      </c>
      <c r="AM931" s="206" t="s">
        <v>42</v>
      </c>
      <c r="AN931" s="371" t="s">
        <v>2271</v>
      </c>
      <c r="AO931" s="206" t="s">
        <v>3097</v>
      </c>
      <c r="AP931" s="206" t="s">
        <v>1782</v>
      </c>
      <c r="AQ931" s="206" t="s">
        <v>1132</v>
      </c>
      <c r="AR931" s="207" t="s">
        <v>88</v>
      </c>
    </row>
    <row r="932" spans="1:44" x14ac:dyDescent="0.2">
      <c r="A932" s="370">
        <v>913</v>
      </c>
      <c r="B932" s="380">
        <v>740</v>
      </c>
      <c r="C932" s="371" t="s">
        <v>2275</v>
      </c>
      <c r="D932" s="371" t="s">
        <v>2235</v>
      </c>
      <c r="E932" s="206"/>
      <c r="F932" s="206" t="s">
        <v>70</v>
      </c>
      <c r="G932" s="206" t="s">
        <v>70</v>
      </c>
      <c r="H932" s="371" t="s">
        <v>2271</v>
      </c>
      <c r="I932" s="206"/>
      <c r="J932" s="206" t="s">
        <v>1358</v>
      </c>
      <c r="K932" s="371" t="s">
        <v>2276</v>
      </c>
      <c r="L932" s="206" t="s">
        <v>2198</v>
      </c>
      <c r="M932" s="206" t="s">
        <v>1357</v>
      </c>
      <c r="N932" s="206" t="s">
        <v>78</v>
      </c>
      <c r="O932" s="372">
        <v>46056</v>
      </c>
      <c r="P932" s="372">
        <v>46056</v>
      </c>
      <c r="Q932" s="371" t="s">
        <v>2271</v>
      </c>
      <c r="R932" s="373">
        <v>45840</v>
      </c>
      <c r="S932" s="373">
        <v>45840</v>
      </c>
      <c r="T932" s="371" t="s">
        <v>2271</v>
      </c>
      <c r="U932" s="373">
        <v>17540</v>
      </c>
      <c r="V932" s="373">
        <v>17540</v>
      </c>
      <c r="W932" s="371" t="s">
        <v>2271</v>
      </c>
      <c r="X932" s="373">
        <v>28300</v>
      </c>
      <c r="Y932" s="373">
        <v>28300</v>
      </c>
      <c r="Z932" s="371" t="s">
        <v>2271</v>
      </c>
      <c r="AA932" s="373">
        <v>0</v>
      </c>
      <c r="AB932" s="373">
        <v>28370</v>
      </c>
      <c r="AC932" s="373">
        <v>28370</v>
      </c>
      <c r="AD932" s="371" t="s">
        <v>2271</v>
      </c>
      <c r="AE932" s="373">
        <v>0</v>
      </c>
      <c r="AF932" s="382">
        <v>0.82499999999999996</v>
      </c>
      <c r="AG932" s="382">
        <v>0.82499999999999996</v>
      </c>
      <c r="AH932" s="371" t="s">
        <v>2271</v>
      </c>
      <c r="AI932" s="382">
        <v>0.88402777777777797</v>
      </c>
      <c r="AJ932" s="382">
        <v>0.88402777777777797</v>
      </c>
      <c r="AK932" s="371" t="s">
        <v>2271</v>
      </c>
      <c r="AL932" s="206" t="s">
        <v>42</v>
      </c>
      <c r="AM932" s="206" t="s">
        <v>42</v>
      </c>
      <c r="AN932" s="371" t="s">
        <v>2271</v>
      </c>
      <c r="AO932" s="206" t="s">
        <v>3098</v>
      </c>
      <c r="AP932" s="206" t="s">
        <v>1499</v>
      </c>
      <c r="AQ932" s="206" t="s">
        <v>1133</v>
      </c>
      <c r="AR932" s="207" t="s">
        <v>88</v>
      </c>
    </row>
    <row r="933" spans="1:44" x14ac:dyDescent="0.2">
      <c r="A933" s="370">
        <v>914</v>
      </c>
      <c r="B933" s="380">
        <v>741</v>
      </c>
      <c r="C933" s="371" t="s">
        <v>2275</v>
      </c>
      <c r="D933" s="371" t="s">
        <v>2235</v>
      </c>
      <c r="E933" s="206"/>
      <c r="F933" s="206" t="s">
        <v>76</v>
      </c>
      <c r="G933" s="206" t="s">
        <v>76</v>
      </c>
      <c r="H933" s="371" t="s">
        <v>2271</v>
      </c>
      <c r="I933" s="206"/>
      <c r="J933" s="206" t="s">
        <v>1358</v>
      </c>
      <c r="K933" s="371" t="s">
        <v>2276</v>
      </c>
      <c r="L933" s="206" t="s">
        <v>2198</v>
      </c>
      <c r="M933" s="206" t="s">
        <v>1357</v>
      </c>
      <c r="N933" s="206" t="s">
        <v>78</v>
      </c>
      <c r="O933" s="372">
        <v>46084</v>
      </c>
      <c r="P933" s="372">
        <v>46084</v>
      </c>
      <c r="Q933" s="371" t="s">
        <v>2271</v>
      </c>
      <c r="R933" s="373">
        <v>45770</v>
      </c>
      <c r="S933" s="373">
        <v>45770</v>
      </c>
      <c r="T933" s="371" t="s">
        <v>2271</v>
      </c>
      <c r="U933" s="373">
        <v>17460</v>
      </c>
      <c r="V933" s="373">
        <v>17460</v>
      </c>
      <c r="W933" s="371" t="s">
        <v>2271</v>
      </c>
      <c r="X933" s="373">
        <v>28310</v>
      </c>
      <c r="Y933" s="373">
        <v>28310</v>
      </c>
      <c r="Z933" s="371" t="s">
        <v>2271</v>
      </c>
      <c r="AA933" s="373">
        <v>0</v>
      </c>
      <c r="AB933" s="373">
        <v>28350</v>
      </c>
      <c r="AC933" s="373">
        <v>28350</v>
      </c>
      <c r="AD933" s="371" t="s">
        <v>2271</v>
      </c>
      <c r="AE933" s="373">
        <v>0</v>
      </c>
      <c r="AF933" s="382">
        <v>0.59652777777777799</v>
      </c>
      <c r="AG933" s="382">
        <v>0.59652777777777799</v>
      </c>
      <c r="AH933" s="371" t="s">
        <v>2271</v>
      </c>
      <c r="AI933" s="382">
        <v>0.67291666666666705</v>
      </c>
      <c r="AJ933" s="382">
        <v>0.67291666666666705</v>
      </c>
      <c r="AK933" s="371" t="s">
        <v>2271</v>
      </c>
      <c r="AL933" s="206" t="s">
        <v>137</v>
      </c>
      <c r="AM933" s="206" t="s">
        <v>137</v>
      </c>
      <c r="AN933" s="371" t="s">
        <v>2271</v>
      </c>
      <c r="AO933" s="206" t="s">
        <v>3099</v>
      </c>
      <c r="AP933" s="206" t="s">
        <v>1372</v>
      </c>
      <c r="AQ933" s="206" t="s">
        <v>1133</v>
      </c>
      <c r="AR933" s="207" t="s">
        <v>88</v>
      </c>
    </row>
    <row r="934" spans="1:44" x14ac:dyDescent="0.2">
      <c r="A934" s="370">
        <v>915</v>
      </c>
      <c r="B934" s="380">
        <v>742</v>
      </c>
      <c r="C934" s="371" t="s">
        <v>2275</v>
      </c>
      <c r="D934" s="371" t="s">
        <v>2235</v>
      </c>
      <c r="E934" s="206"/>
      <c r="F934" s="206" t="s">
        <v>46</v>
      </c>
      <c r="G934" s="206" t="s">
        <v>46</v>
      </c>
      <c r="H934" s="371" t="s">
        <v>2271</v>
      </c>
      <c r="I934" s="206"/>
      <c r="J934" s="206" t="s">
        <v>1358</v>
      </c>
      <c r="K934" s="371" t="s">
        <v>2276</v>
      </c>
      <c r="L934" s="206" t="s">
        <v>2198</v>
      </c>
      <c r="M934" s="206" t="s">
        <v>1357</v>
      </c>
      <c r="N934" s="206" t="s">
        <v>78</v>
      </c>
      <c r="O934" s="372">
        <v>46084</v>
      </c>
      <c r="P934" s="372">
        <v>46084</v>
      </c>
      <c r="Q934" s="371" t="s">
        <v>2271</v>
      </c>
      <c r="R934" s="373">
        <v>26480</v>
      </c>
      <c r="S934" s="373">
        <v>26480</v>
      </c>
      <c r="T934" s="371" t="s">
        <v>2271</v>
      </c>
      <c r="U934" s="373">
        <v>11800</v>
      </c>
      <c r="V934" s="373">
        <v>11800</v>
      </c>
      <c r="W934" s="371" t="s">
        <v>2271</v>
      </c>
      <c r="X934" s="373">
        <v>14680</v>
      </c>
      <c r="Y934" s="373">
        <v>14680</v>
      </c>
      <c r="Z934" s="371" t="s">
        <v>2271</v>
      </c>
      <c r="AA934" s="373">
        <v>0</v>
      </c>
      <c r="AB934" s="373">
        <v>14650</v>
      </c>
      <c r="AC934" s="373">
        <v>14650</v>
      </c>
      <c r="AD934" s="371" t="s">
        <v>2271</v>
      </c>
      <c r="AE934" s="373">
        <v>0</v>
      </c>
      <c r="AF934" s="382">
        <v>0.62291666666666701</v>
      </c>
      <c r="AG934" s="382">
        <v>0.62291666666666701</v>
      </c>
      <c r="AH934" s="371" t="s">
        <v>2271</v>
      </c>
      <c r="AI934" s="382">
        <v>0.71458333333333302</v>
      </c>
      <c r="AJ934" s="382">
        <v>0.71458333333333302</v>
      </c>
      <c r="AK934" s="371" t="s">
        <v>2271</v>
      </c>
      <c r="AL934" s="206" t="s">
        <v>42</v>
      </c>
      <c r="AM934" s="206" t="s">
        <v>42</v>
      </c>
      <c r="AN934" s="371" t="s">
        <v>2271</v>
      </c>
      <c r="AO934" s="206" t="s">
        <v>3100</v>
      </c>
      <c r="AP934" s="206" t="s">
        <v>1393</v>
      </c>
      <c r="AQ934" s="206" t="s">
        <v>1132</v>
      </c>
      <c r="AR934" s="207" t="s">
        <v>88</v>
      </c>
    </row>
    <row r="935" spans="1:44" x14ac:dyDescent="0.2">
      <c r="A935" s="370">
        <v>916</v>
      </c>
      <c r="B935" s="380">
        <v>743</v>
      </c>
      <c r="C935" s="371" t="s">
        <v>2275</v>
      </c>
      <c r="D935" s="371" t="s">
        <v>2235</v>
      </c>
      <c r="E935" s="206"/>
      <c r="F935" s="206" t="s">
        <v>70</v>
      </c>
      <c r="G935" s="206" t="s">
        <v>70</v>
      </c>
      <c r="H935" s="371" t="s">
        <v>2271</v>
      </c>
      <c r="I935" s="206"/>
      <c r="J935" s="206" t="s">
        <v>1358</v>
      </c>
      <c r="K935" s="371" t="s">
        <v>2276</v>
      </c>
      <c r="L935" s="206" t="s">
        <v>2198</v>
      </c>
      <c r="M935" s="206" t="s">
        <v>1357</v>
      </c>
      <c r="N935" s="206" t="s">
        <v>78</v>
      </c>
      <c r="O935" s="372">
        <v>46084</v>
      </c>
      <c r="P935" s="372">
        <v>46084</v>
      </c>
      <c r="Q935" s="371" t="s">
        <v>2271</v>
      </c>
      <c r="R935" s="373">
        <v>45750</v>
      </c>
      <c r="S935" s="373">
        <v>45750</v>
      </c>
      <c r="T935" s="371" t="s">
        <v>2271</v>
      </c>
      <c r="U935" s="373">
        <v>17450</v>
      </c>
      <c r="V935" s="373">
        <v>17450</v>
      </c>
      <c r="W935" s="371" t="s">
        <v>2271</v>
      </c>
      <c r="X935" s="373">
        <v>28300</v>
      </c>
      <c r="Y935" s="373">
        <v>28300</v>
      </c>
      <c r="Z935" s="371" t="s">
        <v>2271</v>
      </c>
      <c r="AA935" s="373">
        <v>0</v>
      </c>
      <c r="AB935" s="373">
        <v>28300</v>
      </c>
      <c r="AC935" s="373">
        <v>28300</v>
      </c>
      <c r="AD935" s="371" t="s">
        <v>2271</v>
      </c>
      <c r="AE935" s="373">
        <v>0</v>
      </c>
      <c r="AF935" s="382">
        <v>0.625694444444444</v>
      </c>
      <c r="AG935" s="382">
        <v>0.625694444444444</v>
      </c>
      <c r="AH935" s="371" t="s">
        <v>2271</v>
      </c>
      <c r="AI935" s="382">
        <v>0.71666666666666701</v>
      </c>
      <c r="AJ935" s="382">
        <v>0.71666666666666701</v>
      </c>
      <c r="AK935" s="371" t="s">
        <v>2271</v>
      </c>
      <c r="AL935" s="206" t="s">
        <v>42</v>
      </c>
      <c r="AM935" s="206" t="s">
        <v>42</v>
      </c>
      <c r="AN935" s="371" t="s">
        <v>2271</v>
      </c>
      <c r="AO935" s="206" t="s">
        <v>3101</v>
      </c>
      <c r="AP935" s="206" t="s">
        <v>1499</v>
      </c>
      <c r="AQ935" s="206" t="s">
        <v>1133</v>
      </c>
      <c r="AR935" s="207" t="s">
        <v>88</v>
      </c>
    </row>
    <row r="936" spans="1:44" x14ac:dyDescent="0.2">
      <c r="A936" s="370">
        <v>917</v>
      </c>
      <c r="B936" s="380">
        <v>744</v>
      </c>
      <c r="C936" s="371" t="s">
        <v>2275</v>
      </c>
      <c r="D936" s="371" t="s">
        <v>2235</v>
      </c>
      <c r="E936" s="206"/>
      <c r="F936" s="206" t="s">
        <v>56</v>
      </c>
      <c r="G936" s="206" t="s">
        <v>56</v>
      </c>
      <c r="H936" s="371" t="s">
        <v>2271</v>
      </c>
      <c r="I936" s="206"/>
      <c r="J936" s="206" t="s">
        <v>1358</v>
      </c>
      <c r="K936" s="371" t="s">
        <v>2276</v>
      </c>
      <c r="L936" s="206" t="s">
        <v>2198</v>
      </c>
      <c r="M936" s="206" t="s">
        <v>1357</v>
      </c>
      <c r="N936" s="206" t="s">
        <v>78</v>
      </c>
      <c r="O936" s="372">
        <v>46084</v>
      </c>
      <c r="P936" s="372">
        <v>46084</v>
      </c>
      <c r="Q936" s="371" t="s">
        <v>2271</v>
      </c>
      <c r="R936" s="373">
        <v>25030</v>
      </c>
      <c r="S936" s="373">
        <v>25030</v>
      </c>
      <c r="T936" s="371" t="s">
        <v>2271</v>
      </c>
      <c r="U936" s="373">
        <v>10740</v>
      </c>
      <c r="V936" s="373">
        <v>10740</v>
      </c>
      <c r="W936" s="371" t="s">
        <v>2271</v>
      </c>
      <c r="X936" s="373">
        <v>14290</v>
      </c>
      <c r="Y936" s="373">
        <v>14290</v>
      </c>
      <c r="Z936" s="371" t="s">
        <v>2271</v>
      </c>
      <c r="AA936" s="373">
        <v>0</v>
      </c>
      <c r="AB936" s="373">
        <v>14250</v>
      </c>
      <c r="AC936" s="373">
        <v>14250</v>
      </c>
      <c r="AD936" s="371" t="s">
        <v>2271</v>
      </c>
      <c r="AE936" s="373">
        <v>0</v>
      </c>
      <c r="AF936" s="382">
        <v>0.62708333333333299</v>
      </c>
      <c r="AG936" s="382">
        <v>0.62708333333333299</v>
      </c>
      <c r="AH936" s="371" t="s">
        <v>2271</v>
      </c>
      <c r="AI936" s="382">
        <v>0.71180555555555503</v>
      </c>
      <c r="AJ936" s="382">
        <v>0.71180555555555602</v>
      </c>
      <c r="AK936" s="371" t="s">
        <v>2276</v>
      </c>
      <c r="AL936" s="206" t="s">
        <v>42</v>
      </c>
      <c r="AM936" s="206" t="s">
        <v>42</v>
      </c>
      <c r="AN936" s="371" t="s">
        <v>2271</v>
      </c>
      <c r="AO936" s="206" t="s">
        <v>3102</v>
      </c>
      <c r="AP936" s="206" t="s">
        <v>1781</v>
      </c>
      <c r="AQ936" s="206" t="s">
        <v>1132</v>
      </c>
      <c r="AR936" s="207" t="s">
        <v>88</v>
      </c>
    </row>
    <row r="937" spans="1:44" x14ac:dyDescent="0.2">
      <c r="A937" s="370">
        <v>918</v>
      </c>
      <c r="B937" s="380">
        <v>745</v>
      </c>
      <c r="C937" s="371" t="s">
        <v>2275</v>
      </c>
      <c r="D937" s="371" t="s">
        <v>2235</v>
      </c>
      <c r="E937" s="206"/>
      <c r="F937" s="206" t="s">
        <v>84</v>
      </c>
      <c r="G937" s="206" t="s">
        <v>84</v>
      </c>
      <c r="H937" s="371" t="s">
        <v>2271</v>
      </c>
      <c r="I937" s="206"/>
      <c r="J937" s="206" t="s">
        <v>1358</v>
      </c>
      <c r="K937" s="371" t="s">
        <v>2276</v>
      </c>
      <c r="L937" s="206" t="s">
        <v>2198</v>
      </c>
      <c r="M937" s="206" t="s">
        <v>1357</v>
      </c>
      <c r="N937" s="206" t="s">
        <v>78</v>
      </c>
      <c r="O937" s="372">
        <v>46084</v>
      </c>
      <c r="P937" s="372">
        <v>46084</v>
      </c>
      <c r="Q937" s="371" t="s">
        <v>2271</v>
      </c>
      <c r="R937" s="373">
        <v>26620</v>
      </c>
      <c r="S937" s="373">
        <v>26620</v>
      </c>
      <c r="T937" s="371" t="s">
        <v>2271</v>
      </c>
      <c r="U937" s="373">
        <v>12190</v>
      </c>
      <c r="V937" s="373">
        <v>12190</v>
      </c>
      <c r="W937" s="371" t="s">
        <v>2271</v>
      </c>
      <c r="X937" s="373">
        <v>14430</v>
      </c>
      <c r="Y937" s="373">
        <v>14430</v>
      </c>
      <c r="Z937" s="371" t="s">
        <v>2271</v>
      </c>
      <c r="AA937" s="373">
        <v>0</v>
      </c>
      <c r="AB937" s="373">
        <v>14470</v>
      </c>
      <c r="AC937" s="373">
        <v>14470</v>
      </c>
      <c r="AD937" s="371" t="s">
        <v>2271</v>
      </c>
      <c r="AE937" s="373">
        <v>0</v>
      </c>
      <c r="AF937" s="382">
        <v>0.62847222222222199</v>
      </c>
      <c r="AG937" s="382">
        <v>0.62847222222222199</v>
      </c>
      <c r="AH937" s="371" t="s">
        <v>2271</v>
      </c>
      <c r="AI937" s="382">
        <v>0.71388888888888902</v>
      </c>
      <c r="AJ937" s="382">
        <v>0.71388888888888902</v>
      </c>
      <c r="AK937" s="371" t="s">
        <v>2271</v>
      </c>
      <c r="AL937" s="206" t="s">
        <v>42</v>
      </c>
      <c r="AM937" s="206" t="s">
        <v>42</v>
      </c>
      <c r="AN937" s="371" t="s">
        <v>2271</v>
      </c>
      <c r="AO937" s="206" t="s">
        <v>3103</v>
      </c>
      <c r="AP937" s="206" t="s">
        <v>1397</v>
      </c>
      <c r="AQ937" s="206" t="s">
        <v>1132</v>
      </c>
      <c r="AR937" s="207" t="s">
        <v>88</v>
      </c>
    </row>
    <row r="938" spans="1:44" x14ac:dyDescent="0.2">
      <c r="A938" s="370">
        <v>919</v>
      </c>
      <c r="B938" s="380">
        <v>746</v>
      </c>
      <c r="C938" s="371" t="s">
        <v>2337</v>
      </c>
      <c r="D938" s="371" t="s">
        <v>2235</v>
      </c>
      <c r="E938" s="206"/>
      <c r="F938" s="206" t="s">
        <v>56</v>
      </c>
      <c r="G938" s="206" t="s">
        <v>56</v>
      </c>
      <c r="H938" s="371" t="s">
        <v>2271</v>
      </c>
      <c r="I938" s="206"/>
      <c r="J938" s="206" t="s">
        <v>1358</v>
      </c>
      <c r="K938" s="371" t="s">
        <v>2276</v>
      </c>
      <c r="L938" s="206" t="s">
        <v>2198</v>
      </c>
      <c r="M938" s="206" t="s">
        <v>1357</v>
      </c>
      <c r="N938" s="206" t="s">
        <v>78</v>
      </c>
      <c r="O938" s="372">
        <v>46115</v>
      </c>
      <c r="P938" s="372">
        <v>46085</v>
      </c>
      <c r="Q938" s="371" t="s">
        <v>2276</v>
      </c>
      <c r="R938" s="373">
        <v>24980</v>
      </c>
      <c r="S938" s="373">
        <v>24980</v>
      </c>
      <c r="T938" s="371" t="s">
        <v>2271</v>
      </c>
      <c r="U938" s="373">
        <v>10680</v>
      </c>
      <c r="V938" s="373">
        <v>10680</v>
      </c>
      <c r="W938" s="371" t="s">
        <v>2271</v>
      </c>
      <c r="X938" s="373">
        <v>14300</v>
      </c>
      <c r="Y938" s="373">
        <v>14300</v>
      </c>
      <c r="Z938" s="371" t="s">
        <v>2271</v>
      </c>
      <c r="AA938" s="373">
        <v>0</v>
      </c>
      <c r="AB938" s="373">
        <v>14290</v>
      </c>
      <c r="AC938" s="373">
        <v>14290</v>
      </c>
      <c r="AD938" s="371" t="s">
        <v>2271</v>
      </c>
      <c r="AE938" s="373">
        <v>0</v>
      </c>
      <c r="AF938" s="382">
        <v>0.561805555555556</v>
      </c>
      <c r="AG938" s="382">
        <v>0.561805555555556</v>
      </c>
      <c r="AH938" s="371" t="s">
        <v>2271</v>
      </c>
      <c r="AI938" s="382">
        <v>0.61944444444444402</v>
      </c>
      <c r="AJ938" s="382">
        <v>0.61944444444444502</v>
      </c>
      <c r="AK938" s="371" t="s">
        <v>2276</v>
      </c>
      <c r="AL938" s="206" t="s">
        <v>137</v>
      </c>
      <c r="AM938" s="206" t="s">
        <v>137</v>
      </c>
      <c r="AN938" s="371" t="s">
        <v>2271</v>
      </c>
      <c r="AO938" s="206" t="s">
        <v>3104</v>
      </c>
      <c r="AP938" s="206" t="s">
        <v>1781</v>
      </c>
      <c r="AQ938" s="206" t="s">
        <v>1132</v>
      </c>
      <c r="AR938" s="207" t="s">
        <v>88</v>
      </c>
    </row>
    <row r="939" spans="1:44" x14ac:dyDescent="0.2">
      <c r="A939" s="370">
        <v>920</v>
      </c>
      <c r="B939" s="380">
        <v>747</v>
      </c>
      <c r="C939" s="371" t="s">
        <v>2337</v>
      </c>
      <c r="D939" s="371" t="s">
        <v>2235</v>
      </c>
      <c r="E939" s="206"/>
      <c r="F939" s="206" t="s">
        <v>46</v>
      </c>
      <c r="G939" s="206" t="s">
        <v>46</v>
      </c>
      <c r="H939" s="371" t="s">
        <v>2271</v>
      </c>
      <c r="I939" s="206"/>
      <c r="J939" s="206" t="s">
        <v>1358</v>
      </c>
      <c r="K939" s="371" t="s">
        <v>2276</v>
      </c>
      <c r="L939" s="206" t="s">
        <v>2198</v>
      </c>
      <c r="M939" s="206" t="s">
        <v>1357</v>
      </c>
      <c r="N939" s="206" t="s">
        <v>78</v>
      </c>
      <c r="O939" s="372">
        <v>46115</v>
      </c>
      <c r="P939" s="372">
        <v>46085</v>
      </c>
      <c r="Q939" s="371" t="s">
        <v>2276</v>
      </c>
      <c r="R939" s="373">
        <v>26490</v>
      </c>
      <c r="S939" s="373">
        <v>26490</v>
      </c>
      <c r="T939" s="371" t="s">
        <v>2271</v>
      </c>
      <c r="U939" s="373">
        <v>11920</v>
      </c>
      <c r="V939" s="373">
        <v>11920</v>
      </c>
      <c r="W939" s="371" t="s">
        <v>2271</v>
      </c>
      <c r="X939" s="373">
        <v>14570</v>
      </c>
      <c r="Y939" s="373">
        <v>14570</v>
      </c>
      <c r="Z939" s="371" t="s">
        <v>2271</v>
      </c>
      <c r="AA939" s="373">
        <v>0</v>
      </c>
      <c r="AB939" s="373">
        <v>14570</v>
      </c>
      <c r="AC939" s="373">
        <v>14570</v>
      </c>
      <c r="AD939" s="371" t="s">
        <v>2271</v>
      </c>
      <c r="AE939" s="373">
        <v>0</v>
      </c>
      <c r="AF939" s="382">
        <v>0.57430555555555596</v>
      </c>
      <c r="AG939" s="382">
        <v>0.57430555555555596</v>
      </c>
      <c r="AH939" s="371" t="s">
        <v>2271</v>
      </c>
      <c r="AI939" s="382">
        <v>0.64791666666666703</v>
      </c>
      <c r="AJ939" s="382">
        <v>0.64791666666666703</v>
      </c>
      <c r="AK939" s="371" t="s">
        <v>2271</v>
      </c>
      <c r="AL939" s="206" t="s">
        <v>137</v>
      </c>
      <c r="AM939" s="206" t="s">
        <v>137</v>
      </c>
      <c r="AN939" s="371" t="s">
        <v>2271</v>
      </c>
      <c r="AO939" s="206" t="s">
        <v>3105</v>
      </c>
      <c r="AP939" s="206" t="s">
        <v>1393</v>
      </c>
      <c r="AQ939" s="206" t="s">
        <v>1132</v>
      </c>
      <c r="AR939" s="207" t="s">
        <v>88</v>
      </c>
    </row>
    <row r="940" spans="1:44" x14ac:dyDescent="0.2">
      <c r="A940" s="370">
        <v>921</v>
      </c>
      <c r="B940" s="380">
        <v>748</v>
      </c>
      <c r="C940" s="371" t="s">
        <v>2337</v>
      </c>
      <c r="D940" s="371" t="s">
        <v>2235</v>
      </c>
      <c r="E940" s="206"/>
      <c r="F940" s="206" t="s">
        <v>70</v>
      </c>
      <c r="G940" s="206" t="s">
        <v>70</v>
      </c>
      <c r="H940" s="371" t="s">
        <v>2271</v>
      </c>
      <c r="I940" s="206"/>
      <c r="J940" s="206" t="s">
        <v>1358</v>
      </c>
      <c r="K940" s="371" t="s">
        <v>2276</v>
      </c>
      <c r="L940" s="206" t="s">
        <v>2198</v>
      </c>
      <c r="M940" s="206" t="s">
        <v>1357</v>
      </c>
      <c r="N940" s="206" t="s">
        <v>78</v>
      </c>
      <c r="O940" s="372">
        <v>46115</v>
      </c>
      <c r="P940" s="372">
        <v>46085</v>
      </c>
      <c r="Q940" s="371" t="s">
        <v>2276</v>
      </c>
      <c r="R940" s="373">
        <v>45760</v>
      </c>
      <c r="S940" s="373">
        <v>45760</v>
      </c>
      <c r="T940" s="371" t="s">
        <v>2271</v>
      </c>
      <c r="U940" s="373">
        <v>17430</v>
      </c>
      <c r="V940" s="373">
        <v>17430</v>
      </c>
      <c r="W940" s="371" t="s">
        <v>2271</v>
      </c>
      <c r="X940" s="373">
        <v>28330</v>
      </c>
      <c r="Y940" s="373">
        <v>28330</v>
      </c>
      <c r="Z940" s="371" t="s">
        <v>2271</v>
      </c>
      <c r="AA940" s="373">
        <v>0</v>
      </c>
      <c r="AB940" s="373">
        <v>28390</v>
      </c>
      <c r="AC940" s="373">
        <v>28390</v>
      </c>
      <c r="AD940" s="371" t="s">
        <v>2271</v>
      </c>
      <c r="AE940" s="373">
        <v>0</v>
      </c>
      <c r="AF940" s="382">
        <v>0.57638888888888895</v>
      </c>
      <c r="AG940" s="382">
        <v>0.57638888888888895</v>
      </c>
      <c r="AH940" s="371" t="s">
        <v>2271</v>
      </c>
      <c r="AI940" s="382">
        <v>0.70069444444444395</v>
      </c>
      <c r="AJ940" s="382">
        <v>0.70069444444444395</v>
      </c>
      <c r="AK940" s="371" t="s">
        <v>2271</v>
      </c>
      <c r="AL940" s="206" t="s">
        <v>137</v>
      </c>
      <c r="AM940" s="206" t="s">
        <v>137</v>
      </c>
      <c r="AN940" s="371" t="s">
        <v>2271</v>
      </c>
      <c r="AO940" s="206" t="s">
        <v>3106</v>
      </c>
      <c r="AP940" s="206" t="s">
        <v>1499</v>
      </c>
      <c r="AQ940" s="206" t="s">
        <v>1133</v>
      </c>
      <c r="AR940" s="207" t="s">
        <v>88</v>
      </c>
    </row>
    <row r="941" spans="1:44" x14ac:dyDescent="0.2">
      <c r="A941" s="370">
        <v>922</v>
      </c>
      <c r="B941" s="380">
        <v>749</v>
      </c>
      <c r="C941" s="371" t="s">
        <v>2337</v>
      </c>
      <c r="D941" s="371" t="s">
        <v>2235</v>
      </c>
      <c r="E941" s="206"/>
      <c r="F941" s="206" t="s">
        <v>76</v>
      </c>
      <c r="G941" s="206" t="s">
        <v>76</v>
      </c>
      <c r="H941" s="371" t="s">
        <v>2271</v>
      </c>
      <c r="I941" s="206"/>
      <c r="J941" s="206" t="s">
        <v>1358</v>
      </c>
      <c r="K941" s="371" t="s">
        <v>2276</v>
      </c>
      <c r="L941" s="206" t="s">
        <v>2198</v>
      </c>
      <c r="M941" s="206" t="s">
        <v>1357</v>
      </c>
      <c r="N941" s="206" t="s">
        <v>78</v>
      </c>
      <c r="O941" s="372">
        <v>46115</v>
      </c>
      <c r="P941" s="372">
        <v>46085</v>
      </c>
      <c r="Q941" s="371" t="s">
        <v>2276</v>
      </c>
      <c r="R941" s="373">
        <v>45910</v>
      </c>
      <c r="S941" s="373">
        <v>45910</v>
      </c>
      <c r="T941" s="371" t="s">
        <v>2271</v>
      </c>
      <c r="U941" s="373">
        <v>17610</v>
      </c>
      <c r="V941" s="373">
        <v>17610</v>
      </c>
      <c r="W941" s="371" t="s">
        <v>2271</v>
      </c>
      <c r="X941" s="373">
        <v>28300</v>
      </c>
      <c r="Y941" s="373">
        <v>28300</v>
      </c>
      <c r="Z941" s="371" t="s">
        <v>2271</v>
      </c>
      <c r="AA941" s="373">
        <v>0</v>
      </c>
      <c r="AB941" s="373">
        <v>28290</v>
      </c>
      <c r="AC941" s="373">
        <v>28290</v>
      </c>
      <c r="AD941" s="371" t="s">
        <v>2271</v>
      </c>
      <c r="AE941" s="373">
        <v>0</v>
      </c>
      <c r="AF941" s="382">
        <v>0.57708333333333295</v>
      </c>
      <c r="AG941" s="382">
        <v>0.57708333333333295</v>
      </c>
      <c r="AH941" s="371" t="s">
        <v>2271</v>
      </c>
      <c r="AI941" s="382">
        <v>0.64652777777777803</v>
      </c>
      <c r="AJ941" s="382">
        <v>0.64652777777777803</v>
      </c>
      <c r="AK941" s="371" t="s">
        <v>2271</v>
      </c>
      <c r="AL941" s="206" t="s">
        <v>137</v>
      </c>
      <c r="AM941" s="206" t="s">
        <v>137</v>
      </c>
      <c r="AN941" s="371" t="s">
        <v>2271</v>
      </c>
      <c r="AO941" s="206" t="s">
        <v>3107</v>
      </c>
      <c r="AP941" s="206" t="s">
        <v>1372</v>
      </c>
      <c r="AQ941" s="206" t="s">
        <v>1133</v>
      </c>
      <c r="AR941" s="207" t="s">
        <v>88</v>
      </c>
    </row>
    <row r="942" spans="1:44" x14ac:dyDescent="0.2">
      <c r="A942" s="370">
        <v>923</v>
      </c>
      <c r="B942" s="380">
        <v>750</v>
      </c>
      <c r="C942" s="371" t="s">
        <v>2337</v>
      </c>
      <c r="D942" s="371" t="s">
        <v>2235</v>
      </c>
      <c r="E942" s="206"/>
      <c r="F942" s="206" t="s">
        <v>84</v>
      </c>
      <c r="G942" s="206" t="s">
        <v>84</v>
      </c>
      <c r="H942" s="371" t="s">
        <v>2271</v>
      </c>
      <c r="I942" s="206"/>
      <c r="J942" s="206" t="s">
        <v>1358</v>
      </c>
      <c r="K942" s="371" t="s">
        <v>2276</v>
      </c>
      <c r="L942" s="206" t="s">
        <v>2198</v>
      </c>
      <c r="M942" s="206" t="s">
        <v>1357</v>
      </c>
      <c r="N942" s="206" t="s">
        <v>78</v>
      </c>
      <c r="O942" s="372">
        <v>46115</v>
      </c>
      <c r="P942" s="372">
        <v>46085</v>
      </c>
      <c r="Q942" s="371" t="s">
        <v>2276</v>
      </c>
      <c r="R942" s="373">
        <v>26680</v>
      </c>
      <c r="S942" s="373">
        <v>26680</v>
      </c>
      <c r="T942" s="371" t="s">
        <v>2271</v>
      </c>
      <c r="U942" s="373">
        <v>12260</v>
      </c>
      <c r="V942" s="373">
        <v>12260</v>
      </c>
      <c r="W942" s="371" t="s">
        <v>2271</v>
      </c>
      <c r="X942" s="373">
        <v>14420</v>
      </c>
      <c r="Y942" s="373">
        <v>14420</v>
      </c>
      <c r="Z942" s="371" t="s">
        <v>2271</v>
      </c>
      <c r="AA942" s="373">
        <v>0</v>
      </c>
      <c r="AB942" s="373">
        <v>14440</v>
      </c>
      <c r="AC942" s="373">
        <v>14440</v>
      </c>
      <c r="AD942" s="371" t="s">
        <v>2271</v>
      </c>
      <c r="AE942" s="373">
        <v>0</v>
      </c>
      <c r="AF942" s="382">
        <v>0.57847222222222205</v>
      </c>
      <c r="AG942" s="382">
        <v>0.57847222222222205</v>
      </c>
      <c r="AH942" s="371" t="s">
        <v>2271</v>
      </c>
      <c r="AI942" s="382">
        <v>0.65277777777777801</v>
      </c>
      <c r="AJ942" s="382">
        <v>0.65277777777777801</v>
      </c>
      <c r="AK942" s="371" t="s">
        <v>2271</v>
      </c>
      <c r="AL942" s="206" t="s">
        <v>137</v>
      </c>
      <c r="AM942" s="206" t="s">
        <v>137</v>
      </c>
      <c r="AN942" s="371" t="s">
        <v>2271</v>
      </c>
      <c r="AO942" s="206" t="s">
        <v>3108</v>
      </c>
      <c r="AP942" s="206" t="s">
        <v>1397</v>
      </c>
      <c r="AQ942" s="206" t="s">
        <v>1132</v>
      </c>
      <c r="AR942" s="207" t="s">
        <v>88</v>
      </c>
    </row>
    <row r="943" spans="1:44" x14ac:dyDescent="0.2">
      <c r="A943" s="370">
        <v>924</v>
      </c>
      <c r="B943" s="380">
        <v>752</v>
      </c>
      <c r="C943" s="371" t="s">
        <v>2337</v>
      </c>
      <c r="D943" s="371" t="s">
        <v>2235</v>
      </c>
      <c r="E943" s="206"/>
      <c r="F943" s="206" t="s">
        <v>56</v>
      </c>
      <c r="G943" s="206" t="s">
        <v>56</v>
      </c>
      <c r="H943" s="371" t="s">
        <v>2271</v>
      </c>
      <c r="I943" s="206"/>
      <c r="J943" s="206" t="s">
        <v>1358</v>
      </c>
      <c r="K943" s="371" t="s">
        <v>2276</v>
      </c>
      <c r="L943" s="206" t="s">
        <v>2198</v>
      </c>
      <c r="M943" s="206" t="s">
        <v>1357</v>
      </c>
      <c r="N943" s="206" t="s">
        <v>78</v>
      </c>
      <c r="O943" s="372">
        <v>46146</v>
      </c>
      <c r="P943" s="372">
        <v>46086</v>
      </c>
      <c r="Q943" s="371" t="s">
        <v>2276</v>
      </c>
      <c r="R943" s="373">
        <v>25070</v>
      </c>
      <c r="S943" s="373">
        <v>25070</v>
      </c>
      <c r="T943" s="371" t="s">
        <v>2271</v>
      </c>
      <c r="U943" s="373">
        <v>10750</v>
      </c>
      <c r="V943" s="373">
        <v>10750</v>
      </c>
      <c r="W943" s="371" t="s">
        <v>2271</v>
      </c>
      <c r="X943" s="373">
        <v>14320</v>
      </c>
      <c r="Y943" s="373">
        <v>14320</v>
      </c>
      <c r="Z943" s="371" t="s">
        <v>2271</v>
      </c>
      <c r="AA943" s="373">
        <v>0</v>
      </c>
      <c r="AB943" s="373">
        <v>14320</v>
      </c>
      <c r="AC943" s="373">
        <v>14320</v>
      </c>
      <c r="AD943" s="371" t="s">
        <v>2271</v>
      </c>
      <c r="AE943" s="373">
        <v>0</v>
      </c>
      <c r="AF943" s="382">
        <v>0.53333333333333299</v>
      </c>
      <c r="AG943" s="382">
        <v>0.53333333333333299</v>
      </c>
      <c r="AH943" s="371" t="s">
        <v>2271</v>
      </c>
      <c r="AI943" s="382">
        <v>0.59236111111111101</v>
      </c>
      <c r="AJ943" s="382">
        <v>0.59236111111111101</v>
      </c>
      <c r="AK943" s="371" t="s">
        <v>2271</v>
      </c>
      <c r="AL943" s="206" t="s">
        <v>137</v>
      </c>
      <c r="AM943" s="206" t="s">
        <v>137</v>
      </c>
      <c r="AN943" s="371" t="s">
        <v>2271</v>
      </c>
      <c r="AO943" s="206" t="s">
        <v>3109</v>
      </c>
      <c r="AP943" s="206" t="s">
        <v>1781</v>
      </c>
      <c r="AQ943" s="206" t="s">
        <v>1132</v>
      </c>
      <c r="AR943" s="207" t="s">
        <v>88</v>
      </c>
    </row>
    <row r="944" spans="1:44" x14ac:dyDescent="0.2">
      <c r="A944" s="370">
        <v>925</v>
      </c>
      <c r="B944" s="380">
        <v>753</v>
      </c>
      <c r="C944" s="371" t="s">
        <v>2337</v>
      </c>
      <c r="D944" s="371" t="s">
        <v>2235</v>
      </c>
      <c r="E944" s="206"/>
      <c r="F944" s="206" t="s">
        <v>46</v>
      </c>
      <c r="G944" s="206" t="s">
        <v>46</v>
      </c>
      <c r="H944" s="371" t="s">
        <v>2271</v>
      </c>
      <c r="I944" s="206"/>
      <c r="J944" s="206" t="s">
        <v>1358</v>
      </c>
      <c r="K944" s="371" t="s">
        <v>2276</v>
      </c>
      <c r="L944" s="206" t="s">
        <v>2198</v>
      </c>
      <c r="M944" s="206" t="s">
        <v>1357</v>
      </c>
      <c r="N944" s="206" t="s">
        <v>78</v>
      </c>
      <c r="O944" s="372">
        <v>46146</v>
      </c>
      <c r="P944" s="372">
        <v>46086</v>
      </c>
      <c r="Q944" s="371" t="s">
        <v>2276</v>
      </c>
      <c r="R944" s="373">
        <v>26640</v>
      </c>
      <c r="S944" s="373">
        <v>26640</v>
      </c>
      <c r="T944" s="371" t="s">
        <v>2271</v>
      </c>
      <c r="U944" s="373">
        <v>11870</v>
      </c>
      <c r="V944" s="373">
        <v>11870</v>
      </c>
      <c r="W944" s="371" t="s">
        <v>2271</v>
      </c>
      <c r="X944" s="373">
        <v>14770</v>
      </c>
      <c r="Y944" s="373">
        <v>14770</v>
      </c>
      <c r="Z944" s="371" t="s">
        <v>2271</v>
      </c>
      <c r="AA944" s="373">
        <v>0</v>
      </c>
      <c r="AB944" s="373">
        <v>14770</v>
      </c>
      <c r="AC944" s="373">
        <v>14770</v>
      </c>
      <c r="AD944" s="371" t="s">
        <v>2271</v>
      </c>
      <c r="AE944" s="373">
        <v>0</v>
      </c>
      <c r="AF944" s="382">
        <v>0.53472222222222199</v>
      </c>
      <c r="AG944" s="382">
        <v>0.53472222222222199</v>
      </c>
      <c r="AH944" s="371" t="s">
        <v>2271</v>
      </c>
      <c r="AI944" s="382">
        <v>0.60763888888888895</v>
      </c>
      <c r="AJ944" s="382">
        <v>0.60763888888888895</v>
      </c>
      <c r="AK944" s="371" t="s">
        <v>2271</v>
      </c>
      <c r="AL944" s="206" t="s">
        <v>137</v>
      </c>
      <c r="AM944" s="206" t="s">
        <v>137</v>
      </c>
      <c r="AN944" s="371" t="s">
        <v>2271</v>
      </c>
      <c r="AO944" s="206" t="s">
        <v>3110</v>
      </c>
      <c r="AP944" s="206" t="s">
        <v>1393</v>
      </c>
      <c r="AQ944" s="206" t="s">
        <v>1132</v>
      </c>
      <c r="AR944" s="207" t="s">
        <v>88</v>
      </c>
    </row>
    <row r="945" spans="1:44" x14ac:dyDescent="0.2">
      <c r="A945" s="370">
        <v>926</v>
      </c>
      <c r="B945" s="380">
        <v>754</v>
      </c>
      <c r="C945" s="371" t="s">
        <v>2337</v>
      </c>
      <c r="D945" s="371" t="s">
        <v>2235</v>
      </c>
      <c r="E945" s="206"/>
      <c r="F945" s="206" t="s">
        <v>84</v>
      </c>
      <c r="G945" s="206" t="s">
        <v>84</v>
      </c>
      <c r="H945" s="371" t="s">
        <v>2271</v>
      </c>
      <c r="I945" s="206"/>
      <c r="J945" s="206" t="s">
        <v>1358</v>
      </c>
      <c r="K945" s="371" t="s">
        <v>2276</v>
      </c>
      <c r="L945" s="206" t="s">
        <v>2198</v>
      </c>
      <c r="M945" s="206" t="s">
        <v>1357</v>
      </c>
      <c r="N945" s="206" t="s">
        <v>78</v>
      </c>
      <c r="O945" s="372">
        <v>46146</v>
      </c>
      <c r="P945" s="372">
        <v>46086</v>
      </c>
      <c r="Q945" s="371" t="s">
        <v>2276</v>
      </c>
      <c r="R945" s="373">
        <v>26610</v>
      </c>
      <c r="S945" s="373">
        <v>26610</v>
      </c>
      <c r="T945" s="371" t="s">
        <v>2271</v>
      </c>
      <c r="U945" s="373">
        <v>12140</v>
      </c>
      <c r="V945" s="373">
        <v>12140</v>
      </c>
      <c r="W945" s="371" t="s">
        <v>2271</v>
      </c>
      <c r="X945" s="373">
        <v>14470</v>
      </c>
      <c r="Y945" s="373">
        <v>14470</v>
      </c>
      <c r="Z945" s="371" t="s">
        <v>2271</v>
      </c>
      <c r="AA945" s="373">
        <v>0</v>
      </c>
      <c r="AB945" s="373">
        <v>14510</v>
      </c>
      <c r="AC945" s="373">
        <v>14510</v>
      </c>
      <c r="AD945" s="371" t="s">
        <v>2271</v>
      </c>
      <c r="AE945" s="373">
        <v>0</v>
      </c>
      <c r="AF945" s="382">
        <v>0.58611111111111103</v>
      </c>
      <c r="AG945" s="382">
        <v>0.58611111111111103</v>
      </c>
      <c r="AH945" s="371" t="s">
        <v>2271</v>
      </c>
      <c r="AI945" s="382">
        <v>0.63124999999999998</v>
      </c>
      <c r="AJ945" s="382">
        <v>0.63124999999999998</v>
      </c>
      <c r="AK945" s="371" t="s">
        <v>2271</v>
      </c>
      <c r="AL945" s="206" t="s">
        <v>137</v>
      </c>
      <c r="AM945" s="206" t="s">
        <v>137</v>
      </c>
      <c r="AN945" s="371" t="s">
        <v>2271</v>
      </c>
      <c r="AO945" s="206" t="s">
        <v>3111</v>
      </c>
      <c r="AP945" s="206" t="s">
        <v>1397</v>
      </c>
      <c r="AQ945" s="206" t="s">
        <v>1132</v>
      </c>
      <c r="AR945" s="207" t="s">
        <v>88</v>
      </c>
    </row>
    <row r="946" spans="1:44" x14ac:dyDescent="0.2">
      <c r="A946" s="370">
        <v>927</v>
      </c>
      <c r="B946" s="380">
        <v>755</v>
      </c>
      <c r="C946" s="371" t="s">
        <v>2337</v>
      </c>
      <c r="D946" s="371" t="s">
        <v>2235</v>
      </c>
      <c r="E946" s="206"/>
      <c r="F946" s="206" t="s">
        <v>76</v>
      </c>
      <c r="G946" s="206" t="s">
        <v>76</v>
      </c>
      <c r="H946" s="371" t="s">
        <v>2271</v>
      </c>
      <c r="I946" s="206"/>
      <c r="J946" s="206" t="s">
        <v>1358</v>
      </c>
      <c r="K946" s="371" t="s">
        <v>2276</v>
      </c>
      <c r="L946" s="206" t="s">
        <v>2198</v>
      </c>
      <c r="M946" s="206" t="s">
        <v>1357</v>
      </c>
      <c r="N946" s="206" t="s">
        <v>78</v>
      </c>
      <c r="O946" s="372">
        <v>46146</v>
      </c>
      <c r="P946" s="372">
        <v>46086</v>
      </c>
      <c r="Q946" s="371" t="s">
        <v>2276</v>
      </c>
      <c r="R946" s="373">
        <v>45800</v>
      </c>
      <c r="S946" s="373">
        <v>45800</v>
      </c>
      <c r="T946" s="371" t="s">
        <v>2271</v>
      </c>
      <c r="U946" s="373">
        <v>17490</v>
      </c>
      <c r="V946" s="373">
        <v>17490</v>
      </c>
      <c r="W946" s="371" t="s">
        <v>2271</v>
      </c>
      <c r="X946" s="373">
        <v>28310</v>
      </c>
      <c r="Y946" s="373">
        <v>28310</v>
      </c>
      <c r="Z946" s="371" t="s">
        <v>2271</v>
      </c>
      <c r="AA946" s="373">
        <v>0</v>
      </c>
      <c r="AB946" s="373">
        <v>28370</v>
      </c>
      <c r="AC946" s="373">
        <v>28370</v>
      </c>
      <c r="AD946" s="371" t="s">
        <v>2271</v>
      </c>
      <c r="AE946" s="373">
        <v>0</v>
      </c>
      <c r="AF946" s="382">
        <v>0.58680555555555602</v>
      </c>
      <c r="AG946" s="382">
        <v>0.58680555555555602</v>
      </c>
      <c r="AH946" s="371" t="s">
        <v>2271</v>
      </c>
      <c r="AI946" s="382">
        <v>0.63958333333333295</v>
      </c>
      <c r="AJ946" s="382">
        <v>0.63958333333333295</v>
      </c>
      <c r="AK946" s="371" t="s">
        <v>2271</v>
      </c>
      <c r="AL946" s="206" t="s">
        <v>137</v>
      </c>
      <c r="AM946" s="206" t="s">
        <v>137</v>
      </c>
      <c r="AN946" s="371" t="s">
        <v>2271</v>
      </c>
      <c r="AO946" s="206" t="s">
        <v>3112</v>
      </c>
      <c r="AP946" s="206" t="s">
        <v>1372</v>
      </c>
      <c r="AQ946" s="206" t="s">
        <v>1133</v>
      </c>
      <c r="AR946" s="207" t="s">
        <v>88</v>
      </c>
    </row>
    <row r="947" spans="1:44" x14ac:dyDescent="0.2">
      <c r="A947" s="370">
        <v>928</v>
      </c>
      <c r="B947" s="380">
        <v>756</v>
      </c>
      <c r="C947" s="371" t="s">
        <v>2337</v>
      </c>
      <c r="D947" s="371" t="s">
        <v>2235</v>
      </c>
      <c r="E947" s="206"/>
      <c r="F947" s="206" t="s">
        <v>70</v>
      </c>
      <c r="G947" s="206" t="s">
        <v>70</v>
      </c>
      <c r="H947" s="371" t="s">
        <v>2271</v>
      </c>
      <c r="I947" s="206"/>
      <c r="J947" s="206" t="s">
        <v>1358</v>
      </c>
      <c r="K947" s="371" t="s">
        <v>2276</v>
      </c>
      <c r="L947" s="206" t="s">
        <v>2198</v>
      </c>
      <c r="M947" s="206" t="s">
        <v>1357</v>
      </c>
      <c r="N947" s="206" t="s">
        <v>78</v>
      </c>
      <c r="O947" s="372">
        <v>46146</v>
      </c>
      <c r="P947" s="372">
        <v>46086</v>
      </c>
      <c r="Q947" s="371" t="s">
        <v>2276</v>
      </c>
      <c r="R947" s="373">
        <v>45820</v>
      </c>
      <c r="S947" s="373">
        <v>45820</v>
      </c>
      <c r="T947" s="371" t="s">
        <v>2271</v>
      </c>
      <c r="U947" s="373">
        <v>17550</v>
      </c>
      <c r="V947" s="373">
        <v>17550</v>
      </c>
      <c r="W947" s="371" t="s">
        <v>2271</v>
      </c>
      <c r="X947" s="373">
        <v>28270</v>
      </c>
      <c r="Y947" s="373">
        <v>28270</v>
      </c>
      <c r="Z947" s="371" t="s">
        <v>2271</v>
      </c>
      <c r="AA947" s="373">
        <v>0</v>
      </c>
      <c r="AB947" s="373">
        <v>28270</v>
      </c>
      <c r="AC947" s="373">
        <v>28270</v>
      </c>
      <c r="AD947" s="371" t="s">
        <v>2271</v>
      </c>
      <c r="AE947" s="373">
        <v>0</v>
      </c>
      <c r="AF947" s="382">
        <v>0.61527777777777803</v>
      </c>
      <c r="AG947" s="382">
        <v>0.61527777777777803</v>
      </c>
      <c r="AH947" s="371" t="s">
        <v>2271</v>
      </c>
      <c r="AI947" s="382">
        <v>0.67430555555555605</v>
      </c>
      <c r="AJ947" s="382">
        <v>0.67430555555555605</v>
      </c>
      <c r="AK947" s="371" t="s">
        <v>2271</v>
      </c>
      <c r="AL947" s="206" t="s">
        <v>137</v>
      </c>
      <c r="AM947" s="206" t="s">
        <v>137</v>
      </c>
      <c r="AN947" s="371" t="s">
        <v>2271</v>
      </c>
      <c r="AO947" s="206" t="s">
        <v>3113</v>
      </c>
      <c r="AP947" s="206" t="s">
        <v>1499</v>
      </c>
      <c r="AQ947" s="206" t="s">
        <v>1133</v>
      </c>
      <c r="AR947" s="207" t="s">
        <v>88</v>
      </c>
    </row>
    <row r="948" spans="1:44" x14ac:dyDescent="0.2">
      <c r="A948" s="370">
        <v>929</v>
      </c>
      <c r="B948" s="380">
        <v>759</v>
      </c>
      <c r="C948" s="371" t="s">
        <v>2337</v>
      </c>
      <c r="D948" s="371" t="s">
        <v>2235</v>
      </c>
      <c r="E948" s="206"/>
      <c r="F948" s="206" t="s">
        <v>56</v>
      </c>
      <c r="G948" s="206" t="s">
        <v>56</v>
      </c>
      <c r="H948" s="371" t="s">
        <v>2271</v>
      </c>
      <c r="I948" s="206"/>
      <c r="J948" s="206" t="s">
        <v>1358</v>
      </c>
      <c r="K948" s="371" t="s">
        <v>2276</v>
      </c>
      <c r="L948" s="206" t="s">
        <v>2198</v>
      </c>
      <c r="M948" s="206" t="s">
        <v>1357</v>
      </c>
      <c r="N948" s="206" t="s">
        <v>78</v>
      </c>
      <c r="O948" s="372">
        <v>46177</v>
      </c>
      <c r="P948" s="372">
        <v>46087</v>
      </c>
      <c r="Q948" s="371" t="s">
        <v>2276</v>
      </c>
      <c r="R948" s="373">
        <v>25020</v>
      </c>
      <c r="S948" s="373">
        <v>25020</v>
      </c>
      <c r="T948" s="371" t="s">
        <v>2271</v>
      </c>
      <c r="U948" s="373">
        <v>10700</v>
      </c>
      <c r="V948" s="373">
        <v>10700</v>
      </c>
      <c r="W948" s="371" t="s">
        <v>2271</v>
      </c>
      <c r="X948" s="373">
        <v>14320</v>
      </c>
      <c r="Y948" s="373">
        <v>14320</v>
      </c>
      <c r="Z948" s="371" t="s">
        <v>2271</v>
      </c>
      <c r="AA948" s="373">
        <v>0</v>
      </c>
      <c r="AB948" s="373">
        <v>14320</v>
      </c>
      <c r="AC948" s="373">
        <v>14320</v>
      </c>
      <c r="AD948" s="371" t="s">
        <v>2271</v>
      </c>
      <c r="AE948" s="373">
        <v>0</v>
      </c>
      <c r="AF948" s="382">
        <v>0.49375000000000002</v>
      </c>
      <c r="AG948" s="382">
        <v>0.49375000000000002</v>
      </c>
      <c r="AH948" s="371" t="s">
        <v>2271</v>
      </c>
      <c r="AI948" s="382">
        <v>0.61180555555555605</v>
      </c>
      <c r="AJ948" s="382">
        <v>0.61180555555555605</v>
      </c>
      <c r="AK948" s="371" t="s">
        <v>2271</v>
      </c>
      <c r="AL948" s="206" t="s">
        <v>137</v>
      </c>
      <c r="AM948" s="206" t="s">
        <v>137</v>
      </c>
      <c r="AN948" s="371" t="s">
        <v>2271</v>
      </c>
      <c r="AO948" s="206" t="s">
        <v>3114</v>
      </c>
      <c r="AP948" s="206" t="s">
        <v>1781</v>
      </c>
      <c r="AQ948" s="206" t="s">
        <v>1132</v>
      </c>
      <c r="AR948" s="207" t="s">
        <v>88</v>
      </c>
    </row>
    <row r="949" spans="1:44" x14ac:dyDescent="0.2">
      <c r="A949" s="370">
        <v>930</v>
      </c>
      <c r="B949" s="380">
        <v>760</v>
      </c>
      <c r="C949" s="371" t="s">
        <v>2337</v>
      </c>
      <c r="D949" s="371" t="s">
        <v>2235</v>
      </c>
      <c r="E949" s="206"/>
      <c r="F949" s="206" t="s">
        <v>76</v>
      </c>
      <c r="G949" s="206" t="s">
        <v>76</v>
      </c>
      <c r="H949" s="371" t="s">
        <v>2271</v>
      </c>
      <c r="I949" s="206"/>
      <c r="J949" s="206" t="s">
        <v>1358</v>
      </c>
      <c r="K949" s="371" t="s">
        <v>2276</v>
      </c>
      <c r="L949" s="206" t="s">
        <v>2198</v>
      </c>
      <c r="M949" s="206" t="s">
        <v>1357</v>
      </c>
      <c r="N949" s="206" t="s">
        <v>78</v>
      </c>
      <c r="O949" s="372">
        <v>46177</v>
      </c>
      <c r="P949" s="372">
        <v>46087</v>
      </c>
      <c r="Q949" s="371" t="s">
        <v>2276</v>
      </c>
      <c r="R949" s="373">
        <v>45730</v>
      </c>
      <c r="S949" s="373">
        <v>45730</v>
      </c>
      <c r="T949" s="371" t="s">
        <v>2271</v>
      </c>
      <c r="U949" s="373">
        <v>17420</v>
      </c>
      <c r="V949" s="373">
        <v>17420</v>
      </c>
      <c r="W949" s="371" t="s">
        <v>2271</v>
      </c>
      <c r="X949" s="373">
        <v>28310</v>
      </c>
      <c r="Y949" s="373">
        <v>28310</v>
      </c>
      <c r="Z949" s="371" t="s">
        <v>2271</v>
      </c>
      <c r="AA949" s="373">
        <v>0</v>
      </c>
      <c r="AB949" s="373">
        <v>28290</v>
      </c>
      <c r="AC949" s="373">
        <v>28290</v>
      </c>
      <c r="AD949" s="371" t="s">
        <v>2271</v>
      </c>
      <c r="AE949" s="373">
        <v>0</v>
      </c>
      <c r="AF949" s="382">
        <v>0.54374999999999996</v>
      </c>
      <c r="AG949" s="382">
        <v>0.54374999999999996</v>
      </c>
      <c r="AH949" s="371" t="s">
        <v>2271</v>
      </c>
      <c r="AI949" s="382">
        <v>0.62291666666666701</v>
      </c>
      <c r="AJ949" s="382">
        <v>0.62291666666666701</v>
      </c>
      <c r="AK949" s="371" t="s">
        <v>2271</v>
      </c>
      <c r="AL949" s="206" t="s">
        <v>137</v>
      </c>
      <c r="AM949" s="206" t="s">
        <v>137</v>
      </c>
      <c r="AN949" s="371" t="s">
        <v>2271</v>
      </c>
      <c r="AO949" s="206" t="s">
        <v>3115</v>
      </c>
      <c r="AP949" s="206" t="s">
        <v>1372</v>
      </c>
      <c r="AQ949" s="206" t="s">
        <v>1133</v>
      </c>
      <c r="AR949" s="207" t="s">
        <v>88</v>
      </c>
    </row>
    <row r="950" spans="1:44" x14ac:dyDescent="0.2">
      <c r="A950" s="370">
        <v>931</v>
      </c>
      <c r="B950" s="380">
        <v>761</v>
      </c>
      <c r="C950" s="371" t="s">
        <v>2337</v>
      </c>
      <c r="D950" s="371" t="s">
        <v>2235</v>
      </c>
      <c r="E950" s="206"/>
      <c r="F950" s="206" t="s">
        <v>84</v>
      </c>
      <c r="G950" s="206" t="s">
        <v>84</v>
      </c>
      <c r="H950" s="371" t="s">
        <v>2271</v>
      </c>
      <c r="I950" s="206"/>
      <c r="J950" s="206" t="s">
        <v>1358</v>
      </c>
      <c r="K950" s="371" t="s">
        <v>2276</v>
      </c>
      <c r="L950" s="206" t="s">
        <v>2198</v>
      </c>
      <c r="M950" s="206" t="s">
        <v>1357</v>
      </c>
      <c r="N950" s="206" t="s">
        <v>78</v>
      </c>
      <c r="O950" s="372">
        <v>46177</v>
      </c>
      <c r="P950" s="372">
        <v>46087</v>
      </c>
      <c r="Q950" s="371" t="s">
        <v>2276</v>
      </c>
      <c r="R950" s="373">
        <v>26760</v>
      </c>
      <c r="S950" s="373">
        <v>26760</v>
      </c>
      <c r="T950" s="371" t="s">
        <v>2271</v>
      </c>
      <c r="U950" s="373">
        <v>12250</v>
      </c>
      <c r="V950" s="373">
        <v>12250</v>
      </c>
      <c r="W950" s="371" t="s">
        <v>2271</v>
      </c>
      <c r="X950" s="373">
        <v>14510</v>
      </c>
      <c r="Y950" s="373">
        <v>14510</v>
      </c>
      <c r="Z950" s="371" t="s">
        <v>2271</v>
      </c>
      <c r="AA950" s="373">
        <v>0</v>
      </c>
      <c r="AB950" s="373">
        <v>14530</v>
      </c>
      <c r="AC950" s="373">
        <v>14530</v>
      </c>
      <c r="AD950" s="371" t="s">
        <v>2271</v>
      </c>
      <c r="AE950" s="373">
        <v>0</v>
      </c>
      <c r="AF950" s="382">
        <v>0.56666666666666698</v>
      </c>
      <c r="AG950" s="382">
        <v>0.56666666666666698</v>
      </c>
      <c r="AH950" s="371" t="s">
        <v>2271</v>
      </c>
      <c r="AI950" s="382">
        <v>0.61736111111111103</v>
      </c>
      <c r="AJ950" s="382">
        <v>0.61736111111111103</v>
      </c>
      <c r="AK950" s="371" t="s">
        <v>2271</v>
      </c>
      <c r="AL950" s="206" t="s">
        <v>137</v>
      </c>
      <c r="AM950" s="206" t="s">
        <v>137</v>
      </c>
      <c r="AN950" s="371" t="s">
        <v>2271</v>
      </c>
      <c r="AO950" s="206" t="s">
        <v>3116</v>
      </c>
      <c r="AP950" s="206" t="s">
        <v>1397</v>
      </c>
      <c r="AQ950" s="206" t="s">
        <v>1132</v>
      </c>
      <c r="AR950" s="207" t="s">
        <v>88</v>
      </c>
    </row>
    <row r="951" spans="1:44" x14ac:dyDescent="0.2">
      <c r="A951" s="370">
        <v>932</v>
      </c>
      <c r="B951" s="380">
        <v>762</v>
      </c>
      <c r="C951" s="371" t="s">
        <v>2337</v>
      </c>
      <c r="D951" s="371" t="s">
        <v>2235</v>
      </c>
      <c r="E951" s="206"/>
      <c r="F951" s="206" t="s">
        <v>70</v>
      </c>
      <c r="G951" s="206" t="s">
        <v>70</v>
      </c>
      <c r="H951" s="371" t="s">
        <v>2271</v>
      </c>
      <c r="I951" s="206"/>
      <c r="J951" s="206" t="s">
        <v>1358</v>
      </c>
      <c r="K951" s="371" t="s">
        <v>2276</v>
      </c>
      <c r="L951" s="206" t="s">
        <v>2198</v>
      </c>
      <c r="M951" s="206" t="s">
        <v>1357</v>
      </c>
      <c r="N951" s="206" t="s">
        <v>78</v>
      </c>
      <c r="O951" s="372">
        <v>46177</v>
      </c>
      <c r="P951" s="372">
        <v>46087</v>
      </c>
      <c r="Q951" s="371" t="s">
        <v>2276</v>
      </c>
      <c r="R951" s="373">
        <v>45780</v>
      </c>
      <c r="S951" s="373">
        <v>45780</v>
      </c>
      <c r="T951" s="371" t="s">
        <v>2271</v>
      </c>
      <c r="U951" s="373">
        <v>17470</v>
      </c>
      <c r="V951" s="373">
        <v>17470</v>
      </c>
      <c r="W951" s="371" t="s">
        <v>2271</v>
      </c>
      <c r="X951" s="373">
        <v>28310</v>
      </c>
      <c r="Y951" s="373">
        <v>28310</v>
      </c>
      <c r="Z951" s="371" t="s">
        <v>2271</v>
      </c>
      <c r="AA951" s="373">
        <v>0</v>
      </c>
      <c r="AB951" s="373">
        <v>28300</v>
      </c>
      <c r="AC951" s="373">
        <v>28300</v>
      </c>
      <c r="AD951" s="371" t="s">
        <v>2271</v>
      </c>
      <c r="AE951" s="373">
        <v>0</v>
      </c>
      <c r="AF951" s="382">
        <v>0.57013888888888897</v>
      </c>
      <c r="AG951" s="382">
        <v>0.57013888888888897</v>
      </c>
      <c r="AH951" s="371" t="s">
        <v>2271</v>
      </c>
      <c r="AI951" s="382">
        <v>0.65833333333333299</v>
      </c>
      <c r="AJ951" s="382">
        <v>0.65833333333333299</v>
      </c>
      <c r="AK951" s="371" t="s">
        <v>2271</v>
      </c>
      <c r="AL951" s="206" t="s">
        <v>137</v>
      </c>
      <c r="AM951" s="206" t="s">
        <v>137</v>
      </c>
      <c r="AN951" s="371" t="s">
        <v>2271</v>
      </c>
      <c r="AO951" s="206" t="s">
        <v>3117</v>
      </c>
      <c r="AP951" s="206" t="s">
        <v>1499</v>
      </c>
      <c r="AQ951" s="206" t="s">
        <v>1133</v>
      </c>
      <c r="AR951" s="207" t="s">
        <v>88</v>
      </c>
    </row>
    <row r="952" spans="1:44" x14ac:dyDescent="0.2">
      <c r="A952" s="370">
        <v>933</v>
      </c>
      <c r="B952" s="380">
        <v>769</v>
      </c>
      <c r="C952" s="371" t="s">
        <v>2337</v>
      </c>
      <c r="D952" s="371" t="s">
        <v>2235</v>
      </c>
      <c r="E952" s="206"/>
      <c r="F952" s="206" t="s">
        <v>46</v>
      </c>
      <c r="G952" s="206" t="s">
        <v>46</v>
      </c>
      <c r="H952" s="371" t="s">
        <v>2271</v>
      </c>
      <c r="I952" s="206"/>
      <c r="J952" s="206" t="s">
        <v>1358</v>
      </c>
      <c r="K952" s="371" t="s">
        <v>2276</v>
      </c>
      <c r="L952" s="206" t="s">
        <v>2198</v>
      </c>
      <c r="M952" s="206" t="s">
        <v>1357</v>
      </c>
      <c r="N952" s="206" t="s">
        <v>78</v>
      </c>
      <c r="O952" s="372">
        <v>46177</v>
      </c>
      <c r="P952" s="372">
        <v>46087</v>
      </c>
      <c r="Q952" s="371" t="s">
        <v>2276</v>
      </c>
      <c r="R952" s="373">
        <v>12970</v>
      </c>
      <c r="S952" s="373">
        <v>12970</v>
      </c>
      <c r="T952" s="371" t="s">
        <v>2271</v>
      </c>
      <c r="U952" s="373">
        <v>11890</v>
      </c>
      <c r="V952" s="373">
        <v>11890</v>
      </c>
      <c r="W952" s="371" t="s">
        <v>2271</v>
      </c>
      <c r="X952" s="373">
        <v>1080</v>
      </c>
      <c r="Y952" s="373">
        <v>1080</v>
      </c>
      <c r="Z952" s="371" t="s">
        <v>2271</v>
      </c>
      <c r="AA952" s="373">
        <v>0</v>
      </c>
      <c r="AB952" s="373">
        <v>700</v>
      </c>
      <c r="AC952" s="373">
        <v>700</v>
      </c>
      <c r="AD952" s="371" t="s">
        <v>2271</v>
      </c>
      <c r="AE952" s="373">
        <v>0</v>
      </c>
      <c r="AF952" s="382">
        <v>0.68611111111111101</v>
      </c>
      <c r="AG952" s="382">
        <v>0.68611111111111101</v>
      </c>
      <c r="AH952" s="371" t="s">
        <v>2271</v>
      </c>
      <c r="AI952" s="382">
        <v>0.70833333333333304</v>
      </c>
      <c r="AJ952" s="382">
        <v>0.70833333333333304</v>
      </c>
      <c r="AK952" s="371" t="s">
        <v>2271</v>
      </c>
      <c r="AL952" s="206" t="s">
        <v>137</v>
      </c>
      <c r="AM952" s="206" t="s">
        <v>137</v>
      </c>
      <c r="AN952" s="371" t="s">
        <v>2271</v>
      </c>
      <c r="AO952" s="206" t="s">
        <v>3118</v>
      </c>
      <c r="AP952" s="206" t="s">
        <v>1393</v>
      </c>
      <c r="AQ952" s="206" t="s">
        <v>1132</v>
      </c>
      <c r="AR952" s="207" t="s">
        <v>88</v>
      </c>
    </row>
    <row r="953" spans="1:44" x14ac:dyDescent="0.2">
      <c r="A953" s="370">
        <v>934</v>
      </c>
      <c r="B953" s="380">
        <v>850</v>
      </c>
      <c r="C953" s="371" t="s">
        <v>2337</v>
      </c>
      <c r="D953" s="371" t="s">
        <v>2235</v>
      </c>
      <c r="E953" s="206"/>
      <c r="F953" s="206" t="s">
        <v>76</v>
      </c>
      <c r="G953" s="206" t="s">
        <v>76</v>
      </c>
      <c r="H953" s="371" t="s">
        <v>2271</v>
      </c>
      <c r="I953" s="206"/>
      <c r="J953" s="206" t="s">
        <v>1445</v>
      </c>
      <c r="K953" s="371" t="s">
        <v>2276</v>
      </c>
      <c r="L953" s="206" t="s">
        <v>2213</v>
      </c>
      <c r="M953" s="206" t="s">
        <v>1727</v>
      </c>
      <c r="N953" s="206" t="s">
        <v>49</v>
      </c>
      <c r="O953" s="372" t="s">
        <v>2214</v>
      </c>
      <c r="P953" s="372">
        <v>46111</v>
      </c>
      <c r="Q953" s="371" t="s">
        <v>2276</v>
      </c>
      <c r="R953" s="373">
        <v>46210</v>
      </c>
      <c r="S953" s="373">
        <v>46210</v>
      </c>
      <c r="T953" s="371" t="s">
        <v>2271</v>
      </c>
      <c r="U953" s="373">
        <v>17570</v>
      </c>
      <c r="V953" s="373">
        <v>17570</v>
      </c>
      <c r="W953" s="371" t="s">
        <v>2271</v>
      </c>
      <c r="X953" s="373">
        <v>28640</v>
      </c>
      <c r="Y953" s="373">
        <v>28640</v>
      </c>
      <c r="Z953" s="371" t="s">
        <v>2271</v>
      </c>
      <c r="AA953" s="373">
        <v>0</v>
      </c>
      <c r="AB953" s="373">
        <v>28740</v>
      </c>
      <c r="AC953" s="373">
        <v>28740</v>
      </c>
      <c r="AD953" s="371" t="s">
        <v>2271</v>
      </c>
      <c r="AE953" s="373">
        <v>0</v>
      </c>
      <c r="AF953" s="382">
        <v>0.69722222222222197</v>
      </c>
      <c r="AG953" s="382">
        <v>0.69722222222222197</v>
      </c>
      <c r="AH953" s="371" t="s">
        <v>2271</v>
      </c>
      <c r="AI953" s="382">
        <v>0.79513888888888895</v>
      </c>
      <c r="AJ953" s="382">
        <v>0.79513888888888895</v>
      </c>
      <c r="AK953" s="371" t="s">
        <v>2271</v>
      </c>
      <c r="AL953" s="206" t="s">
        <v>42</v>
      </c>
      <c r="AM953" s="206" t="s">
        <v>42</v>
      </c>
      <c r="AN953" s="371" t="s">
        <v>2271</v>
      </c>
      <c r="AO953" s="206" t="s">
        <v>3119</v>
      </c>
      <c r="AP953" s="206" t="s">
        <v>1372</v>
      </c>
      <c r="AQ953" s="206" t="s">
        <v>1133</v>
      </c>
      <c r="AR953" s="207" t="s">
        <v>68</v>
      </c>
    </row>
    <row r="954" spans="1:44" x14ac:dyDescent="0.2">
      <c r="A954" s="370">
        <v>935</v>
      </c>
      <c r="B954" s="380">
        <v>851</v>
      </c>
      <c r="C954" s="371" t="s">
        <v>2337</v>
      </c>
      <c r="D954" s="371" t="s">
        <v>2235</v>
      </c>
      <c r="E954" s="206"/>
      <c r="F954" s="206" t="s">
        <v>70</v>
      </c>
      <c r="G954" s="206" t="s">
        <v>70</v>
      </c>
      <c r="H954" s="371" t="s">
        <v>2271</v>
      </c>
      <c r="I954" s="206"/>
      <c r="J954" s="206" t="s">
        <v>1445</v>
      </c>
      <c r="K954" s="371" t="s">
        <v>2276</v>
      </c>
      <c r="L954" s="206" t="s">
        <v>2213</v>
      </c>
      <c r="M954" s="206" t="s">
        <v>1727</v>
      </c>
      <c r="N954" s="206" t="s">
        <v>49</v>
      </c>
      <c r="O954" s="372" t="s">
        <v>2214</v>
      </c>
      <c r="P954" s="372">
        <v>46111</v>
      </c>
      <c r="Q954" s="371" t="s">
        <v>2276</v>
      </c>
      <c r="R954" s="373">
        <v>46080</v>
      </c>
      <c r="S954" s="373">
        <v>46080</v>
      </c>
      <c r="T954" s="371" t="s">
        <v>2271</v>
      </c>
      <c r="U954" s="373">
        <v>17700</v>
      </c>
      <c r="V954" s="373">
        <v>17700</v>
      </c>
      <c r="W954" s="371" t="s">
        <v>2271</v>
      </c>
      <c r="X954" s="373">
        <v>28380</v>
      </c>
      <c r="Y954" s="373">
        <v>28380</v>
      </c>
      <c r="Z954" s="371" t="s">
        <v>2271</v>
      </c>
      <c r="AA954" s="373">
        <v>0</v>
      </c>
      <c r="AB954" s="373">
        <v>28650</v>
      </c>
      <c r="AC954" s="373">
        <v>28650</v>
      </c>
      <c r="AD954" s="371" t="s">
        <v>2271</v>
      </c>
      <c r="AE954" s="373">
        <v>0</v>
      </c>
      <c r="AF954" s="382">
        <v>0.71319444444444402</v>
      </c>
      <c r="AG954" s="382">
        <v>0.71319444444444402</v>
      </c>
      <c r="AH954" s="371" t="s">
        <v>2271</v>
      </c>
      <c r="AI954" s="382">
        <v>0.79861111111111105</v>
      </c>
      <c r="AJ954" s="382">
        <v>0.79861111111111105</v>
      </c>
      <c r="AK954" s="371" t="s">
        <v>2271</v>
      </c>
      <c r="AL954" s="206" t="s">
        <v>42</v>
      </c>
      <c r="AM954" s="206" t="s">
        <v>42</v>
      </c>
      <c r="AN954" s="371" t="s">
        <v>2271</v>
      </c>
      <c r="AO954" s="206" t="s">
        <v>3120</v>
      </c>
      <c r="AP954" s="206" t="s">
        <v>1499</v>
      </c>
      <c r="AQ954" s="206" t="s">
        <v>1133</v>
      </c>
      <c r="AR954" s="207" t="s">
        <v>68</v>
      </c>
    </row>
    <row r="955" spans="1:44" x14ac:dyDescent="0.2">
      <c r="A955" s="370">
        <v>936</v>
      </c>
      <c r="B955" s="380">
        <v>854</v>
      </c>
      <c r="C955" s="371" t="s">
        <v>2337</v>
      </c>
      <c r="D955" s="371" t="s">
        <v>2235</v>
      </c>
      <c r="E955" s="206"/>
      <c r="F955" s="206" t="s">
        <v>70</v>
      </c>
      <c r="G955" s="206" t="s">
        <v>70</v>
      </c>
      <c r="H955" s="371" t="s">
        <v>2271</v>
      </c>
      <c r="I955" s="206"/>
      <c r="J955" s="206" t="s">
        <v>1445</v>
      </c>
      <c r="K955" s="371" t="s">
        <v>2276</v>
      </c>
      <c r="L955" s="206" t="s">
        <v>2213</v>
      </c>
      <c r="M955" s="206" t="s">
        <v>1727</v>
      </c>
      <c r="N955" s="206" t="s">
        <v>49</v>
      </c>
      <c r="O955" s="372" t="s">
        <v>2215</v>
      </c>
      <c r="P955" s="372">
        <v>46112</v>
      </c>
      <c r="Q955" s="371" t="s">
        <v>2276</v>
      </c>
      <c r="R955" s="373">
        <v>46120</v>
      </c>
      <c r="S955" s="373">
        <v>46120</v>
      </c>
      <c r="T955" s="371" t="s">
        <v>2271</v>
      </c>
      <c r="U955" s="373">
        <v>17870</v>
      </c>
      <c r="V955" s="373">
        <v>17870</v>
      </c>
      <c r="W955" s="371" t="s">
        <v>2271</v>
      </c>
      <c r="X955" s="373">
        <v>28250</v>
      </c>
      <c r="Y955" s="373">
        <v>28250</v>
      </c>
      <c r="Z955" s="371" t="s">
        <v>2271</v>
      </c>
      <c r="AA955" s="373">
        <v>0</v>
      </c>
      <c r="AB955" s="373">
        <v>28410</v>
      </c>
      <c r="AC955" s="373">
        <v>28410</v>
      </c>
      <c r="AD955" s="371" t="s">
        <v>2271</v>
      </c>
      <c r="AE955" s="373">
        <v>0</v>
      </c>
      <c r="AF955" s="382">
        <v>0.531944444444444</v>
      </c>
      <c r="AG955" s="382">
        <v>0.531944444444444</v>
      </c>
      <c r="AH955" s="371" t="s">
        <v>2271</v>
      </c>
      <c r="AI955" s="382">
        <v>0.60277777777777797</v>
      </c>
      <c r="AJ955" s="382">
        <v>0.60277777777777797</v>
      </c>
      <c r="AK955" s="371" t="s">
        <v>2271</v>
      </c>
      <c r="AL955" s="206" t="s">
        <v>137</v>
      </c>
      <c r="AM955" s="206" t="s">
        <v>137</v>
      </c>
      <c r="AN955" s="371" t="s">
        <v>2271</v>
      </c>
      <c r="AO955" s="206" t="s">
        <v>3121</v>
      </c>
      <c r="AP955" s="206" t="s">
        <v>1499</v>
      </c>
      <c r="AQ955" s="206" t="s">
        <v>1133</v>
      </c>
      <c r="AR955" s="207" t="s">
        <v>68</v>
      </c>
    </row>
    <row r="956" spans="1:44" x14ac:dyDescent="0.2">
      <c r="A956" s="370">
        <v>937</v>
      </c>
      <c r="B956" s="380">
        <v>855</v>
      </c>
      <c r="C956" s="371" t="s">
        <v>2337</v>
      </c>
      <c r="D956" s="371" t="s">
        <v>2235</v>
      </c>
      <c r="E956" s="206"/>
      <c r="F956" s="206" t="s">
        <v>76</v>
      </c>
      <c r="G956" s="206" t="s">
        <v>76</v>
      </c>
      <c r="H956" s="371" t="s">
        <v>2271</v>
      </c>
      <c r="I956" s="206"/>
      <c r="J956" s="206" t="s">
        <v>1445</v>
      </c>
      <c r="K956" s="371" t="s">
        <v>2276</v>
      </c>
      <c r="L956" s="206" t="s">
        <v>2213</v>
      </c>
      <c r="M956" s="206" t="s">
        <v>1727</v>
      </c>
      <c r="N956" s="206" t="s">
        <v>49</v>
      </c>
      <c r="O956" s="372" t="s">
        <v>2215</v>
      </c>
      <c r="P956" s="372">
        <v>46112</v>
      </c>
      <c r="Q956" s="371" t="s">
        <v>2276</v>
      </c>
      <c r="R956" s="373">
        <v>46120</v>
      </c>
      <c r="S956" s="373">
        <v>46120</v>
      </c>
      <c r="T956" s="371" t="s">
        <v>2271</v>
      </c>
      <c r="U956" s="373">
        <v>17770</v>
      </c>
      <c r="V956" s="373">
        <v>17770</v>
      </c>
      <c r="W956" s="371" t="s">
        <v>2271</v>
      </c>
      <c r="X956" s="373">
        <v>28350</v>
      </c>
      <c r="Y956" s="373">
        <v>28350</v>
      </c>
      <c r="Z956" s="371" t="s">
        <v>2271</v>
      </c>
      <c r="AA956" s="373">
        <v>0</v>
      </c>
      <c r="AB956" s="373">
        <v>28560</v>
      </c>
      <c r="AC956" s="373">
        <v>28560</v>
      </c>
      <c r="AD956" s="371" t="s">
        <v>2271</v>
      </c>
      <c r="AE956" s="373">
        <v>0</v>
      </c>
      <c r="AF956" s="382">
        <v>0.55625000000000002</v>
      </c>
      <c r="AG956" s="382">
        <v>0.55625000000000002</v>
      </c>
      <c r="AH956" s="371" t="s">
        <v>2271</v>
      </c>
      <c r="AI956" s="382">
        <v>0.60347222222222197</v>
      </c>
      <c r="AJ956" s="382">
        <v>0.60347222222222197</v>
      </c>
      <c r="AK956" s="371" t="s">
        <v>2271</v>
      </c>
      <c r="AL956" s="206" t="s">
        <v>137</v>
      </c>
      <c r="AM956" s="206" t="s">
        <v>137</v>
      </c>
      <c r="AN956" s="371" t="s">
        <v>2271</v>
      </c>
      <c r="AO956" s="206" t="s">
        <v>3122</v>
      </c>
      <c r="AP956" s="206" t="s">
        <v>1372</v>
      </c>
      <c r="AQ956" s="206" t="s">
        <v>1133</v>
      </c>
      <c r="AR956" s="207" t="s">
        <v>68</v>
      </c>
    </row>
    <row r="957" spans="1:44" x14ac:dyDescent="0.2">
      <c r="A957" s="370">
        <v>938</v>
      </c>
      <c r="B957" s="380">
        <v>856</v>
      </c>
      <c r="C957" s="371" t="s">
        <v>2337</v>
      </c>
      <c r="D957" s="371" t="s">
        <v>2235</v>
      </c>
      <c r="E957" s="206"/>
      <c r="F957" s="206" t="s">
        <v>70</v>
      </c>
      <c r="G957" s="206" t="s">
        <v>70</v>
      </c>
      <c r="H957" s="371" t="s">
        <v>2271</v>
      </c>
      <c r="I957" s="206"/>
      <c r="J957" s="206" t="s">
        <v>1445</v>
      </c>
      <c r="K957" s="371" t="s">
        <v>2276</v>
      </c>
      <c r="L957" s="206" t="s">
        <v>2213</v>
      </c>
      <c r="M957" s="206" t="s">
        <v>1727</v>
      </c>
      <c r="N957" s="206" t="s">
        <v>49</v>
      </c>
      <c r="O957" s="372" t="s">
        <v>2215</v>
      </c>
      <c r="P957" s="372">
        <v>46112</v>
      </c>
      <c r="Q957" s="371" t="s">
        <v>2276</v>
      </c>
      <c r="R957" s="373">
        <v>45930</v>
      </c>
      <c r="S957" s="373">
        <v>45930</v>
      </c>
      <c r="T957" s="371" t="s">
        <v>2271</v>
      </c>
      <c r="U957" s="373">
        <v>17610</v>
      </c>
      <c r="V957" s="373">
        <v>17610</v>
      </c>
      <c r="W957" s="371" t="s">
        <v>2271</v>
      </c>
      <c r="X957" s="373">
        <v>28320</v>
      </c>
      <c r="Y957" s="373">
        <v>28320</v>
      </c>
      <c r="Z957" s="371" t="s">
        <v>2271</v>
      </c>
      <c r="AA957" s="373">
        <v>0</v>
      </c>
      <c r="AB957" s="373">
        <v>28120</v>
      </c>
      <c r="AC957" s="373">
        <v>28120</v>
      </c>
      <c r="AD957" s="371" t="s">
        <v>2271</v>
      </c>
      <c r="AE957" s="373">
        <v>0</v>
      </c>
      <c r="AF957" s="382">
        <v>0.88055555555555598</v>
      </c>
      <c r="AG957" s="382">
        <v>0.88055555555555598</v>
      </c>
      <c r="AH957" s="371" t="s">
        <v>2271</v>
      </c>
      <c r="AI957" s="382">
        <v>0.95</v>
      </c>
      <c r="AJ957" s="382">
        <v>0.95</v>
      </c>
      <c r="AK957" s="371" t="s">
        <v>2271</v>
      </c>
      <c r="AL957" s="206" t="s">
        <v>42</v>
      </c>
      <c r="AM957" s="206" t="s">
        <v>42</v>
      </c>
      <c r="AN957" s="371" t="s">
        <v>2271</v>
      </c>
      <c r="AO957" s="206" t="s">
        <v>3123</v>
      </c>
      <c r="AP957" s="206" t="s">
        <v>1499</v>
      </c>
      <c r="AQ957" s="206" t="s">
        <v>1133</v>
      </c>
      <c r="AR957" s="207" t="s">
        <v>68</v>
      </c>
    </row>
    <row r="958" spans="1:44" x14ac:dyDescent="0.2">
      <c r="A958" s="370">
        <v>939</v>
      </c>
      <c r="B958" s="380">
        <v>857</v>
      </c>
      <c r="C958" s="371" t="s">
        <v>2337</v>
      </c>
      <c r="D958" s="371" t="s">
        <v>2235</v>
      </c>
      <c r="E958" s="206"/>
      <c r="F958" s="206" t="s">
        <v>76</v>
      </c>
      <c r="G958" s="206" t="s">
        <v>76</v>
      </c>
      <c r="H958" s="371" t="s">
        <v>2271</v>
      </c>
      <c r="I958" s="206"/>
      <c r="J958" s="206" t="s">
        <v>1445</v>
      </c>
      <c r="K958" s="371" t="s">
        <v>2276</v>
      </c>
      <c r="L958" s="206" t="s">
        <v>2213</v>
      </c>
      <c r="M958" s="206" t="s">
        <v>1727</v>
      </c>
      <c r="N958" s="206" t="s">
        <v>49</v>
      </c>
      <c r="O958" s="372" t="s">
        <v>2215</v>
      </c>
      <c r="P958" s="372">
        <v>46112</v>
      </c>
      <c r="Q958" s="371" t="s">
        <v>2276</v>
      </c>
      <c r="R958" s="373">
        <v>46150</v>
      </c>
      <c r="S958" s="373">
        <v>46150</v>
      </c>
      <c r="T958" s="371" t="s">
        <v>2271</v>
      </c>
      <c r="U958" s="373">
        <v>17550</v>
      </c>
      <c r="V958" s="373">
        <v>17550</v>
      </c>
      <c r="W958" s="371" t="s">
        <v>2271</v>
      </c>
      <c r="X958" s="373">
        <v>28600</v>
      </c>
      <c r="Y958" s="373">
        <v>28600</v>
      </c>
      <c r="Z958" s="371" t="s">
        <v>2271</v>
      </c>
      <c r="AA958" s="373">
        <v>0</v>
      </c>
      <c r="AB958" s="373">
        <v>28260</v>
      </c>
      <c r="AC958" s="373">
        <v>28260</v>
      </c>
      <c r="AD958" s="371" t="s">
        <v>2271</v>
      </c>
      <c r="AE958" s="373">
        <v>0</v>
      </c>
      <c r="AF958" s="382">
        <v>0.88194444444444497</v>
      </c>
      <c r="AG958" s="382">
        <v>0.88194444444444497</v>
      </c>
      <c r="AH958" s="371" t="s">
        <v>2271</v>
      </c>
      <c r="AI958" s="382">
        <v>0.94722222222222197</v>
      </c>
      <c r="AJ958" s="382">
        <v>0.94722222222222197</v>
      </c>
      <c r="AK958" s="371" t="s">
        <v>2271</v>
      </c>
      <c r="AL958" s="206" t="s">
        <v>42</v>
      </c>
      <c r="AM958" s="206" t="s">
        <v>42</v>
      </c>
      <c r="AN958" s="371" t="s">
        <v>2271</v>
      </c>
      <c r="AO958" s="206" t="s">
        <v>3124</v>
      </c>
      <c r="AP958" s="206" t="s">
        <v>1372</v>
      </c>
      <c r="AQ958" s="206" t="s">
        <v>1133</v>
      </c>
      <c r="AR958" s="207" t="s">
        <v>68</v>
      </c>
    </row>
    <row r="959" spans="1:44" x14ac:dyDescent="0.2">
      <c r="A959" s="370">
        <v>940</v>
      </c>
      <c r="B959" s="380">
        <v>859</v>
      </c>
      <c r="C959" s="371" t="s">
        <v>2337</v>
      </c>
      <c r="D959" s="371" t="s">
        <v>2235</v>
      </c>
      <c r="E959" s="206"/>
      <c r="F959" s="206" t="s">
        <v>70</v>
      </c>
      <c r="G959" s="206" t="s">
        <v>70</v>
      </c>
      <c r="H959" s="371" t="s">
        <v>2271</v>
      </c>
      <c r="I959" s="206"/>
      <c r="J959" s="206" t="s">
        <v>1445</v>
      </c>
      <c r="K959" s="371" t="s">
        <v>2276</v>
      </c>
      <c r="L959" s="206" t="s">
        <v>2213</v>
      </c>
      <c r="M959" s="206" t="s">
        <v>1727</v>
      </c>
      <c r="N959" s="206" t="s">
        <v>49</v>
      </c>
      <c r="O959" s="372">
        <v>46026</v>
      </c>
      <c r="P959" s="372">
        <v>46113</v>
      </c>
      <c r="Q959" s="371" t="s">
        <v>2276</v>
      </c>
      <c r="R959" s="373">
        <v>45900</v>
      </c>
      <c r="S959" s="373">
        <v>45900</v>
      </c>
      <c r="T959" s="371" t="s">
        <v>2271</v>
      </c>
      <c r="U959" s="373">
        <v>17250</v>
      </c>
      <c r="V959" s="373">
        <v>17250</v>
      </c>
      <c r="W959" s="371" t="s">
        <v>2271</v>
      </c>
      <c r="X959" s="373">
        <v>28650</v>
      </c>
      <c r="Y959" s="373">
        <v>28650</v>
      </c>
      <c r="Z959" s="371" t="s">
        <v>2271</v>
      </c>
      <c r="AA959" s="373">
        <v>0</v>
      </c>
      <c r="AB959" s="373">
        <v>28300</v>
      </c>
      <c r="AC959" s="373">
        <v>28300</v>
      </c>
      <c r="AD959" s="371" t="s">
        <v>2271</v>
      </c>
      <c r="AE959" s="373">
        <v>0</v>
      </c>
      <c r="AF959" s="382">
        <v>0.50555555555555598</v>
      </c>
      <c r="AG959" s="382">
        <v>0.50555555555555598</v>
      </c>
      <c r="AH959" s="371" t="s">
        <v>2271</v>
      </c>
      <c r="AI959" s="382">
        <v>0.72847222222222197</v>
      </c>
      <c r="AJ959" s="382">
        <v>0.72847222222222197</v>
      </c>
      <c r="AK959" s="371" t="s">
        <v>2271</v>
      </c>
      <c r="AL959" s="206" t="s">
        <v>137</v>
      </c>
      <c r="AM959" s="206" t="s">
        <v>137</v>
      </c>
      <c r="AN959" s="371" t="s">
        <v>2271</v>
      </c>
      <c r="AO959" s="206" t="s">
        <v>3125</v>
      </c>
      <c r="AP959" s="206" t="s">
        <v>1499</v>
      </c>
      <c r="AQ959" s="206" t="s">
        <v>1133</v>
      </c>
      <c r="AR959" s="207" t="s">
        <v>68</v>
      </c>
    </row>
    <row r="960" spans="1:44" x14ac:dyDescent="0.2">
      <c r="A960" s="374">
        <v>941</v>
      </c>
      <c r="B960" s="381">
        <v>860</v>
      </c>
      <c r="C960" s="375" t="s">
        <v>2337</v>
      </c>
      <c r="D960" s="375" t="s">
        <v>2235</v>
      </c>
      <c r="E960" s="376"/>
      <c r="F960" s="376" t="s">
        <v>76</v>
      </c>
      <c r="G960" s="376" t="s">
        <v>76</v>
      </c>
      <c r="H960" s="375" t="s">
        <v>2271</v>
      </c>
      <c r="I960" s="376"/>
      <c r="J960" s="376" t="s">
        <v>1445</v>
      </c>
      <c r="K960" s="375" t="s">
        <v>2276</v>
      </c>
      <c r="L960" s="376" t="s">
        <v>2213</v>
      </c>
      <c r="M960" s="376" t="s">
        <v>1727</v>
      </c>
      <c r="N960" s="376" t="s">
        <v>49</v>
      </c>
      <c r="O960" s="377">
        <v>46026</v>
      </c>
      <c r="P960" s="377">
        <v>46113</v>
      </c>
      <c r="Q960" s="375" t="s">
        <v>2276</v>
      </c>
      <c r="R960" s="378">
        <v>46010</v>
      </c>
      <c r="S960" s="378">
        <v>46010</v>
      </c>
      <c r="T960" s="375" t="s">
        <v>2271</v>
      </c>
      <c r="U960" s="378">
        <v>17350</v>
      </c>
      <c r="V960" s="378">
        <v>17350</v>
      </c>
      <c r="W960" s="375" t="s">
        <v>2271</v>
      </c>
      <c r="X960" s="378">
        <v>28660</v>
      </c>
      <c r="Y960" s="378">
        <v>28660</v>
      </c>
      <c r="Z960" s="375" t="s">
        <v>2271</v>
      </c>
      <c r="AA960" s="378">
        <v>0</v>
      </c>
      <c r="AB960" s="378">
        <v>28450</v>
      </c>
      <c r="AC960" s="378">
        <v>28450</v>
      </c>
      <c r="AD960" s="375" t="s">
        <v>2271</v>
      </c>
      <c r="AE960" s="378">
        <v>0</v>
      </c>
      <c r="AF960" s="383">
        <v>0.50624999999999998</v>
      </c>
      <c r="AG960" s="383">
        <v>0.50624999999999998</v>
      </c>
      <c r="AH960" s="375" t="s">
        <v>2271</v>
      </c>
      <c r="AI960" s="383">
        <v>0.73263888888888895</v>
      </c>
      <c r="AJ960" s="383">
        <v>0.73263888888888895</v>
      </c>
      <c r="AK960" s="375" t="s">
        <v>2271</v>
      </c>
      <c r="AL960" s="376" t="s">
        <v>137</v>
      </c>
      <c r="AM960" s="376" t="s">
        <v>137</v>
      </c>
      <c r="AN960" s="375" t="s">
        <v>2271</v>
      </c>
      <c r="AO960" s="376" t="s">
        <v>3126</v>
      </c>
      <c r="AP960" s="376" t="s">
        <v>1372</v>
      </c>
      <c r="AQ960" s="376" t="s">
        <v>1133</v>
      </c>
      <c r="AR960" s="379" t="s">
        <v>68</v>
      </c>
    </row>
  </sheetData>
  <autoFilter ref="A19:AR960" xr:uid="{0FB6621B-F58B-6A40-80CE-E6E1DC8BD3FF}"/>
  <mergeCells count="12">
    <mergeCell ref="AO18:AR18"/>
    <mergeCell ref="F18:H18"/>
    <mergeCell ref="I18:K18"/>
    <mergeCell ref="L18:N18"/>
    <mergeCell ref="O18:Q18"/>
    <mergeCell ref="R18:T18"/>
    <mergeCell ref="U18:W18"/>
    <mergeCell ref="X18:AA18"/>
    <mergeCell ref="AB18:AE18"/>
    <mergeCell ref="AF18:AH18"/>
    <mergeCell ref="AI18:AK18"/>
    <mergeCell ref="AL18:AN18"/>
  </mergeCells>
  <conditionalFormatting sqref="A20:AR960">
    <cfRule type="expression" dxfId="71" priority="48">
      <formula>MOD(ROW(),2)=0</formula>
    </cfRule>
  </conditionalFormatting>
  <conditionalFormatting sqref="D20:D960">
    <cfRule type="containsText" dxfId="70" priority="25" operator="containsText" text="✅">
      <formula>NOT(ISERROR(SEARCH("✅",D20)))</formula>
    </cfRule>
    <cfRule type="containsText" dxfId="69" priority="24" operator="containsText" text="❌">
      <formula>NOT(ISERROR(SEARCH("❌",D20)))</formula>
    </cfRule>
    <cfRule type="containsText" dxfId="68" priority="1" operator="containsText" text="❌">
      <formula>NOT(ISERROR(SEARCH("❌",D20)))</formula>
    </cfRule>
    <cfRule type="containsText" dxfId="67" priority="2" operator="containsText" text="✅">
      <formula>NOT(ISERROR(SEARCH("✅",D20)))</formula>
    </cfRule>
  </conditionalFormatting>
  <conditionalFormatting sqref="H20:H960">
    <cfRule type="containsText" dxfId="66" priority="26" operator="containsText" text="❌">
      <formula>NOT(ISERROR(SEARCH("❌",H20)))</formula>
    </cfRule>
    <cfRule type="containsText" dxfId="65" priority="4" operator="containsText" text="✅">
      <formula>NOT(ISERROR(SEARCH("✅",H20)))</formula>
    </cfRule>
    <cfRule type="containsText" dxfId="64" priority="3" operator="containsText" text="❌">
      <formula>NOT(ISERROR(SEARCH("❌",H20)))</formula>
    </cfRule>
    <cfRule type="containsText" dxfId="63" priority="27" operator="containsText" text="✅">
      <formula>NOT(ISERROR(SEARCH("✅",H20)))</formula>
    </cfRule>
  </conditionalFormatting>
  <conditionalFormatting sqref="K20:K960">
    <cfRule type="containsText" dxfId="62" priority="28" operator="containsText" text="❌">
      <formula>NOT(ISERROR(SEARCH("❌",K20)))</formula>
    </cfRule>
    <cfRule type="containsText" dxfId="61" priority="6" operator="containsText" text="✅">
      <formula>NOT(ISERROR(SEARCH("✅",K20)))</formula>
    </cfRule>
    <cfRule type="containsText" dxfId="60" priority="29" operator="containsText" text="✅">
      <formula>NOT(ISERROR(SEARCH("✅",K20)))</formula>
    </cfRule>
    <cfRule type="containsText" dxfId="59" priority="5" operator="containsText" text="❌">
      <formula>NOT(ISERROR(SEARCH("❌",K20)))</formula>
    </cfRule>
  </conditionalFormatting>
  <conditionalFormatting sqref="Q20:Q960">
    <cfRule type="containsText" dxfId="58" priority="7" operator="containsText" text="❌">
      <formula>NOT(ISERROR(SEARCH("❌",Q20)))</formula>
    </cfRule>
    <cfRule type="containsText" dxfId="57" priority="31" operator="containsText" text="✅">
      <formula>NOT(ISERROR(SEARCH("✅",Q20)))</formula>
    </cfRule>
    <cfRule type="containsText" dxfId="56" priority="30" operator="containsText" text="❌">
      <formula>NOT(ISERROR(SEARCH("❌",Q20)))</formula>
    </cfRule>
    <cfRule type="containsText" dxfId="55" priority="8" operator="containsText" text="✅">
      <formula>NOT(ISERROR(SEARCH("✅",Q20)))</formula>
    </cfRule>
  </conditionalFormatting>
  <conditionalFormatting sqref="T20:T960">
    <cfRule type="containsText" dxfId="54" priority="10" operator="containsText" text="✅">
      <formula>NOT(ISERROR(SEARCH("✅",T20)))</formula>
    </cfRule>
    <cfRule type="containsText" dxfId="53" priority="33" operator="containsText" text="✅">
      <formula>NOT(ISERROR(SEARCH("✅",T20)))</formula>
    </cfRule>
    <cfRule type="containsText" dxfId="52" priority="32" operator="containsText" text="❌">
      <formula>NOT(ISERROR(SEARCH("❌",T20)))</formula>
    </cfRule>
    <cfRule type="containsText" dxfId="51" priority="9" operator="containsText" text="❌">
      <formula>NOT(ISERROR(SEARCH("❌",T20)))</formula>
    </cfRule>
  </conditionalFormatting>
  <conditionalFormatting sqref="W20:W960">
    <cfRule type="containsText" dxfId="50" priority="11" operator="containsText" text="❌">
      <formula>NOT(ISERROR(SEARCH("❌",W20)))</formula>
    </cfRule>
    <cfRule type="containsText" dxfId="49" priority="34" operator="containsText" text="❌">
      <formula>NOT(ISERROR(SEARCH("❌",W20)))</formula>
    </cfRule>
    <cfRule type="containsText" dxfId="48" priority="35" operator="containsText" text="✅">
      <formula>NOT(ISERROR(SEARCH("✅",W20)))</formula>
    </cfRule>
    <cfRule type="containsText" dxfId="47" priority="12" operator="containsText" text="✅">
      <formula>NOT(ISERROR(SEARCH("✅",W20)))</formula>
    </cfRule>
  </conditionalFormatting>
  <conditionalFormatting sqref="Z20:Z960">
    <cfRule type="containsText" dxfId="46" priority="14" operator="containsText" text="✅">
      <formula>NOT(ISERROR(SEARCH("✅",Z20)))</formula>
    </cfRule>
    <cfRule type="containsText" dxfId="45" priority="13" operator="containsText" text="❌">
      <formula>NOT(ISERROR(SEARCH("❌",Z20)))</formula>
    </cfRule>
    <cfRule type="containsText" dxfId="44" priority="37" operator="containsText" text="✅">
      <formula>NOT(ISERROR(SEARCH("✅",Z20)))</formula>
    </cfRule>
    <cfRule type="containsText" dxfId="43" priority="36" operator="containsText" text="❌">
      <formula>NOT(ISERROR(SEARCH("❌",Z20)))</formula>
    </cfRule>
  </conditionalFormatting>
  <conditionalFormatting sqref="AA20:AA960">
    <cfRule type="cellIs" dxfId="42" priority="23" operator="between"/>
    <cfRule type="expression" dxfId="41" priority="46">
      <formula>AND(AA20&lt;&gt;0,AA20&lt;&gt;"")</formula>
    </cfRule>
  </conditionalFormatting>
  <conditionalFormatting sqref="AD20:AD960">
    <cfRule type="containsText" dxfId="40" priority="16" operator="containsText" text="✅">
      <formula>NOT(ISERROR(SEARCH("✅",AD20)))</formula>
    </cfRule>
    <cfRule type="containsText" dxfId="39" priority="38" operator="containsText" text="❌">
      <formula>NOT(ISERROR(SEARCH("❌",AD20)))</formula>
    </cfRule>
    <cfRule type="containsText" dxfId="38" priority="39" operator="containsText" text="✅">
      <formula>NOT(ISERROR(SEARCH("✅",AD20)))</formula>
    </cfRule>
    <cfRule type="containsText" dxfId="37" priority="15" operator="containsText" text="❌">
      <formula>NOT(ISERROR(SEARCH("❌",AD20)))</formula>
    </cfRule>
  </conditionalFormatting>
  <conditionalFormatting sqref="AE20:AE960">
    <cfRule type="expression" dxfId="36" priority="47">
      <formula>AND(AE20&lt;&gt;0,AE20&lt;&gt;"")</formula>
    </cfRule>
  </conditionalFormatting>
  <conditionalFormatting sqref="AH20:AH960">
    <cfRule type="containsText" dxfId="35" priority="18" operator="containsText" text="✅">
      <formula>NOT(ISERROR(SEARCH("✅",AH20)))</formula>
    </cfRule>
    <cfRule type="containsText" dxfId="34" priority="17" operator="containsText" text="❌">
      <formula>NOT(ISERROR(SEARCH("❌",AH20)))</formula>
    </cfRule>
    <cfRule type="containsText" dxfId="33" priority="40" operator="containsText" text="❌">
      <formula>NOT(ISERROR(SEARCH("❌",AH20)))</formula>
    </cfRule>
    <cfRule type="containsText" dxfId="32" priority="41" operator="containsText" text="✅">
      <formula>NOT(ISERROR(SEARCH("✅",AH20)))</formula>
    </cfRule>
  </conditionalFormatting>
  <conditionalFormatting sqref="AK20:AK960">
    <cfRule type="containsText" dxfId="31" priority="19" operator="containsText" text="❌">
      <formula>NOT(ISERROR(SEARCH("❌",AK20)))</formula>
    </cfRule>
    <cfRule type="containsText" dxfId="30" priority="20" operator="containsText" text="✅">
      <formula>NOT(ISERROR(SEARCH("✅",AK20)))</formula>
    </cfRule>
    <cfRule type="containsText" dxfId="29" priority="42" operator="containsText" text="❌">
      <formula>NOT(ISERROR(SEARCH("❌",AK20)))</formula>
    </cfRule>
    <cfRule type="containsText" dxfId="28" priority="43" operator="containsText" text="✅">
      <formula>NOT(ISERROR(SEARCH("✅",AK20)))</formula>
    </cfRule>
  </conditionalFormatting>
  <conditionalFormatting sqref="AN20:AN960">
    <cfRule type="containsText" dxfId="27" priority="21" operator="containsText" text="❌">
      <formula>NOT(ISERROR(SEARCH("❌",AN20)))</formula>
    </cfRule>
    <cfRule type="containsText" dxfId="26" priority="22" operator="containsText" text="✅">
      <formula>NOT(ISERROR(SEARCH("✅",AN20)))</formula>
    </cfRule>
    <cfRule type="containsText" dxfId="25" priority="44" operator="containsText" text="❌">
      <formula>NOT(ISERROR(SEARCH("❌",AN20)))</formula>
    </cfRule>
    <cfRule type="containsText" dxfId="24" priority="45" operator="containsText" text="✅">
      <formula>NOT(ISERROR(SEARCH("✅",AN20)))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04DC8-3608-7040-9AC6-3DC75B205493}">
  <sheetPr codeName="Sheet7"/>
  <dimension ref="B1:BA1968"/>
  <sheetViews>
    <sheetView showGridLines="0" tabSelected="1" zoomScaleNormal="107" workbookViewId="0">
      <pane xSplit="2" ySplit="3" topLeftCell="C977" activePane="bottomRight" state="frozen"/>
      <selection pane="topRight" activeCell="C1" sqref="C1"/>
      <selection pane="bottomLeft" activeCell="A4" sqref="A4"/>
      <selection pane="bottomRight" activeCell="F999" sqref="F999"/>
    </sheetView>
  </sheetViews>
  <sheetFormatPr baseColWidth="10" defaultColWidth="10.83203125" defaultRowHeight="15" x14ac:dyDescent="0.2"/>
  <cols>
    <col min="1" max="1" width="1.83203125" style="3" customWidth="1"/>
    <col min="2" max="3" width="10.6640625" style="78" customWidth="1"/>
    <col min="4" max="4" width="18.1640625" style="78" customWidth="1"/>
    <col min="5" max="5" width="10.6640625" style="78" customWidth="1"/>
    <col min="6" max="6" width="29.6640625" style="78" customWidth="1"/>
    <col min="7" max="7" width="24" style="78" customWidth="1"/>
    <col min="8" max="8" width="29.83203125" style="78" customWidth="1"/>
    <col min="9" max="9" width="10.6640625" style="78" customWidth="1"/>
    <col min="10" max="10" width="13.5" style="78" customWidth="1"/>
    <col min="11" max="11" width="10.6640625" style="78" customWidth="1"/>
    <col min="12" max="17" width="11.5" style="78" customWidth="1"/>
    <col min="18" max="18" width="18.6640625" style="78" customWidth="1"/>
    <col min="19" max="19" width="19.6640625" style="78" customWidth="1"/>
    <col min="20" max="20" width="13.1640625" style="78" customWidth="1"/>
    <col min="21" max="21" width="11.5" style="78" customWidth="1"/>
    <col min="22" max="22" width="16.5" style="78" customWidth="1"/>
    <col min="23" max="24" width="10.83203125" style="3"/>
    <col min="25" max="25" width="24" style="3" customWidth="1"/>
    <col min="26" max="36" width="10.83203125" style="3"/>
    <col min="37" max="37" width="32.6640625" style="3" customWidth="1"/>
    <col min="38" max="38" width="10.83203125" style="3"/>
    <col min="39" max="39" width="28.1640625" style="3" customWidth="1"/>
    <col min="40" max="40" width="10.83203125" style="3"/>
    <col min="41" max="41" width="20.33203125" style="3" customWidth="1"/>
    <col min="42" max="44" width="10.83203125" style="3"/>
    <col min="45" max="48" width="10.83203125" style="3" customWidth="1"/>
    <col min="49" max="16384" width="10.83203125" style="3"/>
  </cols>
  <sheetData>
    <row r="1" spans="2:53" x14ac:dyDescent="0.2">
      <c r="B1"/>
      <c r="C1"/>
      <c r="D1" s="5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AP1"/>
    </row>
    <row r="2" spans="2:53" ht="18.75" customHeight="1" x14ac:dyDescent="0.2">
      <c r="B2" s="6"/>
      <c r="C2" s="6"/>
      <c r="D2" s="6"/>
      <c r="E2" s="7"/>
      <c r="F2" s="6"/>
      <c r="G2" s="6"/>
      <c r="H2" s="6"/>
      <c r="I2" s="7"/>
      <c r="J2" s="7"/>
      <c r="K2" s="6"/>
      <c r="L2" s="7"/>
      <c r="M2" s="8"/>
      <c r="N2" s="260">
        <f>MAX(N4:N1238)</f>
        <v>28960</v>
      </c>
      <c r="O2" s="9"/>
      <c r="P2" s="7"/>
      <c r="Q2" s="7"/>
      <c r="R2" s="7"/>
      <c r="S2" s="7"/>
      <c r="T2" s="6"/>
      <c r="U2" s="6"/>
      <c r="V2" s="6"/>
      <c r="W2" s="6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10"/>
      <c r="AL2" s="10"/>
      <c r="AP2"/>
    </row>
    <row r="3" spans="2:53" ht="30" customHeight="1" x14ac:dyDescent="0.2">
      <c r="B3" s="192" t="s">
        <v>14</v>
      </c>
      <c r="C3" s="192" t="s">
        <v>15</v>
      </c>
      <c r="D3" s="192" t="s">
        <v>16</v>
      </c>
      <c r="E3" s="192" t="s">
        <v>17</v>
      </c>
      <c r="F3" s="192" t="s">
        <v>19</v>
      </c>
      <c r="G3" s="192" t="s">
        <v>1730</v>
      </c>
      <c r="H3" s="192" t="s">
        <v>34</v>
      </c>
      <c r="I3" s="192" t="s">
        <v>20</v>
      </c>
      <c r="J3" s="192" t="s">
        <v>21</v>
      </c>
      <c r="K3" s="192" t="s">
        <v>22</v>
      </c>
      <c r="L3" s="192" t="s">
        <v>23</v>
      </c>
      <c r="M3" s="192" t="s">
        <v>24</v>
      </c>
      <c r="N3" s="192" t="s">
        <v>25</v>
      </c>
      <c r="O3" s="192" t="s">
        <v>1279</v>
      </c>
      <c r="P3" s="192" t="s">
        <v>26</v>
      </c>
      <c r="Q3" s="192" t="s">
        <v>27</v>
      </c>
      <c r="R3" s="192" t="s">
        <v>28</v>
      </c>
      <c r="S3" s="192" t="s">
        <v>29</v>
      </c>
      <c r="T3" s="192" t="s">
        <v>30</v>
      </c>
      <c r="U3" s="192" t="s">
        <v>31</v>
      </c>
      <c r="V3" s="192" t="s">
        <v>32</v>
      </c>
      <c r="W3" s="11" t="s">
        <v>33</v>
      </c>
      <c r="X3" s="11"/>
      <c r="Y3" s="11" t="s">
        <v>34</v>
      </c>
      <c r="Z3" s="11" t="s">
        <v>35</v>
      </c>
      <c r="AA3" s="11" t="s">
        <v>31</v>
      </c>
      <c r="AB3" s="11"/>
      <c r="AC3" s="11"/>
      <c r="AD3" s="11"/>
      <c r="AE3" s="11"/>
      <c r="AF3" s="11"/>
      <c r="AG3" s="11"/>
      <c r="AH3" s="11"/>
      <c r="AI3" s="11"/>
      <c r="AJ3" s="11"/>
      <c r="AK3" s="12" t="s">
        <v>18</v>
      </c>
      <c r="AL3" s="12" t="s">
        <v>36</v>
      </c>
      <c r="AM3" s="203" t="s">
        <v>18</v>
      </c>
      <c r="AN3" s="203" t="s">
        <v>37</v>
      </c>
      <c r="AO3" s="203" t="s">
        <v>1739</v>
      </c>
      <c r="AP3" s="203" t="s">
        <v>30</v>
      </c>
      <c r="AQ3" s="203" t="s">
        <v>20</v>
      </c>
      <c r="AR3" s="203" t="s">
        <v>1855</v>
      </c>
      <c r="AS3" s="203" t="s">
        <v>1131</v>
      </c>
      <c r="AT3" s="203" t="s">
        <v>1132</v>
      </c>
      <c r="AU3" s="203" t="s">
        <v>1133</v>
      </c>
      <c r="AX3" s="3" t="s">
        <v>1872</v>
      </c>
    </row>
    <row r="4" spans="2:53" ht="15" customHeight="1" x14ac:dyDescent="0.2">
      <c r="B4" s="193"/>
      <c r="C4" s="347"/>
      <c r="D4" s="193"/>
      <c r="E4" s="193"/>
      <c r="F4" s="193"/>
      <c r="G4" s="193"/>
      <c r="H4" s="193"/>
      <c r="I4" s="193"/>
      <c r="J4" s="193"/>
      <c r="K4" s="194"/>
      <c r="L4" s="195"/>
      <c r="M4" s="195"/>
      <c r="N4" s="195"/>
      <c r="O4" s="195"/>
      <c r="P4" s="196"/>
      <c r="Q4" s="196"/>
      <c r="R4" s="193"/>
      <c r="S4" s="193"/>
      <c r="T4" s="197"/>
      <c r="U4" s="193"/>
      <c r="V4" s="193"/>
      <c r="W4" s="13"/>
      <c r="X4" s="13"/>
      <c r="Y4" s="14" t="s">
        <v>43</v>
      </c>
      <c r="Z4" s="14" t="s">
        <v>44</v>
      </c>
      <c r="AA4" s="14" t="s">
        <v>45</v>
      </c>
      <c r="AB4" s="14"/>
      <c r="AC4" s="14"/>
      <c r="AD4" s="14" t="s">
        <v>46</v>
      </c>
      <c r="AE4" s="14" t="s">
        <v>47</v>
      </c>
      <c r="AF4" s="14" t="s">
        <v>48</v>
      </c>
      <c r="AG4" s="14">
        <v>10</v>
      </c>
      <c r="AH4" s="14"/>
      <c r="AI4" s="14"/>
      <c r="AJ4" s="14"/>
      <c r="AK4" s="15"/>
      <c r="AL4" s="15"/>
      <c r="AM4" s="16" t="s">
        <v>40</v>
      </c>
      <c r="AN4" s="204" t="s">
        <v>51</v>
      </c>
      <c r="AO4" s="16" t="s">
        <v>82</v>
      </c>
      <c r="AP4" s="314">
        <v>494</v>
      </c>
      <c r="AQ4" s="204" t="s">
        <v>41</v>
      </c>
      <c r="AR4" s="314">
        <f>AP4*2</f>
        <v>988</v>
      </c>
      <c r="AS4" s="316">
        <v>800</v>
      </c>
      <c r="AT4" s="316">
        <v>800</v>
      </c>
      <c r="AU4" s="316">
        <v>800</v>
      </c>
    </row>
    <row r="5" spans="2:53" ht="15" customHeight="1" x14ac:dyDescent="0.2">
      <c r="B5" s="193"/>
      <c r="C5" s="347"/>
      <c r="D5" s="193"/>
      <c r="E5" s="193"/>
      <c r="F5" s="193"/>
      <c r="G5" s="193"/>
      <c r="H5" s="193"/>
      <c r="I5" s="193"/>
      <c r="J5" s="193"/>
      <c r="K5" s="194"/>
      <c r="L5" s="195"/>
      <c r="M5" s="195"/>
      <c r="N5" s="195"/>
      <c r="O5" s="195"/>
      <c r="P5" s="196"/>
      <c r="Q5" s="196"/>
      <c r="R5" s="193"/>
      <c r="S5" s="193"/>
      <c r="T5" s="197"/>
      <c r="U5" s="193"/>
      <c r="V5" s="193"/>
      <c r="W5" s="13"/>
      <c r="X5" s="13"/>
      <c r="Y5" s="14" t="s">
        <v>54</v>
      </c>
      <c r="Z5" s="14" t="s">
        <v>55</v>
      </c>
      <c r="AA5" s="14" t="s">
        <v>87</v>
      </c>
      <c r="AB5" s="14">
        <v>223</v>
      </c>
      <c r="AC5" s="14"/>
      <c r="AD5" s="14" t="s">
        <v>56</v>
      </c>
      <c r="AE5" s="14" t="s">
        <v>57</v>
      </c>
      <c r="AF5" s="14" t="s">
        <v>48</v>
      </c>
      <c r="AG5" s="14">
        <v>10</v>
      </c>
      <c r="AH5" s="14"/>
      <c r="AI5" s="14"/>
      <c r="AJ5" s="14"/>
      <c r="AK5" s="15"/>
      <c r="AL5" s="15"/>
      <c r="AM5" s="16" t="s">
        <v>61</v>
      </c>
      <c r="AN5" s="204" t="s">
        <v>62</v>
      </c>
      <c r="AO5" s="16"/>
      <c r="AP5" s="314"/>
      <c r="AQ5" s="204" t="s">
        <v>66</v>
      </c>
      <c r="AR5" s="314"/>
      <c r="AS5" s="317"/>
      <c r="AT5" s="318"/>
      <c r="AU5" s="319"/>
    </row>
    <row r="6" spans="2:53" ht="15" customHeight="1" x14ac:dyDescent="0.2">
      <c r="B6" s="193"/>
      <c r="C6" s="347"/>
      <c r="D6" s="193"/>
      <c r="E6" s="193"/>
      <c r="F6" s="193"/>
      <c r="G6" s="193"/>
      <c r="H6" s="193"/>
      <c r="I6" s="193"/>
      <c r="J6" s="193"/>
      <c r="K6" s="194"/>
      <c r="L6" s="195"/>
      <c r="M6" s="195"/>
      <c r="N6" s="195"/>
      <c r="O6" s="195"/>
      <c r="P6" s="196"/>
      <c r="Q6" s="196"/>
      <c r="R6" s="193"/>
      <c r="S6" s="193"/>
      <c r="T6" s="197"/>
      <c r="U6" s="193"/>
      <c r="V6" s="193"/>
      <c r="W6" s="13"/>
      <c r="X6" s="13"/>
      <c r="Y6" s="14" t="s">
        <v>67</v>
      </c>
      <c r="Z6" s="14" t="s">
        <v>68</v>
      </c>
      <c r="AA6" s="14" t="s">
        <v>69</v>
      </c>
      <c r="AB6" s="14">
        <v>70</v>
      </c>
      <c r="AC6" s="14"/>
      <c r="AD6" s="14" t="s">
        <v>70</v>
      </c>
      <c r="AE6" s="14" t="s">
        <v>71</v>
      </c>
      <c r="AF6" s="14" t="s">
        <v>72</v>
      </c>
      <c r="AG6" s="14">
        <v>12</v>
      </c>
      <c r="AH6" s="14"/>
      <c r="AI6" s="14"/>
      <c r="AJ6" s="14"/>
      <c r="AK6" s="15"/>
      <c r="AL6" s="15"/>
      <c r="AM6" s="16" t="s">
        <v>49</v>
      </c>
      <c r="AN6" s="204" t="s">
        <v>50</v>
      </c>
      <c r="AO6" s="16" t="s">
        <v>68</v>
      </c>
      <c r="AP6" s="314">
        <v>68</v>
      </c>
      <c r="AQ6" s="204" t="s">
        <v>41</v>
      </c>
      <c r="AR6" s="314">
        <f>AP6*2</f>
        <v>136</v>
      </c>
      <c r="AS6" s="317">
        <v>120</v>
      </c>
      <c r="AT6" s="318">
        <v>120</v>
      </c>
      <c r="AU6" s="320">
        <v>120</v>
      </c>
      <c r="AX6" s="3">
        <v>60</v>
      </c>
      <c r="AY6" s="3" t="s">
        <v>1133</v>
      </c>
      <c r="AZ6" s="3">
        <v>50</v>
      </c>
      <c r="BA6" s="3" t="s">
        <v>1873</v>
      </c>
    </row>
    <row r="7" spans="2:53" ht="15" customHeight="1" x14ac:dyDescent="0.2">
      <c r="B7" s="193"/>
      <c r="C7" s="347"/>
      <c r="D7" s="193"/>
      <c r="E7" s="193"/>
      <c r="F7" s="193"/>
      <c r="G7" s="193"/>
      <c r="H7" s="193"/>
      <c r="I7" s="193"/>
      <c r="J7" s="193"/>
      <c r="K7" s="194"/>
      <c r="L7" s="195"/>
      <c r="M7" s="195"/>
      <c r="N7" s="195"/>
      <c r="O7" s="195"/>
      <c r="P7" s="196"/>
      <c r="Q7" s="196"/>
      <c r="R7" s="193"/>
      <c r="S7" s="193"/>
      <c r="T7" s="197"/>
      <c r="U7" s="193"/>
      <c r="V7" s="193"/>
      <c r="W7" s="13"/>
      <c r="X7" s="13"/>
      <c r="Y7" s="14" t="s">
        <v>74</v>
      </c>
      <c r="Z7" s="14" t="s">
        <v>75</v>
      </c>
      <c r="AA7" s="14" t="s">
        <v>69</v>
      </c>
      <c r="AB7" s="14">
        <v>54</v>
      </c>
      <c r="AC7" s="14"/>
      <c r="AD7" s="14" t="s">
        <v>76</v>
      </c>
      <c r="AE7" s="14" t="s">
        <v>77</v>
      </c>
      <c r="AF7" s="14" t="s">
        <v>72</v>
      </c>
      <c r="AG7" s="14">
        <v>12</v>
      </c>
      <c r="AH7" s="14"/>
      <c r="AI7" s="14"/>
      <c r="AJ7" s="14"/>
      <c r="AK7" s="15"/>
      <c r="AL7" s="15"/>
      <c r="AM7" s="16" t="s">
        <v>59</v>
      </c>
      <c r="AN7" s="204" t="s">
        <v>60</v>
      </c>
      <c r="AO7" s="16" t="s">
        <v>75</v>
      </c>
      <c r="AP7" s="314">
        <v>53</v>
      </c>
      <c r="AQ7" s="204" t="s">
        <v>41</v>
      </c>
      <c r="AR7" s="314">
        <f>AP7*2</f>
        <v>106</v>
      </c>
      <c r="AS7" s="317">
        <v>110</v>
      </c>
      <c r="AT7" s="318">
        <v>110</v>
      </c>
      <c r="AU7" s="320">
        <v>110</v>
      </c>
      <c r="AX7" s="3">
        <v>50</v>
      </c>
      <c r="AY7" s="3" t="s">
        <v>1133</v>
      </c>
      <c r="AZ7" s="3">
        <v>45</v>
      </c>
      <c r="BA7" s="3" t="s">
        <v>1873</v>
      </c>
    </row>
    <row r="8" spans="2:53" ht="15" customHeight="1" x14ac:dyDescent="0.2">
      <c r="B8" s="193"/>
      <c r="C8" s="347"/>
      <c r="D8" s="193"/>
      <c r="E8" s="193"/>
      <c r="F8" s="193"/>
      <c r="G8" s="193"/>
      <c r="H8" s="193"/>
      <c r="I8" s="193"/>
      <c r="J8" s="193"/>
      <c r="K8" s="194"/>
      <c r="L8" s="195"/>
      <c r="M8" s="195"/>
      <c r="N8" s="195"/>
      <c r="O8" s="195"/>
      <c r="P8" s="196"/>
      <c r="Q8" s="196"/>
      <c r="R8" s="193"/>
      <c r="S8" s="193"/>
      <c r="T8" s="197"/>
      <c r="U8" s="193"/>
      <c r="V8" s="193"/>
      <c r="W8" s="13"/>
      <c r="X8" s="13"/>
      <c r="Y8" s="14" t="s">
        <v>81</v>
      </c>
      <c r="Z8" s="14" t="s">
        <v>82</v>
      </c>
      <c r="AA8" s="14" t="s">
        <v>83</v>
      </c>
      <c r="AB8" s="14">
        <v>218</v>
      </c>
      <c r="AC8" s="14"/>
      <c r="AD8" s="14" t="s">
        <v>84</v>
      </c>
      <c r="AE8" s="14" t="s">
        <v>85</v>
      </c>
      <c r="AF8" s="14" t="s">
        <v>48</v>
      </c>
      <c r="AG8" s="14">
        <v>10</v>
      </c>
      <c r="AH8" s="14"/>
      <c r="AI8" s="14"/>
      <c r="AJ8" s="14"/>
      <c r="AK8" s="15"/>
      <c r="AL8" s="15"/>
      <c r="AM8" s="16" t="s">
        <v>78</v>
      </c>
      <c r="AN8" s="204" t="s">
        <v>79</v>
      </c>
      <c r="AO8" s="16" t="s">
        <v>88</v>
      </c>
      <c r="AP8" s="314">
        <v>99</v>
      </c>
      <c r="AQ8" s="204" t="s">
        <v>41</v>
      </c>
      <c r="AR8" s="314">
        <f>AP8*2</f>
        <v>198</v>
      </c>
      <c r="AS8" s="317">
        <v>140</v>
      </c>
      <c r="AT8" s="318">
        <v>140</v>
      </c>
      <c r="AU8" s="320">
        <v>140</v>
      </c>
      <c r="AX8" s="3">
        <v>75</v>
      </c>
      <c r="AY8" s="3" t="s">
        <v>1133</v>
      </c>
      <c r="AZ8" s="3">
        <v>70</v>
      </c>
      <c r="BA8" s="3" t="s">
        <v>1873</v>
      </c>
    </row>
    <row r="9" spans="2:53" ht="15" customHeight="1" x14ac:dyDescent="0.2">
      <c r="B9" s="193">
        <v>1</v>
      </c>
      <c r="C9" s="347" t="s">
        <v>124</v>
      </c>
      <c r="D9" s="193" t="str">
        <f t="shared" ref="D9:D22" si="0">I9&amp;C9&amp;_xlfn.XLOOKUP(H9,$AM$4:$AM$26,$AN$4:$AN$26,"")</f>
        <v>CPO000018KMP</v>
      </c>
      <c r="E9" s="193" t="s">
        <v>89</v>
      </c>
      <c r="F9" s="193" t="s">
        <v>1328</v>
      </c>
      <c r="G9" s="193" t="s">
        <v>1327</v>
      </c>
      <c r="H9" s="193" t="s">
        <v>59</v>
      </c>
      <c r="I9" s="193" t="s">
        <v>41</v>
      </c>
      <c r="J9" s="193" t="str">
        <f t="shared" ref="J9:J22" si="1">IF(MIN(L9,M9)&lt;=5000,"6 Roda",IF(MIN(L9,M9)&lt;=13800,"10 Roda","12 Roda"))</f>
        <v>10 Roda</v>
      </c>
      <c r="K9" s="194">
        <v>45930</v>
      </c>
      <c r="L9" s="195">
        <v>25000</v>
      </c>
      <c r="M9" s="195">
        <v>10740</v>
      </c>
      <c r="N9" s="195">
        <v>14260</v>
      </c>
      <c r="O9" s="195">
        <v>14360</v>
      </c>
      <c r="P9" s="196">
        <v>0.11944444444444501</v>
      </c>
      <c r="Q9" s="196">
        <v>0.61250000000000004</v>
      </c>
      <c r="R9" s="193" t="s">
        <v>42</v>
      </c>
      <c r="S9" s="193" t="s">
        <v>1781</v>
      </c>
      <c r="T9" s="197">
        <f t="shared" ref="T9:T22" si="2">IFERROR(_xlfn.XLOOKUP(H9,$AM$4:$AM$18,$AP$4:$AP$18,""),0)</f>
        <v>53</v>
      </c>
      <c r="U9" s="193" t="s">
        <v>1922</v>
      </c>
      <c r="V9" s="193" t="str">
        <f t="shared" ref="V9:V22" si="3">IFERROR(_xlfn.XLOOKUP(H9,$AM$4:$AM$18,$AO$4:$AO$18,""),"")</f>
        <v>Masamba</v>
      </c>
      <c r="W9" s="13"/>
      <c r="X9" s="13"/>
      <c r="Y9" s="14" t="s">
        <v>65</v>
      </c>
      <c r="Z9" s="14" t="s">
        <v>88</v>
      </c>
      <c r="AA9" s="14" t="s">
        <v>69</v>
      </c>
      <c r="AB9" s="14">
        <v>99</v>
      </c>
      <c r="AC9" s="14"/>
      <c r="AD9" s="14" t="s">
        <v>89</v>
      </c>
      <c r="AE9" s="14" t="s">
        <v>57</v>
      </c>
      <c r="AF9" s="14" t="s">
        <v>48</v>
      </c>
      <c r="AG9" s="14">
        <v>10</v>
      </c>
      <c r="AH9" s="14"/>
      <c r="AI9" s="14"/>
      <c r="AJ9" s="14"/>
      <c r="AK9" s="15"/>
      <c r="AL9" s="15"/>
      <c r="AM9" s="16" t="s">
        <v>86</v>
      </c>
      <c r="AN9" s="204" t="s">
        <v>87</v>
      </c>
      <c r="AO9" s="16" t="s">
        <v>55</v>
      </c>
      <c r="AP9" s="314">
        <v>562</v>
      </c>
      <c r="AQ9" s="204" t="s">
        <v>3</v>
      </c>
      <c r="AR9" s="314">
        <f>AP9*2</f>
        <v>1124</v>
      </c>
      <c r="AS9" s="317">
        <v>1200</v>
      </c>
      <c r="AT9" s="318">
        <v>1200</v>
      </c>
      <c r="AU9" s="320">
        <v>1200</v>
      </c>
    </row>
    <row r="10" spans="2:53" ht="15" customHeight="1" x14ac:dyDescent="0.2">
      <c r="B10" s="193">
        <v>1</v>
      </c>
      <c r="C10" s="347" t="s">
        <v>125</v>
      </c>
      <c r="D10" s="193" t="str">
        <f t="shared" si="0"/>
        <v>CPO000019KMP</v>
      </c>
      <c r="E10" s="193" t="s">
        <v>106</v>
      </c>
      <c r="F10" s="193" t="s">
        <v>1328</v>
      </c>
      <c r="G10" s="193" t="s">
        <v>1327</v>
      </c>
      <c r="H10" s="193" t="s">
        <v>59</v>
      </c>
      <c r="I10" s="193" t="s">
        <v>41</v>
      </c>
      <c r="J10" s="193" t="str">
        <f t="shared" si="1"/>
        <v>12 Roda</v>
      </c>
      <c r="K10" s="194">
        <v>45930</v>
      </c>
      <c r="L10" s="195">
        <v>45770</v>
      </c>
      <c r="M10" s="195">
        <v>17820</v>
      </c>
      <c r="N10" s="195">
        <v>27950</v>
      </c>
      <c r="O10" s="195">
        <v>28420</v>
      </c>
      <c r="P10" s="196">
        <v>0.45138888888888901</v>
      </c>
      <c r="Q10" s="196">
        <v>0.55138888888888904</v>
      </c>
      <c r="R10" s="193" t="s">
        <v>42</v>
      </c>
      <c r="S10" s="193" t="s">
        <v>1372</v>
      </c>
      <c r="T10" s="197">
        <f t="shared" si="2"/>
        <v>53</v>
      </c>
      <c r="U10" s="193" t="s">
        <v>1922</v>
      </c>
      <c r="V10" s="193" t="str">
        <f t="shared" si="3"/>
        <v>Masamba</v>
      </c>
      <c r="W10" s="13"/>
      <c r="X10" s="13"/>
      <c r="Y10" s="14" t="s">
        <v>92</v>
      </c>
      <c r="Z10" s="14" t="s">
        <v>44</v>
      </c>
      <c r="AA10" s="14"/>
      <c r="AB10" s="14"/>
      <c r="AC10" s="14"/>
      <c r="AD10" s="14" t="s">
        <v>93</v>
      </c>
      <c r="AE10" s="14" t="s">
        <v>47</v>
      </c>
      <c r="AF10" s="14" t="s">
        <v>48</v>
      </c>
      <c r="AG10" s="14">
        <v>10</v>
      </c>
      <c r="AH10" s="14"/>
      <c r="AI10" s="14"/>
      <c r="AJ10" s="14"/>
      <c r="AK10" s="15"/>
      <c r="AL10" s="15"/>
      <c r="AM10" s="16" t="s">
        <v>94</v>
      </c>
      <c r="AN10" s="204" t="s">
        <v>95</v>
      </c>
      <c r="AO10" s="16"/>
      <c r="AP10" s="315"/>
      <c r="AQ10" s="204" t="s">
        <v>66</v>
      </c>
      <c r="AR10" s="314"/>
      <c r="AS10" s="317"/>
      <c r="AT10" s="318"/>
      <c r="AU10" s="319"/>
    </row>
    <row r="11" spans="2:53" ht="15" customHeight="1" x14ac:dyDescent="0.2">
      <c r="B11" s="193">
        <v>1</v>
      </c>
      <c r="C11" s="347" t="s">
        <v>126</v>
      </c>
      <c r="D11" s="193" t="str">
        <f t="shared" si="0"/>
        <v>CPO000020KMP</v>
      </c>
      <c r="E11" s="193" t="s">
        <v>102</v>
      </c>
      <c r="F11" s="193" t="s">
        <v>1328</v>
      </c>
      <c r="G11" s="193" t="s">
        <v>1327</v>
      </c>
      <c r="H11" s="193" t="s">
        <v>59</v>
      </c>
      <c r="I11" s="193" t="s">
        <v>41</v>
      </c>
      <c r="J11" s="193" t="str">
        <f t="shared" si="1"/>
        <v>12 Roda</v>
      </c>
      <c r="K11" s="194">
        <v>45930</v>
      </c>
      <c r="L11" s="195">
        <v>45930</v>
      </c>
      <c r="M11" s="195">
        <v>18580</v>
      </c>
      <c r="N11" s="195">
        <v>27350</v>
      </c>
      <c r="O11" s="195">
        <v>28520</v>
      </c>
      <c r="P11" s="196">
        <v>0.45624999999999999</v>
      </c>
      <c r="Q11" s="196">
        <v>0.64027777777777795</v>
      </c>
      <c r="R11" s="193" t="s">
        <v>42</v>
      </c>
      <c r="S11" s="193" t="s">
        <v>1499</v>
      </c>
      <c r="T11" s="197">
        <f t="shared" si="2"/>
        <v>53</v>
      </c>
      <c r="U11" s="193" t="s">
        <v>1922</v>
      </c>
      <c r="V11" s="193" t="str">
        <f t="shared" si="3"/>
        <v>Masamba</v>
      </c>
      <c r="W11" s="13"/>
      <c r="X11" s="13"/>
      <c r="Y11" s="14" t="s">
        <v>96</v>
      </c>
      <c r="Z11" s="14"/>
      <c r="AA11" s="14"/>
      <c r="AB11" s="14"/>
      <c r="AC11" s="14"/>
      <c r="AD11" s="14" t="s">
        <v>97</v>
      </c>
      <c r="AE11" s="14" t="s">
        <v>85</v>
      </c>
      <c r="AF11" s="14" t="s">
        <v>48</v>
      </c>
      <c r="AG11" s="14">
        <v>10</v>
      </c>
      <c r="AH11" s="14"/>
      <c r="AI11" s="14"/>
      <c r="AJ11" s="14"/>
      <c r="AK11" s="15"/>
      <c r="AL11" s="15"/>
      <c r="AM11" s="16" t="s">
        <v>98</v>
      </c>
      <c r="AN11" s="204" t="s">
        <v>99</v>
      </c>
      <c r="AO11" s="16"/>
      <c r="AP11" s="315"/>
      <c r="AQ11" s="204" t="s">
        <v>41</v>
      </c>
      <c r="AR11" s="314"/>
      <c r="AS11" s="317"/>
      <c r="AT11" s="318"/>
      <c r="AU11" s="319"/>
    </row>
    <row r="12" spans="2:53" ht="15" customHeight="1" x14ac:dyDescent="0.2">
      <c r="B12" s="193">
        <v>1</v>
      </c>
      <c r="C12" s="347" t="s">
        <v>127</v>
      </c>
      <c r="D12" s="193" t="str">
        <f t="shared" si="0"/>
        <v>CPO000021KMP</v>
      </c>
      <c r="E12" s="193" t="s">
        <v>97</v>
      </c>
      <c r="F12" s="193" t="s">
        <v>1328</v>
      </c>
      <c r="G12" s="193" t="s">
        <v>1327</v>
      </c>
      <c r="H12" s="193" t="s">
        <v>59</v>
      </c>
      <c r="I12" s="193" t="s">
        <v>41</v>
      </c>
      <c r="J12" s="193" t="str">
        <f t="shared" si="1"/>
        <v>10 Roda</v>
      </c>
      <c r="K12" s="194">
        <v>45930</v>
      </c>
      <c r="L12" s="195">
        <v>26780</v>
      </c>
      <c r="M12" s="195">
        <v>12170</v>
      </c>
      <c r="N12" s="195">
        <v>14610</v>
      </c>
      <c r="O12" s="195">
        <v>14720</v>
      </c>
      <c r="P12" s="196">
        <v>0.45972222222222198</v>
      </c>
      <c r="Q12" s="196">
        <v>0.55000000000000004</v>
      </c>
      <c r="R12" s="193" t="s">
        <v>42</v>
      </c>
      <c r="S12" s="193" t="s">
        <v>1782</v>
      </c>
      <c r="T12" s="197">
        <f t="shared" si="2"/>
        <v>53</v>
      </c>
      <c r="U12" s="193" t="s">
        <v>1922</v>
      </c>
      <c r="V12" s="193" t="str">
        <f t="shared" si="3"/>
        <v>Masamba</v>
      </c>
      <c r="W12" s="13"/>
      <c r="X12" s="13"/>
      <c r="Y12" s="14" t="s">
        <v>101</v>
      </c>
      <c r="Z12" s="14"/>
      <c r="AA12" s="14"/>
      <c r="AB12" s="14"/>
      <c r="AC12" s="14"/>
      <c r="AD12" s="14" t="s">
        <v>102</v>
      </c>
      <c r="AE12" s="14" t="s">
        <v>71</v>
      </c>
      <c r="AF12" s="14" t="s">
        <v>72</v>
      </c>
      <c r="AG12" s="14">
        <v>12</v>
      </c>
      <c r="AH12" s="14"/>
      <c r="AI12" s="14"/>
      <c r="AJ12" s="14"/>
      <c r="AK12" s="15"/>
      <c r="AL12" s="15"/>
      <c r="AM12" s="16" t="s">
        <v>103</v>
      </c>
      <c r="AN12" s="204" t="s">
        <v>104</v>
      </c>
      <c r="AO12" s="16" t="s">
        <v>44</v>
      </c>
      <c r="AP12" s="315">
        <v>360</v>
      </c>
      <c r="AQ12" s="204" t="s">
        <v>3</v>
      </c>
      <c r="AR12" s="314">
        <f t="shared" ref="AR12:AR17" si="4">AP12*2</f>
        <v>720</v>
      </c>
      <c r="AS12" s="317">
        <v>475</v>
      </c>
      <c r="AT12" s="318">
        <v>475</v>
      </c>
      <c r="AU12" s="320">
        <v>475</v>
      </c>
      <c r="AX12" s="3">
        <v>300</v>
      </c>
      <c r="AY12" s="3" t="s">
        <v>1133</v>
      </c>
      <c r="AZ12" s="3">
        <v>280</v>
      </c>
      <c r="BA12" s="3" t="s">
        <v>1873</v>
      </c>
    </row>
    <row r="13" spans="2:53" ht="15" customHeight="1" x14ac:dyDescent="0.2">
      <c r="B13" s="193">
        <v>1</v>
      </c>
      <c r="C13" s="347" t="s">
        <v>128</v>
      </c>
      <c r="D13" s="193" t="str">
        <f t="shared" si="0"/>
        <v>CPO000022KMP</v>
      </c>
      <c r="E13" s="193" t="s">
        <v>89</v>
      </c>
      <c r="F13" s="193" t="s">
        <v>1328</v>
      </c>
      <c r="G13" s="193" t="s">
        <v>1327</v>
      </c>
      <c r="H13" s="193" t="s">
        <v>59</v>
      </c>
      <c r="I13" s="193" t="s">
        <v>41</v>
      </c>
      <c r="J13" s="193" t="str">
        <f t="shared" si="1"/>
        <v>10 Roda</v>
      </c>
      <c r="K13" s="194">
        <v>45930</v>
      </c>
      <c r="L13" s="195">
        <v>24870</v>
      </c>
      <c r="M13" s="195">
        <v>10660</v>
      </c>
      <c r="N13" s="195">
        <v>14210</v>
      </c>
      <c r="O13" s="195">
        <v>14200</v>
      </c>
      <c r="P13" s="196">
        <v>0.86944444444444502</v>
      </c>
      <c r="Q13" s="196">
        <v>0.94236111111111098</v>
      </c>
      <c r="R13" s="193" t="s">
        <v>42</v>
      </c>
      <c r="S13" s="193" t="s">
        <v>1781</v>
      </c>
      <c r="T13" s="197">
        <f t="shared" si="2"/>
        <v>53</v>
      </c>
      <c r="U13" s="193" t="s">
        <v>1922</v>
      </c>
      <c r="V13" s="193" t="str">
        <f t="shared" si="3"/>
        <v>Masamba</v>
      </c>
      <c r="W13" s="13"/>
      <c r="X13" s="13"/>
      <c r="Y13" s="14" t="s">
        <v>105</v>
      </c>
      <c r="Z13" s="14"/>
      <c r="AA13" s="14"/>
      <c r="AB13" s="14"/>
      <c r="AC13" s="14"/>
      <c r="AD13" s="14" t="s">
        <v>106</v>
      </c>
      <c r="AE13" s="14" t="s">
        <v>77</v>
      </c>
      <c r="AF13" s="14" t="s">
        <v>72</v>
      </c>
      <c r="AG13" s="14">
        <v>12</v>
      </c>
      <c r="AH13" s="14"/>
      <c r="AI13" s="14"/>
      <c r="AJ13" s="14"/>
      <c r="AK13" s="15"/>
      <c r="AL13" s="15"/>
      <c r="AM13" s="16" t="s">
        <v>107</v>
      </c>
      <c r="AN13" s="204" t="s">
        <v>108</v>
      </c>
      <c r="AO13" s="16" t="s">
        <v>1740</v>
      </c>
      <c r="AP13" s="315">
        <v>400</v>
      </c>
      <c r="AQ13" s="204" t="s">
        <v>3</v>
      </c>
      <c r="AR13" s="314">
        <f t="shared" si="4"/>
        <v>800</v>
      </c>
      <c r="AS13" s="317">
        <v>475</v>
      </c>
      <c r="AT13" s="318">
        <v>475</v>
      </c>
      <c r="AU13" s="320">
        <v>475</v>
      </c>
      <c r="AX13" s="3">
        <v>320</v>
      </c>
      <c r="AY13" s="3" t="s">
        <v>1133</v>
      </c>
      <c r="AZ13" s="3">
        <v>300</v>
      </c>
      <c r="BA13" s="3" t="s">
        <v>1873</v>
      </c>
    </row>
    <row r="14" spans="2:53" ht="15" customHeight="1" x14ac:dyDescent="0.2">
      <c r="B14" s="193">
        <v>1</v>
      </c>
      <c r="C14" s="347" t="s">
        <v>130</v>
      </c>
      <c r="D14" s="193" t="str">
        <f t="shared" si="0"/>
        <v>CPO000024KMP</v>
      </c>
      <c r="E14" s="193" t="s">
        <v>106</v>
      </c>
      <c r="F14" s="193" t="s">
        <v>1328</v>
      </c>
      <c r="G14" s="193" t="s">
        <v>1327</v>
      </c>
      <c r="H14" s="193" t="s">
        <v>59</v>
      </c>
      <c r="I14" s="193" t="s">
        <v>41</v>
      </c>
      <c r="J14" s="193" t="str">
        <f t="shared" si="1"/>
        <v>12 Roda</v>
      </c>
      <c r="K14" s="194">
        <v>45930</v>
      </c>
      <c r="L14" s="195">
        <v>45770</v>
      </c>
      <c r="M14" s="195">
        <v>17500</v>
      </c>
      <c r="N14" s="195">
        <v>28270</v>
      </c>
      <c r="O14" s="195">
        <v>28080</v>
      </c>
      <c r="P14" s="196">
        <v>0.87291666666666701</v>
      </c>
      <c r="Q14" s="196">
        <v>0.95</v>
      </c>
      <c r="R14" s="193" t="s">
        <v>42</v>
      </c>
      <c r="S14" s="193" t="s">
        <v>1372</v>
      </c>
      <c r="T14" s="197">
        <f t="shared" si="2"/>
        <v>53</v>
      </c>
      <c r="U14" s="193" t="s">
        <v>1922</v>
      </c>
      <c r="V14" s="193" t="str">
        <f t="shared" si="3"/>
        <v>Masamba</v>
      </c>
      <c r="W14" s="13"/>
      <c r="X14" s="13"/>
      <c r="Y14" s="14" t="s">
        <v>110</v>
      </c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5"/>
      <c r="AL14" s="15"/>
      <c r="AM14" s="16" t="s">
        <v>111</v>
      </c>
      <c r="AN14" s="204" t="s">
        <v>112</v>
      </c>
      <c r="AO14" s="16" t="s">
        <v>44</v>
      </c>
      <c r="AP14" s="315">
        <v>360</v>
      </c>
      <c r="AQ14" s="204" t="s">
        <v>3</v>
      </c>
      <c r="AR14" s="314">
        <f t="shared" si="4"/>
        <v>720</v>
      </c>
      <c r="AS14" s="317">
        <v>475</v>
      </c>
      <c r="AT14" s="318">
        <v>475</v>
      </c>
      <c r="AU14" s="320">
        <v>475</v>
      </c>
      <c r="AX14" s="3">
        <v>300</v>
      </c>
      <c r="AY14" s="3" t="s">
        <v>1133</v>
      </c>
      <c r="AZ14" s="3">
        <v>280</v>
      </c>
      <c r="BA14" s="3" t="s">
        <v>1873</v>
      </c>
    </row>
    <row r="15" spans="2:53" ht="15" customHeight="1" x14ac:dyDescent="0.2">
      <c r="B15" s="193">
        <v>1</v>
      </c>
      <c r="C15" s="347" t="s">
        <v>129</v>
      </c>
      <c r="D15" s="193" t="str">
        <f t="shared" si="0"/>
        <v>CPO000023KMP</v>
      </c>
      <c r="E15" s="193" t="s">
        <v>97</v>
      </c>
      <c r="F15" s="193" t="s">
        <v>1328</v>
      </c>
      <c r="G15" s="193" t="s">
        <v>1327</v>
      </c>
      <c r="H15" s="193" t="s">
        <v>59</v>
      </c>
      <c r="I15" s="193" t="s">
        <v>41</v>
      </c>
      <c r="J15" s="193" t="str">
        <f t="shared" si="1"/>
        <v>10 Roda</v>
      </c>
      <c r="K15" s="194">
        <v>45931</v>
      </c>
      <c r="L15" s="195">
        <v>26650</v>
      </c>
      <c r="M15" s="195">
        <v>12110</v>
      </c>
      <c r="N15" s="195">
        <v>14540</v>
      </c>
      <c r="O15" s="195">
        <v>14540</v>
      </c>
      <c r="P15" s="196">
        <v>0.87013888888888902</v>
      </c>
      <c r="Q15" s="196">
        <v>7.6388888888888904E-3</v>
      </c>
      <c r="R15" s="193" t="s">
        <v>42</v>
      </c>
      <c r="S15" s="193" t="s">
        <v>1782</v>
      </c>
      <c r="T15" s="197">
        <f t="shared" si="2"/>
        <v>53</v>
      </c>
      <c r="U15" s="193" t="s">
        <v>1922</v>
      </c>
      <c r="V15" s="193" t="str">
        <f t="shared" si="3"/>
        <v>Masamba</v>
      </c>
      <c r="W15" s="13"/>
      <c r="X15" s="13"/>
      <c r="Y15" s="14" t="s">
        <v>1482</v>
      </c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5"/>
      <c r="AL15" s="15"/>
      <c r="AM15" s="16" t="s">
        <v>115</v>
      </c>
      <c r="AN15" s="204" t="s">
        <v>116</v>
      </c>
      <c r="AO15" s="16" t="s">
        <v>1661</v>
      </c>
      <c r="AP15" s="314">
        <v>642</v>
      </c>
      <c r="AQ15" s="204" t="s">
        <v>3</v>
      </c>
      <c r="AR15" s="314">
        <f t="shared" si="4"/>
        <v>1284</v>
      </c>
      <c r="AS15" s="317">
        <v>1500</v>
      </c>
      <c r="AT15" s="318">
        <v>1500</v>
      </c>
      <c r="AU15" s="320">
        <v>1500</v>
      </c>
      <c r="AX15" s="3">
        <v>750</v>
      </c>
      <c r="AY15" s="3" t="s">
        <v>1133</v>
      </c>
      <c r="AZ15" s="3">
        <v>640</v>
      </c>
      <c r="BA15" s="3" t="s">
        <v>1873</v>
      </c>
    </row>
    <row r="16" spans="2:53" ht="15" customHeight="1" x14ac:dyDescent="0.2">
      <c r="B16" s="193">
        <v>1</v>
      </c>
      <c r="C16" s="347" t="s">
        <v>131</v>
      </c>
      <c r="D16" s="193" t="str">
        <f t="shared" si="0"/>
        <v>CPO000025KMP</v>
      </c>
      <c r="E16" s="193" t="s">
        <v>102</v>
      </c>
      <c r="F16" s="193" t="s">
        <v>1328</v>
      </c>
      <c r="G16" s="193" t="s">
        <v>1327</v>
      </c>
      <c r="H16" s="193" t="s">
        <v>59</v>
      </c>
      <c r="I16" s="193" t="s">
        <v>41</v>
      </c>
      <c r="J16" s="193" t="str">
        <f t="shared" si="1"/>
        <v>12 Roda</v>
      </c>
      <c r="K16" s="194">
        <v>45931</v>
      </c>
      <c r="L16" s="195">
        <v>45650</v>
      </c>
      <c r="M16" s="195">
        <v>17580</v>
      </c>
      <c r="N16" s="195">
        <v>28070</v>
      </c>
      <c r="O16" s="195">
        <v>27180</v>
      </c>
      <c r="P16" s="196">
        <v>0.89930555555555602</v>
      </c>
      <c r="Q16" s="196">
        <v>1.59722222222222E-2</v>
      </c>
      <c r="R16" s="193" t="s">
        <v>42</v>
      </c>
      <c r="S16" s="193" t="s">
        <v>1499</v>
      </c>
      <c r="T16" s="197">
        <f t="shared" si="2"/>
        <v>53</v>
      </c>
      <c r="U16" s="193" t="s">
        <v>1922</v>
      </c>
      <c r="V16" s="193" t="str">
        <f t="shared" si="3"/>
        <v>Masamba</v>
      </c>
      <c r="W16" s="13"/>
      <c r="X16" s="13"/>
      <c r="Y16" s="14" t="s">
        <v>114</v>
      </c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7"/>
      <c r="AL16" s="15"/>
      <c r="AM16" s="17" t="s">
        <v>1523</v>
      </c>
      <c r="AN16" s="18" t="s">
        <v>1524</v>
      </c>
      <c r="AO16" s="16" t="s">
        <v>1741</v>
      </c>
      <c r="AP16" s="314">
        <v>473</v>
      </c>
      <c r="AQ16" s="204" t="s">
        <v>3</v>
      </c>
      <c r="AR16" s="314">
        <f t="shared" si="4"/>
        <v>946</v>
      </c>
      <c r="AS16" s="317">
        <v>1000</v>
      </c>
      <c r="AT16" s="318">
        <v>1000</v>
      </c>
      <c r="AU16" s="320">
        <v>1000</v>
      </c>
      <c r="AX16" s="3">
        <v>400</v>
      </c>
      <c r="AY16" s="3" t="s">
        <v>1133</v>
      </c>
      <c r="AZ16" s="3">
        <v>360</v>
      </c>
      <c r="BA16" s="3" t="s">
        <v>1873</v>
      </c>
    </row>
    <row r="17" spans="2:53" ht="15" customHeight="1" x14ac:dyDescent="0.2">
      <c r="B17" s="193">
        <v>1</v>
      </c>
      <c r="C17" s="347" t="s">
        <v>132</v>
      </c>
      <c r="D17" s="193" t="str">
        <f t="shared" si="0"/>
        <v>CPO000026KMP</v>
      </c>
      <c r="E17" s="193" t="s">
        <v>97</v>
      </c>
      <c r="F17" s="193" t="s">
        <v>1328</v>
      </c>
      <c r="G17" s="193" t="s">
        <v>1327</v>
      </c>
      <c r="H17" s="193" t="s">
        <v>59</v>
      </c>
      <c r="I17" s="193" t="s">
        <v>41</v>
      </c>
      <c r="J17" s="193" t="str">
        <f t="shared" si="1"/>
        <v>10 Roda</v>
      </c>
      <c r="K17" s="194">
        <v>45931</v>
      </c>
      <c r="L17" s="195">
        <v>26600</v>
      </c>
      <c r="M17" s="195">
        <v>12030</v>
      </c>
      <c r="N17" s="195">
        <v>14570</v>
      </c>
      <c r="O17" s="195">
        <v>14560</v>
      </c>
      <c r="P17" s="196">
        <v>0.54930555555555605</v>
      </c>
      <c r="Q17" s="196">
        <v>0.60208333333333297</v>
      </c>
      <c r="R17" s="193" t="s">
        <v>42</v>
      </c>
      <c r="S17" s="193" t="s">
        <v>1782</v>
      </c>
      <c r="T17" s="197">
        <f t="shared" si="2"/>
        <v>53</v>
      </c>
      <c r="U17" s="193" t="s">
        <v>1922</v>
      </c>
      <c r="V17" s="193" t="str">
        <f t="shared" si="3"/>
        <v>Masamba</v>
      </c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7"/>
      <c r="AL17" s="17"/>
      <c r="AM17" s="17" t="s">
        <v>1590</v>
      </c>
      <c r="AN17" s="18" t="s">
        <v>1525</v>
      </c>
      <c r="AO17" s="16" t="s">
        <v>1661</v>
      </c>
      <c r="AP17" s="314">
        <v>642</v>
      </c>
      <c r="AQ17" s="204" t="s">
        <v>3</v>
      </c>
      <c r="AR17" s="314">
        <f t="shared" si="4"/>
        <v>1284</v>
      </c>
      <c r="AS17" s="317">
        <v>1500</v>
      </c>
      <c r="AT17" s="318">
        <v>1500</v>
      </c>
      <c r="AU17" s="320">
        <v>1500</v>
      </c>
      <c r="AX17" s="3">
        <v>750</v>
      </c>
      <c r="AY17" s="3" t="s">
        <v>1133</v>
      </c>
      <c r="AZ17" s="3">
        <v>640</v>
      </c>
      <c r="BA17" s="3" t="s">
        <v>1873</v>
      </c>
    </row>
    <row r="18" spans="2:53" ht="15" customHeight="1" x14ac:dyDescent="0.2">
      <c r="B18" s="193">
        <v>1</v>
      </c>
      <c r="C18" s="347" t="s">
        <v>133</v>
      </c>
      <c r="D18" s="193" t="str">
        <f t="shared" si="0"/>
        <v>CPO000027KMP</v>
      </c>
      <c r="E18" s="193" t="s">
        <v>102</v>
      </c>
      <c r="F18" s="193" t="s">
        <v>1328</v>
      </c>
      <c r="G18" s="193" t="s">
        <v>1327</v>
      </c>
      <c r="H18" s="193" t="s">
        <v>59</v>
      </c>
      <c r="I18" s="193" t="s">
        <v>41</v>
      </c>
      <c r="J18" s="193" t="str">
        <f t="shared" si="1"/>
        <v>12 Roda</v>
      </c>
      <c r="K18" s="194">
        <v>45931</v>
      </c>
      <c r="L18" s="195">
        <v>45720</v>
      </c>
      <c r="M18" s="195">
        <v>17500</v>
      </c>
      <c r="N18" s="195">
        <v>28220</v>
      </c>
      <c r="O18" s="195">
        <v>28240</v>
      </c>
      <c r="P18" s="196">
        <v>0.55138888888888904</v>
      </c>
      <c r="Q18" s="196">
        <v>0.625</v>
      </c>
      <c r="R18" s="193" t="s">
        <v>42</v>
      </c>
      <c r="S18" s="193" t="s">
        <v>1499</v>
      </c>
      <c r="T18" s="197">
        <f t="shared" si="2"/>
        <v>53</v>
      </c>
      <c r="U18" s="193" t="s">
        <v>1922</v>
      </c>
      <c r="V18" s="193" t="str">
        <f t="shared" si="3"/>
        <v>Masamba</v>
      </c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7"/>
      <c r="AL18" s="17"/>
      <c r="AM18" s="16" t="s">
        <v>1684</v>
      </c>
      <c r="AN18" s="204" t="s">
        <v>1685</v>
      </c>
      <c r="AO18" s="16"/>
      <c r="AP18" s="314"/>
      <c r="AQ18" s="204" t="s">
        <v>3</v>
      </c>
      <c r="AR18" s="314"/>
      <c r="AS18" s="321"/>
      <c r="AT18" s="322"/>
      <c r="AU18" s="323"/>
    </row>
    <row r="19" spans="2:53" ht="15" customHeight="1" x14ac:dyDescent="0.2">
      <c r="B19" s="193">
        <v>1</v>
      </c>
      <c r="C19" s="347" t="s">
        <v>134</v>
      </c>
      <c r="D19" s="193" t="str">
        <f t="shared" si="0"/>
        <v>CPO000028KMP</v>
      </c>
      <c r="E19" s="193" t="s">
        <v>106</v>
      </c>
      <c r="F19" s="193" t="s">
        <v>1328</v>
      </c>
      <c r="G19" s="193" t="s">
        <v>1327</v>
      </c>
      <c r="H19" s="193" t="s">
        <v>59</v>
      </c>
      <c r="I19" s="193" t="s">
        <v>41</v>
      </c>
      <c r="J19" s="193" t="str">
        <f t="shared" si="1"/>
        <v>12 Roda</v>
      </c>
      <c r="K19" s="194">
        <v>45931</v>
      </c>
      <c r="L19" s="195">
        <v>45660</v>
      </c>
      <c r="M19" s="195">
        <v>17430</v>
      </c>
      <c r="N19" s="195">
        <v>28230</v>
      </c>
      <c r="O19" s="195">
        <v>28260</v>
      </c>
      <c r="P19" s="196">
        <v>0.55972222222222201</v>
      </c>
      <c r="Q19" s="196">
        <v>0.71250000000000002</v>
      </c>
      <c r="R19" s="193" t="s">
        <v>42</v>
      </c>
      <c r="S19" s="193" t="s">
        <v>1372</v>
      </c>
      <c r="T19" s="197">
        <f t="shared" si="2"/>
        <v>53</v>
      </c>
      <c r="U19" s="193" t="s">
        <v>1922</v>
      </c>
      <c r="V19" s="193" t="str">
        <f t="shared" si="3"/>
        <v>Masamba</v>
      </c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M19" s="3" t="s">
        <v>3143</v>
      </c>
      <c r="AN19" s="18" t="s">
        <v>3164</v>
      </c>
      <c r="AO19" s="3" t="s">
        <v>44</v>
      </c>
      <c r="AP19" s="315">
        <v>360</v>
      </c>
      <c r="AQ19" s="204" t="s">
        <v>3142</v>
      </c>
    </row>
    <row r="20" spans="2:53" ht="15" customHeight="1" x14ac:dyDescent="0.2">
      <c r="B20" s="193">
        <v>1</v>
      </c>
      <c r="C20" s="347" t="s">
        <v>135</v>
      </c>
      <c r="D20" s="193" t="str">
        <f t="shared" si="0"/>
        <v>CPO000029KMP</v>
      </c>
      <c r="E20" s="193" t="s">
        <v>89</v>
      </c>
      <c r="F20" s="193" t="s">
        <v>1328</v>
      </c>
      <c r="G20" s="193" t="s">
        <v>1327</v>
      </c>
      <c r="H20" s="193" t="s">
        <v>59</v>
      </c>
      <c r="I20" s="193" t="s">
        <v>41</v>
      </c>
      <c r="J20" s="193" t="str">
        <f t="shared" si="1"/>
        <v>10 Roda</v>
      </c>
      <c r="K20" s="194">
        <v>45931</v>
      </c>
      <c r="L20" s="195">
        <v>24910</v>
      </c>
      <c r="M20" s="195">
        <v>10660</v>
      </c>
      <c r="N20" s="195">
        <v>14250</v>
      </c>
      <c r="O20" s="195">
        <v>14300</v>
      </c>
      <c r="P20" s="196">
        <v>0.63194444444444398</v>
      </c>
      <c r="Q20" s="196">
        <v>0.69166666666666698</v>
      </c>
      <c r="R20" s="193" t="s">
        <v>42</v>
      </c>
      <c r="S20" s="193" t="s">
        <v>1781</v>
      </c>
      <c r="T20" s="197">
        <f t="shared" si="2"/>
        <v>53</v>
      </c>
      <c r="U20" s="193" t="s">
        <v>1922</v>
      </c>
      <c r="V20" s="193" t="str">
        <f t="shared" si="3"/>
        <v>Masamba</v>
      </c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7"/>
      <c r="AL20" s="18"/>
    </row>
    <row r="21" spans="2:53" ht="15" customHeight="1" x14ac:dyDescent="0.2">
      <c r="B21" s="193">
        <v>1</v>
      </c>
      <c r="C21" s="347" t="s">
        <v>136</v>
      </c>
      <c r="D21" s="193" t="str">
        <f t="shared" si="0"/>
        <v>CPO000030KMP</v>
      </c>
      <c r="E21" s="193" t="s">
        <v>97</v>
      </c>
      <c r="F21" s="193" t="s">
        <v>1328</v>
      </c>
      <c r="G21" s="193" t="s">
        <v>1327</v>
      </c>
      <c r="H21" s="193" t="s">
        <v>59</v>
      </c>
      <c r="I21" s="193" t="s">
        <v>41</v>
      </c>
      <c r="J21" s="193" t="str">
        <f t="shared" si="1"/>
        <v>10 Roda</v>
      </c>
      <c r="K21" s="194">
        <v>45931</v>
      </c>
      <c r="L21" s="195">
        <v>26560</v>
      </c>
      <c r="M21" s="195">
        <v>12010</v>
      </c>
      <c r="N21" s="195">
        <v>14550</v>
      </c>
      <c r="O21" s="195">
        <v>14600</v>
      </c>
      <c r="P21" s="196">
        <v>0.81527777777777799</v>
      </c>
      <c r="Q21" s="196">
        <v>0.88611111111111096</v>
      </c>
      <c r="R21" s="193" t="s">
        <v>42</v>
      </c>
      <c r="S21" s="193" t="s">
        <v>1782</v>
      </c>
      <c r="T21" s="197">
        <f t="shared" si="2"/>
        <v>53</v>
      </c>
      <c r="U21" s="193" t="s">
        <v>1922</v>
      </c>
      <c r="V21" s="193" t="str">
        <f t="shared" si="3"/>
        <v>Masamba</v>
      </c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7"/>
      <c r="AL21" s="18"/>
    </row>
    <row r="22" spans="2:53" ht="15" customHeight="1" x14ac:dyDescent="0.2">
      <c r="B22" s="193">
        <v>1</v>
      </c>
      <c r="C22" s="347" t="s">
        <v>138</v>
      </c>
      <c r="D22" s="193" t="str">
        <f t="shared" si="0"/>
        <v>CPO000031KMP</v>
      </c>
      <c r="E22" s="193" t="s">
        <v>102</v>
      </c>
      <c r="F22" s="193" t="s">
        <v>1328</v>
      </c>
      <c r="G22" s="193" t="s">
        <v>1327</v>
      </c>
      <c r="H22" s="193" t="s">
        <v>59</v>
      </c>
      <c r="I22" s="193" t="s">
        <v>41</v>
      </c>
      <c r="J22" s="193" t="str">
        <f t="shared" si="1"/>
        <v>12 Roda</v>
      </c>
      <c r="K22" s="194">
        <v>45931</v>
      </c>
      <c r="L22" s="195">
        <v>45560</v>
      </c>
      <c r="M22" s="195">
        <v>17480</v>
      </c>
      <c r="N22" s="195">
        <v>28080</v>
      </c>
      <c r="O22" s="195">
        <v>28140</v>
      </c>
      <c r="P22" s="196">
        <v>0.81666666666666698</v>
      </c>
      <c r="Q22" s="196">
        <v>0.88958333333333295</v>
      </c>
      <c r="R22" s="193" t="s">
        <v>42</v>
      </c>
      <c r="S22" s="193" t="s">
        <v>1499</v>
      </c>
      <c r="T22" s="197">
        <f t="shared" si="2"/>
        <v>53</v>
      </c>
      <c r="U22" s="193" t="s">
        <v>1922</v>
      </c>
      <c r="V22" s="193" t="str">
        <f t="shared" si="3"/>
        <v>Masamba</v>
      </c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7"/>
      <c r="AL22" s="18"/>
    </row>
    <row r="23" spans="2:53" ht="15" customHeight="1" x14ac:dyDescent="0.2">
      <c r="B23" s="193">
        <v>1</v>
      </c>
      <c r="C23" s="347" t="s">
        <v>139</v>
      </c>
      <c r="D23" s="193" t="str">
        <f t="shared" ref="D23:D86" si="5">I23&amp;C23&amp;_xlfn.XLOOKUP(H23,$AM$4:$AM$26,$AN$4:$AN$26,"")</f>
        <v>CPO000032KMP</v>
      </c>
      <c r="E23" s="193" t="s">
        <v>106</v>
      </c>
      <c r="F23" s="193" t="s">
        <v>1328</v>
      </c>
      <c r="G23" s="193" t="s">
        <v>1327</v>
      </c>
      <c r="H23" s="193" t="s">
        <v>59</v>
      </c>
      <c r="I23" s="193" t="s">
        <v>41</v>
      </c>
      <c r="J23" s="193" t="str">
        <f t="shared" ref="J23:J86" si="6">IF(MIN(L23,M23)&lt;=5000,"6 Roda",IF(MIN(L23,M23)&lt;=13800,"10 Roda","12 Roda"))</f>
        <v>12 Roda</v>
      </c>
      <c r="K23" s="194">
        <v>45931</v>
      </c>
      <c r="L23" s="195">
        <v>45700</v>
      </c>
      <c r="M23" s="195">
        <v>17400</v>
      </c>
      <c r="N23" s="195">
        <v>28300</v>
      </c>
      <c r="O23" s="195">
        <v>28360</v>
      </c>
      <c r="P23" s="196">
        <v>0.875694444444444</v>
      </c>
      <c r="Q23" s="196">
        <v>0.97083333333333299</v>
      </c>
      <c r="R23" s="193" t="s">
        <v>42</v>
      </c>
      <c r="S23" s="193" t="s">
        <v>1372</v>
      </c>
      <c r="T23" s="197">
        <f t="shared" ref="T23:T86" si="7">IFERROR(_xlfn.XLOOKUP(H23,$AM$4:$AM$18,$AP$4:$AP$18,""),0)</f>
        <v>53</v>
      </c>
      <c r="U23" s="193" t="s">
        <v>1922</v>
      </c>
      <c r="V23" s="193" t="str">
        <f t="shared" ref="V23:V86" si="8">IFERROR(_xlfn.XLOOKUP(H23,$AM$4:$AM$18,$AO$4:$AO$18,""),"")</f>
        <v>Masamba</v>
      </c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7"/>
      <c r="AL23" s="18"/>
    </row>
    <row r="24" spans="2:53" ht="15" customHeight="1" x14ac:dyDescent="0.2">
      <c r="B24" s="193">
        <v>1</v>
      </c>
      <c r="C24" s="347" t="s">
        <v>140</v>
      </c>
      <c r="D24" s="193" t="str">
        <f t="shared" si="5"/>
        <v>CPO000033KMP</v>
      </c>
      <c r="E24" s="193" t="s">
        <v>102</v>
      </c>
      <c r="F24" s="193" t="s">
        <v>1328</v>
      </c>
      <c r="G24" s="193" t="s">
        <v>1327</v>
      </c>
      <c r="H24" s="193" t="s">
        <v>59</v>
      </c>
      <c r="I24" s="193" t="s">
        <v>41</v>
      </c>
      <c r="J24" s="193" t="str">
        <f t="shared" si="6"/>
        <v>12 Roda</v>
      </c>
      <c r="K24" s="194">
        <v>45932</v>
      </c>
      <c r="L24" s="195">
        <v>45520</v>
      </c>
      <c r="M24" s="195">
        <v>17410</v>
      </c>
      <c r="N24" s="195">
        <v>28110</v>
      </c>
      <c r="O24" s="195">
        <v>28160</v>
      </c>
      <c r="P24" s="196">
        <v>0.55625000000000002</v>
      </c>
      <c r="Q24" s="196">
        <v>0.63472222222222197</v>
      </c>
      <c r="R24" s="193" t="s">
        <v>42</v>
      </c>
      <c r="S24" s="193" t="s">
        <v>1499</v>
      </c>
      <c r="T24" s="197">
        <f t="shared" si="7"/>
        <v>53</v>
      </c>
      <c r="U24" s="193" t="s">
        <v>1922</v>
      </c>
      <c r="V24" s="193" t="str">
        <f t="shared" si="8"/>
        <v>Masamba</v>
      </c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7"/>
      <c r="AL24" s="18"/>
    </row>
    <row r="25" spans="2:53" ht="15" customHeight="1" x14ac:dyDescent="0.2">
      <c r="B25" s="193">
        <v>1</v>
      </c>
      <c r="C25" s="347" t="s">
        <v>141</v>
      </c>
      <c r="D25" s="193" t="str">
        <f t="shared" si="5"/>
        <v>CPO000034KMP</v>
      </c>
      <c r="E25" s="193" t="s">
        <v>106</v>
      </c>
      <c r="F25" s="193" t="s">
        <v>1328</v>
      </c>
      <c r="G25" s="193" t="s">
        <v>1327</v>
      </c>
      <c r="H25" s="193" t="s">
        <v>59</v>
      </c>
      <c r="I25" s="193" t="s">
        <v>41</v>
      </c>
      <c r="J25" s="193" t="str">
        <f t="shared" si="6"/>
        <v>12 Roda</v>
      </c>
      <c r="K25" s="194">
        <v>45932</v>
      </c>
      <c r="L25" s="195">
        <v>45170</v>
      </c>
      <c r="M25" s="195">
        <v>17510</v>
      </c>
      <c r="N25" s="195">
        <v>27660</v>
      </c>
      <c r="O25" s="195">
        <v>27680</v>
      </c>
      <c r="P25" s="196">
        <v>0.55902777777777801</v>
      </c>
      <c r="Q25" s="196">
        <v>0.68125000000000002</v>
      </c>
      <c r="R25" s="193" t="s">
        <v>42</v>
      </c>
      <c r="S25" s="193" t="s">
        <v>1372</v>
      </c>
      <c r="T25" s="197">
        <f t="shared" si="7"/>
        <v>53</v>
      </c>
      <c r="U25" s="193" t="s">
        <v>1922</v>
      </c>
      <c r="V25" s="193" t="str">
        <f t="shared" si="8"/>
        <v>Masamba</v>
      </c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7"/>
      <c r="AL25" s="18"/>
    </row>
    <row r="26" spans="2:53" ht="15" customHeight="1" x14ac:dyDescent="0.2">
      <c r="B26" s="193">
        <v>1</v>
      </c>
      <c r="C26" s="347" t="s">
        <v>142</v>
      </c>
      <c r="D26" s="193" t="str">
        <f t="shared" si="5"/>
        <v>CPO000035KMP</v>
      </c>
      <c r="E26" s="193" t="s">
        <v>93</v>
      </c>
      <c r="F26" s="193" t="s">
        <v>1328</v>
      </c>
      <c r="G26" s="193" t="s">
        <v>1327</v>
      </c>
      <c r="H26" s="193" t="s">
        <v>59</v>
      </c>
      <c r="I26" s="193" t="s">
        <v>41</v>
      </c>
      <c r="J26" s="193" t="str">
        <f t="shared" si="6"/>
        <v>10 Roda</v>
      </c>
      <c r="K26" s="194">
        <v>45932</v>
      </c>
      <c r="L26" s="195">
        <v>26620</v>
      </c>
      <c r="M26" s="195">
        <v>11800</v>
      </c>
      <c r="N26" s="195">
        <v>14820</v>
      </c>
      <c r="O26" s="195">
        <v>14860</v>
      </c>
      <c r="P26" s="196">
        <v>0.60347222222222197</v>
      </c>
      <c r="Q26" s="196">
        <v>0.6875</v>
      </c>
      <c r="R26" s="193" t="s">
        <v>42</v>
      </c>
      <c r="S26" s="193" t="s">
        <v>1393</v>
      </c>
      <c r="T26" s="197">
        <f t="shared" si="7"/>
        <v>53</v>
      </c>
      <c r="U26" s="193" t="s">
        <v>1922</v>
      </c>
      <c r="V26" s="193" t="str">
        <f t="shared" si="8"/>
        <v>Masamba</v>
      </c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7"/>
      <c r="AL26" s="18"/>
    </row>
    <row r="27" spans="2:53" ht="15" customHeight="1" x14ac:dyDescent="0.2">
      <c r="B27" s="193">
        <v>1</v>
      </c>
      <c r="C27" s="347" t="s">
        <v>143</v>
      </c>
      <c r="D27" s="193" t="str">
        <f t="shared" si="5"/>
        <v>CPO000036KMP</v>
      </c>
      <c r="E27" s="193" t="s">
        <v>97</v>
      </c>
      <c r="F27" s="193" t="s">
        <v>1328</v>
      </c>
      <c r="G27" s="193" t="s">
        <v>1327</v>
      </c>
      <c r="H27" s="193" t="s">
        <v>59</v>
      </c>
      <c r="I27" s="193" t="s">
        <v>41</v>
      </c>
      <c r="J27" s="193" t="str">
        <f t="shared" si="6"/>
        <v>10 Roda</v>
      </c>
      <c r="K27" s="194">
        <v>45932</v>
      </c>
      <c r="L27" s="195">
        <v>26660</v>
      </c>
      <c r="M27" s="195">
        <v>12120</v>
      </c>
      <c r="N27" s="195">
        <v>14540</v>
      </c>
      <c r="O27" s="195">
        <v>14580</v>
      </c>
      <c r="P27" s="196">
        <v>0.61041666666666705</v>
      </c>
      <c r="Q27" s="196">
        <v>0.73402777777777795</v>
      </c>
      <c r="R27" s="193" t="s">
        <v>42</v>
      </c>
      <c r="S27" s="193" t="s">
        <v>1782</v>
      </c>
      <c r="T27" s="197">
        <f t="shared" si="7"/>
        <v>53</v>
      </c>
      <c r="U27" s="193" t="s">
        <v>1922</v>
      </c>
      <c r="V27" s="193" t="str">
        <f t="shared" si="8"/>
        <v>Masamba</v>
      </c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7"/>
      <c r="AL27" s="18"/>
    </row>
    <row r="28" spans="2:53" ht="15" customHeight="1" x14ac:dyDescent="0.2">
      <c r="B28" s="193">
        <v>1</v>
      </c>
      <c r="C28" s="347" t="s">
        <v>144</v>
      </c>
      <c r="D28" s="193" t="str">
        <f t="shared" si="5"/>
        <v>CPO000037KMP</v>
      </c>
      <c r="E28" s="193" t="s">
        <v>102</v>
      </c>
      <c r="F28" s="193" t="s">
        <v>1328</v>
      </c>
      <c r="G28" s="193" t="s">
        <v>1327</v>
      </c>
      <c r="H28" s="193" t="s">
        <v>59</v>
      </c>
      <c r="I28" s="193" t="s">
        <v>41</v>
      </c>
      <c r="J28" s="193" t="str">
        <f t="shared" si="6"/>
        <v>12 Roda</v>
      </c>
      <c r="K28" s="194">
        <v>45932</v>
      </c>
      <c r="L28" s="195">
        <v>45730</v>
      </c>
      <c r="M28" s="195">
        <v>17580</v>
      </c>
      <c r="N28" s="195">
        <v>28150</v>
      </c>
      <c r="O28" s="195">
        <v>28200</v>
      </c>
      <c r="P28" s="196">
        <v>0.82222222222222197</v>
      </c>
      <c r="Q28" s="196">
        <v>0.9</v>
      </c>
      <c r="R28" s="193" t="s">
        <v>42</v>
      </c>
      <c r="S28" s="193" t="s">
        <v>1499</v>
      </c>
      <c r="T28" s="197">
        <f t="shared" si="7"/>
        <v>53</v>
      </c>
      <c r="U28" s="193" t="s">
        <v>1922</v>
      </c>
      <c r="V28" s="193" t="str">
        <f t="shared" si="8"/>
        <v>Masamba</v>
      </c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7"/>
      <c r="AL28" s="18"/>
    </row>
    <row r="29" spans="2:53" ht="15" customHeight="1" x14ac:dyDescent="0.2">
      <c r="B29" s="193">
        <v>1</v>
      </c>
      <c r="C29" s="347" t="s">
        <v>145</v>
      </c>
      <c r="D29" s="193" t="str">
        <f t="shared" si="5"/>
        <v>CPO000038KMP</v>
      </c>
      <c r="E29" s="193" t="s">
        <v>106</v>
      </c>
      <c r="F29" s="193" t="s">
        <v>1328</v>
      </c>
      <c r="G29" s="193" t="s">
        <v>1327</v>
      </c>
      <c r="H29" s="193" t="s">
        <v>59</v>
      </c>
      <c r="I29" s="193" t="s">
        <v>41</v>
      </c>
      <c r="J29" s="193" t="str">
        <f t="shared" si="6"/>
        <v>12 Roda</v>
      </c>
      <c r="K29" s="194">
        <v>45932</v>
      </c>
      <c r="L29" s="195">
        <v>45680</v>
      </c>
      <c r="M29" s="195">
        <v>17460</v>
      </c>
      <c r="N29" s="195">
        <v>28220</v>
      </c>
      <c r="O29" s="195">
        <v>28260</v>
      </c>
      <c r="P29" s="196">
        <v>0.83402777777777803</v>
      </c>
      <c r="Q29" s="196">
        <v>0.95069444444444395</v>
      </c>
      <c r="R29" s="193" t="s">
        <v>42</v>
      </c>
      <c r="S29" s="193" t="s">
        <v>1372</v>
      </c>
      <c r="T29" s="197">
        <f t="shared" si="7"/>
        <v>53</v>
      </c>
      <c r="U29" s="193" t="s">
        <v>1922</v>
      </c>
      <c r="V29" s="193" t="str">
        <f t="shared" si="8"/>
        <v>Masamba</v>
      </c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7"/>
      <c r="AL29" s="18"/>
    </row>
    <row r="30" spans="2:53" ht="15" customHeight="1" x14ac:dyDescent="0.2">
      <c r="B30" s="193">
        <v>1</v>
      </c>
      <c r="C30" s="347" t="s">
        <v>146</v>
      </c>
      <c r="D30" s="193" t="str">
        <f t="shared" si="5"/>
        <v>CPO000039KMP</v>
      </c>
      <c r="E30" s="193" t="s">
        <v>93</v>
      </c>
      <c r="F30" s="193" t="s">
        <v>1328</v>
      </c>
      <c r="G30" s="193" t="s">
        <v>1327</v>
      </c>
      <c r="H30" s="193" t="s">
        <v>59</v>
      </c>
      <c r="I30" s="193" t="s">
        <v>41</v>
      </c>
      <c r="J30" s="193" t="str">
        <f t="shared" si="6"/>
        <v>10 Roda</v>
      </c>
      <c r="K30" s="194">
        <v>45932</v>
      </c>
      <c r="L30" s="195">
        <v>26550</v>
      </c>
      <c r="M30" s="195">
        <v>11770</v>
      </c>
      <c r="N30" s="195">
        <v>14780</v>
      </c>
      <c r="O30" s="195">
        <v>14800</v>
      </c>
      <c r="P30" s="196">
        <v>0.85277777777777797</v>
      </c>
      <c r="Q30" s="196">
        <v>0.94027777777777799</v>
      </c>
      <c r="R30" s="193" t="s">
        <v>42</v>
      </c>
      <c r="S30" s="193" t="s">
        <v>1393</v>
      </c>
      <c r="T30" s="197">
        <f t="shared" si="7"/>
        <v>53</v>
      </c>
      <c r="U30" s="193" t="s">
        <v>1922</v>
      </c>
      <c r="V30" s="193" t="str">
        <f t="shared" si="8"/>
        <v>Masamba</v>
      </c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7"/>
      <c r="AL30" s="18"/>
    </row>
    <row r="31" spans="2:53" ht="15" customHeight="1" x14ac:dyDescent="0.2">
      <c r="B31" s="193">
        <v>1</v>
      </c>
      <c r="C31" s="347" t="s">
        <v>148</v>
      </c>
      <c r="D31" s="193" t="str">
        <f t="shared" si="5"/>
        <v>CPO000040KMP</v>
      </c>
      <c r="E31" s="193" t="s">
        <v>97</v>
      </c>
      <c r="F31" s="193" t="s">
        <v>1328</v>
      </c>
      <c r="G31" s="193" t="s">
        <v>1327</v>
      </c>
      <c r="H31" s="193" t="s">
        <v>59</v>
      </c>
      <c r="I31" s="193" t="s">
        <v>41</v>
      </c>
      <c r="J31" s="193" t="str">
        <f t="shared" si="6"/>
        <v>10 Roda</v>
      </c>
      <c r="K31" s="194">
        <v>45932</v>
      </c>
      <c r="L31" s="195">
        <v>26640</v>
      </c>
      <c r="M31" s="195">
        <v>12080</v>
      </c>
      <c r="N31" s="195">
        <v>14560</v>
      </c>
      <c r="O31" s="195">
        <v>14580</v>
      </c>
      <c r="P31" s="196">
        <v>0.89861111111111103</v>
      </c>
      <c r="Q31" s="196">
        <v>0.99236111111111103</v>
      </c>
      <c r="R31" s="193" t="s">
        <v>42</v>
      </c>
      <c r="S31" s="193" t="s">
        <v>1782</v>
      </c>
      <c r="T31" s="197">
        <f t="shared" si="7"/>
        <v>53</v>
      </c>
      <c r="U31" s="193" t="s">
        <v>1922</v>
      </c>
      <c r="V31" s="193" t="str">
        <f t="shared" si="8"/>
        <v>Masamba</v>
      </c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7"/>
      <c r="AL31" s="18"/>
    </row>
    <row r="32" spans="2:53" ht="15" customHeight="1" x14ac:dyDescent="0.2">
      <c r="B32" s="193">
        <v>1</v>
      </c>
      <c r="C32" s="347" t="s">
        <v>150</v>
      </c>
      <c r="D32" s="193" t="str">
        <f t="shared" si="5"/>
        <v>CPO000041MIS</v>
      </c>
      <c r="E32" s="193" t="s">
        <v>53</v>
      </c>
      <c r="F32" s="193" t="s">
        <v>1330</v>
      </c>
      <c r="G32" s="193" t="s">
        <v>1329</v>
      </c>
      <c r="H32" s="193" t="s">
        <v>40</v>
      </c>
      <c r="I32" s="193" t="s">
        <v>41</v>
      </c>
      <c r="J32" s="193" t="str">
        <f t="shared" si="6"/>
        <v>6 Roda</v>
      </c>
      <c r="K32" s="194">
        <v>45962</v>
      </c>
      <c r="L32" s="195">
        <v>13370</v>
      </c>
      <c r="M32" s="195">
        <v>3790</v>
      </c>
      <c r="N32" s="195">
        <v>9580</v>
      </c>
      <c r="O32" s="195">
        <v>9540</v>
      </c>
      <c r="P32" s="196">
        <v>0.97569444444444398</v>
      </c>
      <c r="Q32" s="196">
        <v>4.72222222222222E-2</v>
      </c>
      <c r="R32" s="193" t="s">
        <v>42</v>
      </c>
      <c r="S32" s="193"/>
      <c r="T32" s="197">
        <f t="shared" si="7"/>
        <v>494</v>
      </c>
      <c r="U32" s="193"/>
      <c r="V32" s="193" t="str">
        <f t="shared" si="8"/>
        <v>Pomala</v>
      </c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7"/>
      <c r="AL32" s="18"/>
    </row>
    <row r="33" spans="2:38" ht="15" customHeight="1" x14ac:dyDescent="0.2">
      <c r="B33" s="193">
        <v>1</v>
      </c>
      <c r="C33" s="347" t="s">
        <v>152</v>
      </c>
      <c r="D33" s="193" t="str">
        <f t="shared" si="5"/>
        <v>CPO000042MIS</v>
      </c>
      <c r="E33" s="193" t="s">
        <v>39</v>
      </c>
      <c r="F33" s="193" t="s">
        <v>1330</v>
      </c>
      <c r="G33" s="193" t="s">
        <v>1329</v>
      </c>
      <c r="H33" s="193" t="s">
        <v>40</v>
      </c>
      <c r="I33" s="193" t="s">
        <v>41</v>
      </c>
      <c r="J33" s="193" t="str">
        <f t="shared" si="6"/>
        <v>6 Roda</v>
      </c>
      <c r="K33" s="194">
        <v>45962</v>
      </c>
      <c r="L33" s="195">
        <v>13700</v>
      </c>
      <c r="M33" s="195">
        <v>4070</v>
      </c>
      <c r="N33" s="195">
        <v>9630</v>
      </c>
      <c r="O33" s="195">
        <v>9590</v>
      </c>
      <c r="P33" s="196">
        <v>0.97708333333333297</v>
      </c>
      <c r="Q33" s="196">
        <v>5.83333333333333E-2</v>
      </c>
      <c r="R33" s="193" t="s">
        <v>42</v>
      </c>
      <c r="S33" s="193"/>
      <c r="T33" s="197">
        <f t="shared" si="7"/>
        <v>494</v>
      </c>
      <c r="U33" s="193"/>
      <c r="V33" s="193" t="str">
        <f t="shared" si="8"/>
        <v>Pomala</v>
      </c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7"/>
      <c r="AL33" s="18"/>
    </row>
    <row r="34" spans="2:38" ht="15" customHeight="1" x14ac:dyDescent="0.2">
      <c r="B34" s="193">
        <v>1</v>
      </c>
      <c r="C34" s="347" t="s">
        <v>154</v>
      </c>
      <c r="D34" s="193" t="str">
        <f t="shared" si="5"/>
        <v>CPO000043MIS</v>
      </c>
      <c r="E34" s="193" t="s">
        <v>155</v>
      </c>
      <c r="F34" s="193" t="s">
        <v>1330</v>
      </c>
      <c r="G34" s="193" t="s">
        <v>1329</v>
      </c>
      <c r="H34" s="193" t="s">
        <v>40</v>
      </c>
      <c r="I34" s="193" t="s">
        <v>41</v>
      </c>
      <c r="J34" s="193" t="str">
        <f t="shared" si="6"/>
        <v>6 Roda</v>
      </c>
      <c r="K34" s="194">
        <v>45962</v>
      </c>
      <c r="L34" s="195">
        <v>13570</v>
      </c>
      <c r="M34" s="195">
        <v>3910</v>
      </c>
      <c r="N34" s="195">
        <v>9660</v>
      </c>
      <c r="O34" s="195">
        <v>9650</v>
      </c>
      <c r="P34" s="196">
        <v>0.97777777777777797</v>
      </c>
      <c r="Q34" s="196">
        <v>9.5138888888888898E-2</v>
      </c>
      <c r="R34" s="193" t="s">
        <v>42</v>
      </c>
      <c r="S34" s="193"/>
      <c r="T34" s="197">
        <f t="shared" si="7"/>
        <v>494</v>
      </c>
      <c r="U34" s="193"/>
      <c r="V34" s="193" t="str">
        <f t="shared" si="8"/>
        <v>Pomala</v>
      </c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7"/>
      <c r="AL34" s="18"/>
    </row>
    <row r="35" spans="2:38" ht="15" customHeight="1" x14ac:dyDescent="0.2">
      <c r="B35" s="193">
        <v>1</v>
      </c>
      <c r="C35" s="347" t="s">
        <v>157</v>
      </c>
      <c r="D35" s="193" t="str">
        <f t="shared" si="5"/>
        <v>CPO000044MIS</v>
      </c>
      <c r="E35" s="193" t="s">
        <v>158</v>
      </c>
      <c r="F35" s="193" t="s">
        <v>1330</v>
      </c>
      <c r="G35" s="193" t="s">
        <v>1329</v>
      </c>
      <c r="H35" s="193" t="s">
        <v>40</v>
      </c>
      <c r="I35" s="193" t="s">
        <v>41</v>
      </c>
      <c r="J35" s="193" t="str">
        <f t="shared" si="6"/>
        <v>6 Roda</v>
      </c>
      <c r="K35" s="194">
        <v>45962</v>
      </c>
      <c r="L35" s="195">
        <v>13900</v>
      </c>
      <c r="M35" s="195">
        <v>3810</v>
      </c>
      <c r="N35" s="195">
        <v>10090</v>
      </c>
      <c r="O35" s="195">
        <v>10090</v>
      </c>
      <c r="P35" s="196">
        <v>0.97847222222222197</v>
      </c>
      <c r="Q35" s="196">
        <v>6.31944444444444E-2</v>
      </c>
      <c r="R35" s="193" t="s">
        <v>42</v>
      </c>
      <c r="S35" s="193"/>
      <c r="T35" s="197">
        <f t="shared" si="7"/>
        <v>494</v>
      </c>
      <c r="U35" s="193"/>
      <c r="V35" s="193" t="str">
        <f t="shared" si="8"/>
        <v>Pomala</v>
      </c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8"/>
      <c r="AL35" s="18"/>
    </row>
    <row r="36" spans="2:38" ht="15" customHeight="1" x14ac:dyDescent="0.2">
      <c r="B36" s="193">
        <v>1</v>
      </c>
      <c r="C36" s="347" t="s">
        <v>159</v>
      </c>
      <c r="D36" s="193" t="str">
        <f t="shared" si="5"/>
        <v>CPO000045MIS</v>
      </c>
      <c r="E36" s="193" t="s">
        <v>153</v>
      </c>
      <c r="F36" s="193" t="s">
        <v>1330</v>
      </c>
      <c r="G36" s="193" t="s">
        <v>1329</v>
      </c>
      <c r="H36" s="193" t="s">
        <v>40</v>
      </c>
      <c r="I36" s="193" t="s">
        <v>41</v>
      </c>
      <c r="J36" s="193" t="str">
        <f t="shared" si="6"/>
        <v>6 Roda</v>
      </c>
      <c r="K36" s="194">
        <v>45962</v>
      </c>
      <c r="L36" s="195">
        <v>13600</v>
      </c>
      <c r="M36" s="195">
        <v>3990</v>
      </c>
      <c r="N36" s="195">
        <v>9610</v>
      </c>
      <c r="O36" s="195">
        <v>9590</v>
      </c>
      <c r="P36" s="196">
        <v>0.97916666666666696</v>
      </c>
      <c r="Q36" s="196">
        <v>0.115972222222222</v>
      </c>
      <c r="R36" s="193" t="s">
        <v>42</v>
      </c>
      <c r="S36" s="193"/>
      <c r="T36" s="197">
        <f t="shared" si="7"/>
        <v>494</v>
      </c>
      <c r="U36" s="193"/>
      <c r="V36" s="193" t="str">
        <f t="shared" si="8"/>
        <v>Pomala</v>
      </c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8"/>
      <c r="AL36" s="18"/>
    </row>
    <row r="37" spans="2:38" ht="15" customHeight="1" x14ac:dyDescent="0.2">
      <c r="B37" s="193">
        <v>1</v>
      </c>
      <c r="C37" s="347" t="s">
        <v>161</v>
      </c>
      <c r="D37" s="193" t="str">
        <f t="shared" si="5"/>
        <v>CPO000046MIS</v>
      </c>
      <c r="E37" s="193" t="s">
        <v>73</v>
      </c>
      <c r="F37" s="193" t="s">
        <v>1330</v>
      </c>
      <c r="G37" s="193" t="s">
        <v>1329</v>
      </c>
      <c r="H37" s="193" t="s">
        <v>40</v>
      </c>
      <c r="I37" s="193" t="s">
        <v>41</v>
      </c>
      <c r="J37" s="193" t="str">
        <f t="shared" si="6"/>
        <v>6 Roda</v>
      </c>
      <c r="K37" s="194">
        <v>45962</v>
      </c>
      <c r="L37" s="195">
        <v>13440</v>
      </c>
      <c r="M37" s="195">
        <v>3980</v>
      </c>
      <c r="N37" s="195">
        <v>9460</v>
      </c>
      <c r="O37" s="195">
        <v>9420</v>
      </c>
      <c r="P37" s="196">
        <v>0.97986111111111096</v>
      </c>
      <c r="Q37" s="196">
        <v>8.8888888888888906E-2</v>
      </c>
      <c r="R37" s="193" t="s">
        <v>42</v>
      </c>
      <c r="S37" s="193"/>
      <c r="T37" s="197">
        <f t="shared" si="7"/>
        <v>494</v>
      </c>
      <c r="U37" s="193"/>
      <c r="V37" s="193" t="str">
        <f t="shared" si="8"/>
        <v>Pomala</v>
      </c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8"/>
      <c r="AL37" s="18"/>
    </row>
    <row r="38" spans="2:38" ht="15" customHeight="1" x14ac:dyDescent="0.2">
      <c r="B38" s="193">
        <v>1</v>
      </c>
      <c r="C38" s="347" t="s">
        <v>162</v>
      </c>
      <c r="D38" s="193" t="str">
        <f t="shared" si="5"/>
        <v>CPO000047MIS</v>
      </c>
      <c r="E38" s="193" t="s">
        <v>163</v>
      </c>
      <c r="F38" s="193" t="s">
        <v>1330</v>
      </c>
      <c r="G38" s="193" t="s">
        <v>1329</v>
      </c>
      <c r="H38" s="193" t="s">
        <v>40</v>
      </c>
      <c r="I38" s="193" t="s">
        <v>41</v>
      </c>
      <c r="J38" s="193" t="str">
        <f t="shared" si="6"/>
        <v>6 Roda</v>
      </c>
      <c r="K38" s="194">
        <v>45962</v>
      </c>
      <c r="L38" s="195">
        <v>14050</v>
      </c>
      <c r="M38" s="195">
        <v>3960</v>
      </c>
      <c r="N38" s="195">
        <v>10090</v>
      </c>
      <c r="O38" s="195">
        <v>10070</v>
      </c>
      <c r="P38" s="196">
        <v>9.0972222222222204E-2</v>
      </c>
      <c r="Q38" s="196">
        <v>0.15208333333333299</v>
      </c>
      <c r="R38" s="193" t="s">
        <v>42</v>
      </c>
      <c r="S38" s="193"/>
      <c r="T38" s="197">
        <f t="shared" si="7"/>
        <v>494</v>
      </c>
      <c r="U38" s="193"/>
      <c r="V38" s="193" t="str">
        <f t="shared" si="8"/>
        <v>Pomala</v>
      </c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8"/>
      <c r="AL38" s="18"/>
    </row>
    <row r="39" spans="2:38" ht="15" customHeight="1" x14ac:dyDescent="0.2">
      <c r="B39" s="193">
        <v>1</v>
      </c>
      <c r="C39" s="347" t="s">
        <v>164</v>
      </c>
      <c r="D39" s="193" t="str">
        <f t="shared" si="5"/>
        <v>CPO000048MIS</v>
      </c>
      <c r="E39" s="193" t="s">
        <v>151</v>
      </c>
      <c r="F39" s="193" t="s">
        <v>1330</v>
      </c>
      <c r="G39" s="193" t="s">
        <v>1329</v>
      </c>
      <c r="H39" s="193" t="s">
        <v>40</v>
      </c>
      <c r="I39" s="193" t="s">
        <v>41</v>
      </c>
      <c r="J39" s="193" t="str">
        <f t="shared" si="6"/>
        <v>6 Roda</v>
      </c>
      <c r="K39" s="194">
        <v>45962</v>
      </c>
      <c r="L39" s="195">
        <v>13500</v>
      </c>
      <c r="M39" s="195">
        <v>4090</v>
      </c>
      <c r="N39" s="195">
        <v>9410</v>
      </c>
      <c r="O39" s="195">
        <v>9380</v>
      </c>
      <c r="P39" s="196">
        <v>9.1666666666666702E-2</v>
      </c>
      <c r="Q39" s="196">
        <v>0.16666666666666699</v>
      </c>
      <c r="R39" s="193" t="s">
        <v>42</v>
      </c>
      <c r="S39" s="193"/>
      <c r="T39" s="197">
        <f t="shared" si="7"/>
        <v>494</v>
      </c>
      <c r="U39" s="193"/>
      <c r="V39" s="193" t="str">
        <f t="shared" si="8"/>
        <v>Pomala</v>
      </c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8"/>
      <c r="AL39" s="18"/>
    </row>
    <row r="40" spans="2:38" ht="15" customHeight="1" x14ac:dyDescent="0.2">
      <c r="B40" s="193">
        <v>1</v>
      </c>
      <c r="C40" s="347" t="s">
        <v>165</v>
      </c>
      <c r="D40" s="193" t="str">
        <f t="shared" si="5"/>
        <v>CPO000049MIS</v>
      </c>
      <c r="E40" s="193" t="s">
        <v>166</v>
      </c>
      <c r="F40" s="193" t="s">
        <v>1330</v>
      </c>
      <c r="G40" s="193" t="s">
        <v>1329</v>
      </c>
      <c r="H40" s="193" t="s">
        <v>40</v>
      </c>
      <c r="I40" s="193" t="s">
        <v>41</v>
      </c>
      <c r="J40" s="193" t="str">
        <f t="shared" si="6"/>
        <v>6 Roda</v>
      </c>
      <c r="K40" s="194">
        <v>45962</v>
      </c>
      <c r="L40" s="195">
        <v>13150</v>
      </c>
      <c r="M40" s="195">
        <v>3810</v>
      </c>
      <c r="N40" s="195">
        <v>9340</v>
      </c>
      <c r="O40" s="195">
        <v>9320</v>
      </c>
      <c r="P40" s="196">
        <v>0.120833333333333</v>
      </c>
      <c r="Q40" s="196">
        <v>0.17777777777777801</v>
      </c>
      <c r="R40" s="193" t="s">
        <v>42</v>
      </c>
      <c r="S40" s="193"/>
      <c r="T40" s="197">
        <f t="shared" si="7"/>
        <v>494</v>
      </c>
      <c r="U40" s="193"/>
      <c r="V40" s="193" t="str">
        <f t="shared" si="8"/>
        <v>Pomala</v>
      </c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8"/>
      <c r="AL40" s="18"/>
    </row>
    <row r="41" spans="2:38" ht="15" customHeight="1" x14ac:dyDescent="0.2">
      <c r="B41" s="193">
        <v>1</v>
      </c>
      <c r="C41" s="347" t="s">
        <v>167</v>
      </c>
      <c r="D41" s="193" t="str">
        <f t="shared" si="5"/>
        <v>CPO000050MIS</v>
      </c>
      <c r="E41" s="193" t="s">
        <v>149</v>
      </c>
      <c r="F41" s="193" t="s">
        <v>1330</v>
      </c>
      <c r="G41" s="193" t="s">
        <v>1329</v>
      </c>
      <c r="H41" s="193" t="s">
        <v>40</v>
      </c>
      <c r="I41" s="193" t="s">
        <v>41</v>
      </c>
      <c r="J41" s="193" t="str">
        <f t="shared" si="6"/>
        <v>6 Roda</v>
      </c>
      <c r="K41" s="194">
        <v>45962</v>
      </c>
      <c r="L41" s="195">
        <v>13910</v>
      </c>
      <c r="M41" s="195">
        <v>4030</v>
      </c>
      <c r="N41" s="195">
        <v>9880</v>
      </c>
      <c r="O41" s="195">
        <v>9870</v>
      </c>
      <c r="P41" s="196">
        <v>0.121527777777778</v>
      </c>
      <c r="Q41" s="196">
        <v>0.18958333333333299</v>
      </c>
      <c r="R41" s="193" t="s">
        <v>42</v>
      </c>
      <c r="S41" s="193"/>
      <c r="T41" s="197">
        <f t="shared" si="7"/>
        <v>494</v>
      </c>
      <c r="U41" s="193"/>
      <c r="V41" s="193" t="str">
        <f t="shared" si="8"/>
        <v>Pomala</v>
      </c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8"/>
      <c r="AL41" s="18"/>
    </row>
    <row r="42" spans="2:38" ht="15" customHeight="1" x14ac:dyDescent="0.2">
      <c r="B42" s="193">
        <v>1</v>
      </c>
      <c r="C42" s="347" t="s">
        <v>168</v>
      </c>
      <c r="D42" s="193" t="str">
        <f t="shared" si="5"/>
        <v>CPO000051MIS</v>
      </c>
      <c r="E42" s="193" t="s">
        <v>169</v>
      </c>
      <c r="F42" s="193" t="s">
        <v>1330</v>
      </c>
      <c r="G42" s="193" t="s">
        <v>1329</v>
      </c>
      <c r="H42" s="193" t="s">
        <v>40</v>
      </c>
      <c r="I42" s="193" t="s">
        <v>41</v>
      </c>
      <c r="J42" s="193" t="str">
        <f t="shared" si="6"/>
        <v>6 Roda</v>
      </c>
      <c r="K42" s="194">
        <v>45962</v>
      </c>
      <c r="L42" s="195">
        <v>13450</v>
      </c>
      <c r="M42" s="195">
        <v>4020</v>
      </c>
      <c r="N42" s="195">
        <v>9430</v>
      </c>
      <c r="O42" s="195">
        <v>9430</v>
      </c>
      <c r="P42" s="196">
        <v>0.125694444444444</v>
      </c>
      <c r="Q42" s="196">
        <v>0.20624999999999999</v>
      </c>
      <c r="R42" s="193" t="s">
        <v>42</v>
      </c>
      <c r="S42" s="193"/>
      <c r="T42" s="197">
        <f t="shared" si="7"/>
        <v>494</v>
      </c>
      <c r="U42" s="193"/>
      <c r="V42" s="193" t="str">
        <f t="shared" si="8"/>
        <v>Pomala</v>
      </c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8"/>
      <c r="AL42" s="18"/>
    </row>
    <row r="43" spans="2:38" ht="15" customHeight="1" x14ac:dyDescent="0.2">
      <c r="B43" s="193">
        <v>1</v>
      </c>
      <c r="C43" s="347" t="s">
        <v>170</v>
      </c>
      <c r="D43" s="193" t="str">
        <f t="shared" si="5"/>
        <v>CPO000052MIS</v>
      </c>
      <c r="E43" s="193" t="s">
        <v>171</v>
      </c>
      <c r="F43" s="193" t="s">
        <v>1330</v>
      </c>
      <c r="G43" s="193" t="s">
        <v>1329</v>
      </c>
      <c r="H43" s="193" t="s">
        <v>40</v>
      </c>
      <c r="I43" s="193" t="s">
        <v>41</v>
      </c>
      <c r="J43" s="193" t="str">
        <f t="shared" si="6"/>
        <v>6 Roda</v>
      </c>
      <c r="K43" s="194">
        <v>45962</v>
      </c>
      <c r="L43" s="195">
        <v>13210</v>
      </c>
      <c r="M43" s="195">
        <v>3620</v>
      </c>
      <c r="N43" s="195">
        <v>9590</v>
      </c>
      <c r="O43" s="195">
        <v>9580</v>
      </c>
      <c r="P43" s="196">
        <v>0.90625</v>
      </c>
      <c r="Q43" s="196">
        <v>0.94722222222222197</v>
      </c>
      <c r="R43" s="193" t="s">
        <v>42</v>
      </c>
      <c r="S43" s="193"/>
      <c r="T43" s="197">
        <f t="shared" si="7"/>
        <v>494</v>
      </c>
      <c r="U43" s="193"/>
      <c r="V43" s="193" t="str">
        <f t="shared" si="8"/>
        <v>Pomala</v>
      </c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8"/>
      <c r="AL43" s="18"/>
    </row>
    <row r="44" spans="2:38" ht="15" customHeight="1" x14ac:dyDescent="0.2">
      <c r="B44" s="193">
        <v>1</v>
      </c>
      <c r="C44" s="347" t="s">
        <v>172</v>
      </c>
      <c r="D44" s="193" t="str">
        <f t="shared" si="5"/>
        <v>CPO000053MIS</v>
      </c>
      <c r="E44" s="193" t="s">
        <v>173</v>
      </c>
      <c r="F44" s="193" t="s">
        <v>1330</v>
      </c>
      <c r="G44" s="193" t="s">
        <v>1329</v>
      </c>
      <c r="H44" s="193" t="s">
        <v>40</v>
      </c>
      <c r="I44" s="193" t="s">
        <v>41</v>
      </c>
      <c r="J44" s="193" t="str">
        <f t="shared" si="6"/>
        <v>6 Roda</v>
      </c>
      <c r="K44" s="194">
        <v>45962</v>
      </c>
      <c r="L44" s="195">
        <v>14260</v>
      </c>
      <c r="M44" s="195">
        <v>4580</v>
      </c>
      <c r="N44" s="195">
        <v>9680</v>
      </c>
      <c r="O44" s="195">
        <v>9640</v>
      </c>
      <c r="P44" s="196">
        <v>0.906944444444444</v>
      </c>
      <c r="Q44" s="196">
        <v>0.94930555555555596</v>
      </c>
      <c r="R44" s="193" t="s">
        <v>42</v>
      </c>
      <c r="S44" s="193"/>
      <c r="T44" s="197">
        <f t="shared" si="7"/>
        <v>494</v>
      </c>
      <c r="U44" s="193"/>
      <c r="V44" s="193" t="str">
        <f t="shared" si="8"/>
        <v>Pomala</v>
      </c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8"/>
      <c r="AL44" s="18"/>
    </row>
    <row r="45" spans="2:38" ht="15" customHeight="1" x14ac:dyDescent="0.2">
      <c r="B45" s="193">
        <v>1</v>
      </c>
      <c r="C45" s="347" t="s">
        <v>176</v>
      </c>
      <c r="D45" s="193" t="str">
        <f t="shared" si="5"/>
        <v>CPO000054MIS</v>
      </c>
      <c r="E45" s="193" t="s">
        <v>177</v>
      </c>
      <c r="F45" s="193" t="s">
        <v>1330</v>
      </c>
      <c r="G45" s="193" t="s">
        <v>1329</v>
      </c>
      <c r="H45" s="193" t="s">
        <v>40</v>
      </c>
      <c r="I45" s="193" t="s">
        <v>41</v>
      </c>
      <c r="J45" s="193" t="str">
        <f t="shared" si="6"/>
        <v>6 Roda</v>
      </c>
      <c r="K45" s="194">
        <v>45962</v>
      </c>
      <c r="L45" s="195">
        <v>13810</v>
      </c>
      <c r="M45" s="195">
        <v>4090</v>
      </c>
      <c r="N45" s="195">
        <v>9720</v>
      </c>
      <c r="O45" s="195">
        <v>9670</v>
      </c>
      <c r="P45" s="196">
        <v>0.90833333333333299</v>
      </c>
      <c r="Q45" s="196">
        <v>0.96458333333333302</v>
      </c>
      <c r="R45" s="193" t="s">
        <v>42</v>
      </c>
      <c r="S45" s="193"/>
      <c r="T45" s="197">
        <f t="shared" si="7"/>
        <v>494</v>
      </c>
      <c r="U45" s="193"/>
      <c r="V45" s="193" t="str">
        <f t="shared" si="8"/>
        <v>Pomala</v>
      </c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8"/>
      <c r="AL45" s="18"/>
    </row>
    <row r="46" spans="2:38" ht="15" customHeight="1" x14ac:dyDescent="0.2">
      <c r="B46" s="193">
        <v>1</v>
      </c>
      <c r="C46" s="347" t="s">
        <v>178</v>
      </c>
      <c r="D46" s="193" t="str">
        <f t="shared" si="5"/>
        <v>CPO000055MIS</v>
      </c>
      <c r="E46" s="193" t="s">
        <v>179</v>
      </c>
      <c r="F46" s="193" t="s">
        <v>1330</v>
      </c>
      <c r="G46" s="193" t="s">
        <v>1329</v>
      </c>
      <c r="H46" s="193" t="s">
        <v>40</v>
      </c>
      <c r="I46" s="193" t="s">
        <v>41</v>
      </c>
      <c r="J46" s="193" t="str">
        <f t="shared" si="6"/>
        <v>6 Roda</v>
      </c>
      <c r="K46" s="194">
        <v>45963</v>
      </c>
      <c r="L46" s="195">
        <v>13910</v>
      </c>
      <c r="M46" s="195">
        <v>4120</v>
      </c>
      <c r="N46" s="195">
        <v>9790</v>
      </c>
      <c r="O46" s="195">
        <v>9830</v>
      </c>
      <c r="P46" s="196">
        <v>0.34236111111111101</v>
      </c>
      <c r="Q46" s="196">
        <v>0.375694444444444</v>
      </c>
      <c r="R46" s="193" t="s">
        <v>42</v>
      </c>
      <c r="S46" s="193"/>
      <c r="T46" s="197">
        <f t="shared" si="7"/>
        <v>494</v>
      </c>
      <c r="U46" s="193"/>
      <c r="V46" s="193" t="str">
        <f t="shared" si="8"/>
        <v>Pomala</v>
      </c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8"/>
      <c r="AL46" s="18"/>
    </row>
    <row r="47" spans="2:38" ht="15" customHeight="1" x14ac:dyDescent="0.2">
      <c r="B47" s="193">
        <v>1</v>
      </c>
      <c r="C47" s="347" t="s">
        <v>180</v>
      </c>
      <c r="D47" s="193" t="str">
        <f t="shared" si="5"/>
        <v>CPO000056MIS</v>
      </c>
      <c r="E47" s="193" t="s">
        <v>181</v>
      </c>
      <c r="F47" s="193" t="s">
        <v>1330</v>
      </c>
      <c r="G47" s="193" t="s">
        <v>1329</v>
      </c>
      <c r="H47" s="193" t="s">
        <v>40</v>
      </c>
      <c r="I47" s="193" t="s">
        <v>41</v>
      </c>
      <c r="J47" s="193" t="str">
        <f t="shared" si="6"/>
        <v>6 Roda</v>
      </c>
      <c r="K47" s="194">
        <v>45963</v>
      </c>
      <c r="L47" s="195">
        <v>13520</v>
      </c>
      <c r="M47" s="195">
        <v>4110</v>
      </c>
      <c r="N47" s="195">
        <v>9410</v>
      </c>
      <c r="O47" s="195">
        <v>9550</v>
      </c>
      <c r="P47" s="196">
        <v>0.34513888888888899</v>
      </c>
      <c r="Q47" s="196">
        <v>0.38819444444444501</v>
      </c>
      <c r="R47" s="193" t="s">
        <v>42</v>
      </c>
      <c r="S47" s="193"/>
      <c r="T47" s="197">
        <f t="shared" si="7"/>
        <v>494</v>
      </c>
      <c r="U47" s="193"/>
      <c r="V47" s="193" t="str">
        <f t="shared" si="8"/>
        <v>Pomala</v>
      </c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8"/>
      <c r="AL47" s="18"/>
    </row>
    <row r="48" spans="2:38" ht="15" customHeight="1" x14ac:dyDescent="0.2">
      <c r="B48" s="193">
        <v>1</v>
      </c>
      <c r="C48" s="347" t="s">
        <v>182</v>
      </c>
      <c r="D48" s="193" t="str">
        <f t="shared" si="5"/>
        <v>CPO000057MIS</v>
      </c>
      <c r="E48" s="193" t="s">
        <v>183</v>
      </c>
      <c r="F48" s="193" t="s">
        <v>1330</v>
      </c>
      <c r="G48" s="193" t="s">
        <v>1329</v>
      </c>
      <c r="H48" s="193" t="s">
        <v>40</v>
      </c>
      <c r="I48" s="193" t="s">
        <v>41</v>
      </c>
      <c r="J48" s="193" t="str">
        <f t="shared" si="6"/>
        <v>6 Roda</v>
      </c>
      <c r="K48" s="194">
        <v>45963</v>
      </c>
      <c r="L48" s="195">
        <v>14190</v>
      </c>
      <c r="M48" s="195">
        <v>4180</v>
      </c>
      <c r="N48" s="195">
        <v>10010</v>
      </c>
      <c r="O48" s="195">
        <v>9970</v>
      </c>
      <c r="P48" s="196">
        <v>0.34722222222222199</v>
      </c>
      <c r="Q48" s="196">
        <v>0.40347222222222201</v>
      </c>
      <c r="R48" s="193" t="s">
        <v>42</v>
      </c>
      <c r="S48" s="193"/>
      <c r="T48" s="197">
        <f t="shared" si="7"/>
        <v>494</v>
      </c>
      <c r="U48" s="193"/>
      <c r="V48" s="193" t="str">
        <f t="shared" si="8"/>
        <v>Pomala</v>
      </c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8"/>
      <c r="AL48" s="18"/>
    </row>
    <row r="49" spans="2:38" ht="15" customHeight="1" x14ac:dyDescent="0.2">
      <c r="B49" s="193">
        <v>1</v>
      </c>
      <c r="C49" s="347" t="s">
        <v>185</v>
      </c>
      <c r="D49" s="193" t="str">
        <f t="shared" si="5"/>
        <v>CPO000058MIS</v>
      </c>
      <c r="E49" s="193" t="s">
        <v>186</v>
      </c>
      <c r="F49" s="193" t="s">
        <v>1330</v>
      </c>
      <c r="G49" s="193" t="s">
        <v>1329</v>
      </c>
      <c r="H49" s="193" t="s">
        <v>40</v>
      </c>
      <c r="I49" s="193" t="s">
        <v>41</v>
      </c>
      <c r="J49" s="193" t="str">
        <f t="shared" si="6"/>
        <v>6 Roda</v>
      </c>
      <c r="K49" s="194">
        <v>45963</v>
      </c>
      <c r="L49" s="195">
        <v>13430</v>
      </c>
      <c r="M49" s="195">
        <v>3940</v>
      </c>
      <c r="N49" s="195">
        <v>9490</v>
      </c>
      <c r="O49" s="195">
        <v>9480</v>
      </c>
      <c r="P49" s="196">
        <v>0.34930555555555598</v>
      </c>
      <c r="Q49" s="196">
        <v>0.40972222222222199</v>
      </c>
      <c r="R49" s="193" t="s">
        <v>42</v>
      </c>
      <c r="S49" s="193"/>
      <c r="T49" s="197">
        <f t="shared" si="7"/>
        <v>494</v>
      </c>
      <c r="U49" s="193"/>
      <c r="V49" s="193" t="str">
        <f t="shared" si="8"/>
        <v>Pomala</v>
      </c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8"/>
      <c r="AL49" s="18"/>
    </row>
    <row r="50" spans="2:38" ht="15" customHeight="1" x14ac:dyDescent="0.2">
      <c r="B50" s="193">
        <v>1</v>
      </c>
      <c r="C50" s="347" t="s">
        <v>187</v>
      </c>
      <c r="D50" s="193" t="str">
        <f t="shared" si="5"/>
        <v>CPO000059MIS</v>
      </c>
      <c r="E50" s="193" t="s">
        <v>188</v>
      </c>
      <c r="F50" s="193" t="s">
        <v>1330</v>
      </c>
      <c r="G50" s="193" t="s">
        <v>1329</v>
      </c>
      <c r="H50" s="193" t="s">
        <v>40</v>
      </c>
      <c r="I50" s="193" t="s">
        <v>41</v>
      </c>
      <c r="J50" s="193" t="str">
        <f t="shared" si="6"/>
        <v>6 Roda</v>
      </c>
      <c r="K50" s="194">
        <v>45963</v>
      </c>
      <c r="L50" s="195">
        <v>13120</v>
      </c>
      <c r="M50" s="195">
        <v>3700</v>
      </c>
      <c r="N50" s="195">
        <v>9420</v>
      </c>
      <c r="O50" s="195">
        <v>9400</v>
      </c>
      <c r="P50" s="196">
        <v>0.35069444444444398</v>
      </c>
      <c r="Q50" s="196">
        <v>0.438194444444444</v>
      </c>
      <c r="R50" s="193" t="s">
        <v>42</v>
      </c>
      <c r="S50" s="193"/>
      <c r="T50" s="197">
        <f t="shared" si="7"/>
        <v>494</v>
      </c>
      <c r="U50" s="193"/>
      <c r="V50" s="193" t="str">
        <f t="shared" si="8"/>
        <v>Pomala</v>
      </c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8"/>
      <c r="AL50" s="18"/>
    </row>
    <row r="51" spans="2:38" ht="15" customHeight="1" x14ac:dyDescent="0.2">
      <c r="B51" s="193">
        <v>1</v>
      </c>
      <c r="C51" s="347" t="s">
        <v>189</v>
      </c>
      <c r="D51" s="193" t="str">
        <f t="shared" si="5"/>
        <v>CPO000060MIS</v>
      </c>
      <c r="E51" s="193" t="s">
        <v>160</v>
      </c>
      <c r="F51" s="193" t="s">
        <v>1330</v>
      </c>
      <c r="G51" s="193" t="s">
        <v>1329</v>
      </c>
      <c r="H51" s="193" t="s">
        <v>40</v>
      </c>
      <c r="I51" s="193" t="s">
        <v>41</v>
      </c>
      <c r="J51" s="193" t="str">
        <f t="shared" si="6"/>
        <v>6 Roda</v>
      </c>
      <c r="K51" s="194">
        <v>45963</v>
      </c>
      <c r="L51" s="195">
        <v>13450</v>
      </c>
      <c r="M51" s="195">
        <v>3620</v>
      </c>
      <c r="N51" s="195">
        <v>9830</v>
      </c>
      <c r="O51" s="195">
        <v>9790</v>
      </c>
      <c r="P51" s="196">
        <v>0.35138888888888897</v>
      </c>
      <c r="Q51" s="196">
        <v>0.43125000000000002</v>
      </c>
      <c r="R51" s="193" t="s">
        <v>42</v>
      </c>
      <c r="S51" s="193"/>
      <c r="T51" s="197">
        <f t="shared" si="7"/>
        <v>494</v>
      </c>
      <c r="U51" s="193"/>
      <c r="V51" s="193" t="str">
        <f t="shared" si="8"/>
        <v>Pomala</v>
      </c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8"/>
      <c r="AL51" s="18"/>
    </row>
    <row r="52" spans="2:38" ht="15" customHeight="1" x14ac:dyDescent="0.2">
      <c r="B52" s="193">
        <v>1</v>
      </c>
      <c r="C52" s="347" t="s">
        <v>38</v>
      </c>
      <c r="D52" s="193" t="str">
        <f t="shared" si="5"/>
        <v>CPO000003MIS</v>
      </c>
      <c r="E52" s="193" t="s">
        <v>39</v>
      </c>
      <c r="F52" s="193" t="s">
        <v>1330</v>
      </c>
      <c r="G52" s="193" t="s">
        <v>1329</v>
      </c>
      <c r="H52" s="193" t="s">
        <v>40</v>
      </c>
      <c r="I52" s="193" t="s">
        <v>41</v>
      </c>
      <c r="J52" s="193" t="str">
        <f t="shared" si="6"/>
        <v>6 Roda</v>
      </c>
      <c r="K52" s="194">
        <v>45964</v>
      </c>
      <c r="L52" s="195">
        <v>13680</v>
      </c>
      <c r="M52" s="195">
        <v>4080</v>
      </c>
      <c r="N52" s="195">
        <v>9600</v>
      </c>
      <c r="O52" s="195">
        <v>9580</v>
      </c>
      <c r="P52" s="196">
        <v>0.343055555555556</v>
      </c>
      <c r="Q52" s="196">
        <v>0.41249999999999998</v>
      </c>
      <c r="R52" s="193" t="s">
        <v>42</v>
      </c>
      <c r="S52" s="193"/>
      <c r="T52" s="197">
        <f t="shared" si="7"/>
        <v>494</v>
      </c>
      <c r="U52" s="193"/>
      <c r="V52" s="193" t="str">
        <f t="shared" si="8"/>
        <v>Pomala</v>
      </c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8"/>
      <c r="AL52" s="18"/>
    </row>
    <row r="53" spans="2:38" ht="15" customHeight="1" x14ac:dyDescent="0.2">
      <c r="B53" s="193">
        <v>1</v>
      </c>
      <c r="C53" s="347" t="s">
        <v>52</v>
      </c>
      <c r="D53" s="193" t="str">
        <f t="shared" si="5"/>
        <v>CPO000004MIS</v>
      </c>
      <c r="E53" s="193" t="s">
        <v>53</v>
      </c>
      <c r="F53" s="193" t="s">
        <v>1330</v>
      </c>
      <c r="G53" s="193" t="s">
        <v>1329</v>
      </c>
      <c r="H53" s="193" t="s">
        <v>40</v>
      </c>
      <c r="I53" s="193" t="s">
        <v>41</v>
      </c>
      <c r="J53" s="193" t="str">
        <f t="shared" si="6"/>
        <v>6 Roda</v>
      </c>
      <c r="K53" s="194">
        <v>45964</v>
      </c>
      <c r="L53" s="195">
        <v>13260</v>
      </c>
      <c r="M53" s="195">
        <v>3750</v>
      </c>
      <c r="N53" s="195">
        <v>9510</v>
      </c>
      <c r="O53" s="195">
        <v>9480</v>
      </c>
      <c r="P53" s="196">
        <v>0.34375</v>
      </c>
      <c r="Q53" s="196">
        <v>0.39374999999999999</v>
      </c>
      <c r="R53" s="193" t="s">
        <v>42</v>
      </c>
      <c r="S53" s="193"/>
      <c r="T53" s="197">
        <f t="shared" si="7"/>
        <v>494</v>
      </c>
      <c r="U53" s="193"/>
      <c r="V53" s="193" t="str">
        <f t="shared" si="8"/>
        <v>Pomala</v>
      </c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8"/>
      <c r="AL53" s="18"/>
    </row>
    <row r="54" spans="2:38" ht="15" customHeight="1" x14ac:dyDescent="0.2">
      <c r="B54" s="193">
        <v>1</v>
      </c>
      <c r="C54" s="347" t="s">
        <v>63</v>
      </c>
      <c r="D54" s="193" t="str">
        <f t="shared" si="5"/>
        <v>CPO000005MIS</v>
      </c>
      <c r="E54" s="193" t="s">
        <v>73</v>
      </c>
      <c r="F54" s="193" t="s">
        <v>1330</v>
      </c>
      <c r="G54" s="193" t="s">
        <v>1329</v>
      </c>
      <c r="H54" s="193" t="s">
        <v>40</v>
      </c>
      <c r="I54" s="193" t="s">
        <v>41</v>
      </c>
      <c r="J54" s="193" t="str">
        <f t="shared" si="6"/>
        <v>6 Roda</v>
      </c>
      <c r="K54" s="194">
        <v>45964</v>
      </c>
      <c r="L54" s="195">
        <v>13390</v>
      </c>
      <c r="M54" s="195">
        <v>4000</v>
      </c>
      <c r="N54" s="195">
        <v>9390</v>
      </c>
      <c r="O54" s="195">
        <v>9370</v>
      </c>
      <c r="P54" s="196">
        <v>0.34513888888888899</v>
      </c>
      <c r="Q54" s="196">
        <v>0.38263888888888897</v>
      </c>
      <c r="R54" s="193" t="s">
        <v>42</v>
      </c>
      <c r="S54" s="193"/>
      <c r="T54" s="197">
        <f t="shared" si="7"/>
        <v>494</v>
      </c>
      <c r="U54" s="193"/>
      <c r="V54" s="193" t="str">
        <f t="shared" si="8"/>
        <v>Pomala</v>
      </c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8"/>
      <c r="AL54" s="18"/>
    </row>
    <row r="55" spans="2:38" ht="15" customHeight="1" x14ac:dyDescent="0.2">
      <c r="B55" s="193">
        <v>1</v>
      </c>
      <c r="C55" s="347" t="s">
        <v>190</v>
      </c>
      <c r="D55" s="193" t="str">
        <f t="shared" si="5"/>
        <v>CPO000061MIS</v>
      </c>
      <c r="E55" s="193" t="s">
        <v>166</v>
      </c>
      <c r="F55" s="193" t="s">
        <v>1330</v>
      </c>
      <c r="G55" s="193" t="s">
        <v>1329</v>
      </c>
      <c r="H55" s="193" t="s">
        <v>40</v>
      </c>
      <c r="I55" s="193" t="s">
        <v>41</v>
      </c>
      <c r="J55" s="193" t="str">
        <f t="shared" si="6"/>
        <v>6 Roda</v>
      </c>
      <c r="K55" s="194">
        <v>45964</v>
      </c>
      <c r="L55" s="195">
        <v>13160</v>
      </c>
      <c r="M55" s="195">
        <v>3840</v>
      </c>
      <c r="N55" s="195">
        <v>9320</v>
      </c>
      <c r="O55" s="195">
        <v>9280</v>
      </c>
      <c r="P55" s="196">
        <v>0.87222222222222201</v>
      </c>
      <c r="Q55" s="196">
        <v>0.91527777777777797</v>
      </c>
      <c r="R55" s="193" t="s">
        <v>42</v>
      </c>
      <c r="S55" s="193"/>
      <c r="T55" s="197">
        <f t="shared" si="7"/>
        <v>494</v>
      </c>
      <c r="U55" s="193"/>
      <c r="V55" s="193" t="str">
        <f t="shared" si="8"/>
        <v>Pomala</v>
      </c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8"/>
      <c r="AL55" s="18"/>
    </row>
    <row r="56" spans="2:38" ht="15" customHeight="1" x14ac:dyDescent="0.2">
      <c r="B56" s="193">
        <v>1</v>
      </c>
      <c r="C56" s="347" t="s">
        <v>192</v>
      </c>
      <c r="D56" s="193" t="str">
        <f t="shared" si="5"/>
        <v>CPO000062MIS</v>
      </c>
      <c r="E56" s="193" t="s">
        <v>151</v>
      </c>
      <c r="F56" s="193" t="s">
        <v>1330</v>
      </c>
      <c r="G56" s="193" t="s">
        <v>1329</v>
      </c>
      <c r="H56" s="193" t="s">
        <v>40</v>
      </c>
      <c r="I56" s="193" t="s">
        <v>41</v>
      </c>
      <c r="J56" s="193" t="str">
        <f t="shared" si="6"/>
        <v>6 Roda</v>
      </c>
      <c r="K56" s="194">
        <v>45964</v>
      </c>
      <c r="L56" s="195">
        <v>13470</v>
      </c>
      <c r="M56" s="195">
        <v>4080</v>
      </c>
      <c r="N56" s="195">
        <v>9390</v>
      </c>
      <c r="O56" s="195">
        <v>9350</v>
      </c>
      <c r="P56" s="196">
        <v>0.87291666666666701</v>
      </c>
      <c r="Q56" s="196">
        <v>0.91388888888888897</v>
      </c>
      <c r="R56" s="193" t="s">
        <v>42</v>
      </c>
      <c r="S56" s="193"/>
      <c r="T56" s="197">
        <f t="shared" si="7"/>
        <v>494</v>
      </c>
      <c r="U56" s="193"/>
      <c r="V56" s="193" t="str">
        <f t="shared" si="8"/>
        <v>Pomala</v>
      </c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8"/>
      <c r="AL56" s="18"/>
    </row>
    <row r="57" spans="2:38" ht="15" customHeight="1" x14ac:dyDescent="0.2">
      <c r="B57" s="193">
        <v>1</v>
      </c>
      <c r="C57" s="347" t="s">
        <v>193</v>
      </c>
      <c r="D57" s="193" t="str">
        <f t="shared" si="5"/>
        <v>CPO000063MIS</v>
      </c>
      <c r="E57" s="193" t="s">
        <v>169</v>
      </c>
      <c r="F57" s="193" t="s">
        <v>1330</v>
      </c>
      <c r="G57" s="193" t="s">
        <v>1329</v>
      </c>
      <c r="H57" s="193" t="s">
        <v>40</v>
      </c>
      <c r="I57" s="193" t="s">
        <v>41</v>
      </c>
      <c r="J57" s="193" t="str">
        <f t="shared" si="6"/>
        <v>6 Roda</v>
      </c>
      <c r="K57" s="194">
        <v>45964</v>
      </c>
      <c r="L57" s="195">
        <v>13420</v>
      </c>
      <c r="M57" s="195">
        <v>4000</v>
      </c>
      <c r="N57" s="195">
        <v>9420</v>
      </c>
      <c r="O57" s="195">
        <v>9370</v>
      </c>
      <c r="P57" s="196">
        <v>0.874305555555556</v>
      </c>
      <c r="Q57" s="196">
        <v>0.94027777777777799</v>
      </c>
      <c r="R57" s="193" t="s">
        <v>42</v>
      </c>
      <c r="S57" s="193"/>
      <c r="T57" s="197">
        <f t="shared" si="7"/>
        <v>494</v>
      </c>
      <c r="U57" s="193"/>
      <c r="V57" s="193" t="str">
        <f t="shared" si="8"/>
        <v>Pomala</v>
      </c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8"/>
      <c r="AL57" s="18"/>
    </row>
    <row r="58" spans="2:38" ht="15" customHeight="1" x14ac:dyDescent="0.2">
      <c r="B58" s="193">
        <v>1</v>
      </c>
      <c r="C58" s="347" t="s">
        <v>195</v>
      </c>
      <c r="D58" s="193" t="str">
        <f t="shared" si="5"/>
        <v>CPO000064MIS</v>
      </c>
      <c r="E58" s="193" t="s">
        <v>163</v>
      </c>
      <c r="F58" s="193" t="s">
        <v>1330</v>
      </c>
      <c r="G58" s="193" t="s">
        <v>1329</v>
      </c>
      <c r="H58" s="193" t="s">
        <v>40</v>
      </c>
      <c r="I58" s="193" t="s">
        <v>41</v>
      </c>
      <c r="J58" s="193" t="str">
        <f t="shared" si="6"/>
        <v>6 Roda</v>
      </c>
      <c r="K58" s="194">
        <v>45964</v>
      </c>
      <c r="L58" s="195">
        <v>13920</v>
      </c>
      <c r="M58" s="195">
        <v>3860</v>
      </c>
      <c r="N58" s="195">
        <v>10060</v>
      </c>
      <c r="O58" s="195">
        <v>10040</v>
      </c>
      <c r="P58" s="196">
        <v>0.91041666666666698</v>
      </c>
      <c r="Q58" s="196">
        <v>0.94722222222222197</v>
      </c>
      <c r="R58" s="193" t="s">
        <v>42</v>
      </c>
      <c r="S58" s="193"/>
      <c r="T58" s="197">
        <f t="shared" si="7"/>
        <v>494</v>
      </c>
      <c r="U58" s="193"/>
      <c r="V58" s="193" t="str">
        <f t="shared" si="8"/>
        <v>Pomala</v>
      </c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8"/>
      <c r="AL58" s="18"/>
    </row>
    <row r="59" spans="2:38" ht="15" customHeight="1" x14ac:dyDescent="0.2">
      <c r="B59" s="193">
        <v>1</v>
      </c>
      <c r="C59" s="347" t="s">
        <v>196</v>
      </c>
      <c r="D59" s="193" t="str">
        <f t="shared" si="5"/>
        <v>CPO000065MIS</v>
      </c>
      <c r="E59" s="193" t="s">
        <v>153</v>
      </c>
      <c r="F59" s="193" t="s">
        <v>1330</v>
      </c>
      <c r="G59" s="193" t="s">
        <v>1329</v>
      </c>
      <c r="H59" s="193" t="s">
        <v>40</v>
      </c>
      <c r="I59" s="193" t="s">
        <v>41</v>
      </c>
      <c r="J59" s="193" t="str">
        <f t="shared" si="6"/>
        <v>6 Roda</v>
      </c>
      <c r="K59" s="194">
        <v>45964</v>
      </c>
      <c r="L59" s="195">
        <v>13600</v>
      </c>
      <c r="M59" s="195">
        <v>4020</v>
      </c>
      <c r="N59" s="195">
        <v>9580</v>
      </c>
      <c r="O59" s="195">
        <v>9550</v>
      </c>
      <c r="P59" s="196">
        <v>0.91805555555555596</v>
      </c>
      <c r="Q59" s="196">
        <v>0.969444444444444</v>
      </c>
      <c r="R59" s="193" t="s">
        <v>42</v>
      </c>
      <c r="S59" s="193"/>
      <c r="T59" s="197">
        <f t="shared" si="7"/>
        <v>494</v>
      </c>
      <c r="U59" s="193"/>
      <c r="V59" s="193" t="str">
        <f t="shared" si="8"/>
        <v>Pomala</v>
      </c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8"/>
      <c r="AL59" s="18"/>
    </row>
    <row r="60" spans="2:38" ht="15" customHeight="1" x14ac:dyDescent="0.2">
      <c r="B60" s="193">
        <v>1</v>
      </c>
      <c r="C60" s="347" t="s">
        <v>197</v>
      </c>
      <c r="D60" s="193" t="str">
        <f t="shared" si="5"/>
        <v>CPO000066MIS</v>
      </c>
      <c r="E60" s="193" t="s">
        <v>149</v>
      </c>
      <c r="F60" s="193" t="s">
        <v>1330</v>
      </c>
      <c r="G60" s="193" t="s">
        <v>1329</v>
      </c>
      <c r="H60" s="193" t="s">
        <v>40</v>
      </c>
      <c r="I60" s="193" t="s">
        <v>41</v>
      </c>
      <c r="J60" s="193" t="str">
        <f t="shared" si="6"/>
        <v>6 Roda</v>
      </c>
      <c r="K60" s="194">
        <v>45964</v>
      </c>
      <c r="L60" s="195">
        <v>13910</v>
      </c>
      <c r="M60" s="195">
        <v>4060</v>
      </c>
      <c r="N60" s="195">
        <v>9850</v>
      </c>
      <c r="O60" s="195">
        <v>9840</v>
      </c>
      <c r="P60" s="196">
        <v>0.91944444444444395</v>
      </c>
      <c r="Q60" s="196">
        <v>0.98263888888888895</v>
      </c>
      <c r="R60" s="193" t="s">
        <v>42</v>
      </c>
      <c r="S60" s="193"/>
      <c r="T60" s="197">
        <f t="shared" si="7"/>
        <v>494</v>
      </c>
      <c r="U60" s="193"/>
      <c r="V60" s="193" t="str">
        <f t="shared" si="8"/>
        <v>Pomala</v>
      </c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8"/>
      <c r="AL60" s="18"/>
    </row>
    <row r="61" spans="2:38" ht="15" customHeight="1" x14ac:dyDescent="0.2">
      <c r="B61" s="193">
        <v>1</v>
      </c>
      <c r="C61" s="347" t="s">
        <v>198</v>
      </c>
      <c r="D61" s="193" t="str">
        <f t="shared" si="5"/>
        <v>CPO000067MIS</v>
      </c>
      <c r="E61" s="193" t="s">
        <v>158</v>
      </c>
      <c r="F61" s="193" t="s">
        <v>1330</v>
      </c>
      <c r="G61" s="193" t="s">
        <v>1329</v>
      </c>
      <c r="H61" s="193" t="s">
        <v>40</v>
      </c>
      <c r="I61" s="193" t="s">
        <v>41</v>
      </c>
      <c r="J61" s="193" t="str">
        <f t="shared" si="6"/>
        <v>6 Roda</v>
      </c>
      <c r="K61" s="194">
        <v>45964</v>
      </c>
      <c r="L61" s="195">
        <v>13850</v>
      </c>
      <c r="M61" s="195">
        <v>3790</v>
      </c>
      <c r="N61" s="195">
        <v>10060</v>
      </c>
      <c r="O61" s="195">
        <v>10010</v>
      </c>
      <c r="P61" s="196">
        <v>0.92013888888888895</v>
      </c>
      <c r="Q61" s="196">
        <v>0.99375000000000002</v>
      </c>
      <c r="R61" s="193" t="s">
        <v>42</v>
      </c>
      <c r="S61" s="193"/>
      <c r="T61" s="197">
        <f t="shared" si="7"/>
        <v>494</v>
      </c>
      <c r="U61" s="193"/>
      <c r="V61" s="193" t="str">
        <f t="shared" si="8"/>
        <v>Pomala</v>
      </c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8"/>
      <c r="AL61" s="18"/>
    </row>
    <row r="62" spans="2:38" ht="15" customHeight="1" x14ac:dyDescent="0.2">
      <c r="B62" s="193">
        <v>1</v>
      </c>
      <c r="C62" s="347" t="s">
        <v>199</v>
      </c>
      <c r="D62" s="193" t="str">
        <f t="shared" si="5"/>
        <v>CPO000068MIS</v>
      </c>
      <c r="E62" s="193" t="s">
        <v>171</v>
      </c>
      <c r="F62" s="193" t="s">
        <v>1330</v>
      </c>
      <c r="G62" s="193" t="s">
        <v>1329</v>
      </c>
      <c r="H62" s="193" t="s">
        <v>40</v>
      </c>
      <c r="I62" s="193" t="s">
        <v>41</v>
      </c>
      <c r="J62" s="193" t="str">
        <f t="shared" si="6"/>
        <v>6 Roda</v>
      </c>
      <c r="K62" s="194">
        <v>45965</v>
      </c>
      <c r="L62" s="195">
        <v>13260</v>
      </c>
      <c r="M62" s="195">
        <v>3670</v>
      </c>
      <c r="N62" s="195">
        <v>9590</v>
      </c>
      <c r="O62" s="195">
        <v>9540</v>
      </c>
      <c r="P62" s="196">
        <v>0.38472222222222202</v>
      </c>
      <c r="Q62" s="196">
        <v>0.41527777777777802</v>
      </c>
      <c r="R62" s="193" t="s">
        <v>42</v>
      </c>
      <c r="S62" s="193"/>
      <c r="T62" s="197">
        <f t="shared" si="7"/>
        <v>494</v>
      </c>
      <c r="U62" s="193"/>
      <c r="V62" s="193" t="str">
        <f t="shared" si="8"/>
        <v>Pomala</v>
      </c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8"/>
      <c r="AL62" s="18"/>
    </row>
    <row r="63" spans="2:38" ht="15" customHeight="1" x14ac:dyDescent="0.2">
      <c r="B63" s="193">
        <v>1</v>
      </c>
      <c r="C63" s="347" t="s">
        <v>200</v>
      </c>
      <c r="D63" s="193" t="str">
        <f t="shared" si="5"/>
        <v>CPO000069MIS</v>
      </c>
      <c r="E63" s="193" t="s">
        <v>173</v>
      </c>
      <c r="F63" s="193" t="s">
        <v>1330</v>
      </c>
      <c r="G63" s="193" t="s">
        <v>1329</v>
      </c>
      <c r="H63" s="193" t="s">
        <v>40</v>
      </c>
      <c r="I63" s="193" t="s">
        <v>41</v>
      </c>
      <c r="J63" s="193" t="str">
        <f t="shared" si="6"/>
        <v>6 Roda</v>
      </c>
      <c r="K63" s="194">
        <v>45965</v>
      </c>
      <c r="L63" s="195">
        <v>14340</v>
      </c>
      <c r="M63" s="195">
        <v>4660</v>
      </c>
      <c r="N63" s="195">
        <v>9680</v>
      </c>
      <c r="O63" s="195">
        <v>9640</v>
      </c>
      <c r="P63" s="196">
        <v>0.40416666666666701</v>
      </c>
      <c r="Q63" s="196">
        <v>0.44374999999999998</v>
      </c>
      <c r="R63" s="193" t="s">
        <v>42</v>
      </c>
      <c r="S63" s="193"/>
      <c r="T63" s="197">
        <f t="shared" si="7"/>
        <v>494</v>
      </c>
      <c r="U63" s="193"/>
      <c r="V63" s="193" t="str">
        <f t="shared" si="8"/>
        <v>Pomala</v>
      </c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8"/>
      <c r="AL63" s="18"/>
    </row>
    <row r="64" spans="2:38" ht="15" customHeight="1" x14ac:dyDescent="0.2">
      <c r="B64" s="193">
        <v>1</v>
      </c>
      <c r="C64" s="347" t="s">
        <v>201</v>
      </c>
      <c r="D64" s="193" t="str">
        <f t="shared" si="5"/>
        <v>CPO000070MIS</v>
      </c>
      <c r="E64" s="193" t="s">
        <v>177</v>
      </c>
      <c r="F64" s="193" t="s">
        <v>1330</v>
      </c>
      <c r="G64" s="193" t="s">
        <v>1329</v>
      </c>
      <c r="H64" s="193" t="s">
        <v>40</v>
      </c>
      <c r="I64" s="193" t="s">
        <v>41</v>
      </c>
      <c r="J64" s="193" t="str">
        <f t="shared" si="6"/>
        <v>6 Roda</v>
      </c>
      <c r="K64" s="194">
        <v>45965</v>
      </c>
      <c r="L64" s="195">
        <v>13760</v>
      </c>
      <c r="M64" s="195">
        <v>4050</v>
      </c>
      <c r="N64" s="195">
        <v>9710</v>
      </c>
      <c r="O64" s="195">
        <v>9650</v>
      </c>
      <c r="P64" s="196">
        <v>0.40486111111111101</v>
      </c>
      <c r="Q64" s="196">
        <v>0.44444444444444398</v>
      </c>
      <c r="R64" s="193" t="s">
        <v>42</v>
      </c>
      <c r="S64" s="193"/>
      <c r="T64" s="197">
        <f t="shared" si="7"/>
        <v>494</v>
      </c>
      <c r="U64" s="193"/>
      <c r="V64" s="193" t="str">
        <f t="shared" si="8"/>
        <v>Pomala</v>
      </c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8"/>
      <c r="AL64" s="18"/>
    </row>
    <row r="65" spans="2:38" ht="15" customHeight="1" x14ac:dyDescent="0.2">
      <c r="B65" s="193">
        <v>1</v>
      </c>
      <c r="C65" s="347" t="s">
        <v>202</v>
      </c>
      <c r="D65" s="193" t="str">
        <f t="shared" si="5"/>
        <v>CPO000071MIS</v>
      </c>
      <c r="E65" s="193" t="s">
        <v>155</v>
      </c>
      <c r="F65" s="193" t="s">
        <v>1330</v>
      </c>
      <c r="G65" s="193" t="s">
        <v>1329</v>
      </c>
      <c r="H65" s="193" t="s">
        <v>40</v>
      </c>
      <c r="I65" s="193" t="s">
        <v>41</v>
      </c>
      <c r="J65" s="193" t="str">
        <f t="shared" si="6"/>
        <v>6 Roda</v>
      </c>
      <c r="K65" s="194">
        <v>45965</v>
      </c>
      <c r="L65" s="195">
        <v>13570</v>
      </c>
      <c r="M65" s="195">
        <v>3910</v>
      </c>
      <c r="N65" s="195">
        <v>9660</v>
      </c>
      <c r="O65" s="195">
        <v>9640</v>
      </c>
      <c r="P65" s="196">
        <v>0.72916666666666696</v>
      </c>
      <c r="Q65" s="196">
        <v>0.76041666666666696</v>
      </c>
      <c r="R65" s="193" t="s">
        <v>42</v>
      </c>
      <c r="S65" s="193"/>
      <c r="T65" s="197">
        <f t="shared" si="7"/>
        <v>494</v>
      </c>
      <c r="U65" s="193"/>
      <c r="V65" s="193" t="str">
        <f t="shared" si="8"/>
        <v>Pomala</v>
      </c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8"/>
      <c r="AL65" s="18"/>
    </row>
    <row r="66" spans="2:38" ht="15" customHeight="1" x14ac:dyDescent="0.2">
      <c r="B66" s="193">
        <v>1</v>
      </c>
      <c r="C66" s="347" t="s">
        <v>203</v>
      </c>
      <c r="D66" s="193" t="str">
        <f t="shared" si="5"/>
        <v>CPO000072MIS</v>
      </c>
      <c r="E66" s="193" t="s">
        <v>183</v>
      </c>
      <c r="F66" s="193" t="s">
        <v>1330</v>
      </c>
      <c r="G66" s="193" t="s">
        <v>1329</v>
      </c>
      <c r="H66" s="193" t="s">
        <v>40</v>
      </c>
      <c r="I66" s="193" t="s">
        <v>41</v>
      </c>
      <c r="J66" s="193" t="str">
        <f t="shared" si="6"/>
        <v>6 Roda</v>
      </c>
      <c r="K66" s="194">
        <v>45965</v>
      </c>
      <c r="L66" s="195">
        <v>14230</v>
      </c>
      <c r="M66" s="195">
        <v>4170</v>
      </c>
      <c r="N66" s="195">
        <v>10060</v>
      </c>
      <c r="O66" s="195">
        <v>10030</v>
      </c>
      <c r="P66" s="196">
        <v>0.72986111111111096</v>
      </c>
      <c r="Q66" s="196">
        <v>0.76180555555555596</v>
      </c>
      <c r="R66" s="193" t="s">
        <v>42</v>
      </c>
      <c r="S66" s="193"/>
      <c r="T66" s="197">
        <f t="shared" si="7"/>
        <v>494</v>
      </c>
      <c r="U66" s="193"/>
      <c r="V66" s="193" t="str">
        <f t="shared" si="8"/>
        <v>Pomala</v>
      </c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8"/>
      <c r="AL66" s="18"/>
    </row>
    <row r="67" spans="2:38" ht="15" customHeight="1" x14ac:dyDescent="0.2">
      <c r="B67" s="193">
        <v>1</v>
      </c>
      <c r="C67" s="347" t="s">
        <v>204</v>
      </c>
      <c r="D67" s="193" t="str">
        <f t="shared" si="5"/>
        <v>CPO000073MIS</v>
      </c>
      <c r="E67" s="193" t="s">
        <v>179</v>
      </c>
      <c r="F67" s="193" t="s">
        <v>1330</v>
      </c>
      <c r="G67" s="193" t="s">
        <v>1329</v>
      </c>
      <c r="H67" s="193" t="s">
        <v>40</v>
      </c>
      <c r="I67" s="193" t="s">
        <v>41</v>
      </c>
      <c r="J67" s="193" t="str">
        <f t="shared" si="6"/>
        <v>6 Roda</v>
      </c>
      <c r="K67" s="194">
        <v>45966</v>
      </c>
      <c r="L67" s="195">
        <v>13910</v>
      </c>
      <c r="M67" s="195">
        <v>4030</v>
      </c>
      <c r="N67" s="195">
        <v>9880</v>
      </c>
      <c r="O67" s="195">
        <v>9860</v>
      </c>
      <c r="P67" s="196">
        <v>0.70625000000000004</v>
      </c>
      <c r="Q67" s="196">
        <v>0.73819444444444504</v>
      </c>
      <c r="R67" s="193" t="s">
        <v>42</v>
      </c>
      <c r="S67" s="193"/>
      <c r="T67" s="197">
        <f t="shared" si="7"/>
        <v>494</v>
      </c>
      <c r="U67" s="193"/>
      <c r="V67" s="193" t="str">
        <f t="shared" si="8"/>
        <v>Pomala</v>
      </c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8"/>
      <c r="AL67" s="18"/>
    </row>
    <row r="68" spans="2:38" ht="15" customHeight="1" x14ac:dyDescent="0.2">
      <c r="B68" s="193">
        <v>1</v>
      </c>
      <c r="C68" s="347" t="s">
        <v>206</v>
      </c>
      <c r="D68" s="193" t="str">
        <f t="shared" si="5"/>
        <v>CPO000074MIS</v>
      </c>
      <c r="E68" s="193" t="s">
        <v>181</v>
      </c>
      <c r="F68" s="193" t="s">
        <v>1330</v>
      </c>
      <c r="G68" s="193" t="s">
        <v>1329</v>
      </c>
      <c r="H68" s="193" t="s">
        <v>40</v>
      </c>
      <c r="I68" s="193" t="s">
        <v>41</v>
      </c>
      <c r="J68" s="193" t="str">
        <f t="shared" si="6"/>
        <v>6 Roda</v>
      </c>
      <c r="K68" s="194">
        <v>45966</v>
      </c>
      <c r="L68" s="195">
        <v>13520</v>
      </c>
      <c r="M68" s="195">
        <v>4030</v>
      </c>
      <c r="N68" s="195">
        <v>9490</v>
      </c>
      <c r="O68" s="195">
        <v>9510</v>
      </c>
      <c r="P68" s="196">
        <v>0.72222222222222199</v>
      </c>
      <c r="Q68" s="196">
        <v>0.75486111111111098</v>
      </c>
      <c r="R68" s="193" t="s">
        <v>42</v>
      </c>
      <c r="S68" s="193"/>
      <c r="T68" s="197">
        <f t="shared" si="7"/>
        <v>494</v>
      </c>
      <c r="U68" s="193"/>
      <c r="V68" s="193" t="str">
        <f t="shared" si="8"/>
        <v>Pomala</v>
      </c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8"/>
      <c r="AL68" s="18"/>
    </row>
    <row r="69" spans="2:38" ht="15" customHeight="1" x14ac:dyDescent="0.2">
      <c r="B69" s="193">
        <v>1</v>
      </c>
      <c r="C69" s="347" t="s">
        <v>207</v>
      </c>
      <c r="D69" s="193" t="str">
        <f t="shared" si="5"/>
        <v>CPO000075MIS</v>
      </c>
      <c r="E69" s="193" t="s">
        <v>39</v>
      </c>
      <c r="F69" s="193" t="s">
        <v>1330</v>
      </c>
      <c r="G69" s="193" t="s">
        <v>1329</v>
      </c>
      <c r="H69" s="193" t="s">
        <v>40</v>
      </c>
      <c r="I69" s="193" t="s">
        <v>41</v>
      </c>
      <c r="J69" s="193" t="str">
        <f t="shared" si="6"/>
        <v>6 Roda</v>
      </c>
      <c r="K69" s="194">
        <v>45966</v>
      </c>
      <c r="L69" s="195">
        <v>13680</v>
      </c>
      <c r="M69" s="195">
        <v>4160</v>
      </c>
      <c r="N69" s="195">
        <v>9520</v>
      </c>
      <c r="O69" s="195">
        <v>9590</v>
      </c>
      <c r="P69" s="196">
        <v>0.92152777777777795</v>
      </c>
      <c r="Q69" s="196">
        <v>8.3333333333333297E-3</v>
      </c>
      <c r="R69" s="193" t="s">
        <v>42</v>
      </c>
      <c r="S69" s="193"/>
      <c r="T69" s="197">
        <f t="shared" si="7"/>
        <v>494</v>
      </c>
      <c r="U69" s="193"/>
      <c r="V69" s="193" t="str">
        <f t="shared" si="8"/>
        <v>Pomala</v>
      </c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8"/>
      <c r="AL69" s="18"/>
    </row>
    <row r="70" spans="2:38" ht="15" customHeight="1" x14ac:dyDescent="0.2">
      <c r="B70" s="193">
        <v>1</v>
      </c>
      <c r="C70" s="347" t="s">
        <v>208</v>
      </c>
      <c r="D70" s="193" t="str">
        <f t="shared" si="5"/>
        <v>CPO000076MIS</v>
      </c>
      <c r="E70" s="193" t="s">
        <v>73</v>
      </c>
      <c r="F70" s="193" t="s">
        <v>1330</v>
      </c>
      <c r="G70" s="193" t="s">
        <v>1329</v>
      </c>
      <c r="H70" s="193" t="s">
        <v>40</v>
      </c>
      <c r="I70" s="193" t="s">
        <v>41</v>
      </c>
      <c r="J70" s="193" t="str">
        <f t="shared" si="6"/>
        <v>6 Roda</v>
      </c>
      <c r="K70" s="194">
        <v>45966</v>
      </c>
      <c r="L70" s="195">
        <v>13390</v>
      </c>
      <c r="M70" s="195">
        <v>3990</v>
      </c>
      <c r="N70" s="195">
        <v>9400</v>
      </c>
      <c r="O70" s="195">
        <v>9340</v>
      </c>
      <c r="P70" s="196">
        <v>0.92222222222222205</v>
      </c>
      <c r="Q70" s="196">
        <v>0.97569444444444398</v>
      </c>
      <c r="R70" s="193" t="s">
        <v>42</v>
      </c>
      <c r="S70" s="193"/>
      <c r="T70" s="197">
        <f t="shared" si="7"/>
        <v>494</v>
      </c>
      <c r="U70" s="193"/>
      <c r="V70" s="193" t="str">
        <f t="shared" si="8"/>
        <v>Pomala</v>
      </c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8"/>
      <c r="AL70" s="18"/>
    </row>
    <row r="71" spans="2:38" ht="15" customHeight="1" x14ac:dyDescent="0.2">
      <c r="B71" s="193">
        <v>1</v>
      </c>
      <c r="C71" s="347" t="s">
        <v>209</v>
      </c>
      <c r="D71" s="193" t="str">
        <f t="shared" si="5"/>
        <v>CPO000077MIS</v>
      </c>
      <c r="E71" s="193" t="s">
        <v>210</v>
      </c>
      <c r="F71" s="193" t="s">
        <v>1330</v>
      </c>
      <c r="G71" s="193" t="s">
        <v>1329</v>
      </c>
      <c r="H71" s="193" t="s">
        <v>40</v>
      </c>
      <c r="I71" s="193" t="s">
        <v>41</v>
      </c>
      <c r="J71" s="193" t="str">
        <f t="shared" si="6"/>
        <v>6 Roda</v>
      </c>
      <c r="K71" s="194">
        <v>45966</v>
      </c>
      <c r="L71" s="195">
        <v>13280</v>
      </c>
      <c r="M71" s="195">
        <v>3750</v>
      </c>
      <c r="N71" s="195">
        <v>9530</v>
      </c>
      <c r="O71" s="195">
        <v>9510</v>
      </c>
      <c r="P71" s="196">
        <v>0.92361111111111105</v>
      </c>
      <c r="Q71" s="196">
        <v>0.99375000000000002</v>
      </c>
      <c r="R71" s="193" t="s">
        <v>42</v>
      </c>
      <c r="S71" s="193"/>
      <c r="T71" s="197">
        <f t="shared" si="7"/>
        <v>494</v>
      </c>
      <c r="U71" s="193"/>
      <c r="V71" s="193" t="str">
        <f t="shared" si="8"/>
        <v>Pomala</v>
      </c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8"/>
      <c r="AL71" s="18"/>
    </row>
    <row r="72" spans="2:38" ht="15" customHeight="1" x14ac:dyDescent="0.2">
      <c r="B72" s="193">
        <v>1</v>
      </c>
      <c r="C72" s="347" t="s">
        <v>212</v>
      </c>
      <c r="D72" s="193" t="str">
        <f t="shared" si="5"/>
        <v>CPO000078MIS</v>
      </c>
      <c r="E72" s="193" t="s">
        <v>171</v>
      </c>
      <c r="F72" s="193" t="s">
        <v>1330</v>
      </c>
      <c r="G72" s="193" t="s">
        <v>1329</v>
      </c>
      <c r="H72" s="193" t="s">
        <v>40</v>
      </c>
      <c r="I72" s="193" t="s">
        <v>41</v>
      </c>
      <c r="J72" s="193" t="str">
        <f t="shared" si="6"/>
        <v>6 Roda</v>
      </c>
      <c r="K72" s="194">
        <v>45966</v>
      </c>
      <c r="L72" s="195">
        <v>13160</v>
      </c>
      <c r="M72" s="195">
        <v>3670</v>
      </c>
      <c r="N72" s="195">
        <v>9490</v>
      </c>
      <c r="O72" s="195">
        <v>9530</v>
      </c>
      <c r="P72" s="196">
        <v>0.35555555555555601</v>
      </c>
      <c r="Q72" s="196">
        <v>0.39305555555555599</v>
      </c>
      <c r="R72" s="193" t="s">
        <v>42</v>
      </c>
      <c r="S72" s="193"/>
      <c r="T72" s="197">
        <f t="shared" si="7"/>
        <v>494</v>
      </c>
      <c r="U72" s="193"/>
      <c r="V72" s="193" t="str">
        <f t="shared" si="8"/>
        <v>Pomala</v>
      </c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8"/>
      <c r="AL72" s="18"/>
    </row>
    <row r="73" spans="2:38" ht="15" customHeight="1" x14ac:dyDescent="0.2">
      <c r="B73" s="193">
        <v>1</v>
      </c>
      <c r="C73" s="347" t="s">
        <v>213</v>
      </c>
      <c r="D73" s="193" t="str">
        <f t="shared" si="5"/>
        <v>CPO000079MIS</v>
      </c>
      <c r="E73" s="193" t="s">
        <v>214</v>
      </c>
      <c r="F73" s="193" t="s">
        <v>1330</v>
      </c>
      <c r="G73" s="193" t="s">
        <v>1329</v>
      </c>
      <c r="H73" s="193" t="s">
        <v>40</v>
      </c>
      <c r="I73" s="193" t="s">
        <v>41</v>
      </c>
      <c r="J73" s="193" t="str">
        <f t="shared" si="6"/>
        <v>6 Roda</v>
      </c>
      <c r="K73" s="194">
        <v>45966</v>
      </c>
      <c r="L73" s="195">
        <v>13440</v>
      </c>
      <c r="M73" s="195">
        <v>3750</v>
      </c>
      <c r="N73" s="195">
        <v>9690</v>
      </c>
      <c r="O73" s="195">
        <v>9780</v>
      </c>
      <c r="P73" s="196">
        <v>0.35625000000000001</v>
      </c>
      <c r="Q73" s="196">
        <v>0.39513888888888898</v>
      </c>
      <c r="R73" s="193" t="s">
        <v>42</v>
      </c>
      <c r="S73" s="193"/>
      <c r="T73" s="197">
        <f t="shared" si="7"/>
        <v>494</v>
      </c>
      <c r="U73" s="193"/>
      <c r="V73" s="193" t="str">
        <f t="shared" si="8"/>
        <v>Pomala</v>
      </c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8"/>
      <c r="AL73" s="18"/>
    </row>
    <row r="74" spans="2:38" ht="15" customHeight="1" x14ac:dyDescent="0.2">
      <c r="B74" s="193">
        <v>1</v>
      </c>
      <c r="C74" s="347" t="s">
        <v>216</v>
      </c>
      <c r="D74" s="193" t="str">
        <f t="shared" si="5"/>
        <v>CPO000080MIS</v>
      </c>
      <c r="E74" s="193" t="s">
        <v>151</v>
      </c>
      <c r="F74" s="193" t="s">
        <v>1330</v>
      </c>
      <c r="G74" s="193" t="s">
        <v>1329</v>
      </c>
      <c r="H74" s="193" t="s">
        <v>40</v>
      </c>
      <c r="I74" s="193" t="s">
        <v>41</v>
      </c>
      <c r="J74" s="193" t="str">
        <f t="shared" si="6"/>
        <v>6 Roda</v>
      </c>
      <c r="K74" s="194">
        <v>45968</v>
      </c>
      <c r="L74" s="195">
        <v>13430</v>
      </c>
      <c r="M74" s="195">
        <v>4130</v>
      </c>
      <c r="N74" s="195">
        <v>9300</v>
      </c>
      <c r="O74" s="195">
        <v>9320</v>
      </c>
      <c r="P74" s="196">
        <v>0.344444444444444</v>
      </c>
      <c r="Q74" s="196">
        <v>0.45</v>
      </c>
      <c r="R74" s="193" t="s">
        <v>42</v>
      </c>
      <c r="S74" s="193"/>
      <c r="T74" s="197">
        <f t="shared" si="7"/>
        <v>494</v>
      </c>
      <c r="U74" s="193"/>
      <c r="V74" s="193" t="str">
        <f t="shared" si="8"/>
        <v>Pomala</v>
      </c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8"/>
      <c r="AL74" s="18"/>
    </row>
    <row r="75" spans="2:38" ht="15" customHeight="1" x14ac:dyDescent="0.2">
      <c r="B75" s="193">
        <v>1</v>
      </c>
      <c r="C75" s="347" t="s">
        <v>217</v>
      </c>
      <c r="D75" s="193" t="str">
        <f t="shared" si="5"/>
        <v>CPO000081MIS</v>
      </c>
      <c r="E75" s="193" t="s">
        <v>173</v>
      </c>
      <c r="F75" s="193" t="s">
        <v>1330</v>
      </c>
      <c r="G75" s="193" t="s">
        <v>1329</v>
      </c>
      <c r="H75" s="193" t="s">
        <v>40</v>
      </c>
      <c r="I75" s="193" t="s">
        <v>41</v>
      </c>
      <c r="J75" s="193" t="str">
        <f t="shared" si="6"/>
        <v>6 Roda</v>
      </c>
      <c r="K75" s="194">
        <v>45968</v>
      </c>
      <c r="L75" s="195">
        <v>14290</v>
      </c>
      <c r="M75" s="195">
        <v>4680</v>
      </c>
      <c r="N75" s="195">
        <v>9610</v>
      </c>
      <c r="O75" s="195">
        <v>9630</v>
      </c>
      <c r="P75" s="196">
        <v>0.34583333333333299</v>
      </c>
      <c r="Q75" s="196">
        <v>0.38541666666666702</v>
      </c>
      <c r="R75" s="193" t="s">
        <v>42</v>
      </c>
      <c r="S75" s="193"/>
      <c r="T75" s="197">
        <f t="shared" si="7"/>
        <v>494</v>
      </c>
      <c r="U75" s="193"/>
      <c r="V75" s="193" t="str">
        <f t="shared" si="8"/>
        <v>Pomala</v>
      </c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8"/>
      <c r="AL75" s="18"/>
    </row>
    <row r="76" spans="2:38" ht="15" customHeight="1" x14ac:dyDescent="0.2">
      <c r="B76" s="193">
        <v>1</v>
      </c>
      <c r="C76" s="347" t="s">
        <v>218</v>
      </c>
      <c r="D76" s="193" t="str">
        <f t="shared" si="5"/>
        <v>CPO000082MIS</v>
      </c>
      <c r="E76" s="193" t="s">
        <v>219</v>
      </c>
      <c r="F76" s="193" t="s">
        <v>1330</v>
      </c>
      <c r="G76" s="193" t="s">
        <v>1329</v>
      </c>
      <c r="H76" s="193" t="s">
        <v>40</v>
      </c>
      <c r="I76" s="193" t="s">
        <v>41</v>
      </c>
      <c r="J76" s="193" t="str">
        <f t="shared" si="6"/>
        <v>6 Roda</v>
      </c>
      <c r="K76" s="194">
        <v>45968</v>
      </c>
      <c r="L76" s="195">
        <v>13720</v>
      </c>
      <c r="M76" s="195">
        <v>4060</v>
      </c>
      <c r="N76" s="195">
        <v>9660</v>
      </c>
      <c r="O76" s="195">
        <v>9660</v>
      </c>
      <c r="P76" s="196">
        <v>0.34652777777777799</v>
      </c>
      <c r="Q76" s="196">
        <v>0.37916666666666698</v>
      </c>
      <c r="R76" s="193" t="s">
        <v>42</v>
      </c>
      <c r="S76" s="193"/>
      <c r="T76" s="197">
        <f t="shared" si="7"/>
        <v>494</v>
      </c>
      <c r="U76" s="193"/>
      <c r="V76" s="193" t="str">
        <f t="shared" si="8"/>
        <v>Pomala</v>
      </c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8"/>
      <c r="AL76" s="18"/>
    </row>
    <row r="77" spans="2:38" ht="15" customHeight="1" x14ac:dyDescent="0.2">
      <c r="B77" s="193">
        <v>1</v>
      </c>
      <c r="C77" s="347" t="s">
        <v>221</v>
      </c>
      <c r="D77" s="193" t="str">
        <f t="shared" si="5"/>
        <v>CPO000083MIS</v>
      </c>
      <c r="E77" s="193" t="s">
        <v>158</v>
      </c>
      <c r="F77" s="193" t="s">
        <v>1330</v>
      </c>
      <c r="G77" s="193" t="s">
        <v>1329</v>
      </c>
      <c r="H77" s="193" t="s">
        <v>40</v>
      </c>
      <c r="I77" s="193" t="s">
        <v>41</v>
      </c>
      <c r="J77" s="193" t="str">
        <f t="shared" si="6"/>
        <v>6 Roda</v>
      </c>
      <c r="K77" s="194">
        <v>45968</v>
      </c>
      <c r="L77" s="195">
        <v>13830</v>
      </c>
      <c r="M77" s="195">
        <v>3890</v>
      </c>
      <c r="N77" s="195">
        <v>9940</v>
      </c>
      <c r="O77" s="195">
        <v>9980</v>
      </c>
      <c r="P77" s="196">
        <v>0.34722222222222199</v>
      </c>
      <c r="Q77" s="196">
        <v>0.41111111111111098</v>
      </c>
      <c r="R77" s="193" t="s">
        <v>42</v>
      </c>
      <c r="S77" s="193"/>
      <c r="T77" s="197">
        <f t="shared" si="7"/>
        <v>494</v>
      </c>
      <c r="U77" s="193"/>
      <c r="V77" s="193" t="str">
        <f t="shared" si="8"/>
        <v>Pomala</v>
      </c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8"/>
      <c r="AL77" s="18"/>
    </row>
    <row r="78" spans="2:38" ht="15" customHeight="1" x14ac:dyDescent="0.2">
      <c r="B78" s="193">
        <v>1</v>
      </c>
      <c r="C78" s="347" t="s">
        <v>222</v>
      </c>
      <c r="D78" s="193" t="str">
        <f t="shared" si="5"/>
        <v>CPO000084MIS</v>
      </c>
      <c r="E78" s="193" t="s">
        <v>163</v>
      </c>
      <c r="F78" s="193" t="s">
        <v>1330</v>
      </c>
      <c r="G78" s="193" t="s">
        <v>1329</v>
      </c>
      <c r="H78" s="193" t="s">
        <v>40</v>
      </c>
      <c r="I78" s="193" t="s">
        <v>41</v>
      </c>
      <c r="J78" s="193" t="str">
        <f t="shared" si="6"/>
        <v>6 Roda</v>
      </c>
      <c r="K78" s="194">
        <v>45968</v>
      </c>
      <c r="L78" s="195">
        <v>13950</v>
      </c>
      <c r="M78" s="195">
        <v>4010</v>
      </c>
      <c r="N78" s="195">
        <v>9940</v>
      </c>
      <c r="O78" s="195">
        <v>10030</v>
      </c>
      <c r="P78" s="196">
        <v>0.34791666666666698</v>
      </c>
      <c r="Q78" s="196">
        <v>0.41597222222222202</v>
      </c>
      <c r="R78" s="193" t="s">
        <v>42</v>
      </c>
      <c r="S78" s="193"/>
      <c r="T78" s="197">
        <f t="shared" si="7"/>
        <v>494</v>
      </c>
      <c r="U78" s="193"/>
      <c r="V78" s="193" t="str">
        <f t="shared" si="8"/>
        <v>Pomala</v>
      </c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8"/>
      <c r="AL78" s="18"/>
    </row>
    <row r="79" spans="2:38" ht="15" customHeight="1" x14ac:dyDescent="0.2">
      <c r="B79" s="193">
        <v>1</v>
      </c>
      <c r="C79" s="347" t="s">
        <v>223</v>
      </c>
      <c r="D79" s="193" t="str">
        <f t="shared" si="5"/>
        <v>CPO000085MIS</v>
      </c>
      <c r="E79" s="193" t="s">
        <v>224</v>
      </c>
      <c r="F79" s="193" t="s">
        <v>1330</v>
      </c>
      <c r="G79" s="193" t="s">
        <v>1329</v>
      </c>
      <c r="H79" s="193" t="s">
        <v>40</v>
      </c>
      <c r="I79" s="193" t="s">
        <v>41</v>
      </c>
      <c r="J79" s="193" t="str">
        <f t="shared" si="6"/>
        <v>6 Roda</v>
      </c>
      <c r="K79" s="194">
        <v>45968</v>
      </c>
      <c r="L79" s="195">
        <v>12210</v>
      </c>
      <c r="M79" s="195">
        <v>3830</v>
      </c>
      <c r="N79" s="195">
        <v>8380</v>
      </c>
      <c r="O79" s="195">
        <v>8390</v>
      </c>
      <c r="P79" s="196">
        <v>0.35</v>
      </c>
      <c r="Q79" s="196">
        <v>0.452083333333333</v>
      </c>
      <c r="R79" s="193" t="s">
        <v>42</v>
      </c>
      <c r="S79" s="193"/>
      <c r="T79" s="197">
        <f t="shared" si="7"/>
        <v>494</v>
      </c>
      <c r="U79" s="193"/>
      <c r="V79" s="193" t="str">
        <f t="shared" si="8"/>
        <v>Pomala</v>
      </c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8"/>
      <c r="AL79" s="18"/>
    </row>
    <row r="80" spans="2:38" ht="15" customHeight="1" x14ac:dyDescent="0.2">
      <c r="B80" s="193">
        <v>1</v>
      </c>
      <c r="C80" s="347" t="s">
        <v>225</v>
      </c>
      <c r="D80" s="193" t="str">
        <f t="shared" si="5"/>
        <v>CPO000086MIS</v>
      </c>
      <c r="E80" s="193" t="s">
        <v>169</v>
      </c>
      <c r="F80" s="193" t="s">
        <v>1330</v>
      </c>
      <c r="G80" s="193" t="s">
        <v>1329</v>
      </c>
      <c r="H80" s="193" t="s">
        <v>40</v>
      </c>
      <c r="I80" s="193" t="s">
        <v>41</v>
      </c>
      <c r="J80" s="193" t="str">
        <f t="shared" si="6"/>
        <v>6 Roda</v>
      </c>
      <c r="K80" s="194">
        <v>45968</v>
      </c>
      <c r="L80" s="195">
        <v>13420</v>
      </c>
      <c r="M80" s="195">
        <v>3980</v>
      </c>
      <c r="N80" s="195">
        <v>9440</v>
      </c>
      <c r="O80" s="195">
        <v>9400</v>
      </c>
      <c r="P80" s="196">
        <v>0.79861111111111105</v>
      </c>
      <c r="Q80" s="196">
        <v>0.84861111111111098</v>
      </c>
      <c r="R80" s="193" t="s">
        <v>42</v>
      </c>
      <c r="S80" s="193"/>
      <c r="T80" s="197">
        <f t="shared" si="7"/>
        <v>494</v>
      </c>
      <c r="U80" s="193"/>
      <c r="V80" s="193" t="str">
        <f t="shared" si="8"/>
        <v>Pomala</v>
      </c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8"/>
      <c r="AL80" s="18"/>
    </row>
    <row r="81" spans="2:38" ht="15" customHeight="1" x14ac:dyDescent="0.2">
      <c r="B81" s="193">
        <v>1</v>
      </c>
      <c r="C81" s="347" t="s">
        <v>226</v>
      </c>
      <c r="D81" s="193" t="str">
        <f t="shared" si="5"/>
        <v>CPO000087MIS</v>
      </c>
      <c r="E81" s="193" t="s">
        <v>166</v>
      </c>
      <c r="F81" s="193" t="s">
        <v>1330</v>
      </c>
      <c r="G81" s="193" t="s">
        <v>1329</v>
      </c>
      <c r="H81" s="193" t="s">
        <v>40</v>
      </c>
      <c r="I81" s="193" t="s">
        <v>41</v>
      </c>
      <c r="J81" s="193" t="str">
        <f t="shared" si="6"/>
        <v>6 Roda</v>
      </c>
      <c r="K81" s="194">
        <v>45968</v>
      </c>
      <c r="L81" s="195">
        <v>13100</v>
      </c>
      <c r="M81" s="195">
        <v>3840</v>
      </c>
      <c r="N81" s="195">
        <v>9260</v>
      </c>
      <c r="O81" s="195">
        <v>9280</v>
      </c>
      <c r="P81" s="196">
        <v>0.79930555555555605</v>
      </c>
      <c r="Q81" s="196">
        <v>0.843055555555556</v>
      </c>
      <c r="R81" s="193" t="s">
        <v>42</v>
      </c>
      <c r="S81" s="193"/>
      <c r="T81" s="197">
        <f t="shared" si="7"/>
        <v>494</v>
      </c>
      <c r="U81" s="193"/>
      <c r="V81" s="193" t="str">
        <f t="shared" si="8"/>
        <v>Pomala</v>
      </c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8"/>
      <c r="AL81" s="18"/>
    </row>
    <row r="82" spans="2:38" ht="15" customHeight="1" x14ac:dyDescent="0.2">
      <c r="B82" s="193">
        <v>1</v>
      </c>
      <c r="C82" s="347" t="s">
        <v>227</v>
      </c>
      <c r="D82" s="193" t="str">
        <f t="shared" si="5"/>
        <v>CPO000088MIS</v>
      </c>
      <c r="E82" s="193" t="s">
        <v>149</v>
      </c>
      <c r="F82" s="193" t="s">
        <v>1330</v>
      </c>
      <c r="G82" s="193" t="s">
        <v>1329</v>
      </c>
      <c r="H82" s="193" t="s">
        <v>40</v>
      </c>
      <c r="I82" s="193" t="s">
        <v>41</v>
      </c>
      <c r="J82" s="193" t="str">
        <f t="shared" si="6"/>
        <v>6 Roda</v>
      </c>
      <c r="K82" s="194">
        <v>45968</v>
      </c>
      <c r="L82" s="195">
        <v>13850</v>
      </c>
      <c r="M82" s="195">
        <v>4080</v>
      </c>
      <c r="N82" s="195">
        <v>9770</v>
      </c>
      <c r="O82" s="195">
        <v>9800</v>
      </c>
      <c r="P82" s="196">
        <v>0.8</v>
      </c>
      <c r="Q82" s="196">
        <v>0.87013888888888902</v>
      </c>
      <c r="R82" s="193" t="s">
        <v>42</v>
      </c>
      <c r="S82" s="193"/>
      <c r="T82" s="197">
        <f t="shared" si="7"/>
        <v>494</v>
      </c>
      <c r="U82" s="193"/>
      <c r="V82" s="193" t="str">
        <f t="shared" si="8"/>
        <v>Pomala</v>
      </c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8"/>
      <c r="AL82" s="18"/>
    </row>
    <row r="83" spans="2:38" ht="15" customHeight="1" x14ac:dyDescent="0.2">
      <c r="B83" s="193">
        <v>1</v>
      </c>
      <c r="C83" s="347" t="s">
        <v>228</v>
      </c>
      <c r="D83" s="193" t="str">
        <f t="shared" si="5"/>
        <v>CPO000089MIS</v>
      </c>
      <c r="E83" s="193" t="s">
        <v>188</v>
      </c>
      <c r="F83" s="193" t="s">
        <v>1330</v>
      </c>
      <c r="G83" s="193" t="s">
        <v>1329</v>
      </c>
      <c r="H83" s="193" t="s">
        <v>40</v>
      </c>
      <c r="I83" s="193" t="s">
        <v>41</v>
      </c>
      <c r="J83" s="193" t="str">
        <f t="shared" si="6"/>
        <v>6 Roda</v>
      </c>
      <c r="K83" s="194">
        <v>45969</v>
      </c>
      <c r="L83" s="195">
        <v>13130</v>
      </c>
      <c r="M83" s="195">
        <v>3670</v>
      </c>
      <c r="N83" s="195">
        <v>9460</v>
      </c>
      <c r="O83" s="195">
        <v>9500</v>
      </c>
      <c r="P83" s="196">
        <v>0.36805555555555602</v>
      </c>
      <c r="Q83" s="196">
        <v>0.42013888888888901</v>
      </c>
      <c r="R83" s="193" t="s">
        <v>42</v>
      </c>
      <c r="S83" s="193"/>
      <c r="T83" s="197">
        <f t="shared" si="7"/>
        <v>494</v>
      </c>
      <c r="U83" s="193"/>
      <c r="V83" s="193" t="str">
        <f t="shared" si="8"/>
        <v>Pomala</v>
      </c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8"/>
      <c r="AL83" s="18"/>
    </row>
    <row r="84" spans="2:38" ht="15" customHeight="1" x14ac:dyDescent="0.2">
      <c r="B84" s="193">
        <v>1</v>
      </c>
      <c r="C84" s="347" t="s">
        <v>80</v>
      </c>
      <c r="D84" s="193" t="str">
        <f t="shared" si="5"/>
        <v>CPO000006JAS</v>
      </c>
      <c r="E84" s="193" t="s">
        <v>76</v>
      </c>
      <c r="F84" s="193" t="s">
        <v>1331</v>
      </c>
      <c r="G84" s="193" t="s">
        <v>1731</v>
      </c>
      <c r="H84" s="193" t="s">
        <v>49</v>
      </c>
      <c r="I84" s="193" t="s">
        <v>41</v>
      </c>
      <c r="J84" s="193" t="str">
        <f t="shared" si="6"/>
        <v>12 Roda</v>
      </c>
      <c r="K84" s="194">
        <v>45971</v>
      </c>
      <c r="L84" s="195">
        <v>45780</v>
      </c>
      <c r="M84" s="195">
        <v>17430</v>
      </c>
      <c r="N84" s="195">
        <v>28350</v>
      </c>
      <c r="O84" s="195">
        <v>28370</v>
      </c>
      <c r="P84" s="196">
        <v>0.67777777777777803</v>
      </c>
      <c r="Q84" s="196">
        <v>0.749305555555556</v>
      </c>
      <c r="R84" s="193" t="s">
        <v>42</v>
      </c>
      <c r="S84" s="193" t="s">
        <v>1372</v>
      </c>
      <c r="T84" s="197">
        <f t="shared" si="7"/>
        <v>68</v>
      </c>
      <c r="U84" s="193" t="s">
        <v>1922</v>
      </c>
      <c r="V84" s="193" t="str">
        <f t="shared" si="8"/>
        <v>Bone Bone</v>
      </c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8"/>
      <c r="AL84" s="18"/>
    </row>
    <row r="85" spans="2:38" ht="15" customHeight="1" x14ac:dyDescent="0.2">
      <c r="B85" s="193">
        <v>1</v>
      </c>
      <c r="C85" s="347" t="s">
        <v>907</v>
      </c>
      <c r="D85" s="193" t="str">
        <f t="shared" si="5"/>
        <v>CPO000740PN</v>
      </c>
      <c r="E85" s="193" t="s">
        <v>70</v>
      </c>
      <c r="F85" s="193" t="s">
        <v>1358</v>
      </c>
      <c r="G85" s="193" t="s">
        <v>1357</v>
      </c>
      <c r="H85" s="193" t="s">
        <v>78</v>
      </c>
      <c r="I85" s="193" t="s">
        <v>41</v>
      </c>
      <c r="J85" s="193" t="str">
        <f t="shared" si="6"/>
        <v>12 Roda</v>
      </c>
      <c r="K85" s="194">
        <v>46056</v>
      </c>
      <c r="L85" s="195">
        <v>45840</v>
      </c>
      <c r="M85" s="195">
        <v>17540</v>
      </c>
      <c r="N85" s="195">
        <v>28300</v>
      </c>
      <c r="O85" s="195">
        <v>28370</v>
      </c>
      <c r="P85" s="196">
        <v>0.82499999999999996</v>
      </c>
      <c r="Q85" s="196">
        <v>0.88402777777777797</v>
      </c>
      <c r="R85" s="193" t="s">
        <v>42</v>
      </c>
      <c r="S85" s="193" t="s">
        <v>1499</v>
      </c>
      <c r="T85" s="197">
        <f t="shared" si="7"/>
        <v>99</v>
      </c>
      <c r="U85" s="193"/>
      <c r="V85" s="193" t="str">
        <f t="shared" si="8"/>
        <v>Burau</v>
      </c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8"/>
      <c r="AL85" s="18"/>
    </row>
    <row r="86" spans="2:38" ht="15" customHeight="1" x14ac:dyDescent="0.2">
      <c r="B86" s="193">
        <v>1</v>
      </c>
      <c r="C86" s="347" t="s">
        <v>100</v>
      </c>
      <c r="D86" s="193" t="str">
        <f t="shared" si="5"/>
        <v>CPO000008JAS</v>
      </c>
      <c r="E86" s="193" t="s">
        <v>56</v>
      </c>
      <c r="F86" s="193" t="s">
        <v>1331</v>
      </c>
      <c r="G86" s="193" t="s">
        <v>1731</v>
      </c>
      <c r="H86" s="193" t="s">
        <v>49</v>
      </c>
      <c r="I86" s="193" t="s">
        <v>41</v>
      </c>
      <c r="J86" s="193" t="str">
        <f t="shared" si="6"/>
        <v>10 Roda</v>
      </c>
      <c r="K86" s="194">
        <v>45971</v>
      </c>
      <c r="L86" s="195">
        <v>25090</v>
      </c>
      <c r="M86" s="195">
        <v>10860</v>
      </c>
      <c r="N86" s="195">
        <v>14230</v>
      </c>
      <c r="O86" s="195">
        <v>14180</v>
      </c>
      <c r="P86" s="196">
        <v>0.686805555555556</v>
      </c>
      <c r="Q86" s="196">
        <v>0.76736111111111105</v>
      </c>
      <c r="R86" s="193" t="s">
        <v>42</v>
      </c>
      <c r="S86" s="193" t="s">
        <v>1781</v>
      </c>
      <c r="T86" s="197">
        <f t="shared" si="7"/>
        <v>68</v>
      </c>
      <c r="U86" s="193" t="s">
        <v>1922</v>
      </c>
      <c r="V86" s="193" t="str">
        <f t="shared" si="8"/>
        <v>Bone Bone</v>
      </c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8"/>
      <c r="AL86" s="18"/>
    </row>
    <row r="87" spans="2:38" ht="15" customHeight="1" x14ac:dyDescent="0.2">
      <c r="B87" s="193">
        <v>1</v>
      </c>
      <c r="C87" s="347" t="s">
        <v>109</v>
      </c>
      <c r="D87" s="193" t="str">
        <f t="shared" ref="D87:D150" si="9">I87&amp;C87&amp;_xlfn.XLOOKUP(H87,$AM$4:$AM$26,$AN$4:$AN$26,"")</f>
        <v>CPO000009JAS</v>
      </c>
      <c r="E87" s="193" t="s">
        <v>46</v>
      </c>
      <c r="F87" s="193" t="s">
        <v>1331</v>
      </c>
      <c r="G87" s="193" t="s">
        <v>1731</v>
      </c>
      <c r="H87" s="193" t="s">
        <v>49</v>
      </c>
      <c r="I87" s="193" t="s">
        <v>41</v>
      </c>
      <c r="J87" s="193" t="str">
        <f t="shared" ref="J87:J150" si="10">IF(MIN(L87,M87)&lt;=5000,"6 Roda",IF(MIN(L87,M87)&lt;=13800,"10 Roda","12 Roda"))</f>
        <v>10 Roda</v>
      </c>
      <c r="K87" s="194">
        <v>45971</v>
      </c>
      <c r="L87" s="195">
        <v>26510</v>
      </c>
      <c r="M87" s="195">
        <v>11650</v>
      </c>
      <c r="N87" s="195">
        <v>14860</v>
      </c>
      <c r="O87" s="195">
        <v>14870</v>
      </c>
      <c r="P87" s="196">
        <v>0.6875</v>
      </c>
      <c r="Q87" s="196">
        <v>0.780555555555556</v>
      </c>
      <c r="R87" s="193" t="s">
        <v>42</v>
      </c>
      <c r="S87" s="193" t="s">
        <v>1393</v>
      </c>
      <c r="T87" s="197">
        <f t="shared" ref="T87:T150" si="11">IFERROR(_xlfn.XLOOKUP(H87,$AM$4:$AM$18,$AP$4:$AP$18,""),0)</f>
        <v>68</v>
      </c>
      <c r="U87" s="193" t="s">
        <v>1922</v>
      </c>
      <c r="V87" s="193" t="str">
        <f t="shared" ref="V87:V150" si="12">IFERROR(_xlfn.XLOOKUP(H87,$AM$4:$AM$18,$AO$4:$AO$18,""),"")</f>
        <v>Bone Bone</v>
      </c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8"/>
      <c r="AL87" s="18"/>
    </row>
    <row r="88" spans="2:38" ht="15" customHeight="1" x14ac:dyDescent="0.2">
      <c r="B88" s="193">
        <v>1</v>
      </c>
      <c r="C88" s="347" t="s">
        <v>113</v>
      </c>
      <c r="D88" s="193" t="str">
        <f t="shared" si="9"/>
        <v>CPO000010JAS</v>
      </c>
      <c r="E88" s="193" t="s">
        <v>84</v>
      </c>
      <c r="F88" s="193" t="s">
        <v>1331</v>
      </c>
      <c r="G88" s="193" t="s">
        <v>1731</v>
      </c>
      <c r="H88" s="193" t="s">
        <v>49</v>
      </c>
      <c r="I88" s="193" t="s">
        <v>41</v>
      </c>
      <c r="J88" s="193" t="str">
        <f t="shared" si="10"/>
        <v>10 Roda</v>
      </c>
      <c r="K88" s="194">
        <v>45972</v>
      </c>
      <c r="L88" s="195">
        <v>26630</v>
      </c>
      <c r="M88" s="195">
        <v>12110</v>
      </c>
      <c r="N88" s="195">
        <v>14520</v>
      </c>
      <c r="O88" s="195">
        <v>14540</v>
      </c>
      <c r="P88" s="196">
        <v>0.33541666666666697</v>
      </c>
      <c r="Q88" s="196">
        <v>0.37708333333333299</v>
      </c>
      <c r="R88" s="193" t="s">
        <v>42</v>
      </c>
      <c r="S88" s="193" t="s">
        <v>1782</v>
      </c>
      <c r="T88" s="197">
        <f t="shared" si="11"/>
        <v>68</v>
      </c>
      <c r="U88" s="193" t="s">
        <v>1922</v>
      </c>
      <c r="V88" s="193" t="str">
        <f t="shared" si="12"/>
        <v>Bone Bone</v>
      </c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8"/>
      <c r="AL88" s="18"/>
    </row>
    <row r="89" spans="2:38" ht="15" customHeight="1" x14ac:dyDescent="0.2">
      <c r="B89" s="193">
        <v>1</v>
      </c>
      <c r="C89" s="347" t="s">
        <v>117</v>
      </c>
      <c r="D89" s="193" t="str">
        <f t="shared" si="9"/>
        <v>CPO000011JAS</v>
      </c>
      <c r="E89" s="193" t="s">
        <v>46</v>
      </c>
      <c r="F89" s="193" t="s">
        <v>1331</v>
      </c>
      <c r="G89" s="193" t="s">
        <v>1731</v>
      </c>
      <c r="H89" s="193" t="s">
        <v>49</v>
      </c>
      <c r="I89" s="193" t="s">
        <v>41</v>
      </c>
      <c r="J89" s="193" t="str">
        <f t="shared" si="10"/>
        <v>10 Roda</v>
      </c>
      <c r="K89" s="194">
        <v>45972</v>
      </c>
      <c r="L89" s="195">
        <v>26500</v>
      </c>
      <c r="M89" s="195">
        <v>11690</v>
      </c>
      <c r="N89" s="195">
        <v>14810</v>
      </c>
      <c r="O89" s="195">
        <v>14870</v>
      </c>
      <c r="P89" s="196">
        <v>0.56944444444444398</v>
      </c>
      <c r="Q89" s="196">
        <v>0.62291666666666701</v>
      </c>
      <c r="R89" s="193" t="s">
        <v>42</v>
      </c>
      <c r="S89" s="193" t="s">
        <v>1393</v>
      </c>
      <c r="T89" s="197">
        <f t="shared" si="11"/>
        <v>68</v>
      </c>
      <c r="U89" s="193" t="s">
        <v>1922</v>
      </c>
      <c r="V89" s="193" t="str">
        <f t="shared" si="12"/>
        <v>Bone Bone</v>
      </c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8"/>
      <c r="AL89" s="18"/>
    </row>
    <row r="90" spans="2:38" ht="15" customHeight="1" x14ac:dyDescent="0.2">
      <c r="B90" s="193">
        <v>1</v>
      </c>
      <c r="C90" s="347" t="s">
        <v>118</v>
      </c>
      <c r="D90" s="193" t="str">
        <f t="shared" si="9"/>
        <v>CPO000012JAS</v>
      </c>
      <c r="E90" s="193" t="s">
        <v>56</v>
      </c>
      <c r="F90" s="193" t="s">
        <v>1331</v>
      </c>
      <c r="G90" s="193" t="s">
        <v>1731</v>
      </c>
      <c r="H90" s="193" t="s">
        <v>49</v>
      </c>
      <c r="I90" s="193" t="s">
        <v>41</v>
      </c>
      <c r="J90" s="193" t="str">
        <f t="shared" si="10"/>
        <v>10 Roda</v>
      </c>
      <c r="K90" s="194">
        <v>45972</v>
      </c>
      <c r="L90" s="195">
        <v>25140</v>
      </c>
      <c r="M90" s="195">
        <v>10820</v>
      </c>
      <c r="N90" s="195">
        <v>14320</v>
      </c>
      <c r="O90" s="195">
        <v>14270</v>
      </c>
      <c r="P90" s="196">
        <v>0.57083333333333297</v>
      </c>
      <c r="Q90" s="196">
        <v>0.65</v>
      </c>
      <c r="R90" s="193" t="s">
        <v>42</v>
      </c>
      <c r="S90" s="193" t="s">
        <v>1781</v>
      </c>
      <c r="T90" s="197">
        <f t="shared" si="11"/>
        <v>68</v>
      </c>
      <c r="U90" s="193" t="s">
        <v>1922</v>
      </c>
      <c r="V90" s="193" t="str">
        <f t="shared" si="12"/>
        <v>Bone Bone</v>
      </c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8"/>
      <c r="AL90" s="18"/>
    </row>
    <row r="91" spans="2:38" ht="15" customHeight="1" x14ac:dyDescent="0.2">
      <c r="B91" s="193">
        <v>1</v>
      </c>
      <c r="C91" s="347" t="s">
        <v>119</v>
      </c>
      <c r="D91" s="193" t="str">
        <f t="shared" si="9"/>
        <v>CPO000013JAS</v>
      </c>
      <c r="E91" s="193" t="s">
        <v>76</v>
      </c>
      <c r="F91" s="193" t="s">
        <v>1331</v>
      </c>
      <c r="G91" s="193" t="s">
        <v>1731</v>
      </c>
      <c r="H91" s="193" t="s">
        <v>49</v>
      </c>
      <c r="I91" s="193" t="s">
        <v>41</v>
      </c>
      <c r="J91" s="193" t="str">
        <f t="shared" si="10"/>
        <v>12 Roda</v>
      </c>
      <c r="K91" s="194">
        <v>45972</v>
      </c>
      <c r="L91" s="195">
        <v>45950</v>
      </c>
      <c r="M91" s="195">
        <v>17730</v>
      </c>
      <c r="N91" s="195">
        <v>28220</v>
      </c>
      <c r="O91" s="195">
        <v>28300</v>
      </c>
      <c r="P91" s="196">
        <v>0.57222222222222197</v>
      </c>
      <c r="Q91" s="196">
        <v>0.63541666666666696</v>
      </c>
      <c r="R91" s="193" t="s">
        <v>42</v>
      </c>
      <c r="S91" s="193" t="s">
        <v>1372</v>
      </c>
      <c r="T91" s="197">
        <f t="shared" si="11"/>
        <v>68</v>
      </c>
      <c r="U91" s="193" t="s">
        <v>1922</v>
      </c>
      <c r="V91" s="193" t="str">
        <f t="shared" si="12"/>
        <v>Bone Bone</v>
      </c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8"/>
      <c r="AL91" s="18"/>
    </row>
    <row r="92" spans="2:38" ht="15" customHeight="1" x14ac:dyDescent="0.2">
      <c r="B92" s="193">
        <v>1</v>
      </c>
      <c r="C92" s="347" t="s">
        <v>120</v>
      </c>
      <c r="D92" s="193" t="str">
        <f t="shared" si="9"/>
        <v>CPO000014JAS</v>
      </c>
      <c r="E92" s="193" t="s">
        <v>84</v>
      </c>
      <c r="F92" s="193" t="s">
        <v>1331</v>
      </c>
      <c r="G92" s="193" t="s">
        <v>1731</v>
      </c>
      <c r="H92" s="193" t="s">
        <v>49</v>
      </c>
      <c r="I92" s="193" t="s">
        <v>41</v>
      </c>
      <c r="J92" s="193" t="str">
        <f t="shared" si="10"/>
        <v>10 Roda</v>
      </c>
      <c r="K92" s="194">
        <v>45972</v>
      </c>
      <c r="L92" s="195">
        <v>26570</v>
      </c>
      <c r="M92" s="195">
        <v>12130</v>
      </c>
      <c r="N92" s="195">
        <v>14440</v>
      </c>
      <c r="O92" s="195">
        <v>14470</v>
      </c>
      <c r="P92" s="196">
        <v>0.61180555555555605</v>
      </c>
      <c r="Q92" s="196">
        <v>0.68125000000000002</v>
      </c>
      <c r="R92" s="193" t="s">
        <v>42</v>
      </c>
      <c r="S92" s="193" t="s">
        <v>1782</v>
      </c>
      <c r="T92" s="197">
        <f t="shared" si="11"/>
        <v>68</v>
      </c>
      <c r="U92" s="193" t="s">
        <v>1922</v>
      </c>
      <c r="V92" s="193" t="str">
        <f t="shared" si="12"/>
        <v>Bone Bone</v>
      </c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8"/>
      <c r="AL92" s="18"/>
    </row>
    <row r="93" spans="2:38" ht="15" customHeight="1" x14ac:dyDescent="0.2">
      <c r="B93" s="193">
        <v>1</v>
      </c>
      <c r="C93" s="347" t="s">
        <v>121</v>
      </c>
      <c r="D93" s="193" t="str">
        <f t="shared" si="9"/>
        <v>CPO000015JAS</v>
      </c>
      <c r="E93" s="193" t="s">
        <v>70</v>
      </c>
      <c r="F93" s="193" t="s">
        <v>1331</v>
      </c>
      <c r="G93" s="193" t="s">
        <v>1731</v>
      </c>
      <c r="H93" s="193" t="s">
        <v>49</v>
      </c>
      <c r="I93" s="193" t="s">
        <v>41</v>
      </c>
      <c r="J93" s="193" t="str">
        <f t="shared" si="10"/>
        <v>12 Roda</v>
      </c>
      <c r="K93" s="194">
        <v>45972</v>
      </c>
      <c r="L93" s="195">
        <v>45750</v>
      </c>
      <c r="M93" s="195">
        <v>17460</v>
      </c>
      <c r="N93" s="195">
        <v>28290</v>
      </c>
      <c r="O93" s="195">
        <v>28300</v>
      </c>
      <c r="P93" s="196">
        <v>0.61458333333333304</v>
      </c>
      <c r="Q93" s="196">
        <v>0.68333333333333302</v>
      </c>
      <c r="R93" s="193" t="s">
        <v>42</v>
      </c>
      <c r="S93" s="193" t="s">
        <v>1499</v>
      </c>
      <c r="T93" s="197">
        <f t="shared" si="11"/>
        <v>68</v>
      </c>
      <c r="U93" s="193" t="s">
        <v>1922</v>
      </c>
      <c r="V93" s="193" t="str">
        <f t="shared" si="12"/>
        <v>Bone Bone</v>
      </c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8"/>
      <c r="AL93" s="18"/>
    </row>
    <row r="94" spans="2:38" ht="15" customHeight="1" x14ac:dyDescent="0.2">
      <c r="B94" s="193">
        <v>1</v>
      </c>
      <c r="C94" s="347" t="s">
        <v>122</v>
      </c>
      <c r="D94" s="193" t="str">
        <f t="shared" si="9"/>
        <v>CPO000016JAS</v>
      </c>
      <c r="E94" s="193" t="s">
        <v>76</v>
      </c>
      <c r="F94" s="193" t="s">
        <v>1331</v>
      </c>
      <c r="G94" s="193" t="s">
        <v>1731</v>
      </c>
      <c r="H94" s="193" t="s">
        <v>49</v>
      </c>
      <c r="I94" s="193" t="s">
        <v>41</v>
      </c>
      <c r="J94" s="193" t="str">
        <f t="shared" si="10"/>
        <v>12 Roda</v>
      </c>
      <c r="K94" s="194">
        <v>45972</v>
      </c>
      <c r="L94" s="195">
        <v>45840</v>
      </c>
      <c r="M94" s="195">
        <v>17690</v>
      </c>
      <c r="N94" s="195">
        <v>28150</v>
      </c>
      <c r="O94" s="195">
        <v>28070</v>
      </c>
      <c r="P94" s="196">
        <v>0.86597222222222203</v>
      </c>
      <c r="Q94" s="196">
        <v>0.97638888888888897</v>
      </c>
      <c r="R94" s="193" t="s">
        <v>42</v>
      </c>
      <c r="S94" s="193" t="s">
        <v>1372</v>
      </c>
      <c r="T94" s="197">
        <f t="shared" si="11"/>
        <v>68</v>
      </c>
      <c r="U94" s="193" t="s">
        <v>1922</v>
      </c>
      <c r="V94" s="193" t="str">
        <f t="shared" si="12"/>
        <v>Bone Bone</v>
      </c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8"/>
      <c r="AL94" s="18"/>
    </row>
    <row r="95" spans="2:38" ht="15" customHeight="1" x14ac:dyDescent="0.2">
      <c r="B95" s="193">
        <v>1</v>
      </c>
      <c r="C95" s="347" t="s">
        <v>123</v>
      </c>
      <c r="D95" s="193" t="str">
        <f t="shared" si="9"/>
        <v>CPO000017JAS</v>
      </c>
      <c r="E95" s="193" t="s">
        <v>56</v>
      </c>
      <c r="F95" s="193" t="s">
        <v>1331</v>
      </c>
      <c r="G95" s="193" t="s">
        <v>1731</v>
      </c>
      <c r="H95" s="193" t="s">
        <v>49</v>
      </c>
      <c r="I95" s="193" t="s">
        <v>41</v>
      </c>
      <c r="J95" s="193" t="str">
        <f t="shared" si="10"/>
        <v>10 Roda</v>
      </c>
      <c r="K95" s="194">
        <v>45972</v>
      </c>
      <c r="L95" s="195">
        <v>25030</v>
      </c>
      <c r="M95" s="195">
        <v>10790</v>
      </c>
      <c r="N95" s="195">
        <v>14240</v>
      </c>
      <c r="O95" s="195">
        <v>14190</v>
      </c>
      <c r="P95" s="196">
        <v>0.87638888888888899</v>
      </c>
      <c r="Q95" s="196">
        <v>0.99583333333333302</v>
      </c>
      <c r="R95" s="193" t="s">
        <v>42</v>
      </c>
      <c r="S95" s="193" t="s">
        <v>1781</v>
      </c>
      <c r="T95" s="197">
        <f t="shared" si="11"/>
        <v>68</v>
      </c>
      <c r="U95" s="193" t="s">
        <v>1922</v>
      </c>
      <c r="V95" s="193" t="str">
        <f t="shared" si="12"/>
        <v>Bone Bone</v>
      </c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8"/>
      <c r="AL95" s="18"/>
    </row>
    <row r="96" spans="2:38" ht="15" customHeight="1" x14ac:dyDescent="0.2">
      <c r="B96" s="193">
        <v>1</v>
      </c>
      <c r="C96" s="347" t="s">
        <v>124</v>
      </c>
      <c r="D96" s="193" t="str">
        <f t="shared" si="9"/>
        <v>CPO000018JAS</v>
      </c>
      <c r="E96" s="193" t="s">
        <v>46</v>
      </c>
      <c r="F96" s="193" t="s">
        <v>1331</v>
      </c>
      <c r="G96" s="193" t="s">
        <v>1731</v>
      </c>
      <c r="H96" s="193" t="s">
        <v>49</v>
      </c>
      <c r="I96" s="193" t="s">
        <v>41</v>
      </c>
      <c r="J96" s="193" t="str">
        <f t="shared" si="10"/>
        <v>10 Roda</v>
      </c>
      <c r="K96" s="194">
        <v>45972</v>
      </c>
      <c r="L96" s="195">
        <v>26490</v>
      </c>
      <c r="M96" s="195">
        <v>11660</v>
      </c>
      <c r="N96" s="195">
        <v>14830</v>
      </c>
      <c r="O96" s="195">
        <v>14800</v>
      </c>
      <c r="P96" s="196">
        <v>0.88541666666666696</v>
      </c>
      <c r="Q96" s="196">
        <v>0.95625000000000004</v>
      </c>
      <c r="R96" s="193" t="s">
        <v>42</v>
      </c>
      <c r="S96" s="193" t="s">
        <v>1393</v>
      </c>
      <c r="T96" s="197">
        <f t="shared" si="11"/>
        <v>68</v>
      </c>
      <c r="U96" s="193" t="s">
        <v>1922</v>
      </c>
      <c r="V96" s="193" t="str">
        <f t="shared" si="12"/>
        <v>Bone Bone</v>
      </c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8"/>
      <c r="AL96" s="18"/>
    </row>
    <row r="97" spans="2:38" ht="15" customHeight="1" x14ac:dyDescent="0.2">
      <c r="B97" s="193">
        <v>1</v>
      </c>
      <c r="C97" s="347" t="s">
        <v>125</v>
      </c>
      <c r="D97" s="193" t="str">
        <f t="shared" si="9"/>
        <v>CPO000019JAS</v>
      </c>
      <c r="E97" s="193" t="s">
        <v>84</v>
      </c>
      <c r="F97" s="193" t="s">
        <v>1331</v>
      </c>
      <c r="G97" s="193" t="s">
        <v>1731</v>
      </c>
      <c r="H97" s="193" t="s">
        <v>49</v>
      </c>
      <c r="I97" s="193" t="s">
        <v>41</v>
      </c>
      <c r="J97" s="193" t="str">
        <f t="shared" si="10"/>
        <v>10 Roda</v>
      </c>
      <c r="K97" s="194">
        <v>45972</v>
      </c>
      <c r="L97" s="195">
        <v>26640</v>
      </c>
      <c r="M97" s="195">
        <v>12090</v>
      </c>
      <c r="N97" s="195">
        <v>14550</v>
      </c>
      <c r="O97" s="195">
        <v>14530</v>
      </c>
      <c r="P97" s="196">
        <v>0.91736111111111096</v>
      </c>
      <c r="Q97" s="196">
        <v>0.99722222222222201</v>
      </c>
      <c r="R97" s="193" t="s">
        <v>42</v>
      </c>
      <c r="S97" s="193" t="s">
        <v>1782</v>
      </c>
      <c r="T97" s="197">
        <f t="shared" si="11"/>
        <v>68</v>
      </c>
      <c r="U97" s="193" t="s">
        <v>1922</v>
      </c>
      <c r="V97" s="193" t="str">
        <f t="shared" si="12"/>
        <v>Bone Bone</v>
      </c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8"/>
      <c r="AL97" s="18"/>
    </row>
    <row r="98" spans="2:38" ht="15" customHeight="1" x14ac:dyDescent="0.2">
      <c r="B98" s="193">
        <v>1</v>
      </c>
      <c r="C98" s="347" t="s">
        <v>126</v>
      </c>
      <c r="D98" s="193" t="str">
        <f t="shared" si="9"/>
        <v>CPO000020JAS</v>
      </c>
      <c r="E98" s="193" t="s">
        <v>70</v>
      </c>
      <c r="F98" s="193" t="s">
        <v>1331</v>
      </c>
      <c r="G98" s="193" t="s">
        <v>1731</v>
      </c>
      <c r="H98" s="193" t="s">
        <v>49</v>
      </c>
      <c r="I98" s="193" t="s">
        <v>41</v>
      </c>
      <c r="J98" s="193" t="str">
        <f t="shared" si="10"/>
        <v>12 Roda</v>
      </c>
      <c r="K98" s="194">
        <v>45972</v>
      </c>
      <c r="L98" s="195">
        <v>45890</v>
      </c>
      <c r="M98" s="195">
        <v>17640</v>
      </c>
      <c r="N98" s="195">
        <v>28250</v>
      </c>
      <c r="O98" s="195">
        <v>28230</v>
      </c>
      <c r="P98" s="196">
        <v>0.938194444444444</v>
      </c>
      <c r="Q98" s="196">
        <v>0.99305555555555602</v>
      </c>
      <c r="R98" s="193" t="s">
        <v>42</v>
      </c>
      <c r="S98" s="193" t="s">
        <v>1499</v>
      </c>
      <c r="T98" s="197">
        <f t="shared" si="11"/>
        <v>68</v>
      </c>
      <c r="U98" s="193" t="s">
        <v>1922</v>
      </c>
      <c r="V98" s="193" t="str">
        <f t="shared" si="12"/>
        <v>Bone Bone</v>
      </c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8"/>
      <c r="AL98" s="18"/>
    </row>
    <row r="99" spans="2:38" ht="15" customHeight="1" x14ac:dyDescent="0.2">
      <c r="B99" s="193">
        <v>1</v>
      </c>
      <c r="C99" s="347" t="s">
        <v>755</v>
      </c>
      <c r="D99" s="193" t="str">
        <f t="shared" si="9"/>
        <v>CPO000596KMP</v>
      </c>
      <c r="E99" s="193" t="s">
        <v>70</v>
      </c>
      <c r="F99" s="193" t="s">
        <v>1455</v>
      </c>
      <c r="G99" s="193" t="s">
        <v>1359</v>
      </c>
      <c r="H99" s="193" t="s">
        <v>59</v>
      </c>
      <c r="I99" s="193" t="s">
        <v>41</v>
      </c>
      <c r="J99" s="193" t="str">
        <f t="shared" si="10"/>
        <v>12 Roda</v>
      </c>
      <c r="K99" s="194">
        <v>46056</v>
      </c>
      <c r="L99" s="195">
        <v>45680</v>
      </c>
      <c r="M99" s="195">
        <v>17380</v>
      </c>
      <c r="N99" s="195">
        <v>28300</v>
      </c>
      <c r="O99" s="195">
        <v>28360</v>
      </c>
      <c r="P99" s="196">
        <v>0.81111111111111101</v>
      </c>
      <c r="Q99" s="196">
        <v>0.85694444444444395</v>
      </c>
      <c r="R99" s="193" t="s">
        <v>42</v>
      </c>
      <c r="S99" s="193" t="s">
        <v>1499</v>
      </c>
      <c r="T99" s="197">
        <f t="shared" si="11"/>
        <v>53</v>
      </c>
      <c r="U99" s="193" t="s">
        <v>1922</v>
      </c>
      <c r="V99" s="193" t="str">
        <f t="shared" si="12"/>
        <v>Masamba</v>
      </c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8"/>
      <c r="AL99" s="18"/>
    </row>
    <row r="100" spans="2:38" ht="15" customHeight="1" x14ac:dyDescent="0.2">
      <c r="B100" s="193">
        <v>1</v>
      </c>
      <c r="C100" s="347" t="s">
        <v>128</v>
      </c>
      <c r="D100" s="193" t="str">
        <f t="shared" si="9"/>
        <v>CPO000022JAS</v>
      </c>
      <c r="E100" s="193" t="s">
        <v>70</v>
      </c>
      <c r="F100" s="193" t="s">
        <v>1331</v>
      </c>
      <c r="G100" s="193" t="s">
        <v>1731</v>
      </c>
      <c r="H100" s="193" t="s">
        <v>49</v>
      </c>
      <c r="I100" s="193" t="s">
        <v>41</v>
      </c>
      <c r="J100" s="193" t="str">
        <f t="shared" si="10"/>
        <v>12 Roda</v>
      </c>
      <c r="K100" s="194">
        <v>45973</v>
      </c>
      <c r="L100" s="195">
        <v>45920</v>
      </c>
      <c r="M100" s="195">
        <v>17680</v>
      </c>
      <c r="N100" s="195">
        <v>28240</v>
      </c>
      <c r="O100" s="195">
        <v>28230</v>
      </c>
      <c r="P100" s="196">
        <v>0.68333333333333302</v>
      </c>
      <c r="Q100" s="196">
        <v>0.77152777777777803</v>
      </c>
      <c r="R100" s="193" t="s">
        <v>42</v>
      </c>
      <c r="S100" s="193" t="s">
        <v>1499</v>
      </c>
      <c r="T100" s="197">
        <f t="shared" si="11"/>
        <v>68</v>
      </c>
      <c r="U100" s="193" t="s">
        <v>1922</v>
      </c>
      <c r="V100" s="193" t="str">
        <f t="shared" si="12"/>
        <v>Bone Bone</v>
      </c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8"/>
      <c r="AL100" s="18"/>
    </row>
    <row r="101" spans="2:38" ht="15" customHeight="1" x14ac:dyDescent="0.2">
      <c r="B101" s="193">
        <v>1</v>
      </c>
      <c r="C101" s="347" t="s">
        <v>229</v>
      </c>
      <c r="D101" s="193" t="str">
        <f t="shared" si="9"/>
        <v>CPO000090PN</v>
      </c>
      <c r="E101" s="193" t="s">
        <v>46</v>
      </c>
      <c r="F101" s="193" t="s">
        <v>1333</v>
      </c>
      <c r="G101" s="193" t="s">
        <v>1332</v>
      </c>
      <c r="H101" s="193" t="s">
        <v>78</v>
      </c>
      <c r="I101" s="193" t="s">
        <v>41</v>
      </c>
      <c r="J101" s="193" t="str">
        <f t="shared" si="10"/>
        <v>10 Roda</v>
      </c>
      <c r="K101" s="194">
        <v>45973</v>
      </c>
      <c r="L101" s="195">
        <v>25820</v>
      </c>
      <c r="M101" s="195">
        <v>11690</v>
      </c>
      <c r="N101" s="195">
        <v>14130</v>
      </c>
      <c r="O101" s="195">
        <v>14190</v>
      </c>
      <c r="P101" s="196">
        <v>0.56805555555555598</v>
      </c>
      <c r="Q101" s="196">
        <v>0.70555555555555605</v>
      </c>
      <c r="R101" s="193" t="s">
        <v>42</v>
      </c>
      <c r="S101" s="193" t="s">
        <v>1393</v>
      </c>
      <c r="T101" s="197">
        <f t="shared" si="11"/>
        <v>99</v>
      </c>
      <c r="U101" s="193"/>
      <c r="V101" s="193" t="str">
        <f t="shared" si="12"/>
        <v>Burau</v>
      </c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8"/>
      <c r="AL101" s="18"/>
    </row>
    <row r="102" spans="2:38" ht="15" customHeight="1" x14ac:dyDescent="0.2">
      <c r="B102" s="193">
        <v>1</v>
      </c>
      <c r="C102" s="347" t="s">
        <v>230</v>
      </c>
      <c r="D102" s="193" t="str">
        <f t="shared" si="9"/>
        <v>CPO000091PN</v>
      </c>
      <c r="E102" s="193" t="s">
        <v>84</v>
      </c>
      <c r="F102" s="193" t="s">
        <v>1333</v>
      </c>
      <c r="G102" s="193" t="s">
        <v>1332</v>
      </c>
      <c r="H102" s="193" t="s">
        <v>78</v>
      </c>
      <c r="I102" s="193" t="s">
        <v>41</v>
      </c>
      <c r="J102" s="193" t="str">
        <f t="shared" si="10"/>
        <v>10 Roda</v>
      </c>
      <c r="K102" s="194">
        <v>45973</v>
      </c>
      <c r="L102" s="195">
        <v>26320</v>
      </c>
      <c r="M102" s="195">
        <v>12090</v>
      </c>
      <c r="N102" s="195">
        <v>14230</v>
      </c>
      <c r="O102" s="195">
        <v>14270</v>
      </c>
      <c r="P102" s="196">
        <v>0.56944444444444398</v>
      </c>
      <c r="Q102" s="196">
        <v>0.64652777777777803</v>
      </c>
      <c r="R102" s="193" t="s">
        <v>42</v>
      </c>
      <c r="S102" s="193" t="s">
        <v>1782</v>
      </c>
      <c r="T102" s="197">
        <f t="shared" si="11"/>
        <v>99</v>
      </c>
      <c r="U102" s="193"/>
      <c r="V102" s="193" t="str">
        <f t="shared" si="12"/>
        <v>Burau</v>
      </c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8"/>
      <c r="AL102" s="18"/>
    </row>
    <row r="103" spans="2:38" ht="15" customHeight="1" x14ac:dyDescent="0.2">
      <c r="B103" s="193">
        <v>1</v>
      </c>
      <c r="C103" s="347" t="s">
        <v>231</v>
      </c>
      <c r="D103" s="193" t="str">
        <f t="shared" si="9"/>
        <v>CPO000092PN</v>
      </c>
      <c r="E103" s="193" t="s">
        <v>56</v>
      </c>
      <c r="F103" s="193" t="s">
        <v>1333</v>
      </c>
      <c r="G103" s="193" t="s">
        <v>1332</v>
      </c>
      <c r="H103" s="193" t="s">
        <v>78</v>
      </c>
      <c r="I103" s="193" t="s">
        <v>41</v>
      </c>
      <c r="J103" s="193" t="str">
        <f t="shared" si="10"/>
        <v>10 Roda</v>
      </c>
      <c r="K103" s="194">
        <v>45973</v>
      </c>
      <c r="L103" s="195">
        <v>24910</v>
      </c>
      <c r="M103" s="195">
        <v>10780</v>
      </c>
      <c r="N103" s="195">
        <v>14130</v>
      </c>
      <c r="O103" s="195">
        <v>14150</v>
      </c>
      <c r="P103" s="196">
        <v>0.593055555555556</v>
      </c>
      <c r="Q103" s="196">
        <v>0.69305555555555598</v>
      </c>
      <c r="R103" s="193" t="s">
        <v>42</v>
      </c>
      <c r="S103" s="193" t="s">
        <v>1781</v>
      </c>
      <c r="T103" s="197">
        <f t="shared" si="11"/>
        <v>99</v>
      </c>
      <c r="U103" s="193"/>
      <c r="V103" s="193" t="str">
        <f t="shared" si="12"/>
        <v>Burau</v>
      </c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8"/>
      <c r="AL103" s="18"/>
    </row>
    <row r="104" spans="2:38" ht="15" customHeight="1" x14ac:dyDescent="0.2">
      <c r="B104" s="193">
        <v>1</v>
      </c>
      <c r="C104" s="347" t="s">
        <v>235</v>
      </c>
      <c r="D104" s="193" t="str">
        <f t="shared" si="9"/>
        <v>CPO000094PN</v>
      </c>
      <c r="E104" s="193" t="s">
        <v>84</v>
      </c>
      <c r="F104" s="193" t="s">
        <v>1333</v>
      </c>
      <c r="G104" s="193" t="s">
        <v>1332</v>
      </c>
      <c r="H104" s="193" t="s">
        <v>78</v>
      </c>
      <c r="I104" s="193" t="s">
        <v>41</v>
      </c>
      <c r="J104" s="193" t="str">
        <f t="shared" si="10"/>
        <v>10 Roda</v>
      </c>
      <c r="K104" s="194">
        <v>45973</v>
      </c>
      <c r="L104" s="195">
        <v>26310</v>
      </c>
      <c r="M104" s="195">
        <v>12090</v>
      </c>
      <c r="N104" s="195">
        <v>14220</v>
      </c>
      <c r="O104" s="195">
        <v>14230</v>
      </c>
      <c r="P104" s="196">
        <v>0.718055555555556</v>
      </c>
      <c r="Q104" s="196">
        <v>0.77847222222222201</v>
      </c>
      <c r="R104" s="193" t="s">
        <v>42</v>
      </c>
      <c r="S104" s="193" t="s">
        <v>1782</v>
      </c>
      <c r="T104" s="197">
        <f t="shared" si="11"/>
        <v>99</v>
      </c>
      <c r="U104" s="193"/>
      <c r="V104" s="193" t="str">
        <f t="shared" si="12"/>
        <v>Burau</v>
      </c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8"/>
      <c r="AL104" s="18"/>
    </row>
    <row r="105" spans="2:38" ht="15" customHeight="1" x14ac:dyDescent="0.2">
      <c r="B105" s="193">
        <v>1</v>
      </c>
      <c r="C105" s="347" t="s">
        <v>237</v>
      </c>
      <c r="D105" s="193" t="str">
        <f t="shared" si="9"/>
        <v>CPO000095PN</v>
      </c>
      <c r="E105" s="193" t="s">
        <v>56</v>
      </c>
      <c r="F105" s="193" t="s">
        <v>1333</v>
      </c>
      <c r="G105" s="193" t="s">
        <v>1332</v>
      </c>
      <c r="H105" s="193" t="s">
        <v>78</v>
      </c>
      <c r="I105" s="193" t="s">
        <v>41</v>
      </c>
      <c r="J105" s="193" t="str">
        <f t="shared" si="10"/>
        <v>10 Roda</v>
      </c>
      <c r="K105" s="194">
        <v>45973</v>
      </c>
      <c r="L105" s="195">
        <v>24830</v>
      </c>
      <c r="M105" s="195">
        <v>10870</v>
      </c>
      <c r="N105" s="195">
        <v>13960</v>
      </c>
      <c r="O105" s="195">
        <v>14080</v>
      </c>
      <c r="P105" s="196">
        <v>0.77500000000000002</v>
      </c>
      <c r="Q105" s="196">
        <v>0.90347222222222201</v>
      </c>
      <c r="R105" s="193" t="s">
        <v>42</v>
      </c>
      <c r="S105" s="193" t="s">
        <v>1781</v>
      </c>
      <c r="T105" s="197">
        <f t="shared" si="11"/>
        <v>99</v>
      </c>
      <c r="U105" s="193"/>
      <c r="V105" s="193" t="str">
        <f t="shared" si="12"/>
        <v>Burau</v>
      </c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8"/>
      <c r="AL105" s="18"/>
    </row>
    <row r="106" spans="2:38" ht="15" customHeight="1" x14ac:dyDescent="0.2">
      <c r="B106" s="193">
        <v>1</v>
      </c>
      <c r="C106" s="347" t="s">
        <v>238</v>
      </c>
      <c r="D106" s="193" t="str">
        <f t="shared" si="9"/>
        <v>CPO000096PN</v>
      </c>
      <c r="E106" s="193" t="s">
        <v>46</v>
      </c>
      <c r="F106" s="193" t="s">
        <v>1333</v>
      </c>
      <c r="G106" s="193" t="s">
        <v>1332</v>
      </c>
      <c r="H106" s="193" t="s">
        <v>78</v>
      </c>
      <c r="I106" s="193" t="s">
        <v>41</v>
      </c>
      <c r="J106" s="193" t="str">
        <f t="shared" si="10"/>
        <v>10 Roda</v>
      </c>
      <c r="K106" s="194">
        <v>45973</v>
      </c>
      <c r="L106" s="195">
        <v>25680</v>
      </c>
      <c r="M106" s="195">
        <v>11690</v>
      </c>
      <c r="N106" s="195">
        <v>13990</v>
      </c>
      <c r="O106" s="195">
        <v>14020</v>
      </c>
      <c r="P106" s="196">
        <v>0.83055555555555605</v>
      </c>
      <c r="Q106" s="196">
        <v>0.91736111111111096</v>
      </c>
      <c r="R106" s="193" t="s">
        <v>42</v>
      </c>
      <c r="S106" s="193" t="s">
        <v>1393</v>
      </c>
      <c r="T106" s="197">
        <f t="shared" si="11"/>
        <v>99</v>
      </c>
      <c r="U106" s="193"/>
      <c r="V106" s="193" t="str">
        <f t="shared" si="12"/>
        <v>Burau</v>
      </c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8"/>
      <c r="AL106" s="18"/>
    </row>
    <row r="107" spans="2:38" ht="15" customHeight="1" x14ac:dyDescent="0.2">
      <c r="B107" s="193">
        <v>1</v>
      </c>
      <c r="C107" s="347" t="s">
        <v>239</v>
      </c>
      <c r="D107" s="193" t="str">
        <f t="shared" si="9"/>
        <v>CPO000097PN</v>
      </c>
      <c r="E107" s="193" t="s">
        <v>84</v>
      </c>
      <c r="F107" s="193" t="s">
        <v>1333</v>
      </c>
      <c r="G107" s="193" t="s">
        <v>1332</v>
      </c>
      <c r="H107" s="193" t="s">
        <v>78</v>
      </c>
      <c r="I107" s="193" t="s">
        <v>41</v>
      </c>
      <c r="J107" s="193" t="str">
        <f t="shared" si="10"/>
        <v>10 Roda</v>
      </c>
      <c r="K107" s="194">
        <v>45973</v>
      </c>
      <c r="L107" s="195">
        <v>26320</v>
      </c>
      <c r="M107" s="195">
        <v>12210</v>
      </c>
      <c r="N107" s="195">
        <v>14110</v>
      </c>
      <c r="O107" s="195">
        <v>14270</v>
      </c>
      <c r="P107" s="196">
        <v>0.86388888888888904</v>
      </c>
      <c r="Q107" s="196">
        <v>0.92222222222222205</v>
      </c>
      <c r="R107" s="193" t="s">
        <v>42</v>
      </c>
      <c r="S107" s="193" t="s">
        <v>1782</v>
      </c>
      <c r="T107" s="197">
        <f t="shared" si="11"/>
        <v>99</v>
      </c>
      <c r="U107" s="193"/>
      <c r="V107" s="193" t="str">
        <f t="shared" si="12"/>
        <v>Burau</v>
      </c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8"/>
      <c r="AL107" s="18"/>
    </row>
    <row r="108" spans="2:38" ht="15" customHeight="1" x14ac:dyDescent="0.2">
      <c r="B108" s="193">
        <v>1</v>
      </c>
      <c r="C108" s="347" t="s">
        <v>441</v>
      </c>
      <c r="D108" s="193" t="str">
        <f t="shared" si="9"/>
        <v>CPO000299MIS</v>
      </c>
      <c r="E108" s="193" t="s">
        <v>73</v>
      </c>
      <c r="F108" s="193" t="s">
        <v>1335</v>
      </c>
      <c r="G108" s="193" t="s">
        <v>1334</v>
      </c>
      <c r="H108" s="193" t="s">
        <v>40</v>
      </c>
      <c r="I108" s="193" t="s">
        <v>41</v>
      </c>
      <c r="J108" s="193" t="str">
        <f t="shared" si="10"/>
        <v>6 Roda</v>
      </c>
      <c r="K108" s="194">
        <v>45973</v>
      </c>
      <c r="L108" s="195">
        <v>13490</v>
      </c>
      <c r="M108" s="195">
        <v>4000</v>
      </c>
      <c r="N108" s="195">
        <v>9490</v>
      </c>
      <c r="O108" s="195">
        <v>9440</v>
      </c>
      <c r="P108" s="196">
        <v>0.95277777777777795</v>
      </c>
      <c r="Q108" s="196">
        <v>0.98333333333333295</v>
      </c>
      <c r="R108" s="193" t="s">
        <v>137</v>
      </c>
      <c r="S108" s="193"/>
      <c r="T108" s="197">
        <f t="shared" si="11"/>
        <v>494</v>
      </c>
      <c r="U108" s="193"/>
      <c r="V108" s="193" t="str">
        <f t="shared" si="12"/>
        <v>Pomala</v>
      </c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8"/>
      <c r="AL108" s="18"/>
    </row>
    <row r="109" spans="2:38" ht="15" customHeight="1" x14ac:dyDescent="0.2">
      <c r="B109" s="193">
        <v>1</v>
      </c>
      <c r="C109" s="347" t="s">
        <v>442</v>
      </c>
      <c r="D109" s="193" t="str">
        <f t="shared" si="9"/>
        <v>CPO000300MIS</v>
      </c>
      <c r="E109" s="193" t="s">
        <v>39</v>
      </c>
      <c r="F109" s="193" t="s">
        <v>1335</v>
      </c>
      <c r="G109" s="193" t="s">
        <v>1334</v>
      </c>
      <c r="H109" s="193" t="s">
        <v>40</v>
      </c>
      <c r="I109" s="193" t="s">
        <v>41</v>
      </c>
      <c r="J109" s="193" t="str">
        <f t="shared" si="10"/>
        <v>6 Roda</v>
      </c>
      <c r="K109" s="194">
        <v>45973</v>
      </c>
      <c r="L109" s="195">
        <v>13740</v>
      </c>
      <c r="M109" s="195">
        <v>4110</v>
      </c>
      <c r="N109" s="195">
        <v>9630</v>
      </c>
      <c r="O109" s="195">
        <v>9590</v>
      </c>
      <c r="P109" s="196">
        <v>0.95416666666666705</v>
      </c>
      <c r="Q109" s="196">
        <v>0.97986111111111096</v>
      </c>
      <c r="R109" s="193" t="s">
        <v>137</v>
      </c>
      <c r="S109" s="193"/>
      <c r="T109" s="197">
        <f t="shared" si="11"/>
        <v>494</v>
      </c>
      <c r="U109" s="193"/>
      <c r="V109" s="193" t="str">
        <f t="shared" si="12"/>
        <v>Pomala</v>
      </c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8"/>
      <c r="AL109" s="18"/>
    </row>
    <row r="110" spans="2:38" ht="15" customHeight="1" x14ac:dyDescent="0.2">
      <c r="B110" s="193">
        <v>1</v>
      </c>
      <c r="C110" s="347" t="s">
        <v>431</v>
      </c>
      <c r="D110" s="193" t="str">
        <f t="shared" si="9"/>
        <v>CPO000289KMP</v>
      </c>
      <c r="E110" s="193" t="s">
        <v>76</v>
      </c>
      <c r="F110" s="193" t="s">
        <v>1452</v>
      </c>
      <c r="G110" s="193" t="s">
        <v>1336</v>
      </c>
      <c r="H110" s="193" t="s">
        <v>59</v>
      </c>
      <c r="I110" s="193" t="s">
        <v>41</v>
      </c>
      <c r="J110" s="193" t="str">
        <f t="shared" si="10"/>
        <v>12 Roda</v>
      </c>
      <c r="K110" s="194">
        <v>45973</v>
      </c>
      <c r="L110" s="195">
        <v>45990</v>
      </c>
      <c r="M110" s="195">
        <v>17860</v>
      </c>
      <c r="N110" s="195">
        <v>28130</v>
      </c>
      <c r="O110" s="195">
        <v>28160</v>
      </c>
      <c r="P110" s="196">
        <v>0.39236111111111099</v>
      </c>
      <c r="Q110" s="196">
        <v>0.48125000000000001</v>
      </c>
      <c r="R110" s="193" t="s">
        <v>42</v>
      </c>
      <c r="S110" s="193" t="s">
        <v>1372</v>
      </c>
      <c r="T110" s="197">
        <f t="shared" si="11"/>
        <v>53</v>
      </c>
      <c r="U110" s="193" t="s">
        <v>1922</v>
      </c>
      <c r="V110" s="193" t="str">
        <f t="shared" si="12"/>
        <v>Masamba</v>
      </c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8"/>
      <c r="AL110" s="18"/>
    </row>
    <row r="111" spans="2:38" ht="15" customHeight="1" x14ac:dyDescent="0.2">
      <c r="B111" s="193">
        <v>1</v>
      </c>
      <c r="C111" s="347" t="s">
        <v>432</v>
      </c>
      <c r="D111" s="193" t="str">
        <f t="shared" si="9"/>
        <v>CPO000290KMP</v>
      </c>
      <c r="E111" s="193" t="s">
        <v>70</v>
      </c>
      <c r="F111" s="193" t="s">
        <v>1452</v>
      </c>
      <c r="G111" s="193" t="s">
        <v>1336</v>
      </c>
      <c r="H111" s="193" t="s">
        <v>59</v>
      </c>
      <c r="I111" s="193" t="s">
        <v>41</v>
      </c>
      <c r="J111" s="193" t="str">
        <f t="shared" si="10"/>
        <v>12 Roda</v>
      </c>
      <c r="K111" s="194">
        <v>45973</v>
      </c>
      <c r="L111" s="195">
        <v>45800</v>
      </c>
      <c r="M111" s="195">
        <v>17670</v>
      </c>
      <c r="N111" s="195">
        <v>28130</v>
      </c>
      <c r="O111" s="195">
        <v>28180</v>
      </c>
      <c r="P111" s="196">
        <v>0.41597222222222202</v>
      </c>
      <c r="Q111" s="196">
        <v>0.48263888888888901</v>
      </c>
      <c r="R111" s="193" t="s">
        <v>42</v>
      </c>
      <c r="S111" s="193" t="s">
        <v>1499</v>
      </c>
      <c r="T111" s="197">
        <f t="shared" si="11"/>
        <v>53</v>
      </c>
      <c r="U111" s="193" t="s">
        <v>1922</v>
      </c>
      <c r="V111" s="193" t="str">
        <f t="shared" si="12"/>
        <v>Masamba</v>
      </c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8"/>
      <c r="AL111" s="18"/>
    </row>
    <row r="112" spans="2:38" ht="15" customHeight="1" x14ac:dyDescent="0.2">
      <c r="B112" s="193">
        <v>1</v>
      </c>
      <c r="C112" s="347" t="s">
        <v>433</v>
      </c>
      <c r="D112" s="193" t="str">
        <f t="shared" si="9"/>
        <v>CPO000291JAS</v>
      </c>
      <c r="E112" s="193" t="s">
        <v>56</v>
      </c>
      <c r="F112" s="193" t="s">
        <v>1433</v>
      </c>
      <c r="G112" s="193" t="s">
        <v>1337</v>
      </c>
      <c r="H112" s="193" t="s">
        <v>49</v>
      </c>
      <c r="I112" s="193" t="s">
        <v>41</v>
      </c>
      <c r="J112" s="193" t="str">
        <f t="shared" si="10"/>
        <v>10 Roda</v>
      </c>
      <c r="K112" s="194">
        <v>45973</v>
      </c>
      <c r="L112" s="195">
        <v>25090</v>
      </c>
      <c r="M112" s="195">
        <v>10890</v>
      </c>
      <c r="N112" s="195">
        <v>14200</v>
      </c>
      <c r="O112" s="195">
        <v>14180</v>
      </c>
      <c r="P112" s="196">
        <v>0.49861111111111101</v>
      </c>
      <c r="Q112" s="196">
        <v>0.59791666666666698</v>
      </c>
      <c r="R112" s="193" t="s">
        <v>42</v>
      </c>
      <c r="S112" s="193" t="s">
        <v>1781</v>
      </c>
      <c r="T112" s="197">
        <f t="shared" si="11"/>
        <v>68</v>
      </c>
      <c r="U112" s="193" t="s">
        <v>1922</v>
      </c>
      <c r="V112" s="193" t="str">
        <f t="shared" si="12"/>
        <v>Bone Bone</v>
      </c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8"/>
      <c r="AL112" s="18"/>
    </row>
    <row r="113" spans="2:38" ht="15" customHeight="1" x14ac:dyDescent="0.2">
      <c r="B113" s="193">
        <v>1</v>
      </c>
      <c r="C113" s="347" t="s">
        <v>434</v>
      </c>
      <c r="D113" s="193" t="str">
        <f t="shared" si="9"/>
        <v>CPO000292JAS</v>
      </c>
      <c r="E113" s="193" t="s">
        <v>84</v>
      </c>
      <c r="F113" s="193" t="s">
        <v>1433</v>
      </c>
      <c r="G113" s="193" t="s">
        <v>1337</v>
      </c>
      <c r="H113" s="193" t="s">
        <v>49</v>
      </c>
      <c r="I113" s="193" t="s">
        <v>41</v>
      </c>
      <c r="J113" s="193" t="str">
        <f t="shared" si="10"/>
        <v>10 Roda</v>
      </c>
      <c r="K113" s="194">
        <v>45973</v>
      </c>
      <c r="L113" s="195">
        <v>26600</v>
      </c>
      <c r="M113" s="195">
        <v>12120</v>
      </c>
      <c r="N113" s="195">
        <v>14480</v>
      </c>
      <c r="O113" s="195">
        <v>14450</v>
      </c>
      <c r="P113" s="196">
        <v>0.50138888888888899</v>
      </c>
      <c r="Q113" s="196">
        <v>0.62708333333333299</v>
      </c>
      <c r="R113" s="193" t="s">
        <v>42</v>
      </c>
      <c r="S113" s="193" t="s">
        <v>1782</v>
      </c>
      <c r="T113" s="197">
        <f t="shared" si="11"/>
        <v>68</v>
      </c>
      <c r="U113" s="193" t="s">
        <v>1922</v>
      </c>
      <c r="V113" s="193" t="str">
        <f t="shared" si="12"/>
        <v>Bone Bone</v>
      </c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8"/>
      <c r="AL113" s="18"/>
    </row>
    <row r="114" spans="2:38" ht="15" customHeight="1" x14ac:dyDescent="0.2">
      <c r="B114" s="193">
        <v>1</v>
      </c>
      <c r="C114" s="347" t="s">
        <v>435</v>
      </c>
      <c r="D114" s="193" t="str">
        <f t="shared" si="9"/>
        <v>CPO000293JAS</v>
      </c>
      <c r="E114" s="193" t="s">
        <v>46</v>
      </c>
      <c r="F114" s="193" t="s">
        <v>1433</v>
      </c>
      <c r="G114" s="193" t="s">
        <v>1337</v>
      </c>
      <c r="H114" s="193" t="s">
        <v>49</v>
      </c>
      <c r="I114" s="193" t="s">
        <v>41</v>
      </c>
      <c r="J114" s="193" t="str">
        <f t="shared" si="10"/>
        <v>10 Roda</v>
      </c>
      <c r="K114" s="194">
        <v>45973</v>
      </c>
      <c r="L114" s="195">
        <v>26620</v>
      </c>
      <c r="M114" s="195">
        <v>11890</v>
      </c>
      <c r="N114" s="195">
        <v>14730</v>
      </c>
      <c r="O114" s="195">
        <v>14720</v>
      </c>
      <c r="P114" s="196">
        <v>0.50208333333333299</v>
      </c>
      <c r="Q114" s="196">
        <v>0.62986111111111098</v>
      </c>
      <c r="R114" s="193" t="s">
        <v>42</v>
      </c>
      <c r="S114" s="193" t="s">
        <v>1393</v>
      </c>
      <c r="T114" s="197">
        <f t="shared" si="11"/>
        <v>68</v>
      </c>
      <c r="U114" s="193" t="s">
        <v>1922</v>
      </c>
      <c r="V114" s="193" t="str">
        <f t="shared" si="12"/>
        <v>Bone Bone</v>
      </c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8"/>
      <c r="AL114" s="18"/>
    </row>
    <row r="115" spans="2:38" ht="15" customHeight="1" x14ac:dyDescent="0.2">
      <c r="B115" s="193">
        <v>1</v>
      </c>
      <c r="C115" s="347" t="s">
        <v>436</v>
      </c>
      <c r="D115" s="193" t="str">
        <f t="shared" si="9"/>
        <v>CPO000294KMP</v>
      </c>
      <c r="E115" s="193" t="s">
        <v>76</v>
      </c>
      <c r="F115" s="193" t="s">
        <v>1452</v>
      </c>
      <c r="G115" s="193" t="s">
        <v>1336</v>
      </c>
      <c r="H115" s="193" t="s">
        <v>59</v>
      </c>
      <c r="I115" s="193" t="s">
        <v>41</v>
      </c>
      <c r="J115" s="193" t="str">
        <f t="shared" si="10"/>
        <v>12 Roda</v>
      </c>
      <c r="K115" s="194">
        <v>45973</v>
      </c>
      <c r="L115" s="195">
        <v>45730</v>
      </c>
      <c r="M115" s="195">
        <v>17800</v>
      </c>
      <c r="N115" s="195">
        <v>27930</v>
      </c>
      <c r="O115" s="195">
        <v>27920</v>
      </c>
      <c r="P115" s="196">
        <v>0.63958333333333295</v>
      </c>
      <c r="Q115" s="196">
        <v>0.68888888888888899</v>
      </c>
      <c r="R115" s="193" t="s">
        <v>42</v>
      </c>
      <c r="S115" s="193" t="s">
        <v>1372</v>
      </c>
      <c r="T115" s="197">
        <f t="shared" si="11"/>
        <v>53</v>
      </c>
      <c r="U115" s="193" t="s">
        <v>1922</v>
      </c>
      <c r="V115" s="193" t="str">
        <f t="shared" si="12"/>
        <v>Masamba</v>
      </c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8"/>
      <c r="AL115" s="18"/>
    </row>
    <row r="116" spans="2:38" ht="15" customHeight="1" x14ac:dyDescent="0.2">
      <c r="B116" s="193">
        <v>1</v>
      </c>
      <c r="C116" s="347" t="s">
        <v>437</v>
      </c>
      <c r="D116" s="193" t="str">
        <f t="shared" si="9"/>
        <v>CPO000295KMP</v>
      </c>
      <c r="E116" s="193" t="s">
        <v>70</v>
      </c>
      <c r="F116" s="193" t="s">
        <v>1452</v>
      </c>
      <c r="G116" s="193" t="s">
        <v>1336</v>
      </c>
      <c r="H116" s="193" t="s">
        <v>59</v>
      </c>
      <c r="I116" s="193" t="s">
        <v>41</v>
      </c>
      <c r="J116" s="193" t="str">
        <f t="shared" si="10"/>
        <v>12 Roda</v>
      </c>
      <c r="K116" s="194">
        <v>45973</v>
      </c>
      <c r="L116" s="195">
        <v>45540</v>
      </c>
      <c r="M116" s="195">
        <v>17590</v>
      </c>
      <c r="N116" s="195">
        <v>27950</v>
      </c>
      <c r="O116" s="195">
        <v>27900</v>
      </c>
      <c r="P116" s="196">
        <v>0.66249999999999998</v>
      </c>
      <c r="Q116" s="196">
        <v>0.71180555555555602</v>
      </c>
      <c r="R116" s="193" t="s">
        <v>42</v>
      </c>
      <c r="S116" s="193" t="s">
        <v>1499</v>
      </c>
      <c r="T116" s="197">
        <f t="shared" si="11"/>
        <v>53</v>
      </c>
      <c r="U116" s="193" t="s">
        <v>1922</v>
      </c>
      <c r="V116" s="193" t="str">
        <f t="shared" si="12"/>
        <v>Masamba</v>
      </c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8"/>
      <c r="AL116" s="18"/>
    </row>
    <row r="117" spans="2:38" ht="15" customHeight="1" x14ac:dyDescent="0.2">
      <c r="B117" s="193">
        <v>1</v>
      </c>
      <c r="C117" s="347" t="s">
        <v>438</v>
      </c>
      <c r="D117" s="193" t="str">
        <f t="shared" si="9"/>
        <v>CPO000296JAS</v>
      </c>
      <c r="E117" s="193" t="s">
        <v>46</v>
      </c>
      <c r="F117" s="193" t="s">
        <v>1433</v>
      </c>
      <c r="G117" s="193" t="s">
        <v>1337</v>
      </c>
      <c r="H117" s="193" t="s">
        <v>49</v>
      </c>
      <c r="I117" s="193" t="s">
        <v>41</v>
      </c>
      <c r="J117" s="193" t="str">
        <f t="shared" si="10"/>
        <v>10 Roda</v>
      </c>
      <c r="K117" s="194">
        <v>45973</v>
      </c>
      <c r="L117" s="195">
        <v>26590</v>
      </c>
      <c r="M117" s="195">
        <v>11820</v>
      </c>
      <c r="N117" s="195">
        <v>14770</v>
      </c>
      <c r="O117" s="195">
        <v>14700</v>
      </c>
      <c r="P117" s="196">
        <v>0.82361111111111096</v>
      </c>
      <c r="Q117" s="196">
        <v>0.88194444444444398</v>
      </c>
      <c r="R117" s="193" t="s">
        <v>137</v>
      </c>
      <c r="S117" s="193" t="s">
        <v>1393</v>
      </c>
      <c r="T117" s="197">
        <f t="shared" si="11"/>
        <v>68</v>
      </c>
      <c r="U117" s="193" t="s">
        <v>1922</v>
      </c>
      <c r="V117" s="193" t="str">
        <f t="shared" si="12"/>
        <v>Bone Bone</v>
      </c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8"/>
      <c r="AL117" s="18"/>
    </row>
    <row r="118" spans="2:38" ht="15" customHeight="1" x14ac:dyDescent="0.2">
      <c r="B118" s="193">
        <v>1</v>
      </c>
      <c r="C118" s="347" t="s">
        <v>439</v>
      </c>
      <c r="D118" s="193" t="str">
        <f t="shared" si="9"/>
        <v>CPO000297JAS</v>
      </c>
      <c r="E118" s="193" t="s">
        <v>56</v>
      </c>
      <c r="F118" s="193" t="s">
        <v>1433</v>
      </c>
      <c r="G118" s="193" t="s">
        <v>1337</v>
      </c>
      <c r="H118" s="193" t="s">
        <v>49</v>
      </c>
      <c r="I118" s="193" t="s">
        <v>41</v>
      </c>
      <c r="J118" s="193" t="str">
        <f t="shared" si="10"/>
        <v>10 Roda</v>
      </c>
      <c r="K118" s="194">
        <v>45973</v>
      </c>
      <c r="L118" s="195">
        <v>25100</v>
      </c>
      <c r="M118" s="195">
        <v>10820</v>
      </c>
      <c r="N118" s="195">
        <v>14280</v>
      </c>
      <c r="O118" s="195">
        <v>14210</v>
      </c>
      <c r="P118" s="196">
        <v>0.82499999999999996</v>
      </c>
      <c r="Q118" s="196">
        <v>0.87638888888888899</v>
      </c>
      <c r="R118" s="193" t="s">
        <v>137</v>
      </c>
      <c r="S118" s="193" t="s">
        <v>1781</v>
      </c>
      <c r="T118" s="197">
        <f t="shared" si="11"/>
        <v>68</v>
      </c>
      <c r="U118" s="193" t="s">
        <v>1922</v>
      </c>
      <c r="V118" s="193" t="str">
        <f t="shared" si="12"/>
        <v>Bone Bone</v>
      </c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8"/>
      <c r="AL118" s="18"/>
    </row>
    <row r="119" spans="2:38" ht="15" customHeight="1" x14ac:dyDescent="0.2">
      <c r="B119" s="193">
        <v>1</v>
      </c>
      <c r="C119" s="347" t="s">
        <v>440</v>
      </c>
      <c r="D119" s="193" t="str">
        <f t="shared" si="9"/>
        <v>CPO000298JAS</v>
      </c>
      <c r="E119" s="193" t="s">
        <v>84</v>
      </c>
      <c r="F119" s="193" t="s">
        <v>1433</v>
      </c>
      <c r="G119" s="193" t="s">
        <v>1337</v>
      </c>
      <c r="H119" s="193" t="s">
        <v>49</v>
      </c>
      <c r="I119" s="193" t="s">
        <v>41</v>
      </c>
      <c r="J119" s="193" t="str">
        <f t="shared" si="10"/>
        <v>10 Roda</v>
      </c>
      <c r="K119" s="194">
        <v>45973</v>
      </c>
      <c r="L119" s="195">
        <v>26570</v>
      </c>
      <c r="M119" s="195">
        <v>12080</v>
      </c>
      <c r="N119" s="195">
        <v>14490</v>
      </c>
      <c r="O119" s="195">
        <v>14430</v>
      </c>
      <c r="P119" s="196">
        <v>0.83472222222222203</v>
      </c>
      <c r="Q119" s="196">
        <v>0.91666666666666696</v>
      </c>
      <c r="R119" s="193" t="s">
        <v>137</v>
      </c>
      <c r="S119" s="193" t="s">
        <v>1782</v>
      </c>
      <c r="T119" s="197">
        <f t="shared" si="11"/>
        <v>68</v>
      </c>
      <c r="U119" s="193" t="s">
        <v>1922</v>
      </c>
      <c r="V119" s="193" t="str">
        <f t="shared" si="12"/>
        <v>Bone Bone</v>
      </c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8"/>
      <c r="AL119" s="18"/>
    </row>
    <row r="120" spans="2:38" ht="15" customHeight="1" x14ac:dyDescent="0.2">
      <c r="B120" s="193">
        <v>1</v>
      </c>
      <c r="C120" s="347" t="s">
        <v>129</v>
      </c>
      <c r="D120" s="193" t="str">
        <f t="shared" si="9"/>
        <v>CPO000023JAS</v>
      </c>
      <c r="E120" s="193" t="s">
        <v>76</v>
      </c>
      <c r="F120" s="193" t="s">
        <v>1331</v>
      </c>
      <c r="G120" s="193" t="s">
        <v>1731</v>
      </c>
      <c r="H120" s="193" t="s">
        <v>49</v>
      </c>
      <c r="I120" s="193" t="s">
        <v>41</v>
      </c>
      <c r="J120" s="193" t="str">
        <f t="shared" si="10"/>
        <v>12 Roda</v>
      </c>
      <c r="K120" s="194">
        <v>45974</v>
      </c>
      <c r="L120" s="195">
        <v>45780</v>
      </c>
      <c r="M120" s="195">
        <v>17620</v>
      </c>
      <c r="N120" s="195">
        <v>28160</v>
      </c>
      <c r="O120" s="195">
        <v>28250</v>
      </c>
      <c r="P120" s="196">
        <v>0.99444444444444502</v>
      </c>
      <c r="Q120" s="196">
        <v>5.9722222222222197E-2</v>
      </c>
      <c r="R120" s="193" t="s">
        <v>42</v>
      </c>
      <c r="S120" s="193" t="s">
        <v>1372</v>
      </c>
      <c r="T120" s="197">
        <f t="shared" si="11"/>
        <v>68</v>
      </c>
      <c r="U120" s="193" t="s">
        <v>1922</v>
      </c>
      <c r="V120" s="193" t="str">
        <f t="shared" si="12"/>
        <v>Bone Bone</v>
      </c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8"/>
      <c r="AL120" s="18"/>
    </row>
    <row r="121" spans="2:38" ht="15" customHeight="1" x14ac:dyDescent="0.2">
      <c r="B121" s="193">
        <v>1</v>
      </c>
      <c r="C121" s="347" t="s">
        <v>130</v>
      </c>
      <c r="D121" s="193" t="str">
        <f t="shared" si="9"/>
        <v>CPO000024JAS</v>
      </c>
      <c r="E121" s="193" t="s">
        <v>70</v>
      </c>
      <c r="F121" s="193" t="s">
        <v>1331</v>
      </c>
      <c r="G121" s="193" t="s">
        <v>1731</v>
      </c>
      <c r="H121" s="193" t="s">
        <v>49</v>
      </c>
      <c r="I121" s="193" t="s">
        <v>41</v>
      </c>
      <c r="J121" s="193" t="str">
        <f t="shared" si="10"/>
        <v>12 Roda</v>
      </c>
      <c r="K121" s="194">
        <v>45974</v>
      </c>
      <c r="L121" s="195">
        <v>45850</v>
      </c>
      <c r="M121" s="195">
        <v>17640</v>
      </c>
      <c r="N121" s="195">
        <v>28210</v>
      </c>
      <c r="O121" s="195">
        <v>28150</v>
      </c>
      <c r="P121" s="196">
        <v>2.5000000000000001E-2</v>
      </c>
      <c r="Q121" s="196">
        <v>7.7777777777777807E-2</v>
      </c>
      <c r="R121" s="193" t="s">
        <v>42</v>
      </c>
      <c r="S121" s="193" t="s">
        <v>1499</v>
      </c>
      <c r="T121" s="197">
        <f t="shared" si="11"/>
        <v>68</v>
      </c>
      <c r="U121" s="193" t="s">
        <v>1922</v>
      </c>
      <c r="V121" s="193" t="str">
        <f t="shared" si="12"/>
        <v>Bone Bone</v>
      </c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8"/>
      <c r="AL121" s="18"/>
    </row>
    <row r="122" spans="2:38" ht="15" customHeight="1" x14ac:dyDescent="0.2">
      <c r="B122" s="193">
        <v>1</v>
      </c>
      <c r="C122" s="347" t="s">
        <v>131</v>
      </c>
      <c r="D122" s="193" t="str">
        <f t="shared" si="9"/>
        <v>CPO000025JAS</v>
      </c>
      <c r="E122" s="193" t="s">
        <v>46</v>
      </c>
      <c r="F122" s="193" t="s">
        <v>1331</v>
      </c>
      <c r="G122" s="193" t="s">
        <v>1731</v>
      </c>
      <c r="H122" s="193" t="s">
        <v>49</v>
      </c>
      <c r="I122" s="193" t="s">
        <v>41</v>
      </c>
      <c r="J122" s="193" t="str">
        <f t="shared" si="10"/>
        <v>10 Roda</v>
      </c>
      <c r="K122" s="194">
        <v>45974</v>
      </c>
      <c r="L122" s="195">
        <v>26600</v>
      </c>
      <c r="M122" s="195">
        <v>11760</v>
      </c>
      <c r="N122" s="195">
        <v>14840</v>
      </c>
      <c r="O122" s="195">
        <v>14760</v>
      </c>
      <c r="P122" s="196">
        <v>0.55416666666666703</v>
      </c>
      <c r="Q122" s="196">
        <v>0.63194444444444398</v>
      </c>
      <c r="R122" s="193" t="s">
        <v>42</v>
      </c>
      <c r="S122" s="193" t="s">
        <v>1393</v>
      </c>
      <c r="T122" s="197">
        <f t="shared" si="11"/>
        <v>68</v>
      </c>
      <c r="U122" s="193" t="s">
        <v>1922</v>
      </c>
      <c r="V122" s="193" t="str">
        <f t="shared" si="12"/>
        <v>Bone Bone</v>
      </c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8"/>
      <c r="AL122" s="18"/>
    </row>
    <row r="123" spans="2:38" ht="15" customHeight="1" x14ac:dyDescent="0.2">
      <c r="B123" s="193">
        <v>1</v>
      </c>
      <c r="C123" s="347" t="s">
        <v>132</v>
      </c>
      <c r="D123" s="193" t="str">
        <f t="shared" si="9"/>
        <v>CPO000026JAS</v>
      </c>
      <c r="E123" s="193" t="s">
        <v>84</v>
      </c>
      <c r="F123" s="193" t="s">
        <v>1331</v>
      </c>
      <c r="G123" s="193" t="s">
        <v>1731</v>
      </c>
      <c r="H123" s="193" t="s">
        <v>49</v>
      </c>
      <c r="I123" s="193" t="s">
        <v>41</v>
      </c>
      <c r="J123" s="193" t="str">
        <f t="shared" si="10"/>
        <v>10 Roda</v>
      </c>
      <c r="K123" s="194">
        <v>45974</v>
      </c>
      <c r="L123" s="195">
        <v>26570</v>
      </c>
      <c r="M123" s="195">
        <v>12040</v>
      </c>
      <c r="N123" s="195">
        <v>14530</v>
      </c>
      <c r="O123" s="195">
        <v>14340</v>
      </c>
      <c r="P123" s="196">
        <v>0.57986111111111105</v>
      </c>
      <c r="Q123" s="196">
        <v>0.64444444444444504</v>
      </c>
      <c r="R123" s="193" t="s">
        <v>42</v>
      </c>
      <c r="S123" s="193" t="s">
        <v>1782</v>
      </c>
      <c r="T123" s="197">
        <f t="shared" si="11"/>
        <v>68</v>
      </c>
      <c r="U123" s="193" t="s">
        <v>1922</v>
      </c>
      <c r="V123" s="193" t="str">
        <f t="shared" si="12"/>
        <v>Bone Bone</v>
      </c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8"/>
      <c r="AL123" s="18"/>
    </row>
    <row r="124" spans="2:38" ht="15" customHeight="1" x14ac:dyDescent="0.2">
      <c r="B124" s="193">
        <v>1</v>
      </c>
      <c r="C124" s="347" t="s">
        <v>133</v>
      </c>
      <c r="D124" s="193" t="str">
        <f t="shared" si="9"/>
        <v>CPO000027JAS</v>
      </c>
      <c r="E124" s="193" t="s">
        <v>56</v>
      </c>
      <c r="F124" s="193" t="s">
        <v>1331</v>
      </c>
      <c r="G124" s="193" t="s">
        <v>1731</v>
      </c>
      <c r="H124" s="193" t="s">
        <v>49</v>
      </c>
      <c r="I124" s="193" t="s">
        <v>41</v>
      </c>
      <c r="J124" s="193" t="str">
        <f t="shared" si="10"/>
        <v>10 Roda</v>
      </c>
      <c r="K124" s="194">
        <v>45974</v>
      </c>
      <c r="L124" s="195">
        <v>25150</v>
      </c>
      <c r="M124" s="195">
        <v>10940</v>
      </c>
      <c r="N124" s="195">
        <v>14210</v>
      </c>
      <c r="O124" s="195">
        <v>14110</v>
      </c>
      <c r="P124" s="196">
        <v>0.58958333333333302</v>
      </c>
      <c r="Q124" s="196">
        <v>0.72986111111111096</v>
      </c>
      <c r="R124" s="193" t="s">
        <v>42</v>
      </c>
      <c r="S124" s="193" t="s">
        <v>1781</v>
      </c>
      <c r="T124" s="197">
        <f t="shared" si="11"/>
        <v>68</v>
      </c>
      <c r="U124" s="193" t="s">
        <v>1922</v>
      </c>
      <c r="V124" s="193" t="str">
        <f t="shared" si="12"/>
        <v>Bone Bone</v>
      </c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8"/>
      <c r="AL124" s="18"/>
    </row>
    <row r="125" spans="2:38" ht="15" customHeight="1" x14ac:dyDescent="0.2">
      <c r="B125" s="193">
        <v>1</v>
      </c>
      <c r="C125" s="347" t="s">
        <v>134</v>
      </c>
      <c r="D125" s="193" t="str">
        <f t="shared" si="9"/>
        <v>CPO000028JAS</v>
      </c>
      <c r="E125" s="193" t="s">
        <v>76</v>
      </c>
      <c r="F125" s="193" t="s">
        <v>1331</v>
      </c>
      <c r="G125" s="193" t="s">
        <v>1731</v>
      </c>
      <c r="H125" s="193" t="s">
        <v>49</v>
      </c>
      <c r="I125" s="193" t="s">
        <v>41</v>
      </c>
      <c r="J125" s="193" t="str">
        <f t="shared" si="10"/>
        <v>12 Roda</v>
      </c>
      <c r="K125" s="194">
        <v>45974</v>
      </c>
      <c r="L125" s="195">
        <v>45940</v>
      </c>
      <c r="M125" s="195">
        <v>17630</v>
      </c>
      <c r="N125" s="195">
        <v>28310</v>
      </c>
      <c r="O125" s="195">
        <v>28020</v>
      </c>
      <c r="P125" s="196">
        <v>0.59930555555555598</v>
      </c>
      <c r="Q125" s="196">
        <v>0.6875</v>
      </c>
      <c r="R125" s="193" t="s">
        <v>42</v>
      </c>
      <c r="S125" s="193" t="s">
        <v>1372</v>
      </c>
      <c r="T125" s="197">
        <f t="shared" si="11"/>
        <v>68</v>
      </c>
      <c r="U125" s="193" t="s">
        <v>1922</v>
      </c>
      <c r="V125" s="193" t="str">
        <f t="shared" si="12"/>
        <v>Bone Bone</v>
      </c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8"/>
      <c r="AL125" s="18"/>
    </row>
    <row r="126" spans="2:38" ht="15" customHeight="1" x14ac:dyDescent="0.2">
      <c r="B126" s="193">
        <v>1</v>
      </c>
      <c r="C126" s="347" t="s">
        <v>135</v>
      </c>
      <c r="D126" s="193" t="str">
        <f t="shared" si="9"/>
        <v>CPO000029JAS</v>
      </c>
      <c r="E126" s="193" t="s">
        <v>70</v>
      </c>
      <c r="F126" s="193" t="s">
        <v>1331</v>
      </c>
      <c r="G126" s="193" t="s">
        <v>1731</v>
      </c>
      <c r="H126" s="193" t="s">
        <v>49</v>
      </c>
      <c r="I126" s="193" t="s">
        <v>41</v>
      </c>
      <c r="J126" s="193" t="str">
        <f t="shared" si="10"/>
        <v>12 Roda</v>
      </c>
      <c r="K126" s="194">
        <v>45974</v>
      </c>
      <c r="L126" s="195">
        <v>45720</v>
      </c>
      <c r="M126" s="195">
        <v>17510</v>
      </c>
      <c r="N126" s="195">
        <v>28210</v>
      </c>
      <c r="O126" s="195">
        <v>28060</v>
      </c>
      <c r="P126" s="196">
        <v>0.63402777777777797</v>
      </c>
      <c r="Q126" s="196">
        <v>0.71319444444444502</v>
      </c>
      <c r="R126" s="193" t="s">
        <v>42</v>
      </c>
      <c r="S126" s="193" t="s">
        <v>1499</v>
      </c>
      <c r="T126" s="197">
        <f t="shared" si="11"/>
        <v>68</v>
      </c>
      <c r="U126" s="193" t="s">
        <v>1922</v>
      </c>
      <c r="V126" s="193" t="str">
        <f t="shared" si="12"/>
        <v>Bone Bone</v>
      </c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8"/>
      <c r="AL126" s="18"/>
    </row>
    <row r="127" spans="2:38" ht="15" customHeight="1" x14ac:dyDescent="0.2">
      <c r="B127" s="193">
        <v>1</v>
      </c>
      <c r="C127" s="347" t="s">
        <v>240</v>
      </c>
      <c r="D127" s="193" t="str">
        <f t="shared" si="9"/>
        <v>CPO000098KMP</v>
      </c>
      <c r="E127" s="193" t="s">
        <v>46</v>
      </c>
      <c r="F127" s="193" t="s">
        <v>1449</v>
      </c>
      <c r="G127" s="193" t="s">
        <v>1338</v>
      </c>
      <c r="H127" s="193" t="s">
        <v>59</v>
      </c>
      <c r="I127" s="193" t="s">
        <v>41</v>
      </c>
      <c r="J127" s="193" t="str">
        <f t="shared" si="10"/>
        <v>10 Roda</v>
      </c>
      <c r="K127" s="194">
        <v>45975</v>
      </c>
      <c r="L127" s="195">
        <v>26490</v>
      </c>
      <c r="M127" s="195">
        <v>11710</v>
      </c>
      <c r="N127" s="195">
        <v>14780</v>
      </c>
      <c r="O127" s="195">
        <v>14730</v>
      </c>
      <c r="P127" s="196">
        <v>0.55208333333333304</v>
      </c>
      <c r="Q127" s="196">
        <v>0.63194444444444398</v>
      </c>
      <c r="R127" s="193" t="s">
        <v>42</v>
      </c>
      <c r="S127" s="193" t="s">
        <v>1393</v>
      </c>
      <c r="T127" s="197">
        <f t="shared" si="11"/>
        <v>53</v>
      </c>
      <c r="U127" s="193" t="s">
        <v>1922</v>
      </c>
      <c r="V127" s="193" t="str">
        <f t="shared" si="12"/>
        <v>Masamba</v>
      </c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8"/>
      <c r="AL127" s="18"/>
    </row>
    <row r="128" spans="2:38" ht="15" customHeight="1" x14ac:dyDescent="0.2">
      <c r="B128" s="193">
        <v>1</v>
      </c>
      <c r="C128" s="347" t="s">
        <v>241</v>
      </c>
      <c r="D128" s="193" t="str">
        <f t="shared" si="9"/>
        <v>CPO000099KMP</v>
      </c>
      <c r="E128" s="193" t="s">
        <v>56</v>
      </c>
      <c r="F128" s="193" t="s">
        <v>1449</v>
      </c>
      <c r="G128" s="193" t="s">
        <v>1338</v>
      </c>
      <c r="H128" s="193" t="s">
        <v>59</v>
      </c>
      <c r="I128" s="193" t="s">
        <v>41</v>
      </c>
      <c r="J128" s="193" t="str">
        <f t="shared" si="10"/>
        <v>10 Roda</v>
      </c>
      <c r="K128" s="194">
        <v>45975</v>
      </c>
      <c r="L128" s="195">
        <v>25060</v>
      </c>
      <c r="M128" s="195">
        <v>10810</v>
      </c>
      <c r="N128" s="195">
        <v>14250</v>
      </c>
      <c r="O128" s="195">
        <v>14120</v>
      </c>
      <c r="P128" s="196">
        <v>0.55347222222222203</v>
      </c>
      <c r="Q128" s="196">
        <v>0.66041666666666698</v>
      </c>
      <c r="R128" s="193" t="s">
        <v>42</v>
      </c>
      <c r="S128" s="193" t="s">
        <v>1781</v>
      </c>
      <c r="T128" s="197">
        <f t="shared" si="11"/>
        <v>53</v>
      </c>
      <c r="U128" s="193" t="s">
        <v>1922</v>
      </c>
      <c r="V128" s="193" t="str">
        <f t="shared" si="12"/>
        <v>Masamba</v>
      </c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8"/>
      <c r="AL128" s="18"/>
    </row>
    <row r="129" spans="2:38" ht="15" customHeight="1" x14ac:dyDescent="0.2">
      <c r="B129" s="193">
        <v>1</v>
      </c>
      <c r="C129" s="347" t="s">
        <v>242</v>
      </c>
      <c r="D129" s="193" t="str">
        <f t="shared" si="9"/>
        <v>CPO000100KMP</v>
      </c>
      <c r="E129" s="193" t="s">
        <v>76</v>
      </c>
      <c r="F129" s="193" t="s">
        <v>1449</v>
      </c>
      <c r="G129" s="193" t="s">
        <v>1338</v>
      </c>
      <c r="H129" s="193" t="s">
        <v>59</v>
      </c>
      <c r="I129" s="193" t="s">
        <v>41</v>
      </c>
      <c r="J129" s="193" t="str">
        <f t="shared" si="10"/>
        <v>12 Roda</v>
      </c>
      <c r="K129" s="194">
        <v>45975</v>
      </c>
      <c r="L129" s="195">
        <v>45820</v>
      </c>
      <c r="M129" s="195">
        <v>17540</v>
      </c>
      <c r="N129" s="195">
        <v>28280</v>
      </c>
      <c r="O129" s="195">
        <v>28180</v>
      </c>
      <c r="P129" s="196">
        <v>0.57361111111111096</v>
      </c>
      <c r="Q129" s="196">
        <v>0.63611111111111096</v>
      </c>
      <c r="R129" s="193" t="s">
        <v>42</v>
      </c>
      <c r="S129" s="193" t="s">
        <v>1372</v>
      </c>
      <c r="T129" s="197">
        <f t="shared" si="11"/>
        <v>53</v>
      </c>
      <c r="U129" s="193" t="s">
        <v>1922</v>
      </c>
      <c r="V129" s="193" t="str">
        <f t="shared" si="12"/>
        <v>Masamba</v>
      </c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8"/>
      <c r="AL129" s="18"/>
    </row>
    <row r="130" spans="2:38" ht="15" customHeight="1" x14ac:dyDescent="0.2">
      <c r="B130" s="193">
        <v>1</v>
      </c>
      <c r="C130" s="347" t="s">
        <v>243</v>
      </c>
      <c r="D130" s="193" t="str">
        <f t="shared" si="9"/>
        <v>CPO000101KMP</v>
      </c>
      <c r="E130" s="193" t="s">
        <v>84</v>
      </c>
      <c r="F130" s="193" t="s">
        <v>1449</v>
      </c>
      <c r="G130" s="193" t="s">
        <v>1338</v>
      </c>
      <c r="H130" s="193" t="s">
        <v>59</v>
      </c>
      <c r="I130" s="193" t="s">
        <v>41</v>
      </c>
      <c r="J130" s="193" t="str">
        <f t="shared" si="10"/>
        <v>10 Roda</v>
      </c>
      <c r="K130" s="194">
        <v>45975</v>
      </c>
      <c r="L130" s="195">
        <v>26630</v>
      </c>
      <c r="M130" s="195">
        <v>12130</v>
      </c>
      <c r="N130" s="195">
        <v>14500</v>
      </c>
      <c r="O130" s="195">
        <v>14430</v>
      </c>
      <c r="P130" s="196">
        <v>0.58680555555555602</v>
      </c>
      <c r="Q130" s="196">
        <v>0.67291666666666705</v>
      </c>
      <c r="R130" s="193" t="s">
        <v>42</v>
      </c>
      <c r="S130" s="193" t="s">
        <v>1782</v>
      </c>
      <c r="T130" s="197">
        <f t="shared" si="11"/>
        <v>53</v>
      </c>
      <c r="U130" s="193" t="s">
        <v>1922</v>
      </c>
      <c r="V130" s="193" t="str">
        <f t="shared" si="12"/>
        <v>Masamba</v>
      </c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8"/>
      <c r="AL130" s="18"/>
    </row>
    <row r="131" spans="2:38" ht="15" customHeight="1" x14ac:dyDescent="0.2">
      <c r="B131" s="193">
        <v>1</v>
      </c>
      <c r="C131" s="347" t="s">
        <v>244</v>
      </c>
      <c r="D131" s="193" t="str">
        <f t="shared" si="9"/>
        <v>CPO000102KMP</v>
      </c>
      <c r="E131" s="193" t="s">
        <v>70</v>
      </c>
      <c r="F131" s="193" t="s">
        <v>1449</v>
      </c>
      <c r="G131" s="193" t="s">
        <v>1338</v>
      </c>
      <c r="H131" s="193" t="s">
        <v>59</v>
      </c>
      <c r="I131" s="193" t="s">
        <v>41</v>
      </c>
      <c r="J131" s="193" t="str">
        <f t="shared" si="10"/>
        <v>12 Roda</v>
      </c>
      <c r="K131" s="194">
        <v>45975</v>
      </c>
      <c r="L131" s="195">
        <v>45660</v>
      </c>
      <c r="M131" s="195">
        <v>17410</v>
      </c>
      <c r="N131" s="195">
        <v>28250</v>
      </c>
      <c r="O131" s="195">
        <v>28140</v>
      </c>
      <c r="P131" s="196">
        <v>0.59722222222222199</v>
      </c>
      <c r="Q131" s="196">
        <v>0.65208333333333302</v>
      </c>
      <c r="R131" s="193" t="s">
        <v>42</v>
      </c>
      <c r="S131" s="193" t="s">
        <v>1499</v>
      </c>
      <c r="T131" s="197">
        <f t="shared" si="11"/>
        <v>53</v>
      </c>
      <c r="U131" s="193" t="s">
        <v>1922</v>
      </c>
      <c r="V131" s="193" t="str">
        <f t="shared" si="12"/>
        <v>Masamba</v>
      </c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8"/>
      <c r="AL131" s="18"/>
    </row>
    <row r="132" spans="2:38" ht="15" customHeight="1" x14ac:dyDescent="0.2">
      <c r="B132" s="193">
        <v>1</v>
      </c>
      <c r="C132" s="347" t="s">
        <v>245</v>
      </c>
      <c r="D132" s="193" t="str">
        <f t="shared" si="9"/>
        <v>CPO000103KMP</v>
      </c>
      <c r="E132" s="193" t="s">
        <v>76</v>
      </c>
      <c r="F132" s="193" t="s">
        <v>1449</v>
      </c>
      <c r="G132" s="193" t="s">
        <v>1338</v>
      </c>
      <c r="H132" s="193" t="s">
        <v>59</v>
      </c>
      <c r="I132" s="193" t="s">
        <v>41</v>
      </c>
      <c r="J132" s="193" t="str">
        <f t="shared" si="10"/>
        <v>12 Roda</v>
      </c>
      <c r="K132" s="194">
        <v>45975</v>
      </c>
      <c r="L132" s="195">
        <v>45800</v>
      </c>
      <c r="M132" s="195">
        <v>17520</v>
      </c>
      <c r="N132" s="195">
        <v>28280</v>
      </c>
      <c r="O132" s="195">
        <v>28230</v>
      </c>
      <c r="P132" s="196">
        <v>0.86111111111111105</v>
      </c>
      <c r="Q132" s="196">
        <v>0.91805555555555596</v>
      </c>
      <c r="R132" s="193" t="s">
        <v>42</v>
      </c>
      <c r="S132" s="193" t="s">
        <v>1372</v>
      </c>
      <c r="T132" s="197">
        <f t="shared" si="11"/>
        <v>53</v>
      </c>
      <c r="U132" s="193" t="s">
        <v>1922</v>
      </c>
      <c r="V132" s="193" t="str">
        <f t="shared" si="12"/>
        <v>Masamba</v>
      </c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8"/>
      <c r="AL132" s="18"/>
    </row>
    <row r="133" spans="2:38" ht="15" customHeight="1" x14ac:dyDescent="0.2">
      <c r="B133" s="193">
        <v>1</v>
      </c>
      <c r="C133" s="347" t="s">
        <v>246</v>
      </c>
      <c r="D133" s="193" t="str">
        <f t="shared" si="9"/>
        <v>CPO000104KMP</v>
      </c>
      <c r="E133" s="193" t="s">
        <v>46</v>
      </c>
      <c r="F133" s="193" t="s">
        <v>1449</v>
      </c>
      <c r="G133" s="193" t="s">
        <v>1338</v>
      </c>
      <c r="H133" s="193" t="s">
        <v>59</v>
      </c>
      <c r="I133" s="193" t="s">
        <v>41</v>
      </c>
      <c r="J133" s="193" t="str">
        <f t="shared" si="10"/>
        <v>10 Roda</v>
      </c>
      <c r="K133" s="194">
        <v>45977</v>
      </c>
      <c r="L133" s="195">
        <v>26510</v>
      </c>
      <c r="M133" s="195">
        <v>11720</v>
      </c>
      <c r="N133" s="195">
        <v>14790</v>
      </c>
      <c r="O133" s="195">
        <v>14860</v>
      </c>
      <c r="P133" s="196">
        <v>0.97291666666666698</v>
      </c>
      <c r="Q133" s="196">
        <v>2.36111111111111E-2</v>
      </c>
      <c r="R133" s="193" t="s">
        <v>42</v>
      </c>
      <c r="S133" s="193" t="s">
        <v>1393</v>
      </c>
      <c r="T133" s="197">
        <f t="shared" si="11"/>
        <v>53</v>
      </c>
      <c r="U133" s="193" t="s">
        <v>1922</v>
      </c>
      <c r="V133" s="193" t="str">
        <f t="shared" si="12"/>
        <v>Masamba</v>
      </c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8"/>
      <c r="AL133" s="18"/>
    </row>
    <row r="134" spans="2:38" ht="15" customHeight="1" x14ac:dyDescent="0.2">
      <c r="B134" s="193">
        <v>1</v>
      </c>
      <c r="C134" s="347" t="s">
        <v>247</v>
      </c>
      <c r="D134" s="193" t="str">
        <f t="shared" si="9"/>
        <v>CPO000105KMP</v>
      </c>
      <c r="E134" s="193" t="s">
        <v>76</v>
      </c>
      <c r="F134" s="193" t="s">
        <v>1449</v>
      </c>
      <c r="G134" s="193" t="s">
        <v>1338</v>
      </c>
      <c r="H134" s="193" t="s">
        <v>59</v>
      </c>
      <c r="I134" s="193" t="s">
        <v>41</v>
      </c>
      <c r="J134" s="193" t="str">
        <f t="shared" si="10"/>
        <v>12 Roda</v>
      </c>
      <c r="K134" s="194">
        <v>45977</v>
      </c>
      <c r="L134" s="195">
        <v>45690</v>
      </c>
      <c r="M134" s="195">
        <v>17510</v>
      </c>
      <c r="N134" s="195">
        <v>28180</v>
      </c>
      <c r="O134" s="195">
        <v>28280</v>
      </c>
      <c r="P134" s="196">
        <v>0.98750000000000004</v>
      </c>
      <c r="Q134" s="196">
        <v>3.3333333333333298E-2</v>
      </c>
      <c r="R134" s="193" t="s">
        <v>42</v>
      </c>
      <c r="S134" s="193" t="s">
        <v>1372</v>
      </c>
      <c r="T134" s="197">
        <f t="shared" si="11"/>
        <v>53</v>
      </c>
      <c r="U134" s="193" t="s">
        <v>1922</v>
      </c>
      <c r="V134" s="193" t="str">
        <f t="shared" si="12"/>
        <v>Masamba</v>
      </c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8"/>
      <c r="AL134" s="18"/>
    </row>
    <row r="135" spans="2:38" ht="15" customHeight="1" x14ac:dyDescent="0.2">
      <c r="B135" s="193">
        <v>1</v>
      </c>
      <c r="C135" s="347" t="s">
        <v>248</v>
      </c>
      <c r="D135" s="193" t="str">
        <f t="shared" si="9"/>
        <v>CPO000106KMP</v>
      </c>
      <c r="E135" s="193" t="s">
        <v>56</v>
      </c>
      <c r="F135" s="193" t="s">
        <v>1449</v>
      </c>
      <c r="G135" s="193" t="s">
        <v>1338</v>
      </c>
      <c r="H135" s="193" t="s">
        <v>59</v>
      </c>
      <c r="I135" s="193" t="s">
        <v>41</v>
      </c>
      <c r="J135" s="193" t="str">
        <f t="shared" si="10"/>
        <v>10 Roda</v>
      </c>
      <c r="K135" s="194">
        <v>45977</v>
      </c>
      <c r="L135" s="195">
        <v>24990</v>
      </c>
      <c r="M135" s="195">
        <v>10900</v>
      </c>
      <c r="N135" s="195">
        <v>14090</v>
      </c>
      <c r="O135" s="195">
        <v>14240</v>
      </c>
      <c r="P135" s="196">
        <v>1.1111111111111099E-2</v>
      </c>
      <c r="Q135" s="196">
        <v>7.7777777777777807E-2</v>
      </c>
      <c r="R135" s="193" t="s">
        <v>42</v>
      </c>
      <c r="S135" s="193" t="s">
        <v>1781</v>
      </c>
      <c r="T135" s="197">
        <f t="shared" si="11"/>
        <v>53</v>
      </c>
      <c r="U135" s="193" t="s">
        <v>1922</v>
      </c>
      <c r="V135" s="193" t="str">
        <f t="shared" si="12"/>
        <v>Masamba</v>
      </c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8"/>
      <c r="AL135" s="18"/>
    </row>
    <row r="136" spans="2:38" ht="15" customHeight="1" x14ac:dyDescent="0.2">
      <c r="B136" s="193">
        <v>1</v>
      </c>
      <c r="C136" s="347" t="s">
        <v>249</v>
      </c>
      <c r="D136" s="193" t="str">
        <f t="shared" si="9"/>
        <v>CPO000107KMP</v>
      </c>
      <c r="E136" s="193" t="s">
        <v>84</v>
      </c>
      <c r="F136" s="193" t="s">
        <v>1449</v>
      </c>
      <c r="G136" s="193" t="s">
        <v>1338</v>
      </c>
      <c r="H136" s="193" t="s">
        <v>59</v>
      </c>
      <c r="I136" s="193" t="s">
        <v>41</v>
      </c>
      <c r="J136" s="193" t="str">
        <f t="shared" si="10"/>
        <v>10 Roda</v>
      </c>
      <c r="K136" s="194">
        <v>45977</v>
      </c>
      <c r="L136" s="195">
        <v>26590</v>
      </c>
      <c r="M136" s="195">
        <v>12130</v>
      </c>
      <c r="N136" s="195">
        <v>14460</v>
      </c>
      <c r="O136" s="195">
        <v>14520</v>
      </c>
      <c r="P136" s="196">
        <v>2.0833333333333301E-2</v>
      </c>
      <c r="Q136" s="196">
        <v>6.5972222222222196E-2</v>
      </c>
      <c r="R136" s="193" t="s">
        <v>42</v>
      </c>
      <c r="S136" s="193" t="s">
        <v>1782</v>
      </c>
      <c r="T136" s="197">
        <f t="shared" si="11"/>
        <v>53</v>
      </c>
      <c r="U136" s="193" t="s">
        <v>1922</v>
      </c>
      <c r="V136" s="193" t="str">
        <f t="shared" si="12"/>
        <v>Masamba</v>
      </c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8"/>
      <c r="AL136" s="18"/>
    </row>
    <row r="137" spans="2:38" ht="15" customHeight="1" x14ac:dyDescent="0.2">
      <c r="B137" s="193">
        <v>1</v>
      </c>
      <c r="C137" s="347" t="s">
        <v>250</v>
      </c>
      <c r="D137" s="193" t="str">
        <f t="shared" si="9"/>
        <v>CPO000108KMP</v>
      </c>
      <c r="E137" s="193" t="s">
        <v>70</v>
      </c>
      <c r="F137" s="193" t="s">
        <v>1449</v>
      </c>
      <c r="G137" s="193" t="s">
        <v>1338</v>
      </c>
      <c r="H137" s="193" t="s">
        <v>59</v>
      </c>
      <c r="I137" s="193" t="s">
        <v>41</v>
      </c>
      <c r="J137" s="193" t="str">
        <f t="shared" si="10"/>
        <v>12 Roda</v>
      </c>
      <c r="K137" s="194">
        <v>45977</v>
      </c>
      <c r="L137" s="195">
        <v>45420</v>
      </c>
      <c r="M137" s="195">
        <v>17410</v>
      </c>
      <c r="N137" s="195">
        <v>28010</v>
      </c>
      <c r="O137" s="195">
        <v>28120</v>
      </c>
      <c r="P137" s="196">
        <v>2.5694444444444402E-2</v>
      </c>
      <c r="Q137" s="196">
        <v>6.8055555555555605E-2</v>
      </c>
      <c r="R137" s="193" t="s">
        <v>42</v>
      </c>
      <c r="S137" s="193" t="s">
        <v>1499</v>
      </c>
      <c r="T137" s="197">
        <f t="shared" si="11"/>
        <v>53</v>
      </c>
      <c r="U137" s="193" t="s">
        <v>1922</v>
      </c>
      <c r="V137" s="193" t="str">
        <f t="shared" si="12"/>
        <v>Masamba</v>
      </c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8"/>
      <c r="AL137" s="18"/>
    </row>
    <row r="138" spans="2:38" ht="15" customHeight="1" x14ac:dyDescent="0.2">
      <c r="B138" s="193">
        <v>1</v>
      </c>
      <c r="C138" s="347" t="s">
        <v>251</v>
      </c>
      <c r="D138" s="193" t="str">
        <f t="shared" si="9"/>
        <v>CPO000109KMP</v>
      </c>
      <c r="E138" s="193" t="s">
        <v>56</v>
      </c>
      <c r="F138" s="193" t="s">
        <v>1449</v>
      </c>
      <c r="G138" s="193" t="s">
        <v>1338</v>
      </c>
      <c r="H138" s="193" t="s">
        <v>59</v>
      </c>
      <c r="I138" s="193" t="s">
        <v>41</v>
      </c>
      <c r="J138" s="193" t="str">
        <f t="shared" si="10"/>
        <v>10 Roda</v>
      </c>
      <c r="K138" s="194">
        <v>45977</v>
      </c>
      <c r="L138" s="195">
        <v>24980</v>
      </c>
      <c r="M138" s="195">
        <v>10820</v>
      </c>
      <c r="N138" s="195">
        <v>14160</v>
      </c>
      <c r="O138" s="195">
        <v>14140</v>
      </c>
      <c r="P138" s="196">
        <v>0.56944444444444398</v>
      </c>
      <c r="Q138" s="196">
        <v>0.62777777777777799</v>
      </c>
      <c r="R138" s="193" t="s">
        <v>42</v>
      </c>
      <c r="S138" s="193" t="s">
        <v>1781</v>
      </c>
      <c r="T138" s="197">
        <f t="shared" si="11"/>
        <v>53</v>
      </c>
      <c r="U138" s="193" t="s">
        <v>1922</v>
      </c>
      <c r="V138" s="193" t="str">
        <f t="shared" si="12"/>
        <v>Masamba</v>
      </c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8"/>
      <c r="AL138" s="18"/>
    </row>
    <row r="139" spans="2:38" ht="15" customHeight="1" x14ac:dyDescent="0.2">
      <c r="B139" s="193">
        <v>1</v>
      </c>
      <c r="C139" s="347" t="s">
        <v>252</v>
      </c>
      <c r="D139" s="193" t="str">
        <f t="shared" si="9"/>
        <v>CPO000110KMP</v>
      </c>
      <c r="E139" s="193" t="s">
        <v>84</v>
      </c>
      <c r="F139" s="193" t="s">
        <v>1449</v>
      </c>
      <c r="G139" s="193" t="s">
        <v>1338</v>
      </c>
      <c r="H139" s="193" t="s">
        <v>59</v>
      </c>
      <c r="I139" s="193" t="s">
        <v>41</v>
      </c>
      <c r="J139" s="193" t="str">
        <f t="shared" si="10"/>
        <v>10 Roda</v>
      </c>
      <c r="K139" s="194">
        <v>45977</v>
      </c>
      <c r="L139" s="195">
        <v>26550</v>
      </c>
      <c r="M139" s="195">
        <v>12060</v>
      </c>
      <c r="N139" s="195">
        <v>14490</v>
      </c>
      <c r="O139" s="195">
        <v>14480</v>
      </c>
      <c r="P139" s="196">
        <v>0.57083333333333297</v>
      </c>
      <c r="Q139" s="196">
        <v>0.63749999999999996</v>
      </c>
      <c r="R139" s="193" t="s">
        <v>42</v>
      </c>
      <c r="S139" s="193" t="s">
        <v>1782</v>
      </c>
      <c r="T139" s="197">
        <f t="shared" si="11"/>
        <v>53</v>
      </c>
      <c r="U139" s="193" t="s">
        <v>1922</v>
      </c>
      <c r="V139" s="193" t="str">
        <f t="shared" si="12"/>
        <v>Masamba</v>
      </c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8"/>
      <c r="AL139" s="18"/>
    </row>
    <row r="140" spans="2:38" ht="15" customHeight="1" x14ac:dyDescent="0.2">
      <c r="B140" s="193">
        <v>1</v>
      </c>
      <c r="C140" s="347" t="s">
        <v>253</v>
      </c>
      <c r="D140" s="193" t="str">
        <f t="shared" si="9"/>
        <v>CPO000111KMP</v>
      </c>
      <c r="E140" s="193" t="s">
        <v>46</v>
      </c>
      <c r="F140" s="193" t="s">
        <v>1449</v>
      </c>
      <c r="G140" s="193" t="s">
        <v>1338</v>
      </c>
      <c r="H140" s="193" t="s">
        <v>59</v>
      </c>
      <c r="I140" s="193" t="s">
        <v>41</v>
      </c>
      <c r="J140" s="193" t="str">
        <f t="shared" si="10"/>
        <v>10 Roda</v>
      </c>
      <c r="K140" s="194">
        <v>45977</v>
      </c>
      <c r="L140" s="195">
        <v>26440</v>
      </c>
      <c r="M140" s="195">
        <v>11660</v>
      </c>
      <c r="N140" s="195">
        <v>14780</v>
      </c>
      <c r="O140" s="195">
        <v>14800</v>
      </c>
      <c r="P140" s="196">
        <v>0.57152777777777797</v>
      </c>
      <c r="Q140" s="196">
        <v>0.66666666666666696</v>
      </c>
      <c r="R140" s="193" t="s">
        <v>42</v>
      </c>
      <c r="S140" s="193" t="s">
        <v>1393</v>
      </c>
      <c r="T140" s="197">
        <f t="shared" si="11"/>
        <v>53</v>
      </c>
      <c r="U140" s="193" t="s">
        <v>1922</v>
      </c>
      <c r="V140" s="193" t="str">
        <f t="shared" si="12"/>
        <v>Masamba</v>
      </c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8"/>
      <c r="AL140" s="18"/>
    </row>
    <row r="141" spans="2:38" ht="15" customHeight="1" x14ac:dyDescent="0.2">
      <c r="B141" s="193">
        <v>1</v>
      </c>
      <c r="C141" s="347" t="s">
        <v>254</v>
      </c>
      <c r="D141" s="193" t="str">
        <f t="shared" si="9"/>
        <v>CPO000112KMP</v>
      </c>
      <c r="E141" s="193" t="s">
        <v>76</v>
      </c>
      <c r="F141" s="193" t="s">
        <v>1449</v>
      </c>
      <c r="G141" s="193" t="s">
        <v>1338</v>
      </c>
      <c r="H141" s="193" t="s">
        <v>59</v>
      </c>
      <c r="I141" s="193" t="s">
        <v>41</v>
      </c>
      <c r="J141" s="193" t="str">
        <f t="shared" si="10"/>
        <v>12 Roda</v>
      </c>
      <c r="K141" s="194">
        <v>45977</v>
      </c>
      <c r="L141" s="195">
        <v>45520</v>
      </c>
      <c r="M141" s="195">
        <v>17430</v>
      </c>
      <c r="N141" s="195">
        <v>28090</v>
      </c>
      <c r="O141" s="195">
        <v>28140</v>
      </c>
      <c r="P141" s="196">
        <v>0.58263888888888904</v>
      </c>
      <c r="Q141" s="196">
        <v>0.62361111111111101</v>
      </c>
      <c r="R141" s="193" t="s">
        <v>42</v>
      </c>
      <c r="S141" s="193" t="s">
        <v>1372</v>
      </c>
      <c r="T141" s="197">
        <f t="shared" si="11"/>
        <v>53</v>
      </c>
      <c r="U141" s="193" t="s">
        <v>1922</v>
      </c>
      <c r="V141" s="193" t="str">
        <f t="shared" si="12"/>
        <v>Masamba</v>
      </c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8"/>
      <c r="AL141" s="18"/>
    </row>
    <row r="142" spans="2:38" ht="15" customHeight="1" x14ac:dyDescent="0.2">
      <c r="B142" s="193">
        <v>1</v>
      </c>
      <c r="C142" s="347" t="s">
        <v>255</v>
      </c>
      <c r="D142" s="193" t="str">
        <f t="shared" si="9"/>
        <v>CPO000113KMP</v>
      </c>
      <c r="E142" s="193" t="s">
        <v>70</v>
      </c>
      <c r="F142" s="193" t="s">
        <v>1449</v>
      </c>
      <c r="G142" s="193" t="s">
        <v>1338</v>
      </c>
      <c r="H142" s="193" t="s">
        <v>59</v>
      </c>
      <c r="I142" s="193" t="s">
        <v>41</v>
      </c>
      <c r="J142" s="193" t="str">
        <f t="shared" si="10"/>
        <v>12 Roda</v>
      </c>
      <c r="K142" s="194">
        <v>45977</v>
      </c>
      <c r="L142" s="195">
        <v>45680</v>
      </c>
      <c r="M142" s="195">
        <v>17600</v>
      </c>
      <c r="N142" s="195">
        <v>28080</v>
      </c>
      <c r="O142" s="195">
        <v>28100</v>
      </c>
      <c r="P142" s="196">
        <v>0.62013888888888902</v>
      </c>
      <c r="Q142" s="196">
        <v>0.66249999999999998</v>
      </c>
      <c r="R142" s="193" t="s">
        <v>42</v>
      </c>
      <c r="S142" s="193" t="s">
        <v>1499</v>
      </c>
      <c r="T142" s="197">
        <f t="shared" si="11"/>
        <v>53</v>
      </c>
      <c r="U142" s="193" t="s">
        <v>1922</v>
      </c>
      <c r="V142" s="193" t="str">
        <f t="shared" si="12"/>
        <v>Masamba</v>
      </c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8"/>
      <c r="AL142" s="18"/>
    </row>
    <row r="143" spans="2:38" ht="15" customHeight="1" x14ac:dyDescent="0.2">
      <c r="B143" s="193">
        <v>1</v>
      </c>
      <c r="C143" s="347" t="s">
        <v>256</v>
      </c>
      <c r="D143" s="193" t="str">
        <f t="shared" si="9"/>
        <v>CPO000114KMP</v>
      </c>
      <c r="E143" s="193" t="s">
        <v>56</v>
      </c>
      <c r="F143" s="193" t="s">
        <v>1449</v>
      </c>
      <c r="G143" s="193" t="s">
        <v>1338</v>
      </c>
      <c r="H143" s="193" t="s">
        <v>59</v>
      </c>
      <c r="I143" s="193" t="s">
        <v>41</v>
      </c>
      <c r="J143" s="193" t="str">
        <f t="shared" si="10"/>
        <v>10 Roda</v>
      </c>
      <c r="K143" s="194">
        <v>45978</v>
      </c>
      <c r="L143" s="195">
        <v>24990</v>
      </c>
      <c r="M143" s="195">
        <v>10900</v>
      </c>
      <c r="N143" s="195">
        <v>14090</v>
      </c>
      <c r="O143" s="195">
        <v>14220</v>
      </c>
      <c r="P143" s="196">
        <v>0.55486111111111103</v>
      </c>
      <c r="Q143" s="196">
        <v>0.62222222222222201</v>
      </c>
      <c r="R143" s="193" t="s">
        <v>42</v>
      </c>
      <c r="S143" s="193" t="s">
        <v>1781</v>
      </c>
      <c r="T143" s="197">
        <f t="shared" si="11"/>
        <v>53</v>
      </c>
      <c r="U143" s="193" t="s">
        <v>1922</v>
      </c>
      <c r="V143" s="193" t="str">
        <f t="shared" si="12"/>
        <v>Masamba</v>
      </c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8"/>
      <c r="AL143" s="18"/>
    </row>
    <row r="144" spans="2:38" ht="15" customHeight="1" x14ac:dyDescent="0.2">
      <c r="B144" s="193">
        <v>1</v>
      </c>
      <c r="C144" s="347" t="s">
        <v>257</v>
      </c>
      <c r="D144" s="193" t="str">
        <f t="shared" si="9"/>
        <v>CPO000115KMP</v>
      </c>
      <c r="E144" s="193" t="s">
        <v>76</v>
      </c>
      <c r="F144" s="193" t="s">
        <v>1449</v>
      </c>
      <c r="G144" s="193" t="s">
        <v>1338</v>
      </c>
      <c r="H144" s="193" t="s">
        <v>59</v>
      </c>
      <c r="I144" s="193" t="s">
        <v>41</v>
      </c>
      <c r="J144" s="193" t="str">
        <f t="shared" si="10"/>
        <v>12 Roda</v>
      </c>
      <c r="K144" s="194">
        <v>45978</v>
      </c>
      <c r="L144" s="195">
        <v>45680</v>
      </c>
      <c r="M144" s="195">
        <v>17430</v>
      </c>
      <c r="N144" s="195">
        <v>28250</v>
      </c>
      <c r="O144" s="195">
        <v>28360</v>
      </c>
      <c r="P144" s="196">
        <v>0.55902777777777801</v>
      </c>
      <c r="Q144" s="196">
        <v>0.62013888888888902</v>
      </c>
      <c r="R144" s="193" t="s">
        <v>42</v>
      </c>
      <c r="S144" s="193" t="s">
        <v>1372</v>
      </c>
      <c r="T144" s="197">
        <f t="shared" si="11"/>
        <v>53</v>
      </c>
      <c r="U144" s="193" t="s">
        <v>1922</v>
      </c>
      <c r="V144" s="193" t="str">
        <f t="shared" si="12"/>
        <v>Masamba</v>
      </c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8"/>
      <c r="AL144" s="18"/>
    </row>
    <row r="145" spans="2:38" ht="15" customHeight="1" x14ac:dyDescent="0.2">
      <c r="B145" s="193">
        <v>1</v>
      </c>
      <c r="C145" s="347" t="s">
        <v>258</v>
      </c>
      <c r="D145" s="193" t="str">
        <f t="shared" si="9"/>
        <v>CPO000116KMP</v>
      </c>
      <c r="E145" s="193" t="s">
        <v>70</v>
      </c>
      <c r="F145" s="193" t="s">
        <v>1449</v>
      </c>
      <c r="G145" s="193" t="s">
        <v>1338</v>
      </c>
      <c r="H145" s="193" t="s">
        <v>59</v>
      </c>
      <c r="I145" s="193" t="s">
        <v>41</v>
      </c>
      <c r="J145" s="193" t="str">
        <f t="shared" si="10"/>
        <v>12 Roda</v>
      </c>
      <c r="K145" s="194">
        <v>45978</v>
      </c>
      <c r="L145" s="195">
        <v>45770</v>
      </c>
      <c r="M145" s="195">
        <v>17560</v>
      </c>
      <c r="N145" s="195">
        <v>28210</v>
      </c>
      <c r="O145" s="195">
        <v>28280</v>
      </c>
      <c r="P145" s="196">
        <v>0.57361111111111096</v>
      </c>
      <c r="Q145" s="196">
        <v>0.61805555555555602</v>
      </c>
      <c r="R145" s="193" t="s">
        <v>42</v>
      </c>
      <c r="S145" s="193" t="s">
        <v>1499</v>
      </c>
      <c r="T145" s="197">
        <f t="shared" si="11"/>
        <v>53</v>
      </c>
      <c r="U145" s="193" t="s">
        <v>1922</v>
      </c>
      <c r="V145" s="193" t="str">
        <f t="shared" si="12"/>
        <v>Masamba</v>
      </c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8"/>
      <c r="AL145" s="18"/>
    </row>
    <row r="146" spans="2:38" ht="15" customHeight="1" x14ac:dyDescent="0.2">
      <c r="B146" s="193">
        <v>1</v>
      </c>
      <c r="C146" s="347" t="s">
        <v>259</v>
      </c>
      <c r="D146" s="193" t="str">
        <f t="shared" si="9"/>
        <v>CPO000117KMP</v>
      </c>
      <c r="E146" s="193" t="s">
        <v>46</v>
      </c>
      <c r="F146" s="193" t="s">
        <v>1449</v>
      </c>
      <c r="G146" s="193" t="s">
        <v>1338</v>
      </c>
      <c r="H146" s="193" t="s">
        <v>59</v>
      </c>
      <c r="I146" s="193" t="s">
        <v>41</v>
      </c>
      <c r="J146" s="193" t="str">
        <f t="shared" si="10"/>
        <v>10 Roda</v>
      </c>
      <c r="K146" s="194">
        <v>45978</v>
      </c>
      <c r="L146" s="195">
        <v>26460</v>
      </c>
      <c r="M146" s="195">
        <v>11740</v>
      </c>
      <c r="N146" s="195">
        <v>14720</v>
      </c>
      <c r="O146" s="195">
        <v>14840</v>
      </c>
      <c r="P146" s="196">
        <v>0.57499999999999996</v>
      </c>
      <c r="Q146" s="196">
        <v>0.67083333333333295</v>
      </c>
      <c r="R146" s="193" t="s">
        <v>42</v>
      </c>
      <c r="S146" s="193" t="s">
        <v>1393</v>
      </c>
      <c r="T146" s="197">
        <f t="shared" si="11"/>
        <v>53</v>
      </c>
      <c r="U146" s="193" t="s">
        <v>1922</v>
      </c>
      <c r="V146" s="193" t="str">
        <f t="shared" si="12"/>
        <v>Masamba</v>
      </c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8"/>
      <c r="AL146" s="18"/>
    </row>
    <row r="147" spans="2:38" ht="15" customHeight="1" x14ac:dyDescent="0.2">
      <c r="B147" s="193">
        <v>1</v>
      </c>
      <c r="C147" s="347" t="s">
        <v>260</v>
      </c>
      <c r="D147" s="193" t="str">
        <f t="shared" si="9"/>
        <v>CPO000118KMP</v>
      </c>
      <c r="E147" s="193" t="s">
        <v>84</v>
      </c>
      <c r="F147" s="193" t="s">
        <v>1449</v>
      </c>
      <c r="G147" s="193" t="s">
        <v>1338</v>
      </c>
      <c r="H147" s="193" t="s">
        <v>59</v>
      </c>
      <c r="I147" s="193" t="s">
        <v>41</v>
      </c>
      <c r="J147" s="193" t="str">
        <f t="shared" si="10"/>
        <v>10 Roda</v>
      </c>
      <c r="K147" s="194">
        <v>45978</v>
      </c>
      <c r="L147" s="195">
        <v>26570</v>
      </c>
      <c r="M147" s="195">
        <v>12070</v>
      </c>
      <c r="N147" s="195">
        <v>14500</v>
      </c>
      <c r="O147" s="195">
        <v>14540</v>
      </c>
      <c r="P147" s="196">
        <v>0.68333333333333302</v>
      </c>
      <c r="Q147" s="196">
        <v>0.72986111111111096</v>
      </c>
      <c r="R147" s="193" t="s">
        <v>42</v>
      </c>
      <c r="S147" s="193" t="s">
        <v>1782</v>
      </c>
      <c r="T147" s="197">
        <f t="shared" si="11"/>
        <v>53</v>
      </c>
      <c r="U147" s="193" t="s">
        <v>1922</v>
      </c>
      <c r="V147" s="193" t="str">
        <f t="shared" si="12"/>
        <v>Masamba</v>
      </c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8"/>
      <c r="AL147" s="18"/>
    </row>
    <row r="148" spans="2:38" ht="15" customHeight="1" x14ac:dyDescent="0.2">
      <c r="B148" s="193">
        <v>1</v>
      </c>
      <c r="C148" s="347" t="s">
        <v>261</v>
      </c>
      <c r="D148" s="193" t="str">
        <f t="shared" si="9"/>
        <v>CPO000119KMP</v>
      </c>
      <c r="E148" s="193" t="s">
        <v>76</v>
      </c>
      <c r="F148" s="193" t="s">
        <v>1449</v>
      </c>
      <c r="G148" s="193" t="s">
        <v>1338</v>
      </c>
      <c r="H148" s="193" t="s">
        <v>59</v>
      </c>
      <c r="I148" s="193" t="s">
        <v>41</v>
      </c>
      <c r="J148" s="193" t="str">
        <f t="shared" si="10"/>
        <v>12 Roda</v>
      </c>
      <c r="K148" s="194">
        <v>45979</v>
      </c>
      <c r="L148" s="195">
        <v>45890</v>
      </c>
      <c r="M148" s="195">
        <v>17520</v>
      </c>
      <c r="N148" s="195">
        <v>28370</v>
      </c>
      <c r="O148" s="195">
        <v>28440</v>
      </c>
      <c r="P148" s="196">
        <v>0.55972222222222201</v>
      </c>
      <c r="Q148" s="196">
        <v>0.60972222222222205</v>
      </c>
      <c r="R148" s="193" t="s">
        <v>42</v>
      </c>
      <c r="S148" s="193" t="s">
        <v>1372</v>
      </c>
      <c r="T148" s="197">
        <f t="shared" si="11"/>
        <v>53</v>
      </c>
      <c r="U148" s="193" t="s">
        <v>1922</v>
      </c>
      <c r="V148" s="193" t="str">
        <f t="shared" si="12"/>
        <v>Masamba</v>
      </c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8"/>
      <c r="AL148" s="18"/>
    </row>
    <row r="149" spans="2:38" ht="15" customHeight="1" x14ac:dyDescent="0.2">
      <c r="B149" s="193">
        <v>1</v>
      </c>
      <c r="C149" s="347" t="s">
        <v>262</v>
      </c>
      <c r="D149" s="193" t="str">
        <f t="shared" si="9"/>
        <v>CPO000120KMP</v>
      </c>
      <c r="E149" s="193" t="s">
        <v>56</v>
      </c>
      <c r="F149" s="193" t="s">
        <v>1449</v>
      </c>
      <c r="G149" s="193" t="s">
        <v>1338</v>
      </c>
      <c r="H149" s="193" t="s">
        <v>59</v>
      </c>
      <c r="I149" s="193" t="s">
        <v>41</v>
      </c>
      <c r="J149" s="193" t="str">
        <f t="shared" si="10"/>
        <v>10 Roda</v>
      </c>
      <c r="K149" s="194">
        <v>45979</v>
      </c>
      <c r="L149" s="195">
        <v>25080</v>
      </c>
      <c r="M149" s="195">
        <v>10880</v>
      </c>
      <c r="N149" s="195">
        <v>14200</v>
      </c>
      <c r="O149" s="195">
        <v>14120</v>
      </c>
      <c r="P149" s="196">
        <v>0.5625</v>
      </c>
      <c r="Q149" s="196">
        <v>0.67013888888888895</v>
      </c>
      <c r="R149" s="193" t="s">
        <v>42</v>
      </c>
      <c r="S149" s="193" t="s">
        <v>1781</v>
      </c>
      <c r="T149" s="197">
        <f t="shared" si="11"/>
        <v>53</v>
      </c>
      <c r="U149" s="193" t="s">
        <v>1922</v>
      </c>
      <c r="V149" s="193" t="str">
        <f t="shared" si="12"/>
        <v>Masamba</v>
      </c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8"/>
      <c r="AL149" s="18"/>
    </row>
    <row r="150" spans="2:38" ht="15" customHeight="1" x14ac:dyDescent="0.2">
      <c r="B150" s="193">
        <v>1</v>
      </c>
      <c r="C150" s="347" t="s">
        <v>263</v>
      </c>
      <c r="D150" s="193" t="str">
        <f t="shared" si="9"/>
        <v>CPO000121KMP</v>
      </c>
      <c r="E150" s="193" t="s">
        <v>84</v>
      </c>
      <c r="F150" s="193" t="s">
        <v>1449</v>
      </c>
      <c r="G150" s="193" t="s">
        <v>1338</v>
      </c>
      <c r="H150" s="193" t="s">
        <v>59</v>
      </c>
      <c r="I150" s="193" t="s">
        <v>41</v>
      </c>
      <c r="J150" s="193" t="str">
        <f t="shared" si="10"/>
        <v>10 Roda</v>
      </c>
      <c r="K150" s="194">
        <v>45979</v>
      </c>
      <c r="L150" s="195">
        <v>26660</v>
      </c>
      <c r="M150" s="195">
        <v>12180</v>
      </c>
      <c r="N150" s="195">
        <v>14480</v>
      </c>
      <c r="O150" s="195">
        <v>14560</v>
      </c>
      <c r="P150" s="196">
        <v>0.56666666666666698</v>
      </c>
      <c r="Q150" s="196">
        <v>0.64097222222222205</v>
      </c>
      <c r="R150" s="193" t="s">
        <v>42</v>
      </c>
      <c r="S150" s="193" t="s">
        <v>1782</v>
      </c>
      <c r="T150" s="197">
        <f t="shared" si="11"/>
        <v>53</v>
      </c>
      <c r="U150" s="193" t="s">
        <v>1922</v>
      </c>
      <c r="V150" s="193" t="str">
        <f t="shared" si="12"/>
        <v>Masamba</v>
      </c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8"/>
      <c r="AL150" s="18"/>
    </row>
    <row r="151" spans="2:38" ht="15" customHeight="1" x14ac:dyDescent="0.2">
      <c r="B151" s="193">
        <v>1</v>
      </c>
      <c r="C151" s="347" t="s">
        <v>264</v>
      </c>
      <c r="D151" s="193" t="str">
        <f t="shared" ref="D151:D214" si="13">I151&amp;C151&amp;_xlfn.XLOOKUP(H151,$AM$4:$AM$26,$AN$4:$AN$26,"")</f>
        <v>CPO000122KMP</v>
      </c>
      <c r="E151" s="193" t="s">
        <v>46</v>
      </c>
      <c r="F151" s="193" t="s">
        <v>1449</v>
      </c>
      <c r="G151" s="193" t="s">
        <v>1338</v>
      </c>
      <c r="H151" s="193" t="s">
        <v>59</v>
      </c>
      <c r="I151" s="193" t="s">
        <v>41</v>
      </c>
      <c r="J151" s="193" t="str">
        <f t="shared" ref="J151:J214" si="14">IF(MIN(L151,M151)&lt;=5000,"6 Roda",IF(MIN(L151,M151)&lt;=13800,"10 Roda","12 Roda"))</f>
        <v>10 Roda</v>
      </c>
      <c r="K151" s="194">
        <v>45979</v>
      </c>
      <c r="L151" s="195">
        <v>26550</v>
      </c>
      <c r="M151" s="195">
        <v>11710</v>
      </c>
      <c r="N151" s="195">
        <v>14840</v>
      </c>
      <c r="O151" s="195">
        <v>14780</v>
      </c>
      <c r="P151" s="196">
        <v>0.56944444444444398</v>
      </c>
      <c r="Q151" s="196">
        <v>0.64652777777777803</v>
      </c>
      <c r="R151" s="193" t="s">
        <v>42</v>
      </c>
      <c r="S151" s="193" t="s">
        <v>1393</v>
      </c>
      <c r="T151" s="197">
        <f t="shared" ref="T151:T214" si="15">IFERROR(_xlfn.XLOOKUP(H151,$AM$4:$AM$18,$AP$4:$AP$18,""),0)</f>
        <v>53</v>
      </c>
      <c r="U151" s="193" t="s">
        <v>1922</v>
      </c>
      <c r="V151" s="193" t="str">
        <f t="shared" ref="V151:V214" si="16">IFERROR(_xlfn.XLOOKUP(H151,$AM$4:$AM$18,$AO$4:$AO$18,""),"")</f>
        <v>Masamba</v>
      </c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8"/>
      <c r="AL151" s="18"/>
    </row>
    <row r="152" spans="2:38" ht="15" customHeight="1" x14ac:dyDescent="0.2">
      <c r="B152" s="193">
        <v>1</v>
      </c>
      <c r="C152" s="347" t="s">
        <v>265</v>
      </c>
      <c r="D152" s="193" t="str">
        <f t="shared" si="13"/>
        <v>CPO000123PN</v>
      </c>
      <c r="E152" s="193" t="s">
        <v>84</v>
      </c>
      <c r="F152" s="193" t="s">
        <v>1340</v>
      </c>
      <c r="G152" s="193" t="s">
        <v>1339</v>
      </c>
      <c r="H152" s="193" t="s">
        <v>78</v>
      </c>
      <c r="I152" s="193" t="s">
        <v>41</v>
      </c>
      <c r="J152" s="193" t="str">
        <f t="shared" si="14"/>
        <v>10 Roda</v>
      </c>
      <c r="K152" s="194">
        <v>45983</v>
      </c>
      <c r="L152" s="195">
        <v>26420</v>
      </c>
      <c r="M152" s="195">
        <v>12120</v>
      </c>
      <c r="N152" s="195">
        <v>14300</v>
      </c>
      <c r="O152" s="195">
        <v>14260</v>
      </c>
      <c r="P152" s="196">
        <v>0.58263888888888904</v>
      </c>
      <c r="Q152" s="196">
        <v>0.64861111111111103</v>
      </c>
      <c r="R152" s="193" t="s">
        <v>42</v>
      </c>
      <c r="S152" s="193" t="s">
        <v>1782</v>
      </c>
      <c r="T152" s="197">
        <f t="shared" si="15"/>
        <v>99</v>
      </c>
      <c r="U152" s="193"/>
      <c r="V152" s="193" t="str">
        <f t="shared" si="16"/>
        <v>Burau</v>
      </c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8"/>
      <c r="AL152" s="18"/>
    </row>
    <row r="153" spans="2:38" ht="15" customHeight="1" x14ac:dyDescent="0.2">
      <c r="B153" s="193">
        <v>1</v>
      </c>
      <c r="C153" s="347" t="s">
        <v>266</v>
      </c>
      <c r="D153" s="193" t="str">
        <f t="shared" si="13"/>
        <v>CPO000124PN</v>
      </c>
      <c r="E153" s="193" t="s">
        <v>46</v>
      </c>
      <c r="F153" s="193" t="s">
        <v>1340</v>
      </c>
      <c r="G153" s="193" t="s">
        <v>1339</v>
      </c>
      <c r="H153" s="193" t="s">
        <v>78</v>
      </c>
      <c r="I153" s="193" t="s">
        <v>41</v>
      </c>
      <c r="J153" s="193" t="str">
        <f t="shared" si="14"/>
        <v>10 Roda</v>
      </c>
      <c r="K153" s="194">
        <v>45983</v>
      </c>
      <c r="L153" s="195">
        <v>26300</v>
      </c>
      <c r="M153" s="195">
        <v>11690</v>
      </c>
      <c r="N153" s="195">
        <v>14610</v>
      </c>
      <c r="O153" s="195">
        <v>14620</v>
      </c>
      <c r="P153" s="196">
        <v>0.58888888888888902</v>
      </c>
      <c r="Q153" s="196">
        <v>0.66111111111111098</v>
      </c>
      <c r="R153" s="193" t="s">
        <v>42</v>
      </c>
      <c r="S153" s="193" t="s">
        <v>1393</v>
      </c>
      <c r="T153" s="197">
        <f t="shared" si="15"/>
        <v>99</v>
      </c>
      <c r="U153" s="193"/>
      <c r="V153" s="193" t="str">
        <f t="shared" si="16"/>
        <v>Burau</v>
      </c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8"/>
      <c r="AL153" s="18"/>
    </row>
    <row r="154" spans="2:38" ht="15" customHeight="1" x14ac:dyDescent="0.2">
      <c r="B154" s="193">
        <v>1</v>
      </c>
      <c r="C154" s="347" t="s">
        <v>267</v>
      </c>
      <c r="D154" s="193" t="str">
        <f t="shared" si="13"/>
        <v>CPO000125PN</v>
      </c>
      <c r="E154" s="193" t="s">
        <v>56</v>
      </c>
      <c r="F154" s="193" t="s">
        <v>1340</v>
      </c>
      <c r="G154" s="193" t="s">
        <v>1339</v>
      </c>
      <c r="H154" s="193" t="s">
        <v>78</v>
      </c>
      <c r="I154" s="193" t="s">
        <v>41</v>
      </c>
      <c r="J154" s="193" t="str">
        <f t="shared" si="14"/>
        <v>10 Roda</v>
      </c>
      <c r="K154" s="194">
        <v>45983</v>
      </c>
      <c r="L154" s="195">
        <v>24860</v>
      </c>
      <c r="M154" s="195">
        <v>10810</v>
      </c>
      <c r="N154" s="195">
        <v>14050</v>
      </c>
      <c r="O154" s="195">
        <v>13990</v>
      </c>
      <c r="P154" s="196">
        <v>0.60694444444444395</v>
      </c>
      <c r="Q154" s="196">
        <v>0.68125000000000002</v>
      </c>
      <c r="R154" s="193" t="s">
        <v>42</v>
      </c>
      <c r="S154" s="193" t="s">
        <v>1781</v>
      </c>
      <c r="T154" s="197">
        <f t="shared" si="15"/>
        <v>99</v>
      </c>
      <c r="U154" s="193"/>
      <c r="V154" s="193" t="str">
        <f t="shared" si="16"/>
        <v>Burau</v>
      </c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8"/>
      <c r="AL154" s="18"/>
    </row>
    <row r="155" spans="2:38" ht="15" customHeight="1" x14ac:dyDescent="0.2">
      <c r="B155" s="193">
        <v>1</v>
      </c>
      <c r="C155" s="347" t="s">
        <v>268</v>
      </c>
      <c r="D155" s="193" t="str">
        <f t="shared" si="13"/>
        <v>CPO000126PN</v>
      </c>
      <c r="E155" s="193" t="s">
        <v>84</v>
      </c>
      <c r="F155" s="193" t="s">
        <v>1340</v>
      </c>
      <c r="G155" s="193" t="s">
        <v>1339</v>
      </c>
      <c r="H155" s="193" t="s">
        <v>78</v>
      </c>
      <c r="I155" s="193" t="s">
        <v>41</v>
      </c>
      <c r="J155" s="193" t="str">
        <f t="shared" si="14"/>
        <v>10 Roda</v>
      </c>
      <c r="K155" s="194">
        <v>45983</v>
      </c>
      <c r="L155" s="195">
        <v>26500</v>
      </c>
      <c r="M155" s="195">
        <v>12160</v>
      </c>
      <c r="N155" s="195">
        <v>14340</v>
      </c>
      <c r="O155" s="195">
        <v>14410</v>
      </c>
      <c r="P155" s="196">
        <v>0.72986111111111096</v>
      </c>
      <c r="Q155" s="196">
        <v>0.781944444444444</v>
      </c>
      <c r="R155" s="193" t="s">
        <v>42</v>
      </c>
      <c r="S155" s="193" t="s">
        <v>1782</v>
      </c>
      <c r="T155" s="197">
        <f t="shared" si="15"/>
        <v>99</v>
      </c>
      <c r="U155" s="193"/>
      <c r="V155" s="193" t="str">
        <f t="shared" si="16"/>
        <v>Burau</v>
      </c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8"/>
      <c r="AL155" s="18"/>
    </row>
    <row r="156" spans="2:38" ht="15" customHeight="1" x14ac:dyDescent="0.2">
      <c r="B156" s="193">
        <v>1</v>
      </c>
      <c r="C156" s="347" t="s">
        <v>269</v>
      </c>
      <c r="D156" s="193" t="str">
        <f t="shared" si="13"/>
        <v>CPO000127PN</v>
      </c>
      <c r="E156" s="193" t="s">
        <v>46</v>
      </c>
      <c r="F156" s="193" t="s">
        <v>1340</v>
      </c>
      <c r="G156" s="193" t="s">
        <v>1339</v>
      </c>
      <c r="H156" s="193" t="s">
        <v>78</v>
      </c>
      <c r="I156" s="193" t="s">
        <v>41</v>
      </c>
      <c r="J156" s="193" t="str">
        <f t="shared" si="14"/>
        <v>10 Roda</v>
      </c>
      <c r="K156" s="194">
        <v>45983</v>
      </c>
      <c r="L156" s="195">
        <v>26320</v>
      </c>
      <c r="M156" s="195">
        <v>11700</v>
      </c>
      <c r="N156" s="195">
        <v>14620</v>
      </c>
      <c r="O156" s="195">
        <v>14660</v>
      </c>
      <c r="P156" s="196">
        <v>0.75833333333333297</v>
      </c>
      <c r="Q156" s="196">
        <v>0.80416666666666703</v>
      </c>
      <c r="R156" s="193" t="s">
        <v>42</v>
      </c>
      <c r="S156" s="193" t="s">
        <v>1393</v>
      </c>
      <c r="T156" s="197">
        <f t="shared" si="15"/>
        <v>99</v>
      </c>
      <c r="U156" s="193"/>
      <c r="V156" s="193" t="str">
        <f t="shared" si="16"/>
        <v>Burau</v>
      </c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8"/>
      <c r="AL156" s="18"/>
    </row>
    <row r="157" spans="2:38" ht="15" customHeight="1" x14ac:dyDescent="0.2">
      <c r="B157" s="193">
        <v>1</v>
      </c>
      <c r="C157" s="347" t="s">
        <v>270</v>
      </c>
      <c r="D157" s="193" t="str">
        <f t="shared" si="13"/>
        <v>CPO000128PN</v>
      </c>
      <c r="E157" s="193" t="s">
        <v>56</v>
      </c>
      <c r="F157" s="193" t="s">
        <v>1340</v>
      </c>
      <c r="G157" s="193" t="s">
        <v>1339</v>
      </c>
      <c r="H157" s="193" t="s">
        <v>78</v>
      </c>
      <c r="I157" s="193" t="s">
        <v>41</v>
      </c>
      <c r="J157" s="193" t="str">
        <f t="shared" si="14"/>
        <v>10 Roda</v>
      </c>
      <c r="K157" s="194">
        <v>45983</v>
      </c>
      <c r="L157" s="195">
        <v>24890</v>
      </c>
      <c r="M157" s="195">
        <v>10830</v>
      </c>
      <c r="N157" s="195">
        <v>14060</v>
      </c>
      <c r="O157" s="195">
        <v>14100</v>
      </c>
      <c r="P157" s="196">
        <v>0.77569444444444502</v>
      </c>
      <c r="Q157" s="196">
        <v>0.85833333333333295</v>
      </c>
      <c r="R157" s="193" t="s">
        <v>42</v>
      </c>
      <c r="S157" s="193" t="s">
        <v>1781</v>
      </c>
      <c r="T157" s="197">
        <f t="shared" si="15"/>
        <v>99</v>
      </c>
      <c r="U157" s="193"/>
      <c r="V157" s="193" t="str">
        <f t="shared" si="16"/>
        <v>Burau</v>
      </c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8"/>
      <c r="AL157" s="18"/>
    </row>
    <row r="158" spans="2:38" ht="15" customHeight="1" x14ac:dyDescent="0.2">
      <c r="B158" s="193">
        <v>1</v>
      </c>
      <c r="C158" s="347" t="s">
        <v>271</v>
      </c>
      <c r="D158" s="193" t="str">
        <f t="shared" si="13"/>
        <v>CPO000129PN</v>
      </c>
      <c r="E158" s="193" t="s">
        <v>46</v>
      </c>
      <c r="F158" s="193" t="s">
        <v>1340</v>
      </c>
      <c r="G158" s="193" t="s">
        <v>1339</v>
      </c>
      <c r="H158" s="193" t="s">
        <v>78</v>
      </c>
      <c r="I158" s="193" t="s">
        <v>41</v>
      </c>
      <c r="J158" s="193" t="str">
        <f t="shared" si="14"/>
        <v>10 Roda</v>
      </c>
      <c r="K158" s="194">
        <v>45983</v>
      </c>
      <c r="L158" s="195">
        <v>26440</v>
      </c>
      <c r="M158" s="195">
        <v>11700</v>
      </c>
      <c r="N158" s="195">
        <v>14740</v>
      </c>
      <c r="O158" s="195">
        <v>14750</v>
      </c>
      <c r="P158" s="196">
        <v>0.92569444444444504</v>
      </c>
      <c r="Q158" s="196">
        <v>0.97152777777777799</v>
      </c>
      <c r="R158" s="193" t="s">
        <v>42</v>
      </c>
      <c r="S158" s="193" t="s">
        <v>1393</v>
      </c>
      <c r="T158" s="197">
        <f t="shared" si="15"/>
        <v>99</v>
      </c>
      <c r="U158" s="193"/>
      <c r="V158" s="193" t="str">
        <f t="shared" si="16"/>
        <v>Burau</v>
      </c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8"/>
      <c r="AL158" s="18"/>
    </row>
    <row r="159" spans="2:38" ht="15" customHeight="1" x14ac:dyDescent="0.2">
      <c r="B159" s="193">
        <v>1</v>
      </c>
      <c r="C159" s="347" t="s">
        <v>272</v>
      </c>
      <c r="D159" s="193" t="str">
        <f t="shared" si="13"/>
        <v>CPO000130JAS</v>
      </c>
      <c r="E159" s="193" t="s">
        <v>56</v>
      </c>
      <c r="F159" s="193" t="s">
        <v>1429</v>
      </c>
      <c r="G159" s="193" t="s">
        <v>1341</v>
      </c>
      <c r="H159" s="193" t="s">
        <v>49</v>
      </c>
      <c r="I159" s="193" t="s">
        <v>41</v>
      </c>
      <c r="J159" s="193" t="str">
        <f t="shared" si="14"/>
        <v>10 Roda</v>
      </c>
      <c r="K159" s="194">
        <v>45988</v>
      </c>
      <c r="L159" s="195">
        <v>25050</v>
      </c>
      <c r="M159" s="195">
        <v>10970</v>
      </c>
      <c r="N159" s="195">
        <v>14080</v>
      </c>
      <c r="O159" s="195">
        <v>14220</v>
      </c>
      <c r="P159" s="196">
        <v>0.40069444444444502</v>
      </c>
      <c r="Q159" s="196">
        <v>0.45694444444444399</v>
      </c>
      <c r="R159" s="193" t="s">
        <v>42</v>
      </c>
      <c r="S159" s="193" t="s">
        <v>1781</v>
      </c>
      <c r="T159" s="197">
        <f t="shared" si="15"/>
        <v>68</v>
      </c>
      <c r="U159" s="193" t="s">
        <v>1922</v>
      </c>
      <c r="V159" s="193" t="str">
        <f t="shared" si="16"/>
        <v>Bone Bone</v>
      </c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8"/>
      <c r="AL159" s="18"/>
    </row>
    <row r="160" spans="2:38" ht="15" customHeight="1" x14ac:dyDescent="0.2">
      <c r="B160" s="193">
        <v>1</v>
      </c>
      <c r="C160" s="347" t="s">
        <v>273</v>
      </c>
      <c r="D160" s="193" t="str">
        <f t="shared" si="13"/>
        <v>CPO000131JAS</v>
      </c>
      <c r="E160" s="193" t="s">
        <v>84</v>
      </c>
      <c r="F160" s="193" t="s">
        <v>1429</v>
      </c>
      <c r="G160" s="193" t="s">
        <v>1341</v>
      </c>
      <c r="H160" s="193" t="s">
        <v>49</v>
      </c>
      <c r="I160" s="193" t="s">
        <v>41</v>
      </c>
      <c r="J160" s="193" t="str">
        <f t="shared" si="14"/>
        <v>10 Roda</v>
      </c>
      <c r="K160" s="194">
        <v>45988</v>
      </c>
      <c r="L160" s="195">
        <v>26600</v>
      </c>
      <c r="M160" s="195">
        <v>12100</v>
      </c>
      <c r="N160" s="195">
        <v>14500</v>
      </c>
      <c r="O160" s="195">
        <v>14460</v>
      </c>
      <c r="P160" s="196">
        <v>0.40902777777777799</v>
      </c>
      <c r="Q160" s="196">
        <v>0.48263888888888901</v>
      </c>
      <c r="R160" s="193" t="s">
        <v>42</v>
      </c>
      <c r="S160" s="193" t="s">
        <v>1782</v>
      </c>
      <c r="T160" s="197">
        <f t="shared" si="15"/>
        <v>68</v>
      </c>
      <c r="U160" s="193" t="s">
        <v>1922</v>
      </c>
      <c r="V160" s="193" t="str">
        <f t="shared" si="16"/>
        <v>Bone Bone</v>
      </c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8"/>
      <c r="AL160" s="18"/>
    </row>
    <row r="161" spans="2:38" ht="15" customHeight="1" x14ac:dyDescent="0.2">
      <c r="B161" s="193">
        <v>1</v>
      </c>
      <c r="C161" s="347" t="s">
        <v>274</v>
      </c>
      <c r="D161" s="193" t="str">
        <f t="shared" si="13"/>
        <v>CPO000132KMP</v>
      </c>
      <c r="E161" s="193" t="s">
        <v>70</v>
      </c>
      <c r="F161" s="193" t="s">
        <v>1450</v>
      </c>
      <c r="G161" s="193" t="s">
        <v>1342</v>
      </c>
      <c r="H161" s="193" t="s">
        <v>59</v>
      </c>
      <c r="I161" s="193" t="s">
        <v>41</v>
      </c>
      <c r="J161" s="193" t="str">
        <f t="shared" si="14"/>
        <v>12 Roda</v>
      </c>
      <c r="K161" s="194">
        <v>45988</v>
      </c>
      <c r="L161" s="195">
        <v>45680</v>
      </c>
      <c r="M161" s="195">
        <v>17530</v>
      </c>
      <c r="N161" s="195">
        <v>28150</v>
      </c>
      <c r="O161" s="195">
        <v>28200</v>
      </c>
      <c r="P161" s="196">
        <v>0.43333333333333302</v>
      </c>
      <c r="Q161" s="196">
        <v>0.55069444444444504</v>
      </c>
      <c r="R161" s="193" t="s">
        <v>42</v>
      </c>
      <c r="S161" s="193" t="s">
        <v>1499</v>
      </c>
      <c r="T161" s="197">
        <f t="shared" si="15"/>
        <v>53</v>
      </c>
      <c r="U161" s="193" t="s">
        <v>1922</v>
      </c>
      <c r="V161" s="193" t="str">
        <f t="shared" si="16"/>
        <v>Masamba</v>
      </c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8"/>
      <c r="AL161" s="18"/>
    </row>
    <row r="162" spans="2:38" ht="15" customHeight="1" x14ac:dyDescent="0.2">
      <c r="B162" s="193">
        <v>1</v>
      </c>
      <c r="C162" s="347" t="s">
        <v>275</v>
      </c>
      <c r="D162" s="193" t="str">
        <f t="shared" si="13"/>
        <v>CPO000133KMP</v>
      </c>
      <c r="E162" s="193" t="s">
        <v>76</v>
      </c>
      <c r="F162" s="193" t="s">
        <v>1450</v>
      </c>
      <c r="G162" s="193" t="s">
        <v>1342</v>
      </c>
      <c r="H162" s="193" t="s">
        <v>59</v>
      </c>
      <c r="I162" s="193" t="s">
        <v>41</v>
      </c>
      <c r="J162" s="193" t="str">
        <f t="shared" si="14"/>
        <v>12 Roda</v>
      </c>
      <c r="K162" s="194">
        <v>45988</v>
      </c>
      <c r="L162" s="195">
        <v>45570</v>
      </c>
      <c r="M162" s="195">
        <v>17450</v>
      </c>
      <c r="N162" s="195">
        <v>28120</v>
      </c>
      <c r="O162" s="195">
        <v>28140</v>
      </c>
      <c r="P162" s="196">
        <v>0.54444444444444395</v>
      </c>
      <c r="Q162" s="196">
        <v>0.61944444444444502</v>
      </c>
      <c r="R162" s="193" t="s">
        <v>42</v>
      </c>
      <c r="S162" s="193" t="s">
        <v>1372</v>
      </c>
      <c r="T162" s="197">
        <f t="shared" si="15"/>
        <v>53</v>
      </c>
      <c r="U162" s="193" t="s">
        <v>1922</v>
      </c>
      <c r="V162" s="193" t="str">
        <f t="shared" si="16"/>
        <v>Masamba</v>
      </c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8"/>
      <c r="AL162" s="18"/>
    </row>
    <row r="163" spans="2:38" ht="15" customHeight="1" x14ac:dyDescent="0.2">
      <c r="B163" s="193">
        <v>1</v>
      </c>
      <c r="C163" s="347" t="s">
        <v>276</v>
      </c>
      <c r="D163" s="193" t="str">
        <f t="shared" si="13"/>
        <v>CPO000134JAS</v>
      </c>
      <c r="E163" s="193" t="s">
        <v>46</v>
      </c>
      <c r="F163" s="193" t="s">
        <v>1429</v>
      </c>
      <c r="G163" s="193" t="s">
        <v>1341</v>
      </c>
      <c r="H163" s="193" t="s">
        <v>49</v>
      </c>
      <c r="I163" s="193" t="s">
        <v>41</v>
      </c>
      <c r="J163" s="193" t="str">
        <f t="shared" si="14"/>
        <v>10 Roda</v>
      </c>
      <c r="K163" s="194">
        <v>45988</v>
      </c>
      <c r="L163" s="195">
        <v>26610</v>
      </c>
      <c r="M163" s="195">
        <v>11760</v>
      </c>
      <c r="N163" s="195">
        <v>14850</v>
      </c>
      <c r="O163" s="195">
        <v>14800</v>
      </c>
      <c r="P163" s="196">
        <v>0.54583333333333295</v>
      </c>
      <c r="Q163" s="196">
        <v>0.61250000000000004</v>
      </c>
      <c r="R163" s="193" t="s">
        <v>42</v>
      </c>
      <c r="S163" s="193" t="s">
        <v>1393</v>
      </c>
      <c r="T163" s="197">
        <f t="shared" si="15"/>
        <v>68</v>
      </c>
      <c r="U163" s="193" t="s">
        <v>1922</v>
      </c>
      <c r="V163" s="193" t="str">
        <f t="shared" si="16"/>
        <v>Bone Bone</v>
      </c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8"/>
      <c r="AL163" s="18"/>
    </row>
    <row r="164" spans="2:38" ht="15" customHeight="1" x14ac:dyDescent="0.2">
      <c r="B164" s="193">
        <v>1</v>
      </c>
      <c r="C164" s="347" t="s">
        <v>277</v>
      </c>
      <c r="D164" s="193" t="str">
        <f t="shared" si="13"/>
        <v>CPO000135KMP</v>
      </c>
      <c r="E164" s="193" t="s">
        <v>70</v>
      </c>
      <c r="F164" s="193" t="s">
        <v>1450</v>
      </c>
      <c r="G164" s="193" t="s">
        <v>1342</v>
      </c>
      <c r="H164" s="193" t="s">
        <v>59</v>
      </c>
      <c r="I164" s="193" t="s">
        <v>41</v>
      </c>
      <c r="J164" s="193" t="str">
        <f t="shared" si="14"/>
        <v>12 Roda</v>
      </c>
      <c r="K164" s="194">
        <v>45988</v>
      </c>
      <c r="L164" s="195">
        <v>45470</v>
      </c>
      <c r="M164" s="195">
        <v>17490</v>
      </c>
      <c r="N164" s="195">
        <v>27980</v>
      </c>
      <c r="O164" s="195">
        <v>28020</v>
      </c>
      <c r="P164" s="196">
        <v>0.70277777777777795</v>
      </c>
      <c r="Q164" s="196">
        <v>0.78819444444444398</v>
      </c>
      <c r="R164" s="193" t="s">
        <v>137</v>
      </c>
      <c r="S164" s="193" t="s">
        <v>1499</v>
      </c>
      <c r="T164" s="197">
        <f t="shared" si="15"/>
        <v>53</v>
      </c>
      <c r="U164" s="193" t="s">
        <v>1922</v>
      </c>
      <c r="V164" s="193" t="str">
        <f t="shared" si="16"/>
        <v>Masamba</v>
      </c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8"/>
      <c r="AL164" s="18"/>
    </row>
    <row r="165" spans="2:38" ht="15" customHeight="1" x14ac:dyDescent="0.2">
      <c r="B165" s="193">
        <v>1</v>
      </c>
      <c r="C165" s="347" t="s">
        <v>278</v>
      </c>
      <c r="D165" s="193" t="str">
        <f t="shared" si="13"/>
        <v>CPO000136JAS</v>
      </c>
      <c r="E165" s="193" t="s">
        <v>56</v>
      </c>
      <c r="F165" s="193" t="s">
        <v>1429</v>
      </c>
      <c r="G165" s="193" t="s">
        <v>1341</v>
      </c>
      <c r="H165" s="193" t="s">
        <v>49</v>
      </c>
      <c r="I165" s="193" t="s">
        <v>41</v>
      </c>
      <c r="J165" s="193" t="str">
        <f t="shared" si="14"/>
        <v>10 Roda</v>
      </c>
      <c r="K165" s="194">
        <v>45988</v>
      </c>
      <c r="L165" s="195">
        <v>25150</v>
      </c>
      <c r="M165" s="195">
        <v>10900</v>
      </c>
      <c r="N165" s="195">
        <v>14250</v>
      </c>
      <c r="O165" s="195">
        <v>14020</v>
      </c>
      <c r="P165" s="196">
        <v>0.72569444444444398</v>
      </c>
      <c r="Q165" s="196">
        <v>0.81805555555555598</v>
      </c>
      <c r="R165" s="193" t="s">
        <v>137</v>
      </c>
      <c r="S165" s="193" t="s">
        <v>1781</v>
      </c>
      <c r="T165" s="197">
        <f t="shared" si="15"/>
        <v>68</v>
      </c>
      <c r="U165" s="193" t="s">
        <v>1922</v>
      </c>
      <c r="V165" s="193" t="str">
        <f t="shared" si="16"/>
        <v>Bone Bone</v>
      </c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8"/>
      <c r="AL165" s="18"/>
    </row>
    <row r="166" spans="2:38" ht="15" customHeight="1" x14ac:dyDescent="0.2">
      <c r="B166" s="193">
        <v>1</v>
      </c>
      <c r="C166" s="347" t="s">
        <v>279</v>
      </c>
      <c r="D166" s="193" t="str">
        <f t="shared" si="13"/>
        <v>CPO000137JAS</v>
      </c>
      <c r="E166" s="193" t="s">
        <v>84</v>
      </c>
      <c r="F166" s="193" t="s">
        <v>1429</v>
      </c>
      <c r="G166" s="193" t="s">
        <v>1341</v>
      </c>
      <c r="H166" s="193" t="s">
        <v>49</v>
      </c>
      <c r="I166" s="193" t="s">
        <v>41</v>
      </c>
      <c r="J166" s="193" t="str">
        <f t="shared" si="14"/>
        <v>10 Roda</v>
      </c>
      <c r="K166" s="194">
        <v>45988</v>
      </c>
      <c r="L166" s="195">
        <v>26730</v>
      </c>
      <c r="M166" s="195">
        <v>12240</v>
      </c>
      <c r="N166" s="195">
        <v>14490</v>
      </c>
      <c r="O166" s="195">
        <v>14450</v>
      </c>
      <c r="P166" s="196">
        <v>0.74444444444444502</v>
      </c>
      <c r="Q166" s="196">
        <v>0.82708333333333295</v>
      </c>
      <c r="R166" s="193" t="s">
        <v>137</v>
      </c>
      <c r="S166" s="193" t="s">
        <v>1782</v>
      </c>
      <c r="T166" s="197">
        <f t="shared" si="15"/>
        <v>68</v>
      </c>
      <c r="U166" s="193" t="s">
        <v>1922</v>
      </c>
      <c r="V166" s="193" t="str">
        <f t="shared" si="16"/>
        <v>Bone Bone</v>
      </c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8"/>
      <c r="AL166" s="18"/>
    </row>
    <row r="167" spans="2:38" ht="15" customHeight="1" x14ac:dyDescent="0.2">
      <c r="B167" s="193">
        <v>1</v>
      </c>
      <c r="C167" s="347" t="s">
        <v>280</v>
      </c>
      <c r="D167" s="193" t="str">
        <f t="shared" si="13"/>
        <v>CPO000138KMP</v>
      </c>
      <c r="E167" s="193" t="s">
        <v>76</v>
      </c>
      <c r="F167" s="193" t="s">
        <v>1450</v>
      </c>
      <c r="G167" s="193" t="s">
        <v>1342</v>
      </c>
      <c r="H167" s="193" t="s">
        <v>59</v>
      </c>
      <c r="I167" s="193" t="s">
        <v>41</v>
      </c>
      <c r="J167" s="193" t="str">
        <f t="shared" si="14"/>
        <v>12 Roda</v>
      </c>
      <c r="K167" s="194">
        <v>45988</v>
      </c>
      <c r="L167" s="195">
        <v>45650</v>
      </c>
      <c r="M167" s="195">
        <v>17430</v>
      </c>
      <c r="N167" s="195">
        <v>28220</v>
      </c>
      <c r="O167" s="195">
        <v>28280</v>
      </c>
      <c r="P167" s="196">
        <v>0.76944444444444504</v>
      </c>
      <c r="Q167" s="196">
        <v>0.81041666666666701</v>
      </c>
      <c r="R167" s="193" t="s">
        <v>137</v>
      </c>
      <c r="S167" s="193" t="s">
        <v>1372</v>
      </c>
      <c r="T167" s="197">
        <f t="shared" si="15"/>
        <v>53</v>
      </c>
      <c r="U167" s="193" t="s">
        <v>1922</v>
      </c>
      <c r="V167" s="193" t="str">
        <f t="shared" si="16"/>
        <v>Masamba</v>
      </c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8"/>
      <c r="AL167" s="18"/>
    </row>
    <row r="168" spans="2:38" ht="15" customHeight="1" x14ac:dyDescent="0.2">
      <c r="B168" s="193">
        <v>1</v>
      </c>
      <c r="C168" s="347" t="s">
        <v>281</v>
      </c>
      <c r="D168" s="193" t="str">
        <f t="shared" si="13"/>
        <v>CPO000139JAS</v>
      </c>
      <c r="E168" s="193" t="s">
        <v>46</v>
      </c>
      <c r="F168" s="193" t="s">
        <v>1429</v>
      </c>
      <c r="G168" s="193" t="s">
        <v>1341</v>
      </c>
      <c r="H168" s="193" t="s">
        <v>49</v>
      </c>
      <c r="I168" s="193" t="s">
        <v>41</v>
      </c>
      <c r="J168" s="193" t="str">
        <f t="shared" si="14"/>
        <v>10 Roda</v>
      </c>
      <c r="K168" s="194">
        <v>45988</v>
      </c>
      <c r="L168" s="195">
        <v>26550</v>
      </c>
      <c r="M168" s="195">
        <v>11720</v>
      </c>
      <c r="N168" s="195">
        <v>14830</v>
      </c>
      <c r="O168" s="195">
        <v>14770</v>
      </c>
      <c r="P168" s="196">
        <v>0.81458333333333299</v>
      </c>
      <c r="Q168" s="196">
        <v>0.84791666666666698</v>
      </c>
      <c r="R168" s="193" t="s">
        <v>137</v>
      </c>
      <c r="S168" s="193" t="s">
        <v>1393</v>
      </c>
      <c r="T168" s="197">
        <f t="shared" si="15"/>
        <v>68</v>
      </c>
      <c r="U168" s="193" t="s">
        <v>1922</v>
      </c>
      <c r="V168" s="193" t="str">
        <f t="shared" si="16"/>
        <v>Bone Bone</v>
      </c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8"/>
      <c r="AL168" s="18"/>
    </row>
    <row r="169" spans="2:38" ht="15" customHeight="1" x14ac:dyDescent="0.2">
      <c r="B169" s="193">
        <v>1</v>
      </c>
      <c r="C169" s="347" t="s">
        <v>138</v>
      </c>
      <c r="D169" s="193" t="str">
        <f t="shared" si="13"/>
        <v>CPO000031KMP</v>
      </c>
      <c r="E169" s="193" t="s">
        <v>76</v>
      </c>
      <c r="F169" s="193" t="s">
        <v>1450</v>
      </c>
      <c r="G169" s="193" t="s">
        <v>1342</v>
      </c>
      <c r="H169" s="193" t="s">
        <v>59</v>
      </c>
      <c r="I169" s="193" t="s">
        <v>41</v>
      </c>
      <c r="J169" s="193" t="str">
        <f t="shared" si="14"/>
        <v>12 Roda</v>
      </c>
      <c r="K169" s="194">
        <v>45989</v>
      </c>
      <c r="L169" s="195">
        <v>45830</v>
      </c>
      <c r="M169" s="195">
        <v>17570</v>
      </c>
      <c r="N169" s="195">
        <v>28260</v>
      </c>
      <c r="O169" s="195">
        <v>28260</v>
      </c>
      <c r="P169" s="196">
        <v>0.71458333333333302</v>
      </c>
      <c r="Q169" s="196">
        <v>0.78402777777777799</v>
      </c>
      <c r="R169" s="193" t="s">
        <v>137</v>
      </c>
      <c r="S169" s="193" t="s">
        <v>1372</v>
      </c>
      <c r="T169" s="197">
        <f t="shared" si="15"/>
        <v>53</v>
      </c>
      <c r="U169" s="193" t="s">
        <v>1922</v>
      </c>
      <c r="V169" s="193" t="str">
        <f t="shared" si="16"/>
        <v>Masamba</v>
      </c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8"/>
      <c r="AL169" s="18"/>
    </row>
    <row r="170" spans="2:38" ht="15" customHeight="1" x14ac:dyDescent="0.2">
      <c r="B170" s="193">
        <v>1</v>
      </c>
      <c r="C170" s="347" t="s">
        <v>140</v>
      </c>
      <c r="D170" s="193" t="str">
        <f t="shared" si="13"/>
        <v>CPO000033KMP</v>
      </c>
      <c r="E170" s="193" t="s">
        <v>70</v>
      </c>
      <c r="F170" s="193" t="s">
        <v>1450</v>
      </c>
      <c r="G170" s="193" t="s">
        <v>1342</v>
      </c>
      <c r="H170" s="193" t="s">
        <v>59</v>
      </c>
      <c r="I170" s="193" t="s">
        <v>41</v>
      </c>
      <c r="J170" s="193" t="str">
        <f t="shared" si="14"/>
        <v>12 Roda</v>
      </c>
      <c r="K170" s="194">
        <v>45989</v>
      </c>
      <c r="L170" s="195">
        <v>45690</v>
      </c>
      <c r="M170" s="195">
        <v>17580</v>
      </c>
      <c r="N170" s="195">
        <v>28110</v>
      </c>
      <c r="O170" s="195">
        <v>28100</v>
      </c>
      <c r="P170" s="196">
        <v>0.73611111111111105</v>
      </c>
      <c r="Q170" s="196">
        <v>0.78819444444444398</v>
      </c>
      <c r="R170" s="193" t="s">
        <v>137</v>
      </c>
      <c r="S170" s="193" t="s">
        <v>1499</v>
      </c>
      <c r="T170" s="197">
        <f t="shared" si="15"/>
        <v>53</v>
      </c>
      <c r="U170" s="193" t="s">
        <v>1922</v>
      </c>
      <c r="V170" s="193" t="str">
        <f t="shared" si="16"/>
        <v>Masamba</v>
      </c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8"/>
      <c r="AL170" s="18"/>
    </row>
    <row r="171" spans="2:38" ht="15" customHeight="1" x14ac:dyDescent="0.2">
      <c r="B171" s="193">
        <v>1</v>
      </c>
      <c r="C171" s="347" t="s">
        <v>144</v>
      </c>
      <c r="D171" s="193" t="str">
        <f t="shared" si="13"/>
        <v>CPO000037KMP</v>
      </c>
      <c r="E171" s="193" t="s">
        <v>76</v>
      </c>
      <c r="F171" s="193" t="s">
        <v>1450</v>
      </c>
      <c r="G171" s="193" t="s">
        <v>1342</v>
      </c>
      <c r="H171" s="193" t="s">
        <v>59</v>
      </c>
      <c r="I171" s="193" t="s">
        <v>41</v>
      </c>
      <c r="J171" s="193" t="str">
        <f t="shared" si="14"/>
        <v>12 Roda</v>
      </c>
      <c r="K171" s="194">
        <v>45989</v>
      </c>
      <c r="L171" s="195">
        <v>45680</v>
      </c>
      <c r="M171" s="195">
        <v>17550</v>
      </c>
      <c r="N171" s="195">
        <v>28130</v>
      </c>
      <c r="O171" s="195">
        <v>28180</v>
      </c>
      <c r="P171" s="196">
        <v>0.92916666666666703</v>
      </c>
      <c r="Q171" s="196">
        <v>0.96111111111111103</v>
      </c>
      <c r="R171" s="193" t="s">
        <v>137</v>
      </c>
      <c r="S171" s="193" t="s">
        <v>1372</v>
      </c>
      <c r="T171" s="197">
        <f t="shared" si="15"/>
        <v>53</v>
      </c>
      <c r="U171" s="193" t="s">
        <v>1922</v>
      </c>
      <c r="V171" s="193" t="str">
        <f t="shared" si="16"/>
        <v>Masamba</v>
      </c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8"/>
      <c r="AL171" s="18"/>
    </row>
    <row r="172" spans="2:38" ht="15" customHeight="1" x14ac:dyDescent="0.2">
      <c r="B172" s="193">
        <v>1</v>
      </c>
      <c r="C172" s="347" t="s">
        <v>136</v>
      </c>
      <c r="D172" s="193" t="str">
        <f t="shared" si="13"/>
        <v>CPO000030PN</v>
      </c>
      <c r="E172" s="193" t="s">
        <v>56</v>
      </c>
      <c r="F172" s="193" t="s">
        <v>1340</v>
      </c>
      <c r="G172" s="193" t="s">
        <v>1343</v>
      </c>
      <c r="H172" s="193" t="s">
        <v>78</v>
      </c>
      <c r="I172" s="193" t="s">
        <v>41</v>
      </c>
      <c r="J172" s="193" t="str">
        <f t="shared" si="14"/>
        <v>10 Roda</v>
      </c>
      <c r="K172" s="194">
        <v>45989</v>
      </c>
      <c r="L172" s="195">
        <v>24990</v>
      </c>
      <c r="M172" s="195">
        <v>10810</v>
      </c>
      <c r="N172" s="195">
        <v>14180</v>
      </c>
      <c r="O172" s="195">
        <v>14180</v>
      </c>
      <c r="P172" s="196">
        <v>0.71319444444444502</v>
      </c>
      <c r="Q172" s="196">
        <v>0.844444444444444</v>
      </c>
      <c r="R172" s="193" t="s">
        <v>137</v>
      </c>
      <c r="S172" s="193" t="s">
        <v>1781</v>
      </c>
      <c r="T172" s="197">
        <f t="shared" si="15"/>
        <v>99</v>
      </c>
      <c r="U172" s="193"/>
      <c r="V172" s="193" t="str">
        <f t="shared" si="16"/>
        <v>Burau</v>
      </c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8"/>
      <c r="AL172" s="18"/>
    </row>
    <row r="173" spans="2:38" ht="15" customHeight="1" x14ac:dyDescent="0.2">
      <c r="B173" s="193">
        <v>1</v>
      </c>
      <c r="C173" s="347" t="s">
        <v>139</v>
      </c>
      <c r="D173" s="193" t="str">
        <f t="shared" si="13"/>
        <v>CPO000032PN</v>
      </c>
      <c r="E173" s="193" t="s">
        <v>46</v>
      </c>
      <c r="F173" s="193" t="s">
        <v>1340</v>
      </c>
      <c r="G173" s="193" t="s">
        <v>1343</v>
      </c>
      <c r="H173" s="193" t="s">
        <v>78</v>
      </c>
      <c r="I173" s="193" t="s">
        <v>41</v>
      </c>
      <c r="J173" s="193" t="str">
        <f t="shared" si="14"/>
        <v>10 Roda</v>
      </c>
      <c r="K173" s="194">
        <v>45989</v>
      </c>
      <c r="L173" s="195">
        <v>26520</v>
      </c>
      <c r="M173" s="195">
        <v>11780</v>
      </c>
      <c r="N173" s="195">
        <v>14740</v>
      </c>
      <c r="O173" s="195">
        <v>14770</v>
      </c>
      <c r="P173" s="196">
        <v>0.73194444444444395</v>
      </c>
      <c r="Q173" s="196">
        <v>0.81666666666666698</v>
      </c>
      <c r="R173" s="193" t="s">
        <v>137</v>
      </c>
      <c r="S173" s="193" t="s">
        <v>1393</v>
      </c>
      <c r="T173" s="197">
        <f t="shared" si="15"/>
        <v>99</v>
      </c>
      <c r="U173" s="193"/>
      <c r="V173" s="193" t="str">
        <f t="shared" si="16"/>
        <v>Burau</v>
      </c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8"/>
      <c r="AL173" s="18"/>
    </row>
    <row r="174" spans="2:38" ht="15" customHeight="1" x14ac:dyDescent="0.2">
      <c r="B174" s="193">
        <v>1</v>
      </c>
      <c r="C174" s="347" t="s">
        <v>141</v>
      </c>
      <c r="D174" s="193" t="str">
        <f t="shared" si="13"/>
        <v>CPO000034PN</v>
      </c>
      <c r="E174" s="193" t="s">
        <v>84</v>
      </c>
      <c r="F174" s="193" t="s">
        <v>1340</v>
      </c>
      <c r="G174" s="193" t="s">
        <v>1343</v>
      </c>
      <c r="H174" s="193" t="s">
        <v>78</v>
      </c>
      <c r="I174" s="193" t="s">
        <v>41</v>
      </c>
      <c r="J174" s="193" t="str">
        <f t="shared" si="14"/>
        <v>10 Roda</v>
      </c>
      <c r="K174" s="194">
        <v>45989</v>
      </c>
      <c r="L174" s="195">
        <v>26360</v>
      </c>
      <c r="M174" s="195">
        <v>12130</v>
      </c>
      <c r="N174" s="195">
        <v>14230</v>
      </c>
      <c r="O174" s="195">
        <v>14260</v>
      </c>
      <c r="P174" s="196">
        <v>0.75763888888888897</v>
      </c>
      <c r="Q174" s="196">
        <v>0.86458333333333304</v>
      </c>
      <c r="R174" s="193" t="s">
        <v>137</v>
      </c>
      <c r="S174" s="193" t="s">
        <v>1782</v>
      </c>
      <c r="T174" s="197">
        <f t="shared" si="15"/>
        <v>99</v>
      </c>
      <c r="U174" s="193"/>
      <c r="V174" s="193" t="str">
        <f t="shared" si="16"/>
        <v>Burau</v>
      </c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8"/>
      <c r="AL174" s="18"/>
    </row>
    <row r="175" spans="2:38" ht="15" customHeight="1" x14ac:dyDescent="0.2">
      <c r="B175" s="193">
        <v>1</v>
      </c>
      <c r="C175" s="347" t="s">
        <v>288</v>
      </c>
      <c r="D175" s="193" t="str">
        <f t="shared" si="13"/>
        <v>CPO000146PN</v>
      </c>
      <c r="E175" s="193" t="s">
        <v>56</v>
      </c>
      <c r="F175" s="193" t="s">
        <v>1340</v>
      </c>
      <c r="G175" s="193" t="s">
        <v>1343</v>
      </c>
      <c r="H175" s="193" t="s">
        <v>78</v>
      </c>
      <c r="I175" s="193" t="s">
        <v>41</v>
      </c>
      <c r="J175" s="193" t="str">
        <f t="shared" si="14"/>
        <v>10 Roda</v>
      </c>
      <c r="K175" s="194">
        <v>45989</v>
      </c>
      <c r="L175" s="195">
        <v>24920</v>
      </c>
      <c r="M175" s="195">
        <v>10850</v>
      </c>
      <c r="N175" s="195">
        <v>14070</v>
      </c>
      <c r="O175" s="195">
        <v>14100</v>
      </c>
      <c r="P175" s="196">
        <v>0.49305555555555602</v>
      </c>
      <c r="Q175" s="196">
        <v>0.624305555555556</v>
      </c>
      <c r="R175" s="193" t="s">
        <v>42</v>
      </c>
      <c r="S175" s="193" t="s">
        <v>1781</v>
      </c>
      <c r="T175" s="197">
        <f t="shared" si="15"/>
        <v>99</v>
      </c>
      <c r="U175" s="193"/>
      <c r="V175" s="193" t="str">
        <f t="shared" si="16"/>
        <v>Burau</v>
      </c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8"/>
      <c r="AL175" s="18"/>
    </row>
    <row r="176" spans="2:38" ht="15" customHeight="1" x14ac:dyDescent="0.2">
      <c r="B176" s="193">
        <v>1</v>
      </c>
      <c r="C176" s="347" t="s">
        <v>289</v>
      </c>
      <c r="D176" s="193" t="str">
        <f t="shared" si="13"/>
        <v>CPO000147PN</v>
      </c>
      <c r="E176" s="193" t="s">
        <v>46</v>
      </c>
      <c r="F176" s="193" t="s">
        <v>1340</v>
      </c>
      <c r="G176" s="193" t="s">
        <v>1343</v>
      </c>
      <c r="H176" s="193" t="s">
        <v>78</v>
      </c>
      <c r="I176" s="193" t="s">
        <v>41</v>
      </c>
      <c r="J176" s="193" t="str">
        <f t="shared" si="14"/>
        <v>10 Roda</v>
      </c>
      <c r="K176" s="194">
        <v>45989</v>
      </c>
      <c r="L176" s="195">
        <v>26460</v>
      </c>
      <c r="M176" s="195">
        <v>11810</v>
      </c>
      <c r="N176" s="195">
        <v>14650</v>
      </c>
      <c r="O176" s="195">
        <v>14690</v>
      </c>
      <c r="P176" s="196">
        <v>0.56736111111111098</v>
      </c>
      <c r="Q176" s="196">
        <v>0.63819444444444395</v>
      </c>
      <c r="R176" s="193" t="s">
        <v>42</v>
      </c>
      <c r="S176" s="193" t="s">
        <v>1393</v>
      </c>
      <c r="T176" s="197">
        <f t="shared" si="15"/>
        <v>99</v>
      </c>
      <c r="U176" s="193"/>
      <c r="V176" s="193" t="str">
        <f t="shared" si="16"/>
        <v>Burau</v>
      </c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8"/>
      <c r="AL176" s="18"/>
    </row>
    <row r="177" spans="2:38" ht="15" customHeight="1" x14ac:dyDescent="0.2">
      <c r="B177" s="193">
        <v>1</v>
      </c>
      <c r="C177" s="347" t="s">
        <v>290</v>
      </c>
      <c r="D177" s="193" t="str">
        <f t="shared" si="13"/>
        <v>CPO000148PN</v>
      </c>
      <c r="E177" s="193" t="s">
        <v>84</v>
      </c>
      <c r="F177" s="193" t="s">
        <v>1340</v>
      </c>
      <c r="G177" s="193" t="s">
        <v>1343</v>
      </c>
      <c r="H177" s="193" t="s">
        <v>78</v>
      </c>
      <c r="I177" s="193" t="s">
        <v>41</v>
      </c>
      <c r="J177" s="193" t="str">
        <f t="shared" si="14"/>
        <v>10 Roda</v>
      </c>
      <c r="K177" s="194">
        <v>45989</v>
      </c>
      <c r="L177" s="195">
        <v>26580</v>
      </c>
      <c r="M177" s="195">
        <v>12160</v>
      </c>
      <c r="N177" s="195">
        <v>14420</v>
      </c>
      <c r="O177" s="195">
        <v>14430</v>
      </c>
      <c r="P177" s="196">
        <v>0.625694444444444</v>
      </c>
      <c r="Q177" s="196">
        <v>0.67430555555555605</v>
      </c>
      <c r="R177" s="193" t="s">
        <v>42</v>
      </c>
      <c r="S177" s="193" t="s">
        <v>1782</v>
      </c>
      <c r="T177" s="197">
        <f t="shared" si="15"/>
        <v>99</v>
      </c>
      <c r="U177" s="193"/>
      <c r="V177" s="193" t="str">
        <f t="shared" si="16"/>
        <v>Burau</v>
      </c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8"/>
      <c r="AL177" s="18"/>
    </row>
    <row r="178" spans="2:38" ht="15" customHeight="1" x14ac:dyDescent="0.2">
      <c r="B178" s="193">
        <v>1</v>
      </c>
      <c r="C178" s="347" t="s">
        <v>282</v>
      </c>
      <c r="D178" s="193" t="str">
        <f t="shared" si="13"/>
        <v>CPO000140KMP</v>
      </c>
      <c r="E178" s="193" t="s">
        <v>70</v>
      </c>
      <c r="F178" s="193" t="s">
        <v>1450</v>
      </c>
      <c r="G178" s="193" t="s">
        <v>1342</v>
      </c>
      <c r="H178" s="193" t="s">
        <v>59</v>
      </c>
      <c r="I178" s="193" t="s">
        <v>41</v>
      </c>
      <c r="J178" s="193" t="str">
        <f t="shared" si="14"/>
        <v>12 Roda</v>
      </c>
      <c r="K178" s="194">
        <v>45989</v>
      </c>
      <c r="L178" s="195">
        <v>45460</v>
      </c>
      <c r="M178" s="195">
        <v>17430</v>
      </c>
      <c r="N178" s="195">
        <v>28030</v>
      </c>
      <c r="O178" s="195">
        <v>28080</v>
      </c>
      <c r="P178" s="196">
        <v>0.95625000000000004</v>
      </c>
      <c r="Q178" s="196">
        <v>1.52777777777778E-2</v>
      </c>
      <c r="R178" s="193" t="s">
        <v>137</v>
      </c>
      <c r="S178" s="193" t="s">
        <v>1499</v>
      </c>
      <c r="T178" s="197">
        <f t="shared" si="15"/>
        <v>53</v>
      </c>
      <c r="U178" s="193" t="s">
        <v>1922</v>
      </c>
      <c r="V178" s="193" t="str">
        <f t="shared" si="16"/>
        <v>Masamba</v>
      </c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8"/>
      <c r="AL178" s="18"/>
    </row>
    <row r="179" spans="2:38" ht="15" customHeight="1" x14ac:dyDescent="0.2">
      <c r="B179" s="193">
        <v>1</v>
      </c>
      <c r="C179" s="347" t="s">
        <v>283</v>
      </c>
      <c r="D179" s="193" t="str">
        <f t="shared" si="13"/>
        <v>CPO000141JAS</v>
      </c>
      <c r="E179" s="193" t="s">
        <v>56</v>
      </c>
      <c r="F179" s="193" t="s">
        <v>1429</v>
      </c>
      <c r="G179" s="193" t="s">
        <v>1341</v>
      </c>
      <c r="H179" s="193" t="s">
        <v>49</v>
      </c>
      <c r="I179" s="193" t="s">
        <v>41</v>
      </c>
      <c r="J179" s="193" t="str">
        <f t="shared" si="14"/>
        <v>10 Roda</v>
      </c>
      <c r="K179" s="194">
        <v>45989</v>
      </c>
      <c r="L179" s="195">
        <v>25090</v>
      </c>
      <c r="M179" s="195">
        <v>10860</v>
      </c>
      <c r="N179" s="195">
        <v>14230</v>
      </c>
      <c r="O179" s="195">
        <v>14180</v>
      </c>
      <c r="P179" s="196">
        <v>1.38888888888889E-3</v>
      </c>
      <c r="Q179" s="196">
        <v>5.6250000000000001E-2</v>
      </c>
      <c r="R179" s="193" t="s">
        <v>137</v>
      </c>
      <c r="S179" s="193" t="s">
        <v>1781</v>
      </c>
      <c r="T179" s="197">
        <f t="shared" si="15"/>
        <v>68</v>
      </c>
      <c r="U179" s="193" t="s">
        <v>1922</v>
      </c>
      <c r="V179" s="193" t="str">
        <f t="shared" si="16"/>
        <v>Bone Bone</v>
      </c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8"/>
      <c r="AL179" s="18"/>
    </row>
    <row r="180" spans="2:38" ht="15" customHeight="1" x14ac:dyDescent="0.2">
      <c r="B180" s="193">
        <v>1</v>
      </c>
      <c r="C180" s="347" t="s">
        <v>284</v>
      </c>
      <c r="D180" s="193" t="str">
        <f t="shared" si="13"/>
        <v>CPO000142JAS</v>
      </c>
      <c r="E180" s="193" t="s">
        <v>46</v>
      </c>
      <c r="F180" s="193" t="s">
        <v>1429</v>
      </c>
      <c r="G180" s="193" t="s">
        <v>1341</v>
      </c>
      <c r="H180" s="193" t="s">
        <v>49</v>
      </c>
      <c r="I180" s="193" t="s">
        <v>41</v>
      </c>
      <c r="J180" s="193" t="str">
        <f t="shared" si="14"/>
        <v>10 Roda</v>
      </c>
      <c r="K180" s="194">
        <v>45989</v>
      </c>
      <c r="L180" s="195">
        <v>26480</v>
      </c>
      <c r="M180" s="195">
        <v>11670</v>
      </c>
      <c r="N180" s="195">
        <v>14810</v>
      </c>
      <c r="O180" s="195">
        <v>14740</v>
      </c>
      <c r="P180" s="196">
        <v>1.8055555555555599E-2</v>
      </c>
      <c r="Q180" s="196">
        <v>7.3611111111111099E-2</v>
      </c>
      <c r="R180" s="193" t="s">
        <v>137</v>
      </c>
      <c r="S180" s="193" t="s">
        <v>1393</v>
      </c>
      <c r="T180" s="197">
        <f t="shared" si="15"/>
        <v>68</v>
      </c>
      <c r="U180" s="193" t="s">
        <v>1922</v>
      </c>
      <c r="V180" s="193" t="str">
        <f t="shared" si="16"/>
        <v>Bone Bone</v>
      </c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8"/>
      <c r="AL180" s="18"/>
    </row>
    <row r="181" spans="2:38" ht="15" customHeight="1" x14ac:dyDescent="0.2">
      <c r="B181" s="193">
        <v>1</v>
      </c>
      <c r="C181" s="347" t="s">
        <v>285</v>
      </c>
      <c r="D181" s="193" t="str">
        <f t="shared" si="13"/>
        <v>CPO000143JAS</v>
      </c>
      <c r="E181" s="193" t="s">
        <v>84</v>
      </c>
      <c r="F181" s="193" t="s">
        <v>1429</v>
      </c>
      <c r="G181" s="193" t="s">
        <v>1341</v>
      </c>
      <c r="H181" s="193" t="s">
        <v>49</v>
      </c>
      <c r="I181" s="193" t="s">
        <v>41</v>
      </c>
      <c r="J181" s="193" t="str">
        <f t="shared" si="14"/>
        <v>10 Roda</v>
      </c>
      <c r="K181" s="194">
        <v>45989</v>
      </c>
      <c r="L181" s="195">
        <v>26640</v>
      </c>
      <c r="M181" s="195">
        <v>12160</v>
      </c>
      <c r="N181" s="195">
        <v>14480</v>
      </c>
      <c r="O181" s="195">
        <v>14400</v>
      </c>
      <c r="P181" s="196">
        <v>5.2777777777777798E-2</v>
      </c>
      <c r="Q181" s="196">
        <v>8.8888888888888906E-2</v>
      </c>
      <c r="R181" s="193" t="s">
        <v>137</v>
      </c>
      <c r="S181" s="193" t="s">
        <v>1782</v>
      </c>
      <c r="T181" s="197">
        <f t="shared" si="15"/>
        <v>68</v>
      </c>
      <c r="U181" s="193" t="s">
        <v>1922</v>
      </c>
      <c r="V181" s="193" t="str">
        <f t="shared" si="16"/>
        <v>Bone Bone</v>
      </c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8"/>
      <c r="AL181" s="18"/>
    </row>
    <row r="182" spans="2:38" ht="15" customHeight="1" x14ac:dyDescent="0.2">
      <c r="B182" s="193">
        <v>1</v>
      </c>
      <c r="C182" s="347" t="s">
        <v>286</v>
      </c>
      <c r="D182" s="193" t="str">
        <f t="shared" si="13"/>
        <v>CPO000144KMP</v>
      </c>
      <c r="E182" s="193" t="s">
        <v>76</v>
      </c>
      <c r="F182" s="193" t="s">
        <v>1450</v>
      </c>
      <c r="G182" s="193" t="s">
        <v>1342</v>
      </c>
      <c r="H182" s="193" t="s">
        <v>59</v>
      </c>
      <c r="I182" s="193" t="s">
        <v>41</v>
      </c>
      <c r="J182" s="193" t="str">
        <f t="shared" si="14"/>
        <v>12 Roda</v>
      </c>
      <c r="K182" s="194">
        <v>45989</v>
      </c>
      <c r="L182" s="195">
        <v>45810</v>
      </c>
      <c r="M182" s="195">
        <v>17630</v>
      </c>
      <c r="N182" s="195">
        <v>28180</v>
      </c>
      <c r="O182" s="195">
        <v>28240</v>
      </c>
      <c r="P182" s="196">
        <v>0.45902777777777798</v>
      </c>
      <c r="Q182" s="196">
        <v>0.56597222222222199</v>
      </c>
      <c r="R182" s="193" t="s">
        <v>42</v>
      </c>
      <c r="S182" s="193" t="s">
        <v>1372</v>
      </c>
      <c r="T182" s="197">
        <f t="shared" si="15"/>
        <v>53</v>
      </c>
      <c r="U182" s="193" t="s">
        <v>1922</v>
      </c>
      <c r="V182" s="193" t="str">
        <f t="shared" si="16"/>
        <v>Masamba</v>
      </c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8"/>
      <c r="AL182" s="18"/>
    </row>
    <row r="183" spans="2:38" ht="15" customHeight="1" x14ac:dyDescent="0.2">
      <c r="B183" s="193">
        <v>1</v>
      </c>
      <c r="C183" s="347" t="s">
        <v>287</v>
      </c>
      <c r="D183" s="193" t="str">
        <f t="shared" si="13"/>
        <v>CPO000145KMP</v>
      </c>
      <c r="E183" s="193" t="s">
        <v>70</v>
      </c>
      <c r="F183" s="193" t="s">
        <v>1450</v>
      </c>
      <c r="G183" s="193" t="s">
        <v>1342</v>
      </c>
      <c r="H183" s="193" t="s">
        <v>59</v>
      </c>
      <c r="I183" s="193" t="s">
        <v>41</v>
      </c>
      <c r="J183" s="193" t="str">
        <f t="shared" si="14"/>
        <v>12 Roda</v>
      </c>
      <c r="K183" s="194">
        <v>45989</v>
      </c>
      <c r="L183" s="195">
        <v>45670</v>
      </c>
      <c r="M183" s="195">
        <v>17430</v>
      </c>
      <c r="N183" s="195">
        <v>28240</v>
      </c>
      <c r="O183" s="195">
        <v>28320</v>
      </c>
      <c r="P183" s="196">
        <v>0.46458333333333302</v>
      </c>
      <c r="Q183" s="196">
        <v>0.56805555555555598</v>
      </c>
      <c r="R183" s="193" t="s">
        <v>42</v>
      </c>
      <c r="S183" s="193" t="s">
        <v>1499</v>
      </c>
      <c r="T183" s="197">
        <f t="shared" si="15"/>
        <v>53</v>
      </c>
      <c r="U183" s="193" t="s">
        <v>1922</v>
      </c>
      <c r="V183" s="193" t="str">
        <f t="shared" si="16"/>
        <v>Masamba</v>
      </c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8"/>
      <c r="AL183" s="18"/>
    </row>
    <row r="184" spans="2:38" ht="15" customHeight="1" x14ac:dyDescent="0.2">
      <c r="B184" s="193">
        <v>1</v>
      </c>
      <c r="C184" s="347" t="s">
        <v>145</v>
      </c>
      <c r="D184" s="193" t="str">
        <f t="shared" si="13"/>
        <v>CPO000038KMP</v>
      </c>
      <c r="E184" s="193" t="s">
        <v>70</v>
      </c>
      <c r="F184" s="193" t="s">
        <v>1450</v>
      </c>
      <c r="G184" s="193" t="s">
        <v>1342</v>
      </c>
      <c r="H184" s="193" t="s">
        <v>59</v>
      </c>
      <c r="I184" s="193" t="s">
        <v>41</v>
      </c>
      <c r="J184" s="193" t="str">
        <f t="shared" si="14"/>
        <v>12 Roda</v>
      </c>
      <c r="K184" s="194">
        <v>45990</v>
      </c>
      <c r="L184" s="195">
        <v>45580</v>
      </c>
      <c r="M184" s="195">
        <v>17540</v>
      </c>
      <c r="N184" s="195">
        <v>28040</v>
      </c>
      <c r="O184" s="195">
        <v>28060</v>
      </c>
      <c r="P184" s="196">
        <v>0.97083333333333299</v>
      </c>
      <c r="Q184" s="196">
        <v>4.8611111111111103E-3</v>
      </c>
      <c r="R184" s="193" t="s">
        <v>137</v>
      </c>
      <c r="S184" s="193" t="s">
        <v>1499</v>
      </c>
      <c r="T184" s="197">
        <f t="shared" si="15"/>
        <v>53</v>
      </c>
      <c r="U184" s="193" t="s">
        <v>1922</v>
      </c>
      <c r="V184" s="193" t="str">
        <f t="shared" si="16"/>
        <v>Masamba</v>
      </c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8"/>
      <c r="AL184" s="18"/>
    </row>
    <row r="185" spans="2:38" ht="15" customHeight="1" x14ac:dyDescent="0.2">
      <c r="B185" s="193">
        <v>1</v>
      </c>
      <c r="C185" s="347" t="s">
        <v>143</v>
      </c>
      <c r="D185" s="193" t="str">
        <f t="shared" si="13"/>
        <v>CPO000036PN</v>
      </c>
      <c r="E185" s="193" t="s">
        <v>46</v>
      </c>
      <c r="F185" s="193" t="s">
        <v>1340</v>
      </c>
      <c r="G185" s="193" t="s">
        <v>1343</v>
      </c>
      <c r="H185" s="193" t="s">
        <v>78</v>
      </c>
      <c r="I185" s="193" t="s">
        <v>41</v>
      </c>
      <c r="J185" s="193" t="str">
        <f t="shared" si="14"/>
        <v>10 Roda</v>
      </c>
      <c r="K185" s="194">
        <v>45990</v>
      </c>
      <c r="L185" s="195">
        <v>25310</v>
      </c>
      <c r="M185" s="195">
        <v>11780</v>
      </c>
      <c r="N185" s="195">
        <v>13530</v>
      </c>
      <c r="O185" s="195">
        <v>13570</v>
      </c>
      <c r="P185" s="196">
        <v>0.91597222222222197</v>
      </c>
      <c r="Q185" s="196">
        <v>7.6388888888888904E-3</v>
      </c>
      <c r="R185" s="193" t="s">
        <v>137</v>
      </c>
      <c r="S185" s="193" t="s">
        <v>1393</v>
      </c>
      <c r="T185" s="197">
        <f t="shared" si="15"/>
        <v>99</v>
      </c>
      <c r="U185" s="193"/>
      <c r="V185" s="193" t="str">
        <f t="shared" si="16"/>
        <v>Burau</v>
      </c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8"/>
      <c r="AL185" s="18"/>
    </row>
    <row r="186" spans="2:38" ht="15" customHeight="1" x14ac:dyDescent="0.2">
      <c r="B186" s="193">
        <v>1</v>
      </c>
      <c r="C186" s="347" t="s">
        <v>291</v>
      </c>
      <c r="D186" s="193" t="str">
        <f t="shared" si="13"/>
        <v>CPO000149JAS</v>
      </c>
      <c r="E186" s="193" t="s">
        <v>46</v>
      </c>
      <c r="F186" s="193" t="s">
        <v>1429</v>
      </c>
      <c r="G186" s="193" t="s">
        <v>1341</v>
      </c>
      <c r="H186" s="193" t="s">
        <v>49</v>
      </c>
      <c r="I186" s="193" t="s">
        <v>41</v>
      </c>
      <c r="J186" s="193" t="str">
        <f t="shared" si="14"/>
        <v>10 Roda</v>
      </c>
      <c r="K186" s="194">
        <v>45990</v>
      </c>
      <c r="L186" s="195">
        <v>26590</v>
      </c>
      <c r="M186" s="195">
        <v>11770</v>
      </c>
      <c r="N186" s="195">
        <v>14820</v>
      </c>
      <c r="O186" s="195">
        <v>14470</v>
      </c>
      <c r="P186" s="196">
        <v>0.40069444444444502</v>
      </c>
      <c r="Q186" s="196">
        <v>0.44097222222222199</v>
      </c>
      <c r="R186" s="193" t="s">
        <v>42</v>
      </c>
      <c r="S186" s="193" t="s">
        <v>1393</v>
      </c>
      <c r="T186" s="197">
        <f t="shared" si="15"/>
        <v>68</v>
      </c>
      <c r="U186" s="193" t="s">
        <v>1922</v>
      </c>
      <c r="V186" s="193" t="str">
        <f t="shared" si="16"/>
        <v>Bone Bone</v>
      </c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8"/>
      <c r="AL186" s="18"/>
    </row>
    <row r="187" spans="2:38" ht="15" customHeight="1" x14ac:dyDescent="0.2">
      <c r="B187" s="193">
        <v>1</v>
      </c>
      <c r="C187" s="347" t="s">
        <v>292</v>
      </c>
      <c r="D187" s="193" t="str">
        <f t="shared" si="13"/>
        <v>CPO000150JAS</v>
      </c>
      <c r="E187" s="193" t="s">
        <v>56</v>
      </c>
      <c r="F187" s="193" t="s">
        <v>1429</v>
      </c>
      <c r="G187" s="193" t="s">
        <v>1341</v>
      </c>
      <c r="H187" s="193" t="s">
        <v>49</v>
      </c>
      <c r="I187" s="193" t="s">
        <v>41</v>
      </c>
      <c r="J187" s="193" t="str">
        <f t="shared" si="14"/>
        <v>10 Roda</v>
      </c>
      <c r="K187" s="194">
        <v>45990</v>
      </c>
      <c r="L187" s="195">
        <v>25040</v>
      </c>
      <c r="M187" s="195">
        <v>10790</v>
      </c>
      <c r="N187" s="195">
        <v>14250</v>
      </c>
      <c r="O187" s="195">
        <v>14770</v>
      </c>
      <c r="P187" s="196">
        <v>0.41944444444444501</v>
      </c>
      <c r="Q187" s="196">
        <v>0.50277777777777799</v>
      </c>
      <c r="R187" s="193" t="s">
        <v>42</v>
      </c>
      <c r="S187" s="193" t="s">
        <v>1781</v>
      </c>
      <c r="T187" s="197">
        <f t="shared" si="15"/>
        <v>68</v>
      </c>
      <c r="U187" s="193" t="s">
        <v>1922</v>
      </c>
      <c r="V187" s="193" t="str">
        <f t="shared" si="16"/>
        <v>Bone Bone</v>
      </c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8"/>
      <c r="AL187" s="18"/>
    </row>
    <row r="188" spans="2:38" ht="15" customHeight="1" x14ac:dyDescent="0.2">
      <c r="B188" s="193">
        <v>1</v>
      </c>
      <c r="C188" s="347" t="s">
        <v>293</v>
      </c>
      <c r="D188" s="193" t="str">
        <f t="shared" si="13"/>
        <v>CPO000151KMP</v>
      </c>
      <c r="E188" s="193" t="s">
        <v>76</v>
      </c>
      <c r="F188" s="193" t="s">
        <v>1450</v>
      </c>
      <c r="G188" s="193" t="s">
        <v>1342</v>
      </c>
      <c r="H188" s="193" t="s">
        <v>59</v>
      </c>
      <c r="I188" s="193" t="s">
        <v>41</v>
      </c>
      <c r="J188" s="193" t="str">
        <f t="shared" si="14"/>
        <v>12 Roda</v>
      </c>
      <c r="K188" s="194">
        <v>45990</v>
      </c>
      <c r="L188" s="195">
        <v>45820</v>
      </c>
      <c r="M188" s="195">
        <v>17640</v>
      </c>
      <c r="N188" s="195">
        <v>28180</v>
      </c>
      <c r="O188" s="195">
        <v>28120</v>
      </c>
      <c r="P188" s="196">
        <v>0.43055555555555602</v>
      </c>
      <c r="Q188" s="196">
        <v>0.57222222222222197</v>
      </c>
      <c r="R188" s="193" t="s">
        <v>42</v>
      </c>
      <c r="S188" s="193" t="s">
        <v>1372</v>
      </c>
      <c r="T188" s="197">
        <f t="shared" si="15"/>
        <v>53</v>
      </c>
      <c r="U188" s="193" t="s">
        <v>1922</v>
      </c>
      <c r="V188" s="193" t="str">
        <f t="shared" si="16"/>
        <v>Masamba</v>
      </c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8"/>
      <c r="AL188" s="18"/>
    </row>
    <row r="189" spans="2:38" ht="15" customHeight="1" x14ac:dyDescent="0.2">
      <c r="B189" s="193">
        <v>1</v>
      </c>
      <c r="C189" s="347" t="s">
        <v>294</v>
      </c>
      <c r="D189" s="193" t="str">
        <f t="shared" si="13"/>
        <v>CPO000152JAS</v>
      </c>
      <c r="E189" s="193" t="s">
        <v>84</v>
      </c>
      <c r="F189" s="193" t="s">
        <v>1429</v>
      </c>
      <c r="G189" s="193" t="s">
        <v>1341</v>
      </c>
      <c r="H189" s="193" t="s">
        <v>49</v>
      </c>
      <c r="I189" s="193" t="s">
        <v>41</v>
      </c>
      <c r="J189" s="193" t="str">
        <f t="shared" si="14"/>
        <v>10 Roda</v>
      </c>
      <c r="K189" s="194">
        <v>45990</v>
      </c>
      <c r="L189" s="195">
        <v>26620</v>
      </c>
      <c r="M189" s="195">
        <v>12110</v>
      </c>
      <c r="N189" s="195">
        <v>14510</v>
      </c>
      <c r="O189" s="195">
        <v>14780</v>
      </c>
      <c r="P189" s="196">
        <v>0.43472222222222201</v>
      </c>
      <c r="Q189" s="196">
        <v>0.50138888888888899</v>
      </c>
      <c r="R189" s="193" t="s">
        <v>42</v>
      </c>
      <c r="S189" s="193" t="s">
        <v>1782</v>
      </c>
      <c r="T189" s="197">
        <f t="shared" si="15"/>
        <v>68</v>
      </c>
      <c r="U189" s="193" t="s">
        <v>1922</v>
      </c>
      <c r="V189" s="193" t="str">
        <f t="shared" si="16"/>
        <v>Bone Bone</v>
      </c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8"/>
      <c r="AL189" s="18"/>
    </row>
    <row r="190" spans="2:38" ht="15" customHeight="1" x14ac:dyDescent="0.2">
      <c r="B190" s="193">
        <v>1</v>
      </c>
      <c r="C190" s="347" t="s">
        <v>295</v>
      </c>
      <c r="D190" s="193" t="str">
        <f t="shared" si="13"/>
        <v>CPO000153KMP</v>
      </c>
      <c r="E190" s="193" t="s">
        <v>70</v>
      </c>
      <c r="F190" s="193" t="s">
        <v>1450</v>
      </c>
      <c r="G190" s="193" t="s">
        <v>1342</v>
      </c>
      <c r="H190" s="193" t="s">
        <v>59</v>
      </c>
      <c r="I190" s="193" t="s">
        <v>41</v>
      </c>
      <c r="J190" s="193" t="str">
        <f t="shared" si="14"/>
        <v>12 Roda</v>
      </c>
      <c r="K190" s="194">
        <v>45990</v>
      </c>
      <c r="L190" s="195">
        <v>45630</v>
      </c>
      <c r="M190" s="195">
        <v>17540</v>
      </c>
      <c r="N190" s="195">
        <v>28090</v>
      </c>
      <c r="O190" s="195">
        <v>28320</v>
      </c>
      <c r="P190" s="196">
        <v>0.45138888888888901</v>
      </c>
      <c r="Q190" s="196">
        <v>0.58333333333333304</v>
      </c>
      <c r="R190" s="193" t="s">
        <v>42</v>
      </c>
      <c r="S190" s="193" t="s">
        <v>1499</v>
      </c>
      <c r="T190" s="197">
        <f t="shared" si="15"/>
        <v>53</v>
      </c>
      <c r="U190" s="193" t="s">
        <v>1922</v>
      </c>
      <c r="V190" s="193" t="str">
        <f t="shared" si="16"/>
        <v>Masamba</v>
      </c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8"/>
      <c r="AL190" s="18"/>
    </row>
    <row r="191" spans="2:38" ht="15" customHeight="1" x14ac:dyDescent="0.2">
      <c r="B191" s="193">
        <v>1</v>
      </c>
      <c r="C191" s="347" t="s">
        <v>296</v>
      </c>
      <c r="D191" s="193" t="str">
        <f t="shared" si="13"/>
        <v>CPO000154JAS</v>
      </c>
      <c r="E191" s="193" t="s">
        <v>46</v>
      </c>
      <c r="F191" s="193" t="s">
        <v>1429</v>
      </c>
      <c r="G191" s="193" t="s">
        <v>1341</v>
      </c>
      <c r="H191" s="193" t="s">
        <v>49</v>
      </c>
      <c r="I191" s="193" t="s">
        <v>41</v>
      </c>
      <c r="J191" s="193" t="str">
        <f t="shared" si="14"/>
        <v>10 Roda</v>
      </c>
      <c r="K191" s="194">
        <v>45990</v>
      </c>
      <c r="L191" s="195">
        <v>26560</v>
      </c>
      <c r="M191" s="195">
        <v>11710</v>
      </c>
      <c r="N191" s="195">
        <v>14850</v>
      </c>
      <c r="O191" s="195">
        <v>14470</v>
      </c>
      <c r="P191" s="196">
        <v>0.62847222222222199</v>
      </c>
      <c r="Q191" s="196">
        <v>0.67083333333333295</v>
      </c>
      <c r="R191" s="193" t="s">
        <v>42</v>
      </c>
      <c r="S191" s="193" t="s">
        <v>1393</v>
      </c>
      <c r="T191" s="197">
        <f t="shared" si="15"/>
        <v>68</v>
      </c>
      <c r="U191" s="193" t="s">
        <v>1922</v>
      </c>
      <c r="V191" s="193" t="str">
        <f t="shared" si="16"/>
        <v>Bone Bone</v>
      </c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8"/>
      <c r="AL191" s="18"/>
    </row>
    <row r="192" spans="2:38" ht="15" customHeight="1" x14ac:dyDescent="0.2">
      <c r="B192" s="193">
        <v>1</v>
      </c>
      <c r="C192" s="347" t="s">
        <v>297</v>
      </c>
      <c r="D192" s="193" t="str">
        <f t="shared" si="13"/>
        <v>CPO000155KMP</v>
      </c>
      <c r="E192" s="193" t="s">
        <v>76</v>
      </c>
      <c r="F192" s="193" t="s">
        <v>1450</v>
      </c>
      <c r="G192" s="193" t="s">
        <v>1342</v>
      </c>
      <c r="H192" s="193" t="s">
        <v>59</v>
      </c>
      <c r="I192" s="193" t="s">
        <v>41</v>
      </c>
      <c r="J192" s="193" t="str">
        <f t="shared" si="14"/>
        <v>12 Roda</v>
      </c>
      <c r="K192" s="194">
        <v>45990</v>
      </c>
      <c r="L192" s="195">
        <v>45710</v>
      </c>
      <c r="M192" s="195">
        <v>17720</v>
      </c>
      <c r="N192" s="195">
        <v>27990</v>
      </c>
      <c r="O192" s="195">
        <v>28140</v>
      </c>
      <c r="P192" s="196">
        <v>0.71041666666666703</v>
      </c>
      <c r="Q192" s="196">
        <v>0.81527777777777799</v>
      </c>
      <c r="R192" s="193" t="s">
        <v>137</v>
      </c>
      <c r="S192" s="193" t="s">
        <v>1372</v>
      </c>
      <c r="T192" s="197">
        <f t="shared" si="15"/>
        <v>53</v>
      </c>
      <c r="U192" s="193" t="s">
        <v>1922</v>
      </c>
      <c r="V192" s="193" t="str">
        <f t="shared" si="16"/>
        <v>Masamba</v>
      </c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8"/>
      <c r="AL192" s="18"/>
    </row>
    <row r="193" spans="2:38" ht="15" customHeight="1" x14ac:dyDescent="0.2">
      <c r="B193" s="193">
        <v>1</v>
      </c>
      <c r="C193" s="347" t="s">
        <v>298</v>
      </c>
      <c r="D193" s="193" t="str">
        <f t="shared" si="13"/>
        <v>CPO000156JAS</v>
      </c>
      <c r="E193" s="193" t="s">
        <v>84</v>
      </c>
      <c r="F193" s="193" t="s">
        <v>1429</v>
      </c>
      <c r="G193" s="193" t="s">
        <v>1341</v>
      </c>
      <c r="H193" s="193" t="s">
        <v>49</v>
      </c>
      <c r="I193" s="193" t="s">
        <v>41</v>
      </c>
      <c r="J193" s="193" t="str">
        <f t="shared" si="14"/>
        <v>10 Roda</v>
      </c>
      <c r="K193" s="194">
        <v>45990</v>
      </c>
      <c r="L193" s="195">
        <v>26720</v>
      </c>
      <c r="M193" s="195">
        <v>12210</v>
      </c>
      <c r="N193" s="195">
        <v>14510</v>
      </c>
      <c r="O193" s="195">
        <v>14190</v>
      </c>
      <c r="P193" s="196">
        <v>0.71736111111111101</v>
      </c>
      <c r="Q193" s="196">
        <v>0.76388888888888895</v>
      </c>
      <c r="R193" s="193" t="s">
        <v>137</v>
      </c>
      <c r="S193" s="193" t="s">
        <v>1782</v>
      </c>
      <c r="T193" s="197">
        <f t="shared" si="15"/>
        <v>68</v>
      </c>
      <c r="U193" s="193" t="s">
        <v>1922</v>
      </c>
      <c r="V193" s="193" t="str">
        <f t="shared" si="16"/>
        <v>Bone Bone</v>
      </c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8"/>
      <c r="AL193" s="18"/>
    </row>
    <row r="194" spans="2:38" ht="15" customHeight="1" x14ac:dyDescent="0.2">
      <c r="B194" s="193">
        <v>1</v>
      </c>
      <c r="C194" s="347" t="s">
        <v>299</v>
      </c>
      <c r="D194" s="193" t="str">
        <f t="shared" si="13"/>
        <v>CPO000157KMP</v>
      </c>
      <c r="E194" s="193" t="s">
        <v>70</v>
      </c>
      <c r="F194" s="193" t="s">
        <v>1450</v>
      </c>
      <c r="G194" s="193" t="s">
        <v>1342</v>
      </c>
      <c r="H194" s="193" t="s">
        <v>59</v>
      </c>
      <c r="I194" s="193" t="s">
        <v>41</v>
      </c>
      <c r="J194" s="193" t="str">
        <f t="shared" si="14"/>
        <v>12 Roda</v>
      </c>
      <c r="K194" s="194">
        <v>45990</v>
      </c>
      <c r="L194" s="195">
        <v>45310</v>
      </c>
      <c r="M194" s="195">
        <v>17490</v>
      </c>
      <c r="N194" s="195">
        <v>27820</v>
      </c>
      <c r="O194" s="195">
        <v>27840</v>
      </c>
      <c r="P194" s="196">
        <v>0.73750000000000004</v>
      </c>
      <c r="Q194" s="196">
        <v>0.81666666666666698</v>
      </c>
      <c r="R194" s="193" t="s">
        <v>137</v>
      </c>
      <c r="S194" s="193" t="s">
        <v>1499</v>
      </c>
      <c r="T194" s="197">
        <f t="shared" si="15"/>
        <v>53</v>
      </c>
      <c r="U194" s="193" t="s">
        <v>1922</v>
      </c>
      <c r="V194" s="193" t="str">
        <f t="shared" si="16"/>
        <v>Masamba</v>
      </c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8"/>
      <c r="AL194" s="18"/>
    </row>
    <row r="195" spans="2:38" ht="15" customHeight="1" x14ac:dyDescent="0.2">
      <c r="B195" s="193">
        <v>1</v>
      </c>
      <c r="C195" s="347" t="s">
        <v>300</v>
      </c>
      <c r="D195" s="193" t="str">
        <f t="shared" si="13"/>
        <v>CPO000158JAS</v>
      </c>
      <c r="E195" s="193" t="s">
        <v>56</v>
      </c>
      <c r="F195" s="193" t="s">
        <v>1429</v>
      </c>
      <c r="G195" s="193" t="s">
        <v>1341</v>
      </c>
      <c r="H195" s="193" t="s">
        <v>49</v>
      </c>
      <c r="I195" s="193" t="s">
        <v>41</v>
      </c>
      <c r="J195" s="193" t="str">
        <f t="shared" si="14"/>
        <v>10 Roda</v>
      </c>
      <c r="K195" s="194">
        <v>45990</v>
      </c>
      <c r="L195" s="195">
        <v>25150</v>
      </c>
      <c r="M195" s="195">
        <v>10880</v>
      </c>
      <c r="N195" s="195">
        <v>14270</v>
      </c>
      <c r="O195" s="195">
        <v>14820</v>
      </c>
      <c r="P195" s="196">
        <v>0.74027777777777803</v>
      </c>
      <c r="Q195" s="196">
        <v>0.79236111111111096</v>
      </c>
      <c r="R195" s="193" t="s">
        <v>137</v>
      </c>
      <c r="S195" s="193" t="s">
        <v>1781</v>
      </c>
      <c r="T195" s="197">
        <f t="shared" si="15"/>
        <v>68</v>
      </c>
      <c r="U195" s="193" t="s">
        <v>1922</v>
      </c>
      <c r="V195" s="193" t="str">
        <f t="shared" si="16"/>
        <v>Bone Bone</v>
      </c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8"/>
      <c r="AL195" s="18"/>
    </row>
    <row r="196" spans="2:38" ht="15" customHeight="1" x14ac:dyDescent="0.2">
      <c r="B196" s="193">
        <v>1</v>
      </c>
      <c r="C196" s="347" t="s">
        <v>301</v>
      </c>
      <c r="D196" s="193" t="str">
        <f t="shared" si="13"/>
        <v>CPO000159JAS</v>
      </c>
      <c r="E196" s="193" t="s">
        <v>46</v>
      </c>
      <c r="F196" s="193" t="s">
        <v>1429</v>
      </c>
      <c r="G196" s="193" t="s">
        <v>1341</v>
      </c>
      <c r="H196" s="193" t="s">
        <v>49</v>
      </c>
      <c r="I196" s="193" t="s">
        <v>41</v>
      </c>
      <c r="J196" s="193" t="str">
        <f t="shared" si="14"/>
        <v>10 Roda</v>
      </c>
      <c r="K196" s="194">
        <v>45990</v>
      </c>
      <c r="L196" s="195">
        <v>26660</v>
      </c>
      <c r="M196" s="195">
        <v>11800</v>
      </c>
      <c r="N196" s="195">
        <v>14860</v>
      </c>
      <c r="O196" s="195">
        <v>14220</v>
      </c>
      <c r="P196" s="196">
        <v>0.85833333333333295</v>
      </c>
      <c r="Q196" s="196">
        <v>0.90972222222222199</v>
      </c>
      <c r="R196" s="193" t="s">
        <v>137</v>
      </c>
      <c r="S196" s="193" t="s">
        <v>1393</v>
      </c>
      <c r="T196" s="197">
        <f t="shared" si="15"/>
        <v>68</v>
      </c>
      <c r="U196" s="193" t="s">
        <v>1922</v>
      </c>
      <c r="V196" s="193" t="str">
        <f t="shared" si="16"/>
        <v>Bone Bone</v>
      </c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8"/>
      <c r="AL196" s="18"/>
    </row>
    <row r="197" spans="2:38" ht="15" customHeight="1" x14ac:dyDescent="0.2">
      <c r="B197" s="193">
        <v>1</v>
      </c>
      <c r="C197" s="347" t="s">
        <v>302</v>
      </c>
      <c r="D197" s="193" t="str">
        <f t="shared" si="13"/>
        <v>CPO000160KMP</v>
      </c>
      <c r="E197" s="193" t="s">
        <v>76</v>
      </c>
      <c r="F197" s="193" t="s">
        <v>1450</v>
      </c>
      <c r="G197" s="193" t="s">
        <v>1342</v>
      </c>
      <c r="H197" s="193" t="s">
        <v>59</v>
      </c>
      <c r="I197" s="193" t="s">
        <v>41</v>
      </c>
      <c r="J197" s="193" t="str">
        <f t="shared" si="14"/>
        <v>12 Roda</v>
      </c>
      <c r="K197" s="194">
        <v>45991</v>
      </c>
      <c r="L197" s="195">
        <v>45760</v>
      </c>
      <c r="M197" s="195">
        <v>17690</v>
      </c>
      <c r="N197" s="195">
        <v>28070</v>
      </c>
      <c r="O197" s="195">
        <v>28100</v>
      </c>
      <c r="P197" s="196">
        <v>0.96388888888888902</v>
      </c>
      <c r="Q197" s="196">
        <v>3.4722222222222199E-3</v>
      </c>
      <c r="R197" s="193" t="s">
        <v>137</v>
      </c>
      <c r="S197" s="193" t="s">
        <v>1372</v>
      </c>
      <c r="T197" s="197">
        <f t="shared" si="15"/>
        <v>53</v>
      </c>
      <c r="U197" s="193" t="s">
        <v>1922</v>
      </c>
      <c r="V197" s="193" t="str">
        <f t="shared" si="16"/>
        <v>Masamba</v>
      </c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8"/>
      <c r="AL197" s="18"/>
    </row>
    <row r="198" spans="2:38" ht="15" customHeight="1" x14ac:dyDescent="0.2">
      <c r="B198" s="193">
        <v>1</v>
      </c>
      <c r="C198" s="347" t="s">
        <v>303</v>
      </c>
      <c r="D198" s="193" t="str">
        <f t="shared" si="13"/>
        <v>CPO000161KMP</v>
      </c>
      <c r="E198" s="193" t="s">
        <v>70</v>
      </c>
      <c r="F198" s="193" t="s">
        <v>1450</v>
      </c>
      <c r="G198" s="193" t="s">
        <v>1342</v>
      </c>
      <c r="H198" s="193" t="s">
        <v>59</v>
      </c>
      <c r="I198" s="193" t="s">
        <v>41</v>
      </c>
      <c r="J198" s="193" t="str">
        <f t="shared" si="14"/>
        <v>12 Roda</v>
      </c>
      <c r="K198" s="194">
        <v>45991</v>
      </c>
      <c r="L198" s="195">
        <v>45420</v>
      </c>
      <c r="M198" s="195">
        <v>17460</v>
      </c>
      <c r="N198" s="195">
        <v>27960</v>
      </c>
      <c r="O198" s="195">
        <v>27980</v>
      </c>
      <c r="P198" s="196">
        <v>0.99444444444444502</v>
      </c>
      <c r="Q198" s="196">
        <v>2.70833333333333E-2</v>
      </c>
      <c r="R198" s="193" t="s">
        <v>137</v>
      </c>
      <c r="S198" s="193" t="s">
        <v>1499</v>
      </c>
      <c r="T198" s="197">
        <f t="shared" si="15"/>
        <v>53</v>
      </c>
      <c r="U198" s="193" t="s">
        <v>1922</v>
      </c>
      <c r="V198" s="193" t="str">
        <f t="shared" si="16"/>
        <v>Masamba</v>
      </c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8"/>
      <c r="AL198" s="18"/>
    </row>
    <row r="199" spans="2:38" ht="15" customHeight="1" x14ac:dyDescent="0.2">
      <c r="B199" s="193">
        <v>1</v>
      </c>
      <c r="C199" s="347" t="s">
        <v>304</v>
      </c>
      <c r="D199" s="193" t="str">
        <f t="shared" si="13"/>
        <v>CPO000162JAS</v>
      </c>
      <c r="E199" s="193" t="s">
        <v>56</v>
      </c>
      <c r="F199" s="193" t="s">
        <v>1429</v>
      </c>
      <c r="G199" s="193" t="s">
        <v>1341</v>
      </c>
      <c r="H199" s="193" t="s">
        <v>49</v>
      </c>
      <c r="I199" s="193" t="s">
        <v>41</v>
      </c>
      <c r="J199" s="193" t="str">
        <f t="shared" si="14"/>
        <v>10 Roda</v>
      </c>
      <c r="K199" s="194">
        <v>45991</v>
      </c>
      <c r="L199" s="195">
        <v>25110</v>
      </c>
      <c r="M199" s="195">
        <v>10860</v>
      </c>
      <c r="N199" s="195">
        <v>14250</v>
      </c>
      <c r="O199" s="195">
        <v>14220</v>
      </c>
      <c r="P199" s="196">
        <v>0.99652777777777801</v>
      </c>
      <c r="Q199" s="196">
        <v>0.17013888888888901</v>
      </c>
      <c r="R199" s="193" t="s">
        <v>137</v>
      </c>
      <c r="S199" s="193" t="s">
        <v>1781</v>
      </c>
      <c r="T199" s="197">
        <f t="shared" si="15"/>
        <v>68</v>
      </c>
      <c r="U199" s="193" t="s">
        <v>1922</v>
      </c>
      <c r="V199" s="193" t="str">
        <f t="shared" si="16"/>
        <v>Bone Bone</v>
      </c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8"/>
      <c r="AL199" s="18"/>
    </row>
    <row r="200" spans="2:38" ht="15" customHeight="1" x14ac:dyDescent="0.2">
      <c r="B200" s="193">
        <v>1</v>
      </c>
      <c r="C200" s="347" t="s">
        <v>305</v>
      </c>
      <c r="D200" s="193" t="str">
        <f t="shared" si="13"/>
        <v>CPO000163JAS</v>
      </c>
      <c r="E200" s="193" t="s">
        <v>84</v>
      </c>
      <c r="F200" s="193" t="s">
        <v>1429</v>
      </c>
      <c r="G200" s="193" t="s">
        <v>1341</v>
      </c>
      <c r="H200" s="193" t="s">
        <v>49</v>
      </c>
      <c r="I200" s="193" t="s">
        <v>41</v>
      </c>
      <c r="J200" s="193" t="str">
        <f t="shared" si="14"/>
        <v>10 Roda</v>
      </c>
      <c r="K200" s="194">
        <v>45991</v>
      </c>
      <c r="L200" s="195">
        <v>26700</v>
      </c>
      <c r="M200" s="195">
        <v>12190</v>
      </c>
      <c r="N200" s="195">
        <v>14510</v>
      </c>
      <c r="O200" s="195">
        <v>14490</v>
      </c>
      <c r="P200" s="196">
        <v>0.99861111111111101</v>
      </c>
      <c r="Q200" s="196">
        <v>9.5138888888888898E-2</v>
      </c>
      <c r="R200" s="193" t="s">
        <v>137</v>
      </c>
      <c r="S200" s="193" t="s">
        <v>1782</v>
      </c>
      <c r="T200" s="197">
        <f t="shared" si="15"/>
        <v>68</v>
      </c>
      <c r="U200" s="193" t="s">
        <v>1922</v>
      </c>
      <c r="V200" s="193" t="str">
        <f t="shared" si="16"/>
        <v>Bone Bone</v>
      </c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8"/>
      <c r="AL200" s="18"/>
    </row>
    <row r="201" spans="2:38" ht="15" customHeight="1" x14ac:dyDescent="0.2">
      <c r="B201" s="193">
        <v>1</v>
      </c>
      <c r="C201" s="347" t="s">
        <v>306</v>
      </c>
      <c r="D201" s="193" t="str">
        <f t="shared" si="13"/>
        <v>CPO000164KMP</v>
      </c>
      <c r="E201" s="193" t="s">
        <v>76</v>
      </c>
      <c r="F201" s="193" t="s">
        <v>1450</v>
      </c>
      <c r="G201" s="193" t="s">
        <v>1342</v>
      </c>
      <c r="H201" s="193" t="s">
        <v>59</v>
      </c>
      <c r="I201" s="193" t="s">
        <v>41</v>
      </c>
      <c r="J201" s="193" t="str">
        <f t="shared" si="14"/>
        <v>12 Roda</v>
      </c>
      <c r="K201" s="194">
        <v>45991</v>
      </c>
      <c r="L201" s="195">
        <v>39830</v>
      </c>
      <c r="M201" s="195">
        <v>17670</v>
      </c>
      <c r="N201" s="195">
        <v>22160</v>
      </c>
      <c r="O201" s="195">
        <v>22240</v>
      </c>
      <c r="P201" s="196">
        <v>0.16736111111111099</v>
      </c>
      <c r="Q201" s="196">
        <v>0.20624999999999999</v>
      </c>
      <c r="R201" s="193" t="s">
        <v>137</v>
      </c>
      <c r="S201" s="193" t="s">
        <v>1372</v>
      </c>
      <c r="T201" s="197">
        <f t="shared" si="15"/>
        <v>53</v>
      </c>
      <c r="U201" s="193" t="s">
        <v>1922</v>
      </c>
      <c r="V201" s="193" t="str">
        <f t="shared" si="16"/>
        <v>Masamba</v>
      </c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8"/>
      <c r="AL201" s="18"/>
    </row>
    <row r="202" spans="2:38" ht="15" customHeight="1" x14ac:dyDescent="0.2">
      <c r="B202" s="193">
        <v>1</v>
      </c>
      <c r="C202" s="347" t="s">
        <v>307</v>
      </c>
      <c r="D202" s="193" t="str">
        <f t="shared" si="13"/>
        <v>CPO000165JAS</v>
      </c>
      <c r="E202" s="193" t="s">
        <v>76</v>
      </c>
      <c r="F202" s="193" t="s">
        <v>1429</v>
      </c>
      <c r="G202" s="193" t="s">
        <v>1341</v>
      </c>
      <c r="H202" s="193" t="s">
        <v>49</v>
      </c>
      <c r="I202" s="193" t="s">
        <v>41</v>
      </c>
      <c r="J202" s="193" t="str">
        <f t="shared" si="14"/>
        <v>12 Roda</v>
      </c>
      <c r="K202" s="194">
        <v>45991</v>
      </c>
      <c r="L202" s="195">
        <v>45940</v>
      </c>
      <c r="M202" s="195">
        <v>17680</v>
      </c>
      <c r="N202" s="195">
        <v>28260</v>
      </c>
      <c r="O202" s="195">
        <v>28230</v>
      </c>
      <c r="P202" s="196">
        <v>0.44513888888888897</v>
      </c>
      <c r="Q202" s="196">
        <v>0.62083333333333302</v>
      </c>
      <c r="R202" s="193" t="s">
        <v>42</v>
      </c>
      <c r="S202" s="193" t="s">
        <v>1372</v>
      </c>
      <c r="T202" s="197">
        <f t="shared" si="15"/>
        <v>68</v>
      </c>
      <c r="U202" s="193" t="s">
        <v>1922</v>
      </c>
      <c r="V202" s="193" t="str">
        <f t="shared" si="16"/>
        <v>Bone Bone</v>
      </c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8"/>
      <c r="AL202" s="18"/>
    </row>
    <row r="203" spans="2:38" ht="15" customHeight="1" x14ac:dyDescent="0.2">
      <c r="B203" s="193">
        <v>1</v>
      </c>
      <c r="C203" s="347" t="s">
        <v>308</v>
      </c>
      <c r="D203" s="193" t="str">
        <f t="shared" si="13"/>
        <v>CPO000166JAS</v>
      </c>
      <c r="E203" s="193" t="s">
        <v>84</v>
      </c>
      <c r="F203" s="193" t="s">
        <v>1429</v>
      </c>
      <c r="G203" s="193" t="s">
        <v>1341</v>
      </c>
      <c r="H203" s="193" t="s">
        <v>49</v>
      </c>
      <c r="I203" s="193" t="s">
        <v>41</v>
      </c>
      <c r="J203" s="193" t="str">
        <f t="shared" si="14"/>
        <v>10 Roda</v>
      </c>
      <c r="K203" s="194">
        <v>45991</v>
      </c>
      <c r="L203" s="195">
        <v>26640</v>
      </c>
      <c r="M203" s="195">
        <v>12120</v>
      </c>
      <c r="N203" s="195">
        <v>14520</v>
      </c>
      <c r="O203" s="195">
        <v>14460</v>
      </c>
      <c r="P203" s="196">
        <v>0.452777777777778</v>
      </c>
      <c r="Q203" s="196">
        <v>0.56597222222222199</v>
      </c>
      <c r="R203" s="193" t="s">
        <v>42</v>
      </c>
      <c r="S203" s="193" t="s">
        <v>1782</v>
      </c>
      <c r="T203" s="197">
        <f t="shared" si="15"/>
        <v>68</v>
      </c>
      <c r="U203" s="193" t="s">
        <v>1922</v>
      </c>
      <c r="V203" s="193" t="str">
        <f t="shared" si="16"/>
        <v>Bone Bone</v>
      </c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8"/>
      <c r="AL203" s="18"/>
    </row>
    <row r="204" spans="2:38" ht="15" customHeight="1" x14ac:dyDescent="0.2">
      <c r="B204" s="193">
        <v>1</v>
      </c>
      <c r="C204" s="347" t="s">
        <v>309</v>
      </c>
      <c r="D204" s="193" t="str">
        <f t="shared" si="13"/>
        <v>CPO000167JAS</v>
      </c>
      <c r="E204" s="193" t="s">
        <v>46</v>
      </c>
      <c r="F204" s="193" t="s">
        <v>1429</v>
      </c>
      <c r="G204" s="193" t="s">
        <v>1341</v>
      </c>
      <c r="H204" s="193" t="s">
        <v>49</v>
      </c>
      <c r="I204" s="193" t="s">
        <v>41</v>
      </c>
      <c r="J204" s="193" t="str">
        <f t="shared" si="14"/>
        <v>10 Roda</v>
      </c>
      <c r="K204" s="194">
        <v>45991</v>
      </c>
      <c r="L204" s="195">
        <v>26600</v>
      </c>
      <c r="M204" s="195">
        <v>11780</v>
      </c>
      <c r="N204" s="195">
        <v>14820</v>
      </c>
      <c r="O204" s="195">
        <v>14790</v>
      </c>
      <c r="P204" s="196">
        <v>0.46041666666666697</v>
      </c>
      <c r="Q204" s="196">
        <v>0.56388888888888899</v>
      </c>
      <c r="R204" s="193" t="s">
        <v>42</v>
      </c>
      <c r="S204" s="193" t="s">
        <v>1393</v>
      </c>
      <c r="T204" s="197">
        <f t="shared" si="15"/>
        <v>68</v>
      </c>
      <c r="U204" s="193" t="s">
        <v>1922</v>
      </c>
      <c r="V204" s="193" t="str">
        <f t="shared" si="16"/>
        <v>Bone Bone</v>
      </c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8"/>
      <c r="AL204" s="18"/>
    </row>
    <row r="205" spans="2:38" ht="15" customHeight="1" x14ac:dyDescent="0.2">
      <c r="B205" s="193">
        <v>1</v>
      </c>
      <c r="C205" s="347" t="s">
        <v>310</v>
      </c>
      <c r="D205" s="193" t="str">
        <f t="shared" si="13"/>
        <v>CPO000168JAS</v>
      </c>
      <c r="E205" s="193" t="s">
        <v>56</v>
      </c>
      <c r="F205" s="193" t="s">
        <v>1429</v>
      </c>
      <c r="G205" s="193" t="s">
        <v>1341</v>
      </c>
      <c r="H205" s="193" t="s">
        <v>49</v>
      </c>
      <c r="I205" s="193" t="s">
        <v>41</v>
      </c>
      <c r="J205" s="193" t="str">
        <f t="shared" si="14"/>
        <v>10 Roda</v>
      </c>
      <c r="K205" s="194">
        <v>45991</v>
      </c>
      <c r="L205" s="195">
        <v>25070</v>
      </c>
      <c r="M205" s="195">
        <v>10820</v>
      </c>
      <c r="N205" s="195">
        <v>14250</v>
      </c>
      <c r="O205" s="195">
        <v>14220</v>
      </c>
      <c r="P205" s="196">
        <v>0.47430555555555598</v>
      </c>
      <c r="Q205" s="196">
        <v>0.56458333333333299</v>
      </c>
      <c r="R205" s="193" t="s">
        <v>42</v>
      </c>
      <c r="S205" s="193" t="s">
        <v>1781</v>
      </c>
      <c r="T205" s="197">
        <f t="shared" si="15"/>
        <v>68</v>
      </c>
      <c r="U205" s="193" t="s">
        <v>1922</v>
      </c>
      <c r="V205" s="193" t="str">
        <f t="shared" si="16"/>
        <v>Bone Bone</v>
      </c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8"/>
      <c r="AL205" s="18"/>
    </row>
    <row r="206" spans="2:38" ht="15" customHeight="1" x14ac:dyDescent="0.2">
      <c r="B206" s="193">
        <v>1</v>
      </c>
      <c r="C206" s="347" t="s">
        <v>311</v>
      </c>
      <c r="D206" s="193" t="str">
        <f t="shared" si="13"/>
        <v>CPO000169JAS</v>
      </c>
      <c r="E206" s="193" t="s">
        <v>70</v>
      </c>
      <c r="F206" s="193" t="s">
        <v>1429</v>
      </c>
      <c r="G206" s="193" t="s">
        <v>1341</v>
      </c>
      <c r="H206" s="193" t="s">
        <v>49</v>
      </c>
      <c r="I206" s="193" t="s">
        <v>41</v>
      </c>
      <c r="J206" s="193" t="str">
        <f t="shared" si="14"/>
        <v>12 Roda</v>
      </c>
      <c r="K206" s="194">
        <v>45991</v>
      </c>
      <c r="L206" s="195">
        <v>45700</v>
      </c>
      <c r="M206" s="195">
        <v>17430</v>
      </c>
      <c r="N206" s="195">
        <v>28270</v>
      </c>
      <c r="O206" s="195">
        <v>28240</v>
      </c>
      <c r="P206" s="196">
        <v>0.56041666666666701</v>
      </c>
      <c r="Q206" s="196">
        <v>0.60972222222222205</v>
      </c>
      <c r="R206" s="193" t="s">
        <v>42</v>
      </c>
      <c r="S206" s="193" t="s">
        <v>1499</v>
      </c>
      <c r="T206" s="197">
        <f t="shared" si="15"/>
        <v>68</v>
      </c>
      <c r="U206" s="193" t="s">
        <v>1922</v>
      </c>
      <c r="V206" s="193" t="str">
        <f t="shared" si="16"/>
        <v>Bone Bone</v>
      </c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8"/>
      <c r="AL206" s="18"/>
    </row>
    <row r="207" spans="2:38" ht="15" customHeight="1" x14ac:dyDescent="0.2">
      <c r="B207" s="193">
        <v>1</v>
      </c>
      <c r="C207" s="347" t="s">
        <v>312</v>
      </c>
      <c r="D207" s="193" t="str">
        <f t="shared" si="13"/>
        <v>CPO000170JAS</v>
      </c>
      <c r="E207" s="193" t="s">
        <v>56</v>
      </c>
      <c r="F207" s="193" t="s">
        <v>1429</v>
      </c>
      <c r="G207" s="193" t="s">
        <v>1341</v>
      </c>
      <c r="H207" s="193" t="s">
        <v>49</v>
      </c>
      <c r="I207" s="193" t="s">
        <v>41</v>
      </c>
      <c r="J207" s="193" t="str">
        <f t="shared" si="14"/>
        <v>10 Roda</v>
      </c>
      <c r="K207" s="194">
        <v>45991</v>
      </c>
      <c r="L207" s="195">
        <v>25050</v>
      </c>
      <c r="M207" s="195">
        <v>10930</v>
      </c>
      <c r="N207" s="195">
        <v>14120</v>
      </c>
      <c r="O207" s="195">
        <v>14240</v>
      </c>
      <c r="P207" s="196">
        <v>0.74791666666666701</v>
      </c>
      <c r="Q207" s="196">
        <v>0.83611111111111103</v>
      </c>
      <c r="R207" s="193" t="s">
        <v>137</v>
      </c>
      <c r="S207" s="193" t="s">
        <v>1781</v>
      </c>
      <c r="T207" s="197">
        <f t="shared" si="15"/>
        <v>68</v>
      </c>
      <c r="U207" s="193" t="s">
        <v>1922</v>
      </c>
      <c r="V207" s="193" t="str">
        <f t="shared" si="16"/>
        <v>Bone Bone</v>
      </c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8"/>
      <c r="AL207" s="18"/>
    </row>
    <row r="208" spans="2:38" ht="15" customHeight="1" x14ac:dyDescent="0.2">
      <c r="B208" s="193">
        <v>1</v>
      </c>
      <c r="C208" s="347" t="s">
        <v>313</v>
      </c>
      <c r="D208" s="193" t="str">
        <f t="shared" si="13"/>
        <v>CPO000171JAS</v>
      </c>
      <c r="E208" s="193" t="s">
        <v>46</v>
      </c>
      <c r="F208" s="193" t="s">
        <v>1429</v>
      </c>
      <c r="G208" s="193" t="s">
        <v>1341</v>
      </c>
      <c r="H208" s="193" t="s">
        <v>49</v>
      </c>
      <c r="I208" s="193" t="s">
        <v>41</v>
      </c>
      <c r="J208" s="193" t="str">
        <f t="shared" si="14"/>
        <v>10 Roda</v>
      </c>
      <c r="K208" s="194">
        <v>45991</v>
      </c>
      <c r="L208" s="195">
        <v>26570</v>
      </c>
      <c r="M208" s="195">
        <v>11720</v>
      </c>
      <c r="N208" s="195">
        <v>14850</v>
      </c>
      <c r="O208" s="195">
        <v>14780</v>
      </c>
      <c r="P208" s="196">
        <v>0.75</v>
      </c>
      <c r="Q208" s="196">
        <v>0.83125000000000004</v>
      </c>
      <c r="R208" s="193" t="s">
        <v>137</v>
      </c>
      <c r="S208" s="193" t="s">
        <v>1393</v>
      </c>
      <c r="T208" s="197">
        <f t="shared" si="15"/>
        <v>68</v>
      </c>
      <c r="U208" s="193" t="s">
        <v>1922</v>
      </c>
      <c r="V208" s="193" t="str">
        <f t="shared" si="16"/>
        <v>Bone Bone</v>
      </c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8"/>
      <c r="AL208" s="18"/>
    </row>
    <row r="209" spans="2:38" ht="15" customHeight="1" x14ac:dyDescent="0.2">
      <c r="B209" s="193">
        <v>1</v>
      </c>
      <c r="C209" s="347" t="s">
        <v>314</v>
      </c>
      <c r="D209" s="193" t="str">
        <f t="shared" si="13"/>
        <v>CPO000172JAS</v>
      </c>
      <c r="E209" s="193" t="s">
        <v>84</v>
      </c>
      <c r="F209" s="193" t="s">
        <v>1429</v>
      </c>
      <c r="G209" s="193" t="s">
        <v>1341</v>
      </c>
      <c r="H209" s="193" t="s">
        <v>49</v>
      </c>
      <c r="I209" s="193" t="s">
        <v>41</v>
      </c>
      <c r="J209" s="193" t="str">
        <f t="shared" si="14"/>
        <v>10 Roda</v>
      </c>
      <c r="K209" s="194">
        <v>45991</v>
      </c>
      <c r="L209" s="195">
        <v>26720</v>
      </c>
      <c r="M209" s="195">
        <v>12260</v>
      </c>
      <c r="N209" s="195">
        <v>14460</v>
      </c>
      <c r="O209" s="195">
        <v>14460</v>
      </c>
      <c r="P209" s="196">
        <v>0.77361111111111103</v>
      </c>
      <c r="Q209" s="196">
        <v>0.83541666666666703</v>
      </c>
      <c r="R209" s="193" t="s">
        <v>137</v>
      </c>
      <c r="S209" s="193" t="s">
        <v>1782</v>
      </c>
      <c r="T209" s="197">
        <f t="shared" si="15"/>
        <v>68</v>
      </c>
      <c r="U209" s="193" t="s">
        <v>1922</v>
      </c>
      <c r="V209" s="193" t="str">
        <f t="shared" si="16"/>
        <v>Bone Bone</v>
      </c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8"/>
      <c r="AL209" s="18"/>
    </row>
    <row r="210" spans="2:38" ht="15" customHeight="1" x14ac:dyDescent="0.2">
      <c r="B210" s="193">
        <v>1</v>
      </c>
      <c r="C210" s="347" t="s">
        <v>315</v>
      </c>
      <c r="D210" s="193" t="str">
        <f t="shared" si="13"/>
        <v>CPO000173JAS</v>
      </c>
      <c r="E210" s="193" t="s">
        <v>76</v>
      </c>
      <c r="F210" s="193" t="s">
        <v>1429</v>
      </c>
      <c r="G210" s="193" t="s">
        <v>1341</v>
      </c>
      <c r="H210" s="193" t="s">
        <v>49</v>
      </c>
      <c r="I210" s="193" t="s">
        <v>41</v>
      </c>
      <c r="J210" s="193" t="str">
        <f t="shared" si="14"/>
        <v>12 Roda</v>
      </c>
      <c r="K210" s="194">
        <v>45991</v>
      </c>
      <c r="L210" s="195">
        <v>45900</v>
      </c>
      <c r="M210" s="195">
        <v>17620</v>
      </c>
      <c r="N210" s="195">
        <v>28280</v>
      </c>
      <c r="O210" s="195">
        <v>28200</v>
      </c>
      <c r="P210" s="196">
        <v>0.82499999999999996</v>
      </c>
      <c r="Q210" s="196">
        <v>0.87152777777777801</v>
      </c>
      <c r="R210" s="193" t="s">
        <v>137</v>
      </c>
      <c r="S210" s="193" t="s">
        <v>1372</v>
      </c>
      <c r="T210" s="197">
        <f t="shared" si="15"/>
        <v>68</v>
      </c>
      <c r="U210" s="193" t="s">
        <v>1922</v>
      </c>
      <c r="V210" s="193" t="str">
        <f t="shared" si="16"/>
        <v>Bone Bone</v>
      </c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8"/>
      <c r="AL210" s="18"/>
    </row>
    <row r="211" spans="2:38" ht="15" customHeight="1" x14ac:dyDescent="0.2">
      <c r="B211" s="193">
        <v>1</v>
      </c>
      <c r="C211" s="347" t="s">
        <v>316</v>
      </c>
      <c r="D211" s="193" t="str">
        <f t="shared" si="13"/>
        <v>CPO000174JAS</v>
      </c>
      <c r="E211" s="193" t="s">
        <v>70</v>
      </c>
      <c r="F211" s="193" t="s">
        <v>1429</v>
      </c>
      <c r="G211" s="193" t="s">
        <v>1341</v>
      </c>
      <c r="H211" s="193" t="s">
        <v>49</v>
      </c>
      <c r="I211" s="193" t="s">
        <v>41</v>
      </c>
      <c r="J211" s="193" t="str">
        <f t="shared" si="14"/>
        <v>12 Roda</v>
      </c>
      <c r="K211" s="194">
        <v>45991</v>
      </c>
      <c r="L211" s="195">
        <v>45940</v>
      </c>
      <c r="M211" s="195">
        <v>17650</v>
      </c>
      <c r="N211" s="195">
        <v>28290</v>
      </c>
      <c r="O211" s="195">
        <v>28230</v>
      </c>
      <c r="P211" s="196">
        <v>0.84722222222222199</v>
      </c>
      <c r="Q211" s="196">
        <v>0.88333333333333297</v>
      </c>
      <c r="R211" s="193" t="s">
        <v>137</v>
      </c>
      <c r="S211" s="193" t="s">
        <v>1499</v>
      </c>
      <c r="T211" s="197">
        <f t="shared" si="15"/>
        <v>68</v>
      </c>
      <c r="U211" s="193" t="s">
        <v>1922</v>
      </c>
      <c r="V211" s="193" t="str">
        <f t="shared" si="16"/>
        <v>Bone Bone</v>
      </c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8"/>
      <c r="AL211" s="18"/>
    </row>
    <row r="212" spans="2:38" ht="15" customHeight="1" x14ac:dyDescent="0.2">
      <c r="B212" s="193">
        <v>1</v>
      </c>
      <c r="C212" s="347" t="s">
        <v>320</v>
      </c>
      <c r="D212" s="193" t="str">
        <f t="shared" si="13"/>
        <v>CPO000178MIS</v>
      </c>
      <c r="E212" s="193" t="s">
        <v>151</v>
      </c>
      <c r="F212" s="193" t="s">
        <v>1345</v>
      </c>
      <c r="G212" s="193" t="s">
        <v>1344</v>
      </c>
      <c r="H212" s="193" t="s">
        <v>40</v>
      </c>
      <c r="I212" s="193" t="s">
        <v>41</v>
      </c>
      <c r="J212" s="193" t="str">
        <f t="shared" si="14"/>
        <v>6 Roda</v>
      </c>
      <c r="K212" s="194">
        <v>45992</v>
      </c>
      <c r="L212" s="195">
        <v>13470</v>
      </c>
      <c r="M212" s="195">
        <v>4070</v>
      </c>
      <c r="N212" s="195">
        <v>9400</v>
      </c>
      <c r="O212" s="195">
        <v>9400</v>
      </c>
      <c r="P212" s="196">
        <v>0.69722222222222197</v>
      </c>
      <c r="Q212" s="196">
        <v>0.74166666666666703</v>
      </c>
      <c r="R212" s="193" t="s">
        <v>137</v>
      </c>
      <c r="S212" s="193"/>
      <c r="T212" s="197">
        <f t="shared" si="15"/>
        <v>494</v>
      </c>
      <c r="U212" s="193"/>
      <c r="V212" s="193" t="str">
        <f t="shared" si="16"/>
        <v>Pomala</v>
      </c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8"/>
      <c r="AL212" s="18"/>
    </row>
    <row r="213" spans="2:38" ht="15" customHeight="1" x14ac:dyDescent="0.2">
      <c r="B213" s="193">
        <v>1</v>
      </c>
      <c r="C213" s="347" t="s">
        <v>321</v>
      </c>
      <c r="D213" s="193" t="str">
        <f t="shared" si="13"/>
        <v>CPO000179MIS</v>
      </c>
      <c r="E213" s="193" t="s">
        <v>183</v>
      </c>
      <c r="F213" s="193" t="s">
        <v>1345</v>
      </c>
      <c r="G213" s="193" t="s">
        <v>1344</v>
      </c>
      <c r="H213" s="193" t="s">
        <v>40</v>
      </c>
      <c r="I213" s="193" t="s">
        <v>41</v>
      </c>
      <c r="J213" s="193" t="str">
        <f t="shared" si="14"/>
        <v>6 Roda</v>
      </c>
      <c r="K213" s="194">
        <v>45992</v>
      </c>
      <c r="L213" s="195">
        <v>14210</v>
      </c>
      <c r="M213" s="195">
        <v>4170</v>
      </c>
      <c r="N213" s="195">
        <v>10040</v>
      </c>
      <c r="O213" s="195">
        <v>10020</v>
      </c>
      <c r="P213" s="196">
        <v>0.70555555555555605</v>
      </c>
      <c r="Q213" s="196">
        <v>0.73888888888888904</v>
      </c>
      <c r="R213" s="193" t="s">
        <v>137</v>
      </c>
      <c r="S213" s="193"/>
      <c r="T213" s="197">
        <f t="shared" si="15"/>
        <v>494</v>
      </c>
      <c r="U213" s="193"/>
      <c r="V213" s="193" t="str">
        <f t="shared" si="16"/>
        <v>Pomala</v>
      </c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8"/>
      <c r="AL213" s="18"/>
    </row>
    <row r="214" spans="2:38" ht="15" customHeight="1" x14ac:dyDescent="0.2">
      <c r="B214" s="193">
        <v>1</v>
      </c>
      <c r="C214" s="347" t="s">
        <v>322</v>
      </c>
      <c r="D214" s="193" t="str">
        <f t="shared" si="13"/>
        <v>CPO000180MIS</v>
      </c>
      <c r="E214" s="193" t="s">
        <v>155</v>
      </c>
      <c r="F214" s="193" t="s">
        <v>1345</v>
      </c>
      <c r="G214" s="193" t="s">
        <v>1344</v>
      </c>
      <c r="H214" s="193" t="s">
        <v>40</v>
      </c>
      <c r="I214" s="193" t="s">
        <v>41</v>
      </c>
      <c r="J214" s="193" t="str">
        <f t="shared" si="14"/>
        <v>6 Roda</v>
      </c>
      <c r="K214" s="194">
        <v>45992</v>
      </c>
      <c r="L214" s="195">
        <v>13520</v>
      </c>
      <c r="M214" s="195">
        <v>3880</v>
      </c>
      <c r="N214" s="195">
        <v>9640</v>
      </c>
      <c r="O214" s="195">
        <v>9620</v>
      </c>
      <c r="P214" s="196">
        <v>0.88611111111111096</v>
      </c>
      <c r="Q214" s="196">
        <v>0.93888888888888899</v>
      </c>
      <c r="R214" s="193" t="s">
        <v>42</v>
      </c>
      <c r="S214" s="193"/>
      <c r="T214" s="197">
        <f t="shared" si="15"/>
        <v>494</v>
      </c>
      <c r="U214" s="193"/>
      <c r="V214" s="193" t="str">
        <f t="shared" si="16"/>
        <v>Pomala</v>
      </c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8"/>
      <c r="AL214" s="18"/>
    </row>
    <row r="215" spans="2:38" ht="15" customHeight="1" x14ac:dyDescent="0.2">
      <c r="B215" s="193">
        <v>1</v>
      </c>
      <c r="C215" s="347" t="s">
        <v>323</v>
      </c>
      <c r="D215" s="193" t="str">
        <f t="shared" ref="D215:D278" si="17">I215&amp;C215&amp;_xlfn.XLOOKUP(H215,$AM$4:$AM$26,$AN$4:$AN$26,"")</f>
        <v>CPO000181MIS</v>
      </c>
      <c r="E215" s="193" t="s">
        <v>39</v>
      </c>
      <c r="F215" s="193" t="s">
        <v>1345</v>
      </c>
      <c r="G215" s="193" t="s">
        <v>1344</v>
      </c>
      <c r="H215" s="193" t="s">
        <v>40</v>
      </c>
      <c r="I215" s="193" t="s">
        <v>41</v>
      </c>
      <c r="J215" s="193" t="str">
        <f t="shared" ref="J215:J278" si="18">IF(MIN(L215,M215)&lt;=5000,"6 Roda",IF(MIN(L215,M215)&lt;=13800,"10 Roda","12 Roda"))</f>
        <v>6 Roda</v>
      </c>
      <c r="K215" s="194">
        <v>45992</v>
      </c>
      <c r="L215" s="195">
        <v>13710</v>
      </c>
      <c r="M215" s="195">
        <v>4090</v>
      </c>
      <c r="N215" s="195">
        <v>9620</v>
      </c>
      <c r="O215" s="195">
        <v>9590</v>
      </c>
      <c r="P215" s="196">
        <v>0.88680555555555596</v>
      </c>
      <c r="Q215" s="196">
        <v>0.94027777777777799</v>
      </c>
      <c r="R215" s="193" t="s">
        <v>42</v>
      </c>
      <c r="S215" s="193"/>
      <c r="T215" s="197">
        <f t="shared" ref="T215:T278" si="19">IFERROR(_xlfn.XLOOKUP(H215,$AM$4:$AM$18,$AP$4:$AP$18,""),0)</f>
        <v>494</v>
      </c>
      <c r="U215" s="193"/>
      <c r="V215" s="193" t="str">
        <f t="shared" ref="V215:V278" si="20">IFERROR(_xlfn.XLOOKUP(H215,$AM$4:$AM$18,$AO$4:$AO$18,""),"")</f>
        <v>Pomala</v>
      </c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8"/>
      <c r="AL215" s="18"/>
    </row>
    <row r="216" spans="2:38" ht="15" customHeight="1" x14ac:dyDescent="0.2">
      <c r="B216" s="193">
        <v>1</v>
      </c>
      <c r="C216" s="347" t="s">
        <v>324</v>
      </c>
      <c r="D216" s="193" t="str">
        <f t="shared" si="17"/>
        <v>CPO000182MIS</v>
      </c>
      <c r="E216" s="193" t="s">
        <v>184</v>
      </c>
      <c r="F216" s="193" t="s">
        <v>1345</v>
      </c>
      <c r="G216" s="193" t="s">
        <v>1344</v>
      </c>
      <c r="H216" s="193" t="s">
        <v>40</v>
      </c>
      <c r="I216" s="193" t="s">
        <v>41</v>
      </c>
      <c r="J216" s="193" t="str">
        <f t="shared" si="18"/>
        <v>6 Roda</v>
      </c>
      <c r="K216" s="194">
        <v>45992</v>
      </c>
      <c r="L216" s="195">
        <v>13780</v>
      </c>
      <c r="M216" s="195">
        <v>3910</v>
      </c>
      <c r="N216" s="195">
        <v>9870</v>
      </c>
      <c r="O216" s="195">
        <v>9840</v>
      </c>
      <c r="P216" s="196">
        <v>0.88888888888888895</v>
      </c>
      <c r="Q216" s="196">
        <v>0.98958333333333304</v>
      </c>
      <c r="R216" s="193" t="s">
        <v>42</v>
      </c>
      <c r="S216" s="193"/>
      <c r="T216" s="197">
        <f t="shared" si="19"/>
        <v>494</v>
      </c>
      <c r="U216" s="193"/>
      <c r="V216" s="193" t="str">
        <f t="shared" si="20"/>
        <v>Pomala</v>
      </c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8"/>
      <c r="AL216" s="18"/>
    </row>
    <row r="217" spans="2:38" ht="15" customHeight="1" x14ac:dyDescent="0.2">
      <c r="B217" s="193">
        <v>1</v>
      </c>
      <c r="C217" s="347" t="s">
        <v>317</v>
      </c>
      <c r="D217" s="193" t="str">
        <f t="shared" si="17"/>
        <v>CPO000175JAS</v>
      </c>
      <c r="E217" s="193" t="s">
        <v>46</v>
      </c>
      <c r="F217" s="193" t="s">
        <v>1429</v>
      </c>
      <c r="G217" s="193" t="s">
        <v>1341</v>
      </c>
      <c r="H217" s="193" t="s">
        <v>49</v>
      </c>
      <c r="I217" s="193" t="s">
        <v>41</v>
      </c>
      <c r="J217" s="193" t="str">
        <f t="shared" si="18"/>
        <v>10 Roda</v>
      </c>
      <c r="K217" s="194">
        <v>45992</v>
      </c>
      <c r="L217" s="195">
        <v>26550</v>
      </c>
      <c r="M217" s="195">
        <v>11700</v>
      </c>
      <c r="N217" s="195">
        <v>14850</v>
      </c>
      <c r="O217" s="195">
        <v>14830</v>
      </c>
      <c r="P217" s="196">
        <v>5.1388888888888901E-2</v>
      </c>
      <c r="Q217" s="196">
        <v>8.5416666666666696E-2</v>
      </c>
      <c r="R217" s="193" t="s">
        <v>137</v>
      </c>
      <c r="S217" s="193" t="s">
        <v>1393</v>
      </c>
      <c r="T217" s="197">
        <f t="shared" si="19"/>
        <v>68</v>
      </c>
      <c r="U217" s="193" t="s">
        <v>1922</v>
      </c>
      <c r="V217" s="193" t="str">
        <f t="shared" si="20"/>
        <v>Bone Bone</v>
      </c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8"/>
      <c r="AL217" s="18"/>
    </row>
    <row r="218" spans="2:38" ht="15" customHeight="1" x14ac:dyDescent="0.2">
      <c r="B218" s="193">
        <v>1</v>
      </c>
      <c r="C218" s="347" t="s">
        <v>318</v>
      </c>
      <c r="D218" s="193" t="str">
        <f t="shared" si="17"/>
        <v>CPO000176JAS</v>
      </c>
      <c r="E218" s="193" t="s">
        <v>56</v>
      </c>
      <c r="F218" s="193" t="s">
        <v>1429</v>
      </c>
      <c r="G218" s="193" t="s">
        <v>1341</v>
      </c>
      <c r="H218" s="193" t="s">
        <v>49</v>
      </c>
      <c r="I218" s="193" t="s">
        <v>41</v>
      </c>
      <c r="J218" s="193" t="str">
        <f t="shared" si="18"/>
        <v>10 Roda</v>
      </c>
      <c r="K218" s="194">
        <v>45992</v>
      </c>
      <c r="L218" s="195">
        <v>25130</v>
      </c>
      <c r="M218" s="195">
        <v>10870</v>
      </c>
      <c r="N218" s="195">
        <v>14260</v>
      </c>
      <c r="O218" s="195">
        <v>14220</v>
      </c>
      <c r="P218" s="196">
        <v>5.5555555555555601E-2</v>
      </c>
      <c r="Q218" s="196">
        <v>0.10763888888888901</v>
      </c>
      <c r="R218" s="193" t="s">
        <v>137</v>
      </c>
      <c r="S218" s="193" t="s">
        <v>1781</v>
      </c>
      <c r="T218" s="197">
        <f t="shared" si="19"/>
        <v>68</v>
      </c>
      <c r="U218" s="193" t="s">
        <v>1922</v>
      </c>
      <c r="V218" s="193" t="str">
        <f t="shared" si="20"/>
        <v>Bone Bone</v>
      </c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8"/>
      <c r="AL218" s="18"/>
    </row>
    <row r="219" spans="2:38" ht="15" customHeight="1" x14ac:dyDescent="0.2">
      <c r="B219" s="193">
        <v>1</v>
      </c>
      <c r="C219" s="347" t="s">
        <v>319</v>
      </c>
      <c r="D219" s="193" t="str">
        <f t="shared" si="17"/>
        <v>CPO000177JAS</v>
      </c>
      <c r="E219" s="193" t="s">
        <v>84</v>
      </c>
      <c r="F219" s="193" t="s">
        <v>1429</v>
      </c>
      <c r="G219" s="193" t="s">
        <v>1341</v>
      </c>
      <c r="H219" s="193" t="s">
        <v>49</v>
      </c>
      <c r="I219" s="193" t="s">
        <v>41</v>
      </c>
      <c r="J219" s="193" t="str">
        <f t="shared" si="18"/>
        <v>10 Roda</v>
      </c>
      <c r="K219" s="194">
        <v>45992</v>
      </c>
      <c r="L219" s="195">
        <v>26690</v>
      </c>
      <c r="M219" s="195">
        <v>12210</v>
      </c>
      <c r="N219" s="195">
        <v>14480</v>
      </c>
      <c r="O219" s="195">
        <v>14440</v>
      </c>
      <c r="P219" s="196">
        <v>7.0138888888888903E-2</v>
      </c>
      <c r="Q219" s="196">
        <v>0.117361111111111</v>
      </c>
      <c r="R219" s="193" t="s">
        <v>137</v>
      </c>
      <c r="S219" s="193" t="s">
        <v>1782</v>
      </c>
      <c r="T219" s="197">
        <f t="shared" si="19"/>
        <v>68</v>
      </c>
      <c r="U219" s="193" t="s">
        <v>1922</v>
      </c>
      <c r="V219" s="193" t="str">
        <f t="shared" si="20"/>
        <v>Bone Bone</v>
      </c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8"/>
      <c r="AL219" s="18"/>
    </row>
    <row r="220" spans="2:38" ht="15" customHeight="1" x14ac:dyDescent="0.2">
      <c r="B220" s="193">
        <v>1</v>
      </c>
      <c r="C220" s="347" t="s">
        <v>325</v>
      </c>
      <c r="D220" s="193" t="str">
        <f t="shared" si="17"/>
        <v>CPO000183MIS</v>
      </c>
      <c r="E220" s="193" t="s">
        <v>73</v>
      </c>
      <c r="F220" s="193" t="s">
        <v>1345</v>
      </c>
      <c r="G220" s="193" t="s">
        <v>1344</v>
      </c>
      <c r="H220" s="193" t="s">
        <v>40</v>
      </c>
      <c r="I220" s="193" t="s">
        <v>41</v>
      </c>
      <c r="J220" s="193" t="str">
        <f t="shared" si="18"/>
        <v>6 Roda</v>
      </c>
      <c r="K220" s="194">
        <v>45993</v>
      </c>
      <c r="L220" s="195">
        <v>13410</v>
      </c>
      <c r="M220" s="195">
        <v>4010</v>
      </c>
      <c r="N220" s="195">
        <v>9400</v>
      </c>
      <c r="O220" s="195">
        <v>9380</v>
      </c>
      <c r="P220" s="196">
        <v>5.1388888888888901E-2</v>
      </c>
      <c r="Q220" s="196">
        <v>8.8888888888888906E-2</v>
      </c>
      <c r="R220" s="193" t="s">
        <v>42</v>
      </c>
      <c r="S220" s="193"/>
      <c r="T220" s="197">
        <f t="shared" si="19"/>
        <v>494</v>
      </c>
      <c r="U220" s="193"/>
      <c r="V220" s="193" t="str">
        <f t="shared" si="20"/>
        <v>Pomala</v>
      </c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8"/>
      <c r="AL220" s="18"/>
    </row>
    <row r="221" spans="2:38" ht="15" customHeight="1" x14ac:dyDescent="0.2">
      <c r="B221" s="193">
        <v>1</v>
      </c>
      <c r="C221" s="347" t="s">
        <v>326</v>
      </c>
      <c r="D221" s="193" t="str">
        <f t="shared" si="17"/>
        <v>CPO000184MIS</v>
      </c>
      <c r="E221" s="193" t="s">
        <v>53</v>
      </c>
      <c r="F221" s="193" t="s">
        <v>1345</v>
      </c>
      <c r="G221" s="193" t="s">
        <v>1344</v>
      </c>
      <c r="H221" s="193" t="s">
        <v>40</v>
      </c>
      <c r="I221" s="193" t="s">
        <v>41</v>
      </c>
      <c r="J221" s="193" t="str">
        <f t="shared" si="18"/>
        <v>6 Roda</v>
      </c>
      <c r="K221" s="194">
        <v>45993</v>
      </c>
      <c r="L221" s="195">
        <v>13360</v>
      </c>
      <c r="M221" s="195">
        <v>3740</v>
      </c>
      <c r="N221" s="195">
        <v>9620</v>
      </c>
      <c r="O221" s="195">
        <v>9520</v>
      </c>
      <c r="P221" s="196">
        <v>7.8472222222222193E-2</v>
      </c>
      <c r="Q221" s="196">
        <v>0.104861111111111</v>
      </c>
      <c r="R221" s="193" t="s">
        <v>42</v>
      </c>
      <c r="S221" s="193"/>
      <c r="T221" s="197">
        <f t="shared" si="19"/>
        <v>494</v>
      </c>
      <c r="U221" s="193"/>
      <c r="V221" s="193" t="str">
        <f t="shared" si="20"/>
        <v>Pomala</v>
      </c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8"/>
      <c r="AL221" s="18"/>
    </row>
    <row r="222" spans="2:38" ht="15" customHeight="1" x14ac:dyDescent="0.2">
      <c r="B222" s="193">
        <v>1</v>
      </c>
      <c r="C222" s="347" t="s">
        <v>327</v>
      </c>
      <c r="D222" s="193" t="str">
        <f t="shared" si="17"/>
        <v>CPO000185MIS</v>
      </c>
      <c r="E222" s="193" t="s">
        <v>171</v>
      </c>
      <c r="F222" s="193" t="s">
        <v>1345</v>
      </c>
      <c r="G222" s="193" t="s">
        <v>1344</v>
      </c>
      <c r="H222" s="193" t="s">
        <v>40</v>
      </c>
      <c r="I222" s="193" t="s">
        <v>41</v>
      </c>
      <c r="J222" s="193" t="str">
        <f t="shared" si="18"/>
        <v>6 Roda</v>
      </c>
      <c r="K222" s="194">
        <v>45993</v>
      </c>
      <c r="L222" s="195">
        <v>13220</v>
      </c>
      <c r="M222" s="195">
        <v>3630</v>
      </c>
      <c r="N222" s="195">
        <v>9590</v>
      </c>
      <c r="O222" s="195">
        <v>9560</v>
      </c>
      <c r="P222" s="196">
        <v>7.9861111111111105E-2</v>
      </c>
      <c r="Q222" s="196">
        <v>0.109722222222222</v>
      </c>
      <c r="R222" s="193" t="s">
        <v>42</v>
      </c>
      <c r="S222" s="193"/>
      <c r="T222" s="197">
        <f t="shared" si="19"/>
        <v>494</v>
      </c>
      <c r="U222" s="193"/>
      <c r="V222" s="193" t="str">
        <f t="shared" si="20"/>
        <v>Pomala</v>
      </c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8"/>
      <c r="AL222" s="18"/>
    </row>
    <row r="223" spans="2:38" ht="15" customHeight="1" x14ac:dyDescent="0.2">
      <c r="B223" s="193">
        <v>1</v>
      </c>
      <c r="C223" s="347" t="s">
        <v>328</v>
      </c>
      <c r="D223" s="193" t="str">
        <f t="shared" si="17"/>
        <v>CPO000186MIS</v>
      </c>
      <c r="E223" s="193" t="s">
        <v>158</v>
      </c>
      <c r="F223" s="193" t="s">
        <v>1345</v>
      </c>
      <c r="G223" s="193" t="s">
        <v>1344</v>
      </c>
      <c r="H223" s="193" t="s">
        <v>40</v>
      </c>
      <c r="I223" s="193" t="s">
        <v>41</v>
      </c>
      <c r="J223" s="193" t="str">
        <f t="shared" si="18"/>
        <v>6 Roda</v>
      </c>
      <c r="K223" s="194">
        <v>45993</v>
      </c>
      <c r="L223" s="195">
        <v>13930</v>
      </c>
      <c r="M223" s="195">
        <v>3890</v>
      </c>
      <c r="N223" s="195">
        <v>10040</v>
      </c>
      <c r="O223" s="195">
        <v>10010</v>
      </c>
      <c r="P223" s="196">
        <v>0.390277777777778</v>
      </c>
      <c r="Q223" s="196">
        <v>0.41111111111111098</v>
      </c>
      <c r="R223" s="193" t="s">
        <v>137</v>
      </c>
      <c r="S223" s="193"/>
      <c r="T223" s="197">
        <f t="shared" si="19"/>
        <v>494</v>
      </c>
      <c r="U223" s="193"/>
      <c r="V223" s="193" t="str">
        <f t="shared" si="20"/>
        <v>Pomala</v>
      </c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8"/>
      <c r="AL223" s="18"/>
    </row>
    <row r="224" spans="2:38" ht="15" customHeight="1" x14ac:dyDescent="0.2">
      <c r="B224" s="193">
        <v>1</v>
      </c>
      <c r="C224" s="347" t="s">
        <v>329</v>
      </c>
      <c r="D224" s="193" t="str">
        <f t="shared" si="17"/>
        <v>CPO000187MIS</v>
      </c>
      <c r="E224" s="193" t="s">
        <v>169</v>
      </c>
      <c r="F224" s="193" t="s">
        <v>1345</v>
      </c>
      <c r="G224" s="193" t="s">
        <v>1344</v>
      </c>
      <c r="H224" s="193" t="s">
        <v>40</v>
      </c>
      <c r="I224" s="193" t="s">
        <v>41</v>
      </c>
      <c r="J224" s="193" t="str">
        <f t="shared" si="18"/>
        <v>6 Roda</v>
      </c>
      <c r="K224" s="194">
        <v>45993</v>
      </c>
      <c r="L224" s="195">
        <v>13420</v>
      </c>
      <c r="M224" s="195">
        <v>3980</v>
      </c>
      <c r="N224" s="195">
        <v>9440</v>
      </c>
      <c r="O224" s="195">
        <v>9420</v>
      </c>
      <c r="P224" s="196">
        <v>0.40277777777777801</v>
      </c>
      <c r="Q224" s="196">
        <v>0.420833333333333</v>
      </c>
      <c r="R224" s="193" t="s">
        <v>137</v>
      </c>
      <c r="S224" s="193"/>
      <c r="T224" s="197">
        <f t="shared" si="19"/>
        <v>494</v>
      </c>
      <c r="U224" s="193"/>
      <c r="V224" s="193" t="str">
        <f t="shared" si="20"/>
        <v>Pomala</v>
      </c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8"/>
      <c r="AL224" s="18"/>
    </row>
    <row r="225" spans="2:38" ht="15" customHeight="1" x14ac:dyDescent="0.2">
      <c r="B225" s="193">
        <v>1</v>
      </c>
      <c r="C225" s="347" t="s">
        <v>330</v>
      </c>
      <c r="D225" s="193" t="str">
        <f t="shared" si="17"/>
        <v>CPO000188MIS</v>
      </c>
      <c r="E225" s="193" t="s">
        <v>160</v>
      </c>
      <c r="F225" s="193" t="s">
        <v>1345</v>
      </c>
      <c r="G225" s="193" t="s">
        <v>1344</v>
      </c>
      <c r="H225" s="193" t="s">
        <v>40</v>
      </c>
      <c r="I225" s="193" t="s">
        <v>41</v>
      </c>
      <c r="J225" s="193" t="str">
        <f t="shared" si="18"/>
        <v>6 Roda</v>
      </c>
      <c r="K225" s="194">
        <v>45993</v>
      </c>
      <c r="L225" s="195">
        <v>13470</v>
      </c>
      <c r="M225" s="195">
        <v>3630</v>
      </c>
      <c r="N225" s="195">
        <v>9840</v>
      </c>
      <c r="O225" s="195">
        <v>9810</v>
      </c>
      <c r="P225" s="196">
        <v>0.72222222222222199</v>
      </c>
      <c r="Q225" s="196">
        <v>0.76249999999999996</v>
      </c>
      <c r="R225" s="193" t="s">
        <v>137</v>
      </c>
      <c r="S225" s="193"/>
      <c r="T225" s="197">
        <f t="shared" si="19"/>
        <v>494</v>
      </c>
      <c r="U225" s="193"/>
      <c r="V225" s="193" t="str">
        <f t="shared" si="20"/>
        <v>Pomala</v>
      </c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8"/>
      <c r="AL225" s="18"/>
    </row>
    <row r="226" spans="2:38" ht="15" customHeight="1" x14ac:dyDescent="0.2">
      <c r="B226" s="193">
        <v>1</v>
      </c>
      <c r="C226" s="347" t="s">
        <v>331</v>
      </c>
      <c r="D226" s="193" t="str">
        <f t="shared" si="17"/>
        <v>CPO000189MIS</v>
      </c>
      <c r="E226" s="193" t="s">
        <v>173</v>
      </c>
      <c r="F226" s="193" t="s">
        <v>1345</v>
      </c>
      <c r="G226" s="193" t="s">
        <v>1344</v>
      </c>
      <c r="H226" s="193" t="s">
        <v>40</v>
      </c>
      <c r="I226" s="193" t="s">
        <v>41</v>
      </c>
      <c r="J226" s="193" t="str">
        <f t="shared" si="18"/>
        <v>6 Roda</v>
      </c>
      <c r="K226" s="194">
        <v>45993</v>
      </c>
      <c r="L226" s="195">
        <v>14320</v>
      </c>
      <c r="M226" s="195">
        <v>4630</v>
      </c>
      <c r="N226" s="195">
        <v>9690</v>
      </c>
      <c r="O226" s="195">
        <v>9680</v>
      </c>
      <c r="P226" s="196">
        <v>0.74166666666666703</v>
      </c>
      <c r="Q226" s="196">
        <v>0.77708333333333302</v>
      </c>
      <c r="R226" s="193" t="s">
        <v>137</v>
      </c>
      <c r="S226" s="193"/>
      <c r="T226" s="197">
        <f t="shared" si="19"/>
        <v>494</v>
      </c>
      <c r="U226" s="193"/>
      <c r="V226" s="193" t="str">
        <f t="shared" si="20"/>
        <v>Pomala</v>
      </c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8"/>
      <c r="AL226" s="18"/>
    </row>
    <row r="227" spans="2:38" ht="15" customHeight="1" x14ac:dyDescent="0.2">
      <c r="B227" s="193">
        <v>1</v>
      </c>
      <c r="C227" s="347" t="s">
        <v>332</v>
      </c>
      <c r="D227" s="193" t="str">
        <f t="shared" si="17"/>
        <v>CPO000190MIS</v>
      </c>
      <c r="E227" s="193" t="s">
        <v>177</v>
      </c>
      <c r="F227" s="193" t="s">
        <v>1345</v>
      </c>
      <c r="G227" s="193" t="s">
        <v>1344</v>
      </c>
      <c r="H227" s="193" t="s">
        <v>40</v>
      </c>
      <c r="I227" s="193" t="s">
        <v>41</v>
      </c>
      <c r="J227" s="193" t="str">
        <f t="shared" si="18"/>
        <v>6 Roda</v>
      </c>
      <c r="K227" s="194">
        <v>45993</v>
      </c>
      <c r="L227" s="195">
        <v>13800</v>
      </c>
      <c r="M227" s="195">
        <v>4050</v>
      </c>
      <c r="N227" s="195">
        <v>9750</v>
      </c>
      <c r="O227" s="195">
        <v>9720</v>
      </c>
      <c r="P227" s="196">
        <v>0.74236111111111103</v>
      </c>
      <c r="Q227" s="196">
        <v>0.79652777777777795</v>
      </c>
      <c r="R227" s="193" t="s">
        <v>137</v>
      </c>
      <c r="S227" s="193"/>
      <c r="T227" s="197">
        <f t="shared" si="19"/>
        <v>494</v>
      </c>
      <c r="U227" s="193"/>
      <c r="V227" s="193" t="str">
        <f t="shared" si="20"/>
        <v>Pomala</v>
      </c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8"/>
      <c r="AL227" s="18"/>
    </row>
    <row r="228" spans="2:38" ht="15" customHeight="1" x14ac:dyDescent="0.2">
      <c r="B228" s="193">
        <v>1</v>
      </c>
      <c r="C228" s="347" t="s">
        <v>333</v>
      </c>
      <c r="D228" s="193" t="str">
        <f t="shared" si="17"/>
        <v>CPO000191MIS</v>
      </c>
      <c r="E228" s="193" t="s">
        <v>334</v>
      </c>
      <c r="F228" s="193" t="s">
        <v>1345</v>
      </c>
      <c r="G228" s="193" t="s">
        <v>1344</v>
      </c>
      <c r="H228" s="193" t="s">
        <v>40</v>
      </c>
      <c r="I228" s="193" t="s">
        <v>41</v>
      </c>
      <c r="J228" s="193" t="str">
        <f t="shared" si="18"/>
        <v>6 Roda</v>
      </c>
      <c r="K228" s="194">
        <v>45994</v>
      </c>
      <c r="L228" s="195">
        <v>13960</v>
      </c>
      <c r="M228" s="195">
        <v>3880</v>
      </c>
      <c r="N228" s="195">
        <v>10080</v>
      </c>
      <c r="O228" s="195">
        <v>10070</v>
      </c>
      <c r="P228" s="196">
        <v>0.34236111111111101</v>
      </c>
      <c r="Q228" s="196">
        <v>0.37291666666666701</v>
      </c>
      <c r="R228" s="193" t="s">
        <v>137</v>
      </c>
      <c r="S228" s="193"/>
      <c r="T228" s="197">
        <f t="shared" si="19"/>
        <v>494</v>
      </c>
      <c r="U228" s="193"/>
      <c r="V228" s="193" t="str">
        <f t="shared" si="20"/>
        <v>Pomala</v>
      </c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8"/>
      <c r="AL228" s="18"/>
    </row>
    <row r="229" spans="2:38" ht="15" customHeight="1" x14ac:dyDescent="0.2">
      <c r="B229" s="193">
        <v>1</v>
      </c>
      <c r="C229" s="347" t="s">
        <v>335</v>
      </c>
      <c r="D229" s="193" t="str">
        <f t="shared" si="17"/>
        <v>CPO000192MIS</v>
      </c>
      <c r="E229" s="193" t="s">
        <v>181</v>
      </c>
      <c r="F229" s="193" t="s">
        <v>1345</v>
      </c>
      <c r="G229" s="193" t="s">
        <v>1344</v>
      </c>
      <c r="H229" s="193" t="s">
        <v>40</v>
      </c>
      <c r="I229" s="193" t="s">
        <v>41</v>
      </c>
      <c r="J229" s="193" t="str">
        <f t="shared" si="18"/>
        <v>6 Roda</v>
      </c>
      <c r="K229" s="194">
        <v>45994</v>
      </c>
      <c r="L229" s="195">
        <v>13580</v>
      </c>
      <c r="M229" s="195">
        <v>3970</v>
      </c>
      <c r="N229" s="195">
        <v>9610</v>
      </c>
      <c r="O229" s="195">
        <v>9600</v>
      </c>
      <c r="P229" s="196">
        <v>0.34652777777777799</v>
      </c>
      <c r="Q229" s="196">
        <v>0.38263888888888897</v>
      </c>
      <c r="R229" s="193" t="s">
        <v>137</v>
      </c>
      <c r="S229" s="193"/>
      <c r="T229" s="197">
        <f t="shared" si="19"/>
        <v>494</v>
      </c>
      <c r="U229" s="193"/>
      <c r="V229" s="193" t="str">
        <f t="shared" si="20"/>
        <v>Pomala</v>
      </c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8"/>
      <c r="AL229" s="18"/>
    </row>
    <row r="230" spans="2:38" ht="15" customHeight="1" x14ac:dyDescent="0.2">
      <c r="B230" s="193">
        <v>1</v>
      </c>
      <c r="C230" s="347" t="s">
        <v>336</v>
      </c>
      <c r="D230" s="193" t="str">
        <f t="shared" si="17"/>
        <v>CPO000193MIS</v>
      </c>
      <c r="E230" s="193" t="s">
        <v>147</v>
      </c>
      <c r="F230" s="193" t="s">
        <v>1345</v>
      </c>
      <c r="G230" s="193" t="s">
        <v>1344</v>
      </c>
      <c r="H230" s="193" t="s">
        <v>40</v>
      </c>
      <c r="I230" s="193" t="s">
        <v>41</v>
      </c>
      <c r="J230" s="193" t="str">
        <f t="shared" si="18"/>
        <v>6 Roda</v>
      </c>
      <c r="K230" s="194">
        <v>45994</v>
      </c>
      <c r="L230" s="195">
        <v>13980</v>
      </c>
      <c r="M230" s="195">
        <v>3980</v>
      </c>
      <c r="N230" s="195">
        <v>10000</v>
      </c>
      <c r="O230" s="195">
        <v>9990</v>
      </c>
      <c r="P230" s="196">
        <v>0.34861111111111098</v>
      </c>
      <c r="Q230" s="196">
        <v>0.40416666666666701</v>
      </c>
      <c r="R230" s="193" t="s">
        <v>137</v>
      </c>
      <c r="S230" s="193"/>
      <c r="T230" s="197">
        <f t="shared" si="19"/>
        <v>494</v>
      </c>
      <c r="U230" s="193"/>
      <c r="V230" s="193" t="str">
        <f t="shared" si="20"/>
        <v>Pomala</v>
      </c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8"/>
      <c r="AL230" s="18"/>
    </row>
    <row r="231" spans="2:38" ht="15" customHeight="1" x14ac:dyDescent="0.2">
      <c r="B231" s="193">
        <v>1</v>
      </c>
      <c r="C231" s="347" t="s">
        <v>337</v>
      </c>
      <c r="D231" s="193" t="str">
        <f t="shared" si="17"/>
        <v>CPO000194MIS</v>
      </c>
      <c r="E231" s="193" t="s">
        <v>186</v>
      </c>
      <c r="F231" s="193" t="s">
        <v>1345</v>
      </c>
      <c r="G231" s="193" t="s">
        <v>1344</v>
      </c>
      <c r="H231" s="193" t="s">
        <v>40</v>
      </c>
      <c r="I231" s="193" t="s">
        <v>41</v>
      </c>
      <c r="J231" s="193" t="str">
        <f t="shared" si="18"/>
        <v>6 Roda</v>
      </c>
      <c r="K231" s="194">
        <v>45994</v>
      </c>
      <c r="L231" s="195">
        <v>13490</v>
      </c>
      <c r="M231" s="195">
        <v>3940</v>
      </c>
      <c r="N231" s="195">
        <v>9550</v>
      </c>
      <c r="O231" s="195">
        <v>9560</v>
      </c>
      <c r="P231" s="196">
        <v>0.35069444444444398</v>
      </c>
      <c r="Q231" s="196">
        <v>0.41041666666666698</v>
      </c>
      <c r="R231" s="193" t="s">
        <v>137</v>
      </c>
      <c r="S231" s="193"/>
      <c r="T231" s="197">
        <f t="shared" si="19"/>
        <v>494</v>
      </c>
      <c r="U231" s="193"/>
      <c r="V231" s="193" t="str">
        <f t="shared" si="20"/>
        <v>Pomala</v>
      </c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8"/>
      <c r="AL231" s="18"/>
    </row>
    <row r="232" spans="2:38" ht="15" customHeight="1" x14ac:dyDescent="0.2">
      <c r="B232" s="193">
        <v>1</v>
      </c>
      <c r="C232" s="347" t="s">
        <v>338</v>
      </c>
      <c r="D232" s="193" t="str">
        <f t="shared" si="17"/>
        <v>CPO000195MIS</v>
      </c>
      <c r="E232" s="193" t="s">
        <v>166</v>
      </c>
      <c r="F232" s="193" t="s">
        <v>1345</v>
      </c>
      <c r="G232" s="193" t="s">
        <v>1344</v>
      </c>
      <c r="H232" s="193" t="s">
        <v>40</v>
      </c>
      <c r="I232" s="193" t="s">
        <v>41</v>
      </c>
      <c r="J232" s="193" t="str">
        <f t="shared" si="18"/>
        <v>6 Roda</v>
      </c>
      <c r="K232" s="194">
        <v>45994</v>
      </c>
      <c r="L232" s="195">
        <v>13080</v>
      </c>
      <c r="M232" s="195">
        <v>3750</v>
      </c>
      <c r="N232" s="195">
        <v>9330</v>
      </c>
      <c r="O232" s="195">
        <v>9330</v>
      </c>
      <c r="P232" s="196">
        <v>0.38472222222222202</v>
      </c>
      <c r="Q232" s="196">
        <v>0.43888888888888899</v>
      </c>
      <c r="R232" s="193" t="s">
        <v>137</v>
      </c>
      <c r="S232" s="193"/>
      <c r="T232" s="197">
        <f t="shared" si="19"/>
        <v>494</v>
      </c>
      <c r="U232" s="193"/>
      <c r="V232" s="193" t="str">
        <f t="shared" si="20"/>
        <v>Pomala</v>
      </c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8"/>
      <c r="AL232" s="18"/>
    </row>
    <row r="233" spans="2:38" ht="15" customHeight="1" x14ac:dyDescent="0.2">
      <c r="B233" s="193">
        <v>1</v>
      </c>
      <c r="C233" s="347" t="s">
        <v>339</v>
      </c>
      <c r="D233" s="193" t="str">
        <f t="shared" si="17"/>
        <v>CPO000196MIS</v>
      </c>
      <c r="E233" s="193" t="s">
        <v>149</v>
      </c>
      <c r="F233" s="193" t="s">
        <v>1345</v>
      </c>
      <c r="G233" s="193" t="s">
        <v>1344</v>
      </c>
      <c r="H233" s="193" t="s">
        <v>40</v>
      </c>
      <c r="I233" s="193" t="s">
        <v>41</v>
      </c>
      <c r="J233" s="193" t="str">
        <f t="shared" si="18"/>
        <v>6 Roda</v>
      </c>
      <c r="K233" s="194">
        <v>45994</v>
      </c>
      <c r="L233" s="195">
        <v>13870</v>
      </c>
      <c r="M233" s="195">
        <v>4040</v>
      </c>
      <c r="N233" s="195">
        <v>9830</v>
      </c>
      <c r="O233" s="195">
        <v>9800</v>
      </c>
      <c r="P233" s="196">
        <v>0.406944444444444</v>
      </c>
      <c r="Q233" s="196">
        <v>0.44166666666666698</v>
      </c>
      <c r="R233" s="193" t="s">
        <v>137</v>
      </c>
      <c r="S233" s="193"/>
      <c r="T233" s="197">
        <f t="shared" si="19"/>
        <v>494</v>
      </c>
      <c r="U233" s="193"/>
      <c r="V233" s="193" t="str">
        <f t="shared" si="20"/>
        <v>Pomala</v>
      </c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8"/>
      <c r="AL233" s="18"/>
    </row>
    <row r="234" spans="2:38" ht="15" customHeight="1" x14ac:dyDescent="0.2">
      <c r="B234" s="193">
        <v>1</v>
      </c>
      <c r="C234" s="347" t="s">
        <v>343</v>
      </c>
      <c r="D234" s="193" t="str">
        <f t="shared" si="17"/>
        <v>CPO000200MIS</v>
      </c>
      <c r="E234" s="193" t="s">
        <v>39</v>
      </c>
      <c r="F234" s="193" t="s">
        <v>1345</v>
      </c>
      <c r="G234" s="193" t="s">
        <v>1344</v>
      </c>
      <c r="H234" s="193" t="s">
        <v>40</v>
      </c>
      <c r="I234" s="193" t="s">
        <v>41</v>
      </c>
      <c r="J234" s="193" t="str">
        <f t="shared" si="18"/>
        <v>6 Roda</v>
      </c>
      <c r="K234" s="194">
        <v>45994</v>
      </c>
      <c r="L234" s="195">
        <v>13650</v>
      </c>
      <c r="M234" s="195">
        <v>4090</v>
      </c>
      <c r="N234" s="195">
        <v>9560</v>
      </c>
      <c r="O234" s="195">
        <v>9550</v>
      </c>
      <c r="P234" s="196">
        <v>0.91180555555555598</v>
      </c>
      <c r="Q234" s="196">
        <v>0.94374999999999998</v>
      </c>
      <c r="R234" s="193" t="s">
        <v>42</v>
      </c>
      <c r="S234" s="193"/>
      <c r="T234" s="197">
        <f t="shared" si="19"/>
        <v>494</v>
      </c>
      <c r="U234" s="193"/>
      <c r="V234" s="193" t="str">
        <f t="shared" si="20"/>
        <v>Pomala</v>
      </c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8"/>
      <c r="AL234" s="18"/>
    </row>
    <row r="235" spans="2:38" ht="15" customHeight="1" x14ac:dyDescent="0.2">
      <c r="B235" s="193">
        <v>1</v>
      </c>
      <c r="C235" s="347" t="s">
        <v>344</v>
      </c>
      <c r="D235" s="193" t="str">
        <f t="shared" si="17"/>
        <v>CPO000201MIS</v>
      </c>
      <c r="E235" s="193" t="s">
        <v>184</v>
      </c>
      <c r="F235" s="193" t="s">
        <v>1345</v>
      </c>
      <c r="G235" s="193" t="s">
        <v>1344</v>
      </c>
      <c r="H235" s="193" t="s">
        <v>40</v>
      </c>
      <c r="I235" s="193" t="s">
        <v>41</v>
      </c>
      <c r="J235" s="193" t="str">
        <f t="shared" si="18"/>
        <v>6 Roda</v>
      </c>
      <c r="K235" s="194">
        <v>45994</v>
      </c>
      <c r="L235" s="195">
        <v>13780</v>
      </c>
      <c r="M235" s="195">
        <v>3910</v>
      </c>
      <c r="N235" s="195">
        <v>9870</v>
      </c>
      <c r="O235" s="195">
        <v>9820</v>
      </c>
      <c r="P235" s="196">
        <v>0.91319444444444398</v>
      </c>
      <c r="Q235" s="196">
        <v>0.94861111111111096</v>
      </c>
      <c r="R235" s="193" t="s">
        <v>42</v>
      </c>
      <c r="S235" s="193"/>
      <c r="T235" s="197">
        <f t="shared" si="19"/>
        <v>494</v>
      </c>
      <c r="U235" s="193"/>
      <c r="V235" s="193" t="str">
        <f t="shared" si="20"/>
        <v>Pomala</v>
      </c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8"/>
      <c r="AL235" s="18"/>
    </row>
    <row r="236" spans="2:38" ht="15" customHeight="1" x14ac:dyDescent="0.2">
      <c r="B236" s="193">
        <v>1</v>
      </c>
      <c r="C236" s="347" t="s">
        <v>345</v>
      </c>
      <c r="D236" s="193" t="str">
        <f t="shared" si="17"/>
        <v>CPO000202MIS</v>
      </c>
      <c r="E236" s="193" t="s">
        <v>73</v>
      </c>
      <c r="F236" s="193" t="s">
        <v>1345</v>
      </c>
      <c r="G236" s="193" t="s">
        <v>1344</v>
      </c>
      <c r="H236" s="193" t="s">
        <v>40</v>
      </c>
      <c r="I236" s="193" t="s">
        <v>41</v>
      </c>
      <c r="J236" s="193" t="str">
        <f t="shared" si="18"/>
        <v>6 Roda</v>
      </c>
      <c r="K236" s="194">
        <v>45994</v>
      </c>
      <c r="L236" s="195">
        <v>13400</v>
      </c>
      <c r="M236" s="195">
        <v>3990</v>
      </c>
      <c r="N236" s="195">
        <v>9410</v>
      </c>
      <c r="O236" s="195">
        <v>9350</v>
      </c>
      <c r="P236" s="196">
        <v>0.91527777777777797</v>
      </c>
      <c r="Q236" s="196">
        <v>0.97083333333333299</v>
      </c>
      <c r="R236" s="193" t="s">
        <v>42</v>
      </c>
      <c r="S236" s="193"/>
      <c r="T236" s="197">
        <f t="shared" si="19"/>
        <v>494</v>
      </c>
      <c r="U236" s="193"/>
      <c r="V236" s="193" t="str">
        <f t="shared" si="20"/>
        <v>Pomala</v>
      </c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8"/>
      <c r="AL236" s="18"/>
    </row>
    <row r="237" spans="2:38" ht="15" customHeight="1" x14ac:dyDescent="0.2">
      <c r="B237" s="193">
        <v>1</v>
      </c>
      <c r="C237" s="347" t="s">
        <v>340</v>
      </c>
      <c r="D237" s="193" t="str">
        <f t="shared" si="17"/>
        <v>CPO000197JAS</v>
      </c>
      <c r="E237" s="193" t="s">
        <v>84</v>
      </c>
      <c r="F237" s="193" t="s">
        <v>1431</v>
      </c>
      <c r="G237" s="193" t="s">
        <v>1346</v>
      </c>
      <c r="H237" s="193" t="s">
        <v>49</v>
      </c>
      <c r="I237" s="193" t="s">
        <v>41</v>
      </c>
      <c r="J237" s="193" t="str">
        <f t="shared" si="18"/>
        <v>10 Roda</v>
      </c>
      <c r="K237" s="194">
        <v>45994</v>
      </c>
      <c r="L237" s="195">
        <v>26630</v>
      </c>
      <c r="M237" s="195">
        <v>12180</v>
      </c>
      <c r="N237" s="195">
        <v>14450</v>
      </c>
      <c r="O237" s="195">
        <v>14400</v>
      </c>
      <c r="P237" s="196">
        <v>0.80833333333333302</v>
      </c>
      <c r="Q237" s="196">
        <v>0.84583333333333299</v>
      </c>
      <c r="R237" s="193" t="s">
        <v>42</v>
      </c>
      <c r="S237" s="193" t="s">
        <v>1782</v>
      </c>
      <c r="T237" s="197">
        <f t="shared" si="19"/>
        <v>68</v>
      </c>
      <c r="U237" s="193" t="s">
        <v>1922</v>
      </c>
      <c r="V237" s="193" t="str">
        <f t="shared" si="20"/>
        <v>Bone Bone</v>
      </c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8"/>
      <c r="AL237" s="18"/>
    </row>
    <row r="238" spans="2:38" ht="15" customHeight="1" x14ac:dyDescent="0.2">
      <c r="B238" s="193">
        <v>1</v>
      </c>
      <c r="C238" s="347" t="s">
        <v>341</v>
      </c>
      <c r="D238" s="193" t="str">
        <f t="shared" si="17"/>
        <v>CPO000198JAS</v>
      </c>
      <c r="E238" s="193" t="s">
        <v>76</v>
      </c>
      <c r="F238" s="193" t="s">
        <v>1431</v>
      </c>
      <c r="G238" s="193" t="s">
        <v>1346</v>
      </c>
      <c r="H238" s="193" t="s">
        <v>49</v>
      </c>
      <c r="I238" s="193" t="s">
        <v>41</v>
      </c>
      <c r="J238" s="193" t="str">
        <f t="shared" si="18"/>
        <v>12 Roda</v>
      </c>
      <c r="K238" s="194">
        <v>45994</v>
      </c>
      <c r="L238" s="195">
        <v>45720</v>
      </c>
      <c r="M238" s="195">
        <v>17590</v>
      </c>
      <c r="N238" s="195">
        <v>28130</v>
      </c>
      <c r="O238" s="195">
        <v>28090</v>
      </c>
      <c r="P238" s="196">
        <v>0.82708333333333295</v>
      </c>
      <c r="Q238" s="196">
        <v>0.875694444444444</v>
      </c>
      <c r="R238" s="193" t="s">
        <v>42</v>
      </c>
      <c r="S238" s="193" t="s">
        <v>1372</v>
      </c>
      <c r="T238" s="197">
        <f t="shared" si="19"/>
        <v>68</v>
      </c>
      <c r="U238" s="193" t="s">
        <v>1922</v>
      </c>
      <c r="V238" s="193" t="str">
        <f t="shared" si="20"/>
        <v>Bone Bone</v>
      </c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8"/>
      <c r="AL238" s="18"/>
    </row>
    <row r="239" spans="2:38" ht="15" customHeight="1" x14ac:dyDescent="0.2">
      <c r="B239" s="193">
        <v>1</v>
      </c>
      <c r="C239" s="347" t="s">
        <v>342</v>
      </c>
      <c r="D239" s="193" t="str">
        <f t="shared" si="17"/>
        <v>CPO000199JAS</v>
      </c>
      <c r="E239" s="193" t="s">
        <v>56</v>
      </c>
      <c r="F239" s="193" t="s">
        <v>1431</v>
      </c>
      <c r="G239" s="193" t="s">
        <v>1346</v>
      </c>
      <c r="H239" s="193" t="s">
        <v>49</v>
      </c>
      <c r="I239" s="193" t="s">
        <v>41</v>
      </c>
      <c r="J239" s="193" t="str">
        <f t="shared" si="18"/>
        <v>10 Roda</v>
      </c>
      <c r="K239" s="194">
        <v>45994</v>
      </c>
      <c r="L239" s="195">
        <v>25040</v>
      </c>
      <c r="M239" s="195">
        <v>10830</v>
      </c>
      <c r="N239" s="195">
        <v>14210</v>
      </c>
      <c r="O239" s="195">
        <v>14170</v>
      </c>
      <c r="P239" s="196">
        <v>0.86805555555555602</v>
      </c>
      <c r="Q239" s="196">
        <v>0.91666666666666696</v>
      </c>
      <c r="R239" s="193" t="s">
        <v>42</v>
      </c>
      <c r="S239" s="193" t="s">
        <v>1781</v>
      </c>
      <c r="T239" s="197">
        <f t="shared" si="19"/>
        <v>68</v>
      </c>
      <c r="U239" s="193" t="s">
        <v>1922</v>
      </c>
      <c r="V239" s="193" t="str">
        <f t="shared" si="20"/>
        <v>Bone Bone</v>
      </c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8"/>
      <c r="AL239" s="18"/>
    </row>
    <row r="240" spans="2:38" ht="15" customHeight="1" x14ac:dyDescent="0.2">
      <c r="B240" s="193">
        <v>1</v>
      </c>
      <c r="C240" s="347" t="s">
        <v>346</v>
      </c>
      <c r="D240" s="193" t="str">
        <f t="shared" si="17"/>
        <v>CPO000203JAS</v>
      </c>
      <c r="E240" s="193" t="s">
        <v>46</v>
      </c>
      <c r="F240" s="193" t="s">
        <v>1431</v>
      </c>
      <c r="G240" s="193" t="s">
        <v>1346</v>
      </c>
      <c r="H240" s="193" t="s">
        <v>49</v>
      </c>
      <c r="I240" s="193" t="s">
        <v>41</v>
      </c>
      <c r="J240" s="193" t="str">
        <f t="shared" si="18"/>
        <v>10 Roda</v>
      </c>
      <c r="K240" s="194">
        <v>45994</v>
      </c>
      <c r="L240" s="195">
        <v>26640</v>
      </c>
      <c r="M240" s="195">
        <v>11810</v>
      </c>
      <c r="N240" s="195">
        <v>14830</v>
      </c>
      <c r="O240" s="195">
        <v>14760</v>
      </c>
      <c r="P240" s="196">
        <v>0.91874999999999996</v>
      </c>
      <c r="Q240" s="196">
        <v>0.96875</v>
      </c>
      <c r="R240" s="193" t="s">
        <v>42</v>
      </c>
      <c r="S240" s="193" t="s">
        <v>1393</v>
      </c>
      <c r="T240" s="197">
        <f t="shared" si="19"/>
        <v>68</v>
      </c>
      <c r="U240" s="193" t="s">
        <v>1922</v>
      </c>
      <c r="V240" s="193" t="str">
        <f t="shared" si="20"/>
        <v>Bone Bone</v>
      </c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8"/>
      <c r="AL240" s="18"/>
    </row>
    <row r="241" spans="2:38" ht="15" customHeight="1" x14ac:dyDescent="0.2">
      <c r="B241" s="193">
        <v>1</v>
      </c>
      <c r="C241" s="347" t="s">
        <v>347</v>
      </c>
      <c r="D241" s="193" t="str">
        <f t="shared" si="17"/>
        <v>CPO000204JAS</v>
      </c>
      <c r="E241" s="193" t="s">
        <v>70</v>
      </c>
      <c r="F241" s="193" t="s">
        <v>1431</v>
      </c>
      <c r="G241" s="193" t="s">
        <v>1346</v>
      </c>
      <c r="H241" s="193" t="s">
        <v>49</v>
      </c>
      <c r="I241" s="193" t="s">
        <v>41</v>
      </c>
      <c r="J241" s="193" t="str">
        <f t="shared" si="18"/>
        <v>12 Roda</v>
      </c>
      <c r="K241" s="194">
        <v>45994</v>
      </c>
      <c r="L241" s="195">
        <v>45810</v>
      </c>
      <c r="M241" s="195">
        <v>17640</v>
      </c>
      <c r="N241" s="195">
        <v>28170</v>
      </c>
      <c r="O241" s="195">
        <v>28140</v>
      </c>
      <c r="P241" s="196">
        <v>0.92013888888888895</v>
      </c>
      <c r="Q241" s="196">
        <v>0.98750000000000004</v>
      </c>
      <c r="R241" s="193" t="s">
        <v>42</v>
      </c>
      <c r="S241" s="193" t="s">
        <v>1499</v>
      </c>
      <c r="T241" s="197">
        <f t="shared" si="19"/>
        <v>68</v>
      </c>
      <c r="U241" s="193" t="s">
        <v>1922</v>
      </c>
      <c r="V241" s="193" t="str">
        <f t="shared" si="20"/>
        <v>Bone Bone</v>
      </c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8"/>
      <c r="AL241" s="18"/>
    </row>
    <row r="242" spans="2:38" ht="15" customHeight="1" x14ac:dyDescent="0.2">
      <c r="B242" s="193">
        <v>1</v>
      </c>
      <c r="C242" s="347" t="s">
        <v>348</v>
      </c>
      <c r="D242" s="193" t="str">
        <f t="shared" si="17"/>
        <v>CPO000205MIS</v>
      </c>
      <c r="E242" s="193" t="s">
        <v>155</v>
      </c>
      <c r="F242" s="193" t="s">
        <v>1345</v>
      </c>
      <c r="G242" s="193" t="s">
        <v>1344</v>
      </c>
      <c r="H242" s="193" t="s">
        <v>40</v>
      </c>
      <c r="I242" s="193" t="s">
        <v>41</v>
      </c>
      <c r="J242" s="193" t="str">
        <f t="shared" si="18"/>
        <v>6 Roda</v>
      </c>
      <c r="K242" s="194">
        <v>45995</v>
      </c>
      <c r="L242" s="195">
        <v>13550</v>
      </c>
      <c r="M242" s="195">
        <v>3970</v>
      </c>
      <c r="N242" s="195">
        <v>9580</v>
      </c>
      <c r="O242" s="195">
        <v>9600</v>
      </c>
      <c r="P242" s="196">
        <v>0.33888888888888902</v>
      </c>
      <c r="Q242" s="196">
        <v>0.38333333333333303</v>
      </c>
      <c r="R242" s="193" t="s">
        <v>137</v>
      </c>
      <c r="S242" s="193"/>
      <c r="T242" s="197">
        <f t="shared" si="19"/>
        <v>494</v>
      </c>
      <c r="U242" s="193"/>
      <c r="V242" s="193" t="str">
        <f t="shared" si="20"/>
        <v>Pomala</v>
      </c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8"/>
      <c r="AL242" s="18"/>
    </row>
    <row r="243" spans="2:38" ht="15" customHeight="1" x14ac:dyDescent="0.2">
      <c r="B243" s="193">
        <v>1</v>
      </c>
      <c r="C243" s="347" t="s">
        <v>349</v>
      </c>
      <c r="D243" s="193" t="str">
        <f t="shared" si="17"/>
        <v>CPO000206MIS</v>
      </c>
      <c r="E243" s="193" t="s">
        <v>151</v>
      </c>
      <c r="F243" s="193" t="s">
        <v>1345</v>
      </c>
      <c r="G243" s="193" t="s">
        <v>1344</v>
      </c>
      <c r="H243" s="193" t="s">
        <v>40</v>
      </c>
      <c r="I243" s="193" t="s">
        <v>41</v>
      </c>
      <c r="J243" s="193" t="str">
        <f t="shared" si="18"/>
        <v>6 Roda</v>
      </c>
      <c r="K243" s="194">
        <v>45995</v>
      </c>
      <c r="L243" s="195">
        <v>13470</v>
      </c>
      <c r="M243" s="195">
        <v>4130</v>
      </c>
      <c r="N243" s="195">
        <v>9340</v>
      </c>
      <c r="O243" s="195">
        <v>9360</v>
      </c>
      <c r="P243" s="196">
        <v>0.34027777777777801</v>
      </c>
      <c r="Q243" s="196">
        <v>0.40902777777777799</v>
      </c>
      <c r="R243" s="193" t="s">
        <v>137</v>
      </c>
      <c r="S243" s="193"/>
      <c r="T243" s="197">
        <f t="shared" si="19"/>
        <v>494</v>
      </c>
      <c r="U243" s="193"/>
      <c r="V243" s="193" t="str">
        <f t="shared" si="20"/>
        <v>Pomala</v>
      </c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8"/>
      <c r="AL243" s="18"/>
    </row>
    <row r="244" spans="2:38" ht="15" customHeight="1" x14ac:dyDescent="0.2">
      <c r="B244" s="193">
        <v>1</v>
      </c>
      <c r="C244" s="347" t="s">
        <v>350</v>
      </c>
      <c r="D244" s="193" t="str">
        <f t="shared" si="17"/>
        <v>CPO000207MIS</v>
      </c>
      <c r="E244" s="193" t="s">
        <v>183</v>
      </c>
      <c r="F244" s="193" t="s">
        <v>1345</v>
      </c>
      <c r="G244" s="193" t="s">
        <v>1344</v>
      </c>
      <c r="H244" s="193" t="s">
        <v>40</v>
      </c>
      <c r="I244" s="193" t="s">
        <v>41</v>
      </c>
      <c r="J244" s="193" t="str">
        <f t="shared" si="18"/>
        <v>6 Roda</v>
      </c>
      <c r="K244" s="194">
        <v>45995</v>
      </c>
      <c r="L244" s="195">
        <v>14190</v>
      </c>
      <c r="M244" s="195">
        <v>4250</v>
      </c>
      <c r="N244" s="195">
        <v>9940</v>
      </c>
      <c r="O244" s="195">
        <v>9960</v>
      </c>
      <c r="P244" s="196">
        <v>0.343055555555556</v>
      </c>
      <c r="Q244" s="196">
        <v>0.375694444444444</v>
      </c>
      <c r="R244" s="193" t="s">
        <v>137</v>
      </c>
      <c r="S244" s="193"/>
      <c r="T244" s="197">
        <f t="shared" si="19"/>
        <v>494</v>
      </c>
      <c r="U244" s="193"/>
      <c r="V244" s="193" t="str">
        <f t="shared" si="20"/>
        <v>Pomala</v>
      </c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8"/>
      <c r="AL244" s="18"/>
    </row>
    <row r="245" spans="2:38" ht="15" customHeight="1" x14ac:dyDescent="0.2">
      <c r="B245" s="193">
        <v>1</v>
      </c>
      <c r="C245" s="347" t="s">
        <v>356</v>
      </c>
      <c r="D245" s="193" t="str">
        <f t="shared" si="17"/>
        <v>CPO000213MIS</v>
      </c>
      <c r="E245" s="193" t="s">
        <v>169</v>
      </c>
      <c r="F245" s="193" t="s">
        <v>1345</v>
      </c>
      <c r="G245" s="193" t="s">
        <v>1344</v>
      </c>
      <c r="H245" s="193" t="s">
        <v>40</v>
      </c>
      <c r="I245" s="193" t="s">
        <v>41</v>
      </c>
      <c r="J245" s="193" t="str">
        <f t="shared" si="18"/>
        <v>6 Roda</v>
      </c>
      <c r="K245" s="194">
        <v>45995</v>
      </c>
      <c r="L245" s="195">
        <v>13490</v>
      </c>
      <c r="M245" s="195">
        <v>4050</v>
      </c>
      <c r="N245" s="195">
        <v>9440</v>
      </c>
      <c r="O245" s="195">
        <v>9420</v>
      </c>
      <c r="P245" s="196">
        <v>0.77361111111111103</v>
      </c>
      <c r="Q245" s="196">
        <v>0.80208333333333304</v>
      </c>
      <c r="R245" s="193" t="s">
        <v>42</v>
      </c>
      <c r="S245" s="193"/>
      <c r="T245" s="197">
        <f t="shared" si="19"/>
        <v>494</v>
      </c>
      <c r="U245" s="193"/>
      <c r="V245" s="193" t="str">
        <f t="shared" si="20"/>
        <v>Pomala</v>
      </c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8"/>
      <c r="AL245" s="18"/>
    </row>
    <row r="246" spans="2:38" ht="15" customHeight="1" x14ac:dyDescent="0.2">
      <c r="B246" s="193">
        <v>1</v>
      </c>
      <c r="C246" s="347" t="s">
        <v>362</v>
      </c>
      <c r="D246" s="193" t="str">
        <f t="shared" si="17"/>
        <v>CPO000219MIS</v>
      </c>
      <c r="E246" s="193" t="s">
        <v>53</v>
      </c>
      <c r="F246" s="193" t="s">
        <v>1345</v>
      </c>
      <c r="G246" s="193" t="s">
        <v>1344</v>
      </c>
      <c r="H246" s="193" t="s">
        <v>40</v>
      </c>
      <c r="I246" s="193" t="s">
        <v>41</v>
      </c>
      <c r="J246" s="193" t="str">
        <f t="shared" si="18"/>
        <v>6 Roda</v>
      </c>
      <c r="K246" s="194">
        <v>45995</v>
      </c>
      <c r="L246" s="195">
        <v>13290</v>
      </c>
      <c r="M246" s="195">
        <v>3720</v>
      </c>
      <c r="N246" s="195">
        <v>9570</v>
      </c>
      <c r="O246" s="195">
        <v>9540</v>
      </c>
      <c r="P246" s="196">
        <v>0.969444444444444</v>
      </c>
      <c r="Q246" s="196">
        <v>0.99652777777777801</v>
      </c>
      <c r="R246" s="193" t="s">
        <v>42</v>
      </c>
      <c r="S246" s="193"/>
      <c r="T246" s="197">
        <f t="shared" si="19"/>
        <v>494</v>
      </c>
      <c r="U246" s="193"/>
      <c r="V246" s="193" t="str">
        <f t="shared" si="20"/>
        <v>Pomala</v>
      </c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8"/>
      <c r="AL246" s="18"/>
    </row>
    <row r="247" spans="2:38" ht="15" customHeight="1" x14ac:dyDescent="0.2">
      <c r="B247" s="193">
        <v>1</v>
      </c>
      <c r="C247" s="347" t="s">
        <v>363</v>
      </c>
      <c r="D247" s="193" t="str">
        <f t="shared" si="17"/>
        <v>CPO000220MIS</v>
      </c>
      <c r="E247" s="193" t="s">
        <v>171</v>
      </c>
      <c r="F247" s="193" t="s">
        <v>1345</v>
      </c>
      <c r="G247" s="193" t="s">
        <v>1344</v>
      </c>
      <c r="H247" s="193" t="s">
        <v>40</v>
      </c>
      <c r="I247" s="193" t="s">
        <v>41</v>
      </c>
      <c r="J247" s="193" t="str">
        <f t="shared" si="18"/>
        <v>6 Roda</v>
      </c>
      <c r="K247" s="194">
        <v>45995</v>
      </c>
      <c r="L247" s="195">
        <v>13260</v>
      </c>
      <c r="M247" s="195">
        <v>3620</v>
      </c>
      <c r="N247" s="195">
        <v>9640</v>
      </c>
      <c r="O247" s="195">
        <v>9590</v>
      </c>
      <c r="P247" s="196">
        <v>0.97083333333333299</v>
      </c>
      <c r="Q247" s="196">
        <v>0.999305555555556</v>
      </c>
      <c r="R247" s="193" t="s">
        <v>42</v>
      </c>
      <c r="S247" s="193"/>
      <c r="T247" s="197">
        <f t="shared" si="19"/>
        <v>494</v>
      </c>
      <c r="U247" s="193"/>
      <c r="V247" s="193" t="str">
        <f t="shared" si="20"/>
        <v>Pomala</v>
      </c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8"/>
      <c r="AL247" s="18"/>
    </row>
    <row r="248" spans="2:38" ht="15" customHeight="1" x14ac:dyDescent="0.2">
      <c r="B248" s="193">
        <v>1</v>
      </c>
      <c r="C248" s="347" t="s">
        <v>351</v>
      </c>
      <c r="D248" s="193" t="str">
        <f t="shared" si="17"/>
        <v>CPO000208JAS</v>
      </c>
      <c r="E248" s="193" t="s">
        <v>76</v>
      </c>
      <c r="F248" s="193" t="s">
        <v>1431</v>
      </c>
      <c r="G248" s="193" t="s">
        <v>1346</v>
      </c>
      <c r="H248" s="193" t="s">
        <v>49</v>
      </c>
      <c r="I248" s="193" t="s">
        <v>41</v>
      </c>
      <c r="J248" s="193" t="str">
        <f t="shared" si="18"/>
        <v>12 Roda</v>
      </c>
      <c r="K248" s="194">
        <v>45995</v>
      </c>
      <c r="L248" s="195">
        <v>45790</v>
      </c>
      <c r="M248" s="195">
        <v>17560</v>
      </c>
      <c r="N248" s="195">
        <v>28230</v>
      </c>
      <c r="O248" s="195">
        <v>28200</v>
      </c>
      <c r="P248" s="196">
        <v>0.49444444444444502</v>
      </c>
      <c r="Q248" s="196">
        <v>0.60416666666666696</v>
      </c>
      <c r="R248" s="193" t="s">
        <v>137</v>
      </c>
      <c r="S248" s="193" t="s">
        <v>1372</v>
      </c>
      <c r="T248" s="197">
        <f t="shared" si="19"/>
        <v>68</v>
      </c>
      <c r="U248" s="193" t="s">
        <v>1922</v>
      </c>
      <c r="V248" s="193" t="str">
        <f t="shared" si="20"/>
        <v>Bone Bone</v>
      </c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8"/>
      <c r="AL248" s="18"/>
    </row>
    <row r="249" spans="2:38" ht="15" customHeight="1" x14ac:dyDescent="0.2">
      <c r="B249" s="193">
        <v>1</v>
      </c>
      <c r="C249" s="347" t="s">
        <v>352</v>
      </c>
      <c r="D249" s="193" t="str">
        <f t="shared" si="17"/>
        <v>CPO000209JAS</v>
      </c>
      <c r="E249" s="193" t="s">
        <v>46</v>
      </c>
      <c r="F249" s="193" t="s">
        <v>1431</v>
      </c>
      <c r="G249" s="193" t="s">
        <v>1346</v>
      </c>
      <c r="H249" s="193" t="s">
        <v>49</v>
      </c>
      <c r="I249" s="193" t="s">
        <v>41</v>
      </c>
      <c r="J249" s="193" t="str">
        <f t="shared" si="18"/>
        <v>10 Roda</v>
      </c>
      <c r="K249" s="194">
        <v>45995</v>
      </c>
      <c r="L249" s="195">
        <v>26570</v>
      </c>
      <c r="M249" s="195">
        <v>11750</v>
      </c>
      <c r="N249" s="195">
        <v>14820</v>
      </c>
      <c r="O249" s="195">
        <v>14770</v>
      </c>
      <c r="P249" s="196">
        <v>0.55347222222222203</v>
      </c>
      <c r="Q249" s="196">
        <v>0.61180555555555605</v>
      </c>
      <c r="R249" s="193" t="s">
        <v>137</v>
      </c>
      <c r="S249" s="193" t="s">
        <v>1393</v>
      </c>
      <c r="T249" s="197">
        <f t="shared" si="19"/>
        <v>68</v>
      </c>
      <c r="U249" s="193" t="s">
        <v>1922</v>
      </c>
      <c r="V249" s="193" t="str">
        <f t="shared" si="20"/>
        <v>Bone Bone</v>
      </c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8"/>
      <c r="AL249" s="18"/>
    </row>
    <row r="250" spans="2:38" ht="15" customHeight="1" x14ac:dyDescent="0.2">
      <c r="B250" s="193">
        <v>1</v>
      </c>
      <c r="C250" s="347" t="s">
        <v>353</v>
      </c>
      <c r="D250" s="193" t="str">
        <f t="shared" si="17"/>
        <v>CPO000210JAS</v>
      </c>
      <c r="E250" s="193" t="s">
        <v>56</v>
      </c>
      <c r="F250" s="193" t="s">
        <v>1431</v>
      </c>
      <c r="G250" s="193" t="s">
        <v>1346</v>
      </c>
      <c r="H250" s="193" t="s">
        <v>49</v>
      </c>
      <c r="I250" s="193" t="s">
        <v>41</v>
      </c>
      <c r="J250" s="193" t="str">
        <f t="shared" si="18"/>
        <v>10 Roda</v>
      </c>
      <c r="K250" s="194">
        <v>45995</v>
      </c>
      <c r="L250" s="195">
        <v>25110</v>
      </c>
      <c r="M250" s="195">
        <v>10890</v>
      </c>
      <c r="N250" s="195">
        <v>14220</v>
      </c>
      <c r="O250" s="195">
        <v>14140</v>
      </c>
      <c r="P250" s="196">
        <v>0.55486111111111103</v>
      </c>
      <c r="Q250" s="196">
        <v>0.61041666666666705</v>
      </c>
      <c r="R250" s="193" t="s">
        <v>137</v>
      </c>
      <c r="S250" s="193" t="s">
        <v>1781</v>
      </c>
      <c r="T250" s="197">
        <f t="shared" si="19"/>
        <v>68</v>
      </c>
      <c r="U250" s="193" t="s">
        <v>1922</v>
      </c>
      <c r="V250" s="193" t="str">
        <f t="shared" si="20"/>
        <v>Bone Bone</v>
      </c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8"/>
      <c r="AL250" s="18"/>
    </row>
    <row r="251" spans="2:38" ht="15" customHeight="1" x14ac:dyDescent="0.2">
      <c r="B251" s="193">
        <v>1</v>
      </c>
      <c r="C251" s="347" t="s">
        <v>354</v>
      </c>
      <c r="D251" s="193" t="str">
        <f t="shared" si="17"/>
        <v>CPO000211JAS</v>
      </c>
      <c r="E251" s="193" t="s">
        <v>84</v>
      </c>
      <c r="F251" s="193" t="s">
        <v>1431</v>
      </c>
      <c r="G251" s="193" t="s">
        <v>1346</v>
      </c>
      <c r="H251" s="193" t="s">
        <v>49</v>
      </c>
      <c r="I251" s="193" t="s">
        <v>41</v>
      </c>
      <c r="J251" s="193" t="str">
        <f t="shared" si="18"/>
        <v>10 Roda</v>
      </c>
      <c r="K251" s="194">
        <v>45995</v>
      </c>
      <c r="L251" s="195">
        <v>26710</v>
      </c>
      <c r="M251" s="195">
        <v>12240</v>
      </c>
      <c r="N251" s="195">
        <v>14470</v>
      </c>
      <c r="O251" s="195">
        <v>14400</v>
      </c>
      <c r="P251" s="196">
        <v>0.55625000000000002</v>
      </c>
      <c r="Q251" s="196">
        <v>0.64375000000000004</v>
      </c>
      <c r="R251" s="193" t="s">
        <v>137</v>
      </c>
      <c r="S251" s="193" t="s">
        <v>1782</v>
      </c>
      <c r="T251" s="197">
        <f t="shared" si="19"/>
        <v>68</v>
      </c>
      <c r="U251" s="193" t="s">
        <v>1922</v>
      </c>
      <c r="V251" s="193" t="str">
        <f t="shared" si="20"/>
        <v>Bone Bone</v>
      </c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8"/>
      <c r="AL251" s="18"/>
    </row>
    <row r="252" spans="2:38" ht="15" customHeight="1" x14ac:dyDescent="0.2">
      <c r="B252" s="193">
        <v>1</v>
      </c>
      <c r="C252" s="347" t="s">
        <v>355</v>
      </c>
      <c r="D252" s="193" t="str">
        <f t="shared" si="17"/>
        <v>CPO000212JAS</v>
      </c>
      <c r="E252" s="193" t="s">
        <v>70</v>
      </c>
      <c r="F252" s="193" t="s">
        <v>1431</v>
      </c>
      <c r="G252" s="193" t="s">
        <v>1346</v>
      </c>
      <c r="H252" s="193" t="s">
        <v>49</v>
      </c>
      <c r="I252" s="193" t="s">
        <v>41</v>
      </c>
      <c r="J252" s="193" t="str">
        <f t="shared" si="18"/>
        <v>12 Roda</v>
      </c>
      <c r="K252" s="194">
        <v>45995</v>
      </c>
      <c r="L252" s="195">
        <v>45790</v>
      </c>
      <c r="M252" s="195">
        <v>17560</v>
      </c>
      <c r="N252" s="195">
        <v>28230</v>
      </c>
      <c r="O252" s="195">
        <v>28140</v>
      </c>
      <c r="P252" s="196">
        <v>0.55763888888888902</v>
      </c>
      <c r="Q252" s="196">
        <v>0.60902777777777795</v>
      </c>
      <c r="R252" s="193" t="s">
        <v>137</v>
      </c>
      <c r="S252" s="193" t="s">
        <v>1499</v>
      </c>
      <c r="T252" s="197">
        <f t="shared" si="19"/>
        <v>68</v>
      </c>
      <c r="U252" s="193" t="s">
        <v>1922</v>
      </c>
      <c r="V252" s="193" t="str">
        <f t="shared" si="20"/>
        <v>Bone Bone</v>
      </c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8"/>
      <c r="AL252" s="18"/>
    </row>
    <row r="253" spans="2:38" ht="15" customHeight="1" x14ac:dyDescent="0.2">
      <c r="B253" s="193">
        <v>1</v>
      </c>
      <c r="C253" s="347" t="s">
        <v>357</v>
      </c>
      <c r="D253" s="193" t="str">
        <f t="shared" si="17"/>
        <v>CPO000214JAS</v>
      </c>
      <c r="E253" s="193" t="s">
        <v>46</v>
      </c>
      <c r="F253" s="193" t="s">
        <v>1431</v>
      </c>
      <c r="G253" s="193" t="s">
        <v>1346</v>
      </c>
      <c r="H253" s="193" t="s">
        <v>49</v>
      </c>
      <c r="I253" s="193" t="s">
        <v>41</v>
      </c>
      <c r="J253" s="193" t="str">
        <f t="shared" si="18"/>
        <v>10 Roda</v>
      </c>
      <c r="K253" s="194">
        <v>45995</v>
      </c>
      <c r="L253" s="195">
        <v>26540</v>
      </c>
      <c r="M253" s="195">
        <v>11700</v>
      </c>
      <c r="N253" s="195">
        <v>14840</v>
      </c>
      <c r="O253" s="195">
        <v>14780</v>
      </c>
      <c r="P253" s="196">
        <v>0.78402777777777799</v>
      </c>
      <c r="Q253" s="196">
        <v>0.813194444444444</v>
      </c>
      <c r="R253" s="193" t="s">
        <v>42</v>
      </c>
      <c r="S253" s="193" t="s">
        <v>1393</v>
      </c>
      <c r="T253" s="197">
        <f t="shared" si="19"/>
        <v>68</v>
      </c>
      <c r="U253" s="193" t="s">
        <v>1922</v>
      </c>
      <c r="V253" s="193" t="str">
        <f t="shared" si="20"/>
        <v>Bone Bone</v>
      </c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8"/>
      <c r="AL253" s="18"/>
    </row>
    <row r="254" spans="2:38" ht="15" customHeight="1" x14ac:dyDescent="0.2">
      <c r="B254" s="193">
        <v>1</v>
      </c>
      <c r="C254" s="347" t="s">
        <v>358</v>
      </c>
      <c r="D254" s="193" t="str">
        <f t="shared" si="17"/>
        <v>CPO000215JAS</v>
      </c>
      <c r="E254" s="193" t="s">
        <v>56</v>
      </c>
      <c r="F254" s="193" t="s">
        <v>1431</v>
      </c>
      <c r="G254" s="193" t="s">
        <v>1346</v>
      </c>
      <c r="H254" s="193" t="s">
        <v>49</v>
      </c>
      <c r="I254" s="193" t="s">
        <v>41</v>
      </c>
      <c r="J254" s="193" t="str">
        <f t="shared" si="18"/>
        <v>10 Roda</v>
      </c>
      <c r="K254" s="194">
        <v>45995</v>
      </c>
      <c r="L254" s="195">
        <v>25090</v>
      </c>
      <c r="M254" s="195">
        <v>10850</v>
      </c>
      <c r="N254" s="195">
        <v>14240</v>
      </c>
      <c r="O254" s="195">
        <v>14210</v>
      </c>
      <c r="P254" s="196">
        <v>0.79930555555555605</v>
      </c>
      <c r="Q254" s="196">
        <v>0.85208333333333297</v>
      </c>
      <c r="R254" s="193" t="s">
        <v>42</v>
      </c>
      <c r="S254" s="193" t="s">
        <v>1781</v>
      </c>
      <c r="T254" s="197">
        <f t="shared" si="19"/>
        <v>68</v>
      </c>
      <c r="U254" s="193" t="s">
        <v>1922</v>
      </c>
      <c r="V254" s="193" t="str">
        <f t="shared" si="20"/>
        <v>Bone Bone</v>
      </c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8"/>
      <c r="AL254" s="18"/>
    </row>
    <row r="255" spans="2:38" ht="15" customHeight="1" x14ac:dyDescent="0.2">
      <c r="B255" s="193">
        <v>1</v>
      </c>
      <c r="C255" s="347" t="s">
        <v>359</v>
      </c>
      <c r="D255" s="193" t="str">
        <f t="shared" si="17"/>
        <v>CPO000216JAS</v>
      </c>
      <c r="E255" s="193" t="s">
        <v>76</v>
      </c>
      <c r="F255" s="193" t="s">
        <v>1431</v>
      </c>
      <c r="G255" s="193" t="s">
        <v>1346</v>
      </c>
      <c r="H255" s="193" t="s">
        <v>49</v>
      </c>
      <c r="I255" s="193" t="s">
        <v>41</v>
      </c>
      <c r="J255" s="193" t="str">
        <f t="shared" si="18"/>
        <v>12 Roda</v>
      </c>
      <c r="K255" s="194">
        <v>45995</v>
      </c>
      <c r="L255" s="195">
        <v>45990</v>
      </c>
      <c r="M255" s="195">
        <v>17750</v>
      </c>
      <c r="N255" s="195">
        <v>28240</v>
      </c>
      <c r="O255" s="195">
        <v>28120</v>
      </c>
      <c r="P255" s="196">
        <v>0.83472222222222203</v>
      </c>
      <c r="Q255" s="196">
        <v>0.87361111111111101</v>
      </c>
      <c r="R255" s="193" t="s">
        <v>42</v>
      </c>
      <c r="S255" s="193" t="s">
        <v>1372</v>
      </c>
      <c r="T255" s="197">
        <f t="shared" si="19"/>
        <v>68</v>
      </c>
      <c r="U255" s="193" t="s">
        <v>1922</v>
      </c>
      <c r="V255" s="193" t="str">
        <f t="shared" si="20"/>
        <v>Bone Bone</v>
      </c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8"/>
      <c r="AL255" s="18"/>
    </row>
    <row r="256" spans="2:38" ht="15" customHeight="1" x14ac:dyDescent="0.2">
      <c r="B256" s="193">
        <v>1</v>
      </c>
      <c r="C256" s="347" t="s">
        <v>360</v>
      </c>
      <c r="D256" s="193" t="str">
        <f t="shared" si="17"/>
        <v>CPO000217JAS</v>
      </c>
      <c r="E256" s="193" t="s">
        <v>70</v>
      </c>
      <c r="F256" s="193" t="s">
        <v>1431</v>
      </c>
      <c r="G256" s="193" t="s">
        <v>1346</v>
      </c>
      <c r="H256" s="193" t="s">
        <v>49</v>
      </c>
      <c r="I256" s="193" t="s">
        <v>41</v>
      </c>
      <c r="J256" s="193" t="str">
        <f t="shared" si="18"/>
        <v>12 Roda</v>
      </c>
      <c r="K256" s="194">
        <v>45995</v>
      </c>
      <c r="L256" s="195">
        <v>45750</v>
      </c>
      <c r="M256" s="195">
        <v>17520</v>
      </c>
      <c r="N256" s="195">
        <v>28230</v>
      </c>
      <c r="O256" s="195">
        <v>28170</v>
      </c>
      <c r="P256" s="196">
        <v>0.85</v>
      </c>
      <c r="Q256" s="196">
        <v>0.88819444444444395</v>
      </c>
      <c r="R256" s="193" t="s">
        <v>42</v>
      </c>
      <c r="S256" s="193" t="s">
        <v>1499</v>
      </c>
      <c r="T256" s="197">
        <f t="shared" si="19"/>
        <v>68</v>
      </c>
      <c r="U256" s="193" t="s">
        <v>1922</v>
      </c>
      <c r="V256" s="193" t="str">
        <f t="shared" si="20"/>
        <v>Bone Bone</v>
      </c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8"/>
      <c r="AL256" s="18"/>
    </row>
    <row r="257" spans="2:38" ht="15" customHeight="1" x14ac:dyDescent="0.2">
      <c r="B257" s="193">
        <v>1</v>
      </c>
      <c r="C257" s="347" t="s">
        <v>361</v>
      </c>
      <c r="D257" s="193" t="str">
        <f t="shared" si="17"/>
        <v>CPO000218JAS</v>
      </c>
      <c r="E257" s="193" t="s">
        <v>84</v>
      </c>
      <c r="F257" s="193" t="s">
        <v>1431</v>
      </c>
      <c r="G257" s="193" t="s">
        <v>1346</v>
      </c>
      <c r="H257" s="193" t="s">
        <v>49</v>
      </c>
      <c r="I257" s="193" t="s">
        <v>41</v>
      </c>
      <c r="J257" s="193" t="str">
        <f t="shared" si="18"/>
        <v>10 Roda</v>
      </c>
      <c r="K257" s="194">
        <v>45995</v>
      </c>
      <c r="L257" s="195">
        <v>26660</v>
      </c>
      <c r="M257" s="195">
        <v>12200</v>
      </c>
      <c r="N257" s="195">
        <v>14460</v>
      </c>
      <c r="O257" s="195">
        <v>14420</v>
      </c>
      <c r="P257" s="196">
        <v>0.85486111111111096</v>
      </c>
      <c r="Q257" s="196">
        <v>0.89375000000000004</v>
      </c>
      <c r="R257" s="193" t="s">
        <v>42</v>
      </c>
      <c r="S257" s="193" t="s">
        <v>1782</v>
      </c>
      <c r="T257" s="197">
        <f t="shared" si="19"/>
        <v>68</v>
      </c>
      <c r="U257" s="193" t="s">
        <v>1922</v>
      </c>
      <c r="V257" s="193" t="str">
        <f t="shared" si="20"/>
        <v>Bone Bone</v>
      </c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8"/>
      <c r="AL257" s="18"/>
    </row>
    <row r="258" spans="2:38" ht="15" customHeight="1" x14ac:dyDescent="0.2">
      <c r="B258" s="193">
        <v>1</v>
      </c>
      <c r="C258" s="347" t="s">
        <v>364</v>
      </c>
      <c r="D258" s="193" t="str">
        <f t="shared" si="17"/>
        <v>CPO000221MIS</v>
      </c>
      <c r="E258" s="193" t="s">
        <v>160</v>
      </c>
      <c r="F258" s="193" t="s">
        <v>1345</v>
      </c>
      <c r="G258" s="193" t="s">
        <v>1344</v>
      </c>
      <c r="H258" s="193" t="s">
        <v>40</v>
      </c>
      <c r="I258" s="193" t="s">
        <v>41</v>
      </c>
      <c r="J258" s="193" t="str">
        <f t="shared" si="18"/>
        <v>6 Roda</v>
      </c>
      <c r="K258" s="194">
        <v>45996</v>
      </c>
      <c r="L258" s="195">
        <v>13440</v>
      </c>
      <c r="M258" s="195">
        <v>3600</v>
      </c>
      <c r="N258" s="195">
        <v>9840</v>
      </c>
      <c r="O258" s="195">
        <v>9800</v>
      </c>
      <c r="P258" s="196">
        <v>0.97222222222222199</v>
      </c>
      <c r="Q258" s="196">
        <v>2.29166666666667E-2</v>
      </c>
      <c r="R258" s="193" t="s">
        <v>42</v>
      </c>
      <c r="S258" s="193"/>
      <c r="T258" s="197">
        <f t="shared" si="19"/>
        <v>494</v>
      </c>
      <c r="U258" s="193"/>
      <c r="V258" s="193" t="str">
        <f t="shared" si="20"/>
        <v>Pomala</v>
      </c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8"/>
      <c r="AL258" s="18"/>
    </row>
    <row r="259" spans="2:38" ht="15" customHeight="1" x14ac:dyDescent="0.2">
      <c r="B259" s="193">
        <v>1</v>
      </c>
      <c r="C259" s="347" t="s">
        <v>365</v>
      </c>
      <c r="D259" s="193" t="str">
        <f t="shared" si="17"/>
        <v>CPO000222MIS</v>
      </c>
      <c r="E259" s="193" t="s">
        <v>158</v>
      </c>
      <c r="F259" s="193" t="s">
        <v>1345</v>
      </c>
      <c r="G259" s="193" t="s">
        <v>1344</v>
      </c>
      <c r="H259" s="193" t="s">
        <v>40</v>
      </c>
      <c r="I259" s="193" t="s">
        <v>41</v>
      </c>
      <c r="J259" s="193" t="str">
        <f t="shared" si="18"/>
        <v>6 Roda</v>
      </c>
      <c r="K259" s="194">
        <v>45996</v>
      </c>
      <c r="L259" s="195">
        <v>13880</v>
      </c>
      <c r="M259" s="195">
        <v>3790</v>
      </c>
      <c r="N259" s="195">
        <v>10090</v>
      </c>
      <c r="O259" s="195">
        <v>10050</v>
      </c>
      <c r="P259" s="196">
        <v>0.98472222222222205</v>
      </c>
      <c r="Q259" s="196">
        <v>2.4305555555555601E-2</v>
      </c>
      <c r="R259" s="193" t="s">
        <v>42</v>
      </c>
      <c r="S259" s="193"/>
      <c r="T259" s="197">
        <f t="shared" si="19"/>
        <v>494</v>
      </c>
      <c r="U259" s="193"/>
      <c r="V259" s="193" t="str">
        <f t="shared" si="20"/>
        <v>Pomala</v>
      </c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8"/>
      <c r="AL259" s="18"/>
    </row>
    <row r="260" spans="2:38" ht="15" customHeight="1" x14ac:dyDescent="0.2">
      <c r="B260" s="193">
        <v>1</v>
      </c>
      <c r="C260" s="347" t="s">
        <v>373</v>
      </c>
      <c r="D260" s="193" t="str">
        <f t="shared" si="17"/>
        <v>CPO000230MIS</v>
      </c>
      <c r="E260" s="193" t="s">
        <v>163</v>
      </c>
      <c r="F260" s="193" t="s">
        <v>1345</v>
      </c>
      <c r="G260" s="193" t="s">
        <v>1344</v>
      </c>
      <c r="H260" s="193" t="s">
        <v>40</v>
      </c>
      <c r="I260" s="193" t="s">
        <v>41</v>
      </c>
      <c r="J260" s="193" t="str">
        <f t="shared" si="18"/>
        <v>6 Roda</v>
      </c>
      <c r="K260" s="194">
        <v>45996</v>
      </c>
      <c r="L260" s="195">
        <v>13940</v>
      </c>
      <c r="M260" s="195">
        <v>3910</v>
      </c>
      <c r="N260" s="195">
        <v>10030</v>
      </c>
      <c r="O260" s="195">
        <v>10050</v>
      </c>
      <c r="P260" s="196">
        <v>0.90208333333333302</v>
      </c>
      <c r="Q260" s="196">
        <v>0.94791666666666696</v>
      </c>
      <c r="R260" s="193" t="s">
        <v>42</v>
      </c>
      <c r="S260" s="193"/>
      <c r="T260" s="197">
        <f t="shared" si="19"/>
        <v>494</v>
      </c>
      <c r="U260" s="193"/>
      <c r="V260" s="193" t="str">
        <f t="shared" si="20"/>
        <v>Pomala</v>
      </c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8"/>
      <c r="AL260" s="18"/>
    </row>
    <row r="261" spans="2:38" ht="15" customHeight="1" x14ac:dyDescent="0.2">
      <c r="B261" s="193">
        <v>1</v>
      </c>
      <c r="C261" s="347" t="s">
        <v>374</v>
      </c>
      <c r="D261" s="193" t="str">
        <f t="shared" si="17"/>
        <v>CPO000231MIS</v>
      </c>
      <c r="E261" s="193" t="s">
        <v>186</v>
      </c>
      <c r="F261" s="193" t="s">
        <v>1345</v>
      </c>
      <c r="G261" s="193" t="s">
        <v>1344</v>
      </c>
      <c r="H261" s="193" t="s">
        <v>40</v>
      </c>
      <c r="I261" s="193" t="s">
        <v>41</v>
      </c>
      <c r="J261" s="193" t="str">
        <f t="shared" si="18"/>
        <v>6 Roda</v>
      </c>
      <c r="K261" s="194">
        <v>45996</v>
      </c>
      <c r="L261" s="195">
        <v>13520</v>
      </c>
      <c r="M261" s="195">
        <v>3940</v>
      </c>
      <c r="N261" s="195">
        <v>9580</v>
      </c>
      <c r="O261" s="195">
        <v>9500</v>
      </c>
      <c r="P261" s="196">
        <v>0.90277777777777801</v>
      </c>
      <c r="Q261" s="196">
        <v>0.95277777777777795</v>
      </c>
      <c r="R261" s="193" t="s">
        <v>42</v>
      </c>
      <c r="S261" s="193"/>
      <c r="T261" s="197">
        <f t="shared" si="19"/>
        <v>494</v>
      </c>
      <c r="U261" s="193"/>
      <c r="V261" s="193" t="str">
        <f t="shared" si="20"/>
        <v>Pomala</v>
      </c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8"/>
      <c r="AL261" s="18"/>
    </row>
    <row r="262" spans="2:38" ht="15" customHeight="1" x14ac:dyDescent="0.2">
      <c r="B262" s="193">
        <v>1</v>
      </c>
      <c r="C262" s="347" t="s">
        <v>375</v>
      </c>
      <c r="D262" s="193" t="str">
        <f t="shared" si="17"/>
        <v>CPO000232MIS</v>
      </c>
      <c r="E262" s="193" t="s">
        <v>173</v>
      </c>
      <c r="F262" s="193" t="s">
        <v>1345</v>
      </c>
      <c r="G262" s="193" t="s">
        <v>1344</v>
      </c>
      <c r="H262" s="193" t="s">
        <v>40</v>
      </c>
      <c r="I262" s="193" t="s">
        <v>41</v>
      </c>
      <c r="J262" s="193" t="str">
        <f t="shared" si="18"/>
        <v>6 Roda</v>
      </c>
      <c r="K262" s="194">
        <v>45996</v>
      </c>
      <c r="L262" s="195">
        <v>14340</v>
      </c>
      <c r="M262" s="195">
        <v>4620</v>
      </c>
      <c r="N262" s="195">
        <v>9720</v>
      </c>
      <c r="O262" s="195">
        <v>9680</v>
      </c>
      <c r="P262" s="196">
        <v>0.90416666666666701</v>
      </c>
      <c r="Q262" s="196">
        <v>0.969444444444444</v>
      </c>
      <c r="R262" s="193" t="s">
        <v>42</v>
      </c>
      <c r="S262" s="193"/>
      <c r="T262" s="197">
        <f t="shared" si="19"/>
        <v>494</v>
      </c>
      <c r="U262" s="193"/>
      <c r="V262" s="193" t="str">
        <f t="shared" si="20"/>
        <v>Pomala</v>
      </c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8"/>
      <c r="AL262" s="18"/>
    </row>
    <row r="263" spans="2:38" ht="15" customHeight="1" x14ac:dyDescent="0.2">
      <c r="B263" s="193">
        <v>1</v>
      </c>
      <c r="C263" s="347" t="s">
        <v>376</v>
      </c>
      <c r="D263" s="193" t="str">
        <f t="shared" si="17"/>
        <v>CPO000233MIS</v>
      </c>
      <c r="E263" s="193" t="s">
        <v>39</v>
      </c>
      <c r="F263" s="193" t="s">
        <v>1345</v>
      </c>
      <c r="G263" s="193" t="s">
        <v>1344</v>
      </c>
      <c r="H263" s="193" t="s">
        <v>40</v>
      </c>
      <c r="I263" s="193" t="s">
        <v>41</v>
      </c>
      <c r="J263" s="193" t="str">
        <f t="shared" si="18"/>
        <v>6 Roda</v>
      </c>
      <c r="K263" s="194">
        <v>45996</v>
      </c>
      <c r="L263" s="195">
        <v>13710</v>
      </c>
      <c r="M263" s="195">
        <v>4130</v>
      </c>
      <c r="N263" s="195">
        <v>9580</v>
      </c>
      <c r="O263" s="195">
        <v>9550</v>
      </c>
      <c r="P263" s="196">
        <v>0.92013888888888895</v>
      </c>
      <c r="Q263" s="196">
        <v>0.97291666666666698</v>
      </c>
      <c r="R263" s="193" t="s">
        <v>42</v>
      </c>
      <c r="S263" s="193"/>
      <c r="T263" s="197">
        <f t="shared" si="19"/>
        <v>494</v>
      </c>
      <c r="U263" s="193"/>
      <c r="V263" s="193" t="str">
        <f t="shared" si="20"/>
        <v>Pomala</v>
      </c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8"/>
      <c r="AL263" s="18"/>
    </row>
    <row r="264" spans="2:38" ht="15" customHeight="1" x14ac:dyDescent="0.2">
      <c r="B264" s="193">
        <v>1</v>
      </c>
      <c r="C264" s="347" t="s">
        <v>377</v>
      </c>
      <c r="D264" s="193" t="str">
        <f t="shared" si="17"/>
        <v>CPO000234MIS</v>
      </c>
      <c r="E264" s="193" t="s">
        <v>149</v>
      </c>
      <c r="F264" s="193" t="s">
        <v>1345</v>
      </c>
      <c r="G264" s="193" t="s">
        <v>1344</v>
      </c>
      <c r="H264" s="193" t="s">
        <v>40</v>
      </c>
      <c r="I264" s="193" t="s">
        <v>41</v>
      </c>
      <c r="J264" s="193" t="str">
        <f t="shared" si="18"/>
        <v>6 Roda</v>
      </c>
      <c r="K264" s="194">
        <v>45996</v>
      </c>
      <c r="L264" s="195">
        <v>13910</v>
      </c>
      <c r="M264" s="195">
        <v>4030</v>
      </c>
      <c r="N264" s="195">
        <v>9880</v>
      </c>
      <c r="O264" s="195">
        <v>9850</v>
      </c>
      <c r="P264" s="196">
        <v>0.92291666666666705</v>
      </c>
      <c r="Q264" s="196">
        <v>0.98819444444444504</v>
      </c>
      <c r="R264" s="193" t="s">
        <v>42</v>
      </c>
      <c r="S264" s="193"/>
      <c r="T264" s="197">
        <f t="shared" si="19"/>
        <v>494</v>
      </c>
      <c r="U264" s="193"/>
      <c r="V264" s="193" t="str">
        <f t="shared" si="20"/>
        <v>Pomala</v>
      </c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8"/>
      <c r="AL264" s="18"/>
    </row>
    <row r="265" spans="2:38" ht="15" customHeight="1" x14ac:dyDescent="0.2">
      <c r="B265" s="193">
        <v>1</v>
      </c>
      <c r="C265" s="347" t="s">
        <v>366</v>
      </c>
      <c r="D265" s="193" t="str">
        <f t="shared" si="17"/>
        <v>CPO000223JAS</v>
      </c>
      <c r="E265" s="193" t="s">
        <v>76</v>
      </c>
      <c r="F265" s="193" t="s">
        <v>1431</v>
      </c>
      <c r="G265" s="193" t="s">
        <v>1346</v>
      </c>
      <c r="H265" s="193" t="s">
        <v>49</v>
      </c>
      <c r="I265" s="193" t="s">
        <v>41</v>
      </c>
      <c r="J265" s="193" t="str">
        <f t="shared" si="18"/>
        <v>12 Roda</v>
      </c>
      <c r="K265" s="194">
        <v>45996</v>
      </c>
      <c r="L265" s="195">
        <v>45960</v>
      </c>
      <c r="M265" s="195">
        <v>17710</v>
      </c>
      <c r="N265" s="195">
        <v>28250</v>
      </c>
      <c r="O265" s="195">
        <v>28190</v>
      </c>
      <c r="P265" s="196">
        <v>0.593055555555556</v>
      </c>
      <c r="Q265" s="196">
        <v>0.64166666666666705</v>
      </c>
      <c r="R265" s="193" t="s">
        <v>137</v>
      </c>
      <c r="S265" s="193" t="s">
        <v>1372</v>
      </c>
      <c r="T265" s="197">
        <f t="shared" si="19"/>
        <v>68</v>
      </c>
      <c r="U265" s="193" t="s">
        <v>1922</v>
      </c>
      <c r="V265" s="193" t="str">
        <f t="shared" si="20"/>
        <v>Bone Bone</v>
      </c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8"/>
      <c r="AL265" s="18"/>
    </row>
    <row r="266" spans="2:38" ht="15" customHeight="1" x14ac:dyDescent="0.2">
      <c r="B266" s="193">
        <v>1</v>
      </c>
      <c r="C266" s="347" t="s">
        <v>367</v>
      </c>
      <c r="D266" s="193" t="str">
        <f t="shared" si="17"/>
        <v>CPO000224JAS</v>
      </c>
      <c r="E266" s="193" t="s">
        <v>56</v>
      </c>
      <c r="F266" s="193" t="s">
        <v>1431</v>
      </c>
      <c r="G266" s="193" t="s">
        <v>1346</v>
      </c>
      <c r="H266" s="193" t="s">
        <v>49</v>
      </c>
      <c r="I266" s="193" t="s">
        <v>41</v>
      </c>
      <c r="J266" s="193" t="str">
        <f t="shared" si="18"/>
        <v>10 Roda</v>
      </c>
      <c r="K266" s="194">
        <v>45996</v>
      </c>
      <c r="L266" s="195">
        <v>25030</v>
      </c>
      <c r="M266" s="195">
        <v>10780</v>
      </c>
      <c r="N266" s="195">
        <v>14250</v>
      </c>
      <c r="O266" s="195">
        <v>14190</v>
      </c>
      <c r="P266" s="196">
        <v>0.594444444444444</v>
      </c>
      <c r="Q266" s="196">
        <v>0.64305555555555605</v>
      </c>
      <c r="R266" s="193" t="s">
        <v>137</v>
      </c>
      <c r="S266" s="193" t="s">
        <v>1781</v>
      </c>
      <c r="T266" s="197">
        <f t="shared" si="19"/>
        <v>68</v>
      </c>
      <c r="U266" s="193" t="s">
        <v>1922</v>
      </c>
      <c r="V266" s="193" t="str">
        <f t="shared" si="20"/>
        <v>Bone Bone</v>
      </c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8"/>
      <c r="AL266" s="18"/>
    </row>
    <row r="267" spans="2:38" ht="15" customHeight="1" x14ac:dyDescent="0.2">
      <c r="B267" s="193">
        <v>1</v>
      </c>
      <c r="C267" s="347" t="s">
        <v>368</v>
      </c>
      <c r="D267" s="193" t="str">
        <f t="shared" si="17"/>
        <v>CPO000225JAS</v>
      </c>
      <c r="E267" s="193" t="s">
        <v>84</v>
      </c>
      <c r="F267" s="193" t="s">
        <v>1431</v>
      </c>
      <c r="G267" s="193" t="s">
        <v>1346</v>
      </c>
      <c r="H267" s="193" t="s">
        <v>49</v>
      </c>
      <c r="I267" s="193" t="s">
        <v>41</v>
      </c>
      <c r="J267" s="193" t="str">
        <f t="shared" si="18"/>
        <v>10 Roda</v>
      </c>
      <c r="K267" s="194">
        <v>45996</v>
      </c>
      <c r="L267" s="195">
        <v>26610</v>
      </c>
      <c r="M267" s="195">
        <v>12150</v>
      </c>
      <c r="N267" s="195">
        <v>14460</v>
      </c>
      <c r="O267" s="195">
        <v>14410</v>
      </c>
      <c r="P267" s="196">
        <v>0.59583333333333299</v>
      </c>
      <c r="Q267" s="196">
        <v>0.67500000000000004</v>
      </c>
      <c r="R267" s="193" t="s">
        <v>137</v>
      </c>
      <c r="S267" s="193" t="s">
        <v>1782</v>
      </c>
      <c r="T267" s="197">
        <f t="shared" si="19"/>
        <v>68</v>
      </c>
      <c r="U267" s="193" t="s">
        <v>1922</v>
      </c>
      <c r="V267" s="193" t="str">
        <f t="shared" si="20"/>
        <v>Bone Bone</v>
      </c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8"/>
      <c r="AL267" s="18"/>
    </row>
    <row r="268" spans="2:38" ht="15" customHeight="1" x14ac:dyDescent="0.2">
      <c r="B268" s="193">
        <v>1</v>
      </c>
      <c r="C268" s="347" t="s">
        <v>369</v>
      </c>
      <c r="D268" s="193" t="str">
        <f t="shared" si="17"/>
        <v>CPO000226JAS</v>
      </c>
      <c r="E268" s="193" t="s">
        <v>70</v>
      </c>
      <c r="F268" s="193" t="s">
        <v>1431</v>
      </c>
      <c r="G268" s="193" t="s">
        <v>1346</v>
      </c>
      <c r="H268" s="193" t="s">
        <v>49</v>
      </c>
      <c r="I268" s="193" t="s">
        <v>41</v>
      </c>
      <c r="J268" s="193" t="str">
        <f t="shared" si="18"/>
        <v>12 Roda</v>
      </c>
      <c r="K268" s="194">
        <v>45996</v>
      </c>
      <c r="L268" s="195">
        <v>45640</v>
      </c>
      <c r="M268" s="195">
        <v>17450</v>
      </c>
      <c r="N268" s="195">
        <v>28190</v>
      </c>
      <c r="O268" s="195">
        <v>28080</v>
      </c>
      <c r="P268" s="196">
        <v>0.59652777777777799</v>
      </c>
      <c r="Q268" s="196">
        <v>0.64444444444444504</v>
      </c>
      <c r="R268" s="193" t="s">
        <v>137</v>
      </c>
      <c r="S268" s="193" t="s">
        <v>1499</v>
      </c>
      <c r="T268" s="197">
        <f t="shared" si="19"/>
        <v>68</v>
      </c>
      <c r="U268" s="193" t="s">
        <v>1922</v>
      </c>
      <c r="V268" s="193" t="str">
        <f t="shared" si="20"/>
        <v>Bone Bone</v>
      </c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8"/>
      <c r="AL268" s="18"/>
    </row>
    <row r="269" spans="2:38" ht="15" customHeight="1" x14ac:dyDescent="0.2">
      <c r="B269" s="193">
        <v>1</v>
      </c>
      <c r="C269" s="347" t="s">
        <v>370</v>
      </c>
      <c r="D269" s="193" t="str">
        <f t="shared" si="17"/>
        <v>CPO000227JAS</v>
      </c>
      <c r="E269" s="193" t="s">
        <v>46</v>
      </c>
      <c r="F269" s="193" t="s">
        <v>1431</v>
      </c>
      <c r="G269" s="193" t="s">
        <v>1346</v>
      </c>
      <c r="H269" s="193" t="s">
        <v>49</v>
      </c>
      <c r="I269" s="193" t="s">
        <v>41</v>
      </c>
      <c r="J269" s="193" t="str">
        <f t="shared" si="18"/>
        <v>10 Roda</v>
      </c>
      <c r="K269" s="194">
        <v>45996</v>
      </c>
      <c r="L269" s="195">
        <v>26580</v>
      </c>
      <c r="M269" s="195">
        <v>11760</v>
      </c>
      <c r="N269" s="195">
        <v>14820</v>
      </c>
      <c r="O269" s="195">
        <v>14730</v>
      </c>
      <c r="P269" s="196">
        <v>0.62708333333333299</v>
      </c>
      <c r="Q269" s="196">
        <v>0.67847222222222203</v>
      </c>
      <c r="R269" s="193" t="s">
        <v>137</v>
      </c>
      <c r="S269" s="193" t="s">
        <v>1393</v>
      </c>
      <c r="T269" s="197">
        <f t="shared" si="19"/>
        <v>68</v>
      </c>
      <c r="U269" s="193" t="s">
        <v>1922</v>
      </c>
      <c r="V269" s="193" t="str">
        <f t="shared" si="20"/>
        <v>Bone Bone</v>
      </c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8"/>
      <c r="AL269" s="18"/>
    </row>
    <row r="270" spans="2:38" ht="15" customHeight="1" x14ac:dyDescent="0.2">
      <c r="B270" s="193">
        <v>1</v>
      </c>
      <c r="C270" s="347" t="s">
        <v>371</v>
      </c>
      <c r="D270" s="193" t="str">
        <f t="shared" si="17"/>
        <v>CPO000228JAS</v>
      </c>
      <c r="E270" s="193" t="s">
        <v>76</v>
      </c>
      <c r="F270" s="193" t="s">
        <v>1431</v>
      </c>
      <c r="G270" s="193" t="s">
        <v>1346</v>
      </c>
      <c r="H270" s="193" t="s">
        <v>49</v>
      </c>
      <c r="I270" s="193" t="s">
        <v>41</v>
      </c>
      <c r="J270" s="193" t="str">
        <f t="shared" si="18"/>
        <v>12 Roda</v>
      </c>
      <c r="K270" s="194">
        <v>45996</v>
      </c>
      <c r="L270" s="195">
        <v>45800</v>
      </c>
      <c r="M270" s="195">
        <v>17650</v>
      </c>
      <c r="N270" s="195">
        <v>28150</v>
      </c>
      <c r="O270" s="195">
        <v>28030</v>
      </c>
      <c r="P270" s="196">
        <v>0.87916666666666698</v>
      </c>
      <c r="Q270" s="196">
        <v>0.91736111111111096</v>
      </c>
      <c r="R270" s="193" t="s">
        <v>42</v>
      </c>
      <c r="S270" s="193" t="s">
        <v>1372</v>
      </c>
      <c r="T270" s="197">
        <f t="shared" si="19"/>
        <v>68</v>
      </c>
      <c r="U270" s="193" t="s">
        <v>1922</v>
      </c>
      <c r="V270" s="193" t="str">
        <f t="shared" si="20"/>
        <v>Bone Bone</v>
      </c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8"/>
      <c r="AL270" s="18"/>
    </row>
    <row r="271" spans="2:38" ht="15" customHeight="1" x14ac:dyDescent="0.2">
      <c r="B271" s="193">
        <v>1</v>
      </c>
      <c r="C271" s="347" t="s">
        <v>372</v>
      </c>
      <c r="D271" s="193" t="str">
        <f t="shared" si="17"/>
        <v>CPO000229JAS</v>
      </c>
      <c r="E271" s="193" t="s">
        <v>56</v>
      </c>
      <c r="F271" s="193" t="s">
        <v>1431</v>
      </c>
      <c r="G271" s="193" t="s">
        <v>1346</v>
      </c>
      <c r="H271" s="193" t="s">
        <v>49</v>
      </c>
      <c r="I271" s="193" t="s">
        <v>41</v>
      </c>
      <c r="J271" s="193" t="str">
        <f t="shared" si="18"/>
        <v>10 Roda</v>
      </c>
      <c r="K271" s="194">
        <v>45996</v>
      </c>
      <c r="L271" s="195">
        <v>25110</v>
      </c>
      <c r="M271" s="195">
        <v>10870</v>
      </c>
      <c r="N271" s="195">
        <v>14240</v>
      </c>
      <c r="O271" s="195">
        <v>14190</v>
      </c>
      <c r="P271" s="196">
        <v>0.89444444444444504</v>
      </c>
      <c r="Q271" s="196">
        <v>0.9375</v>
      </c>
      <c r="R271" s="193" t="s">
        <v>42</v>
      </c>
      <c r="S271" s="193" t="s">
        <v>1781</v>
      </c>
      <c r="T271" s="197">
        <f t="shared" si="19"/>
        <v>68</v>
      </c>
      <c r="U271" s="193" t="s">
        <v>1922</v>
      </c>
      <c r="V271" s="193" t="str">
        <f t="shared" si="20"/>
        <v>Bone Bone</v>
      </c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8"/>
      <c r="AL271" s="18"/>
    </row>
    <row r="272" spans="2:38" ht="15" customHeight="1" x14ac:dyDescent="0.2">
      <c r="B272" s="193">
        <v>1</v>
      </c>
      <c r="C272" s="347" t="s">
        <v>379</v>
      </c>
      <c r="D272" s="193" t="str">
        <f t="shared" si="17"/>
        <v>CPO000236JAS</v>
      </c>
      <c r="E272" s="193" t="s">
        <v>46</v>
      </c>
      <c r="F272" s="193" t="s">
        <v>1431</v>
      </c>
      <c r="G272" s="193" t="s">
        <v>1346</v>
      </c>
      <c r="H272" s="193" t="s">
        <v>49</v>
      </c>
      <c r="I272" s="193" t="s">
        <v>41</v>
      </c>
      <c r="J272" s="193" t="str">
        <f t="shared" si="18"/>
        <v>10 Roda</v>
      </c>
      <c r="K272" s="194">
        <v>45996</v>
      </c>
      <c r="L272" s="195">
        <v>26550</v>
      </c>
      <c r="M272" s="195">
        <v>11730</v>
      </c>
      <c r="N272" s="195">
        <v>14820</v>
      </c>
      <c r="O272" s="195">
        <v>14760</v>
      </c>
      <c r="P272" s="196">
        <v>0.92986111111111103</v>
      </c>
      <c r="Q272" s="196">
        <v>0.968055555555556</v>
      </c>
      <c r="R272" s="193" t="s">
        <v>42</v>
      </c>
      <c r="S272" s="193" t="s">
        <v>1393</v>
      </c>
      <c r="T272" s="197">
        <f t="shared" si="19"/>
        <v>68</v>
      </c>
      <c r="U272" s="193" t="s">
        <v>1922</v>
      </c>
      <c r="V272" s="193" t="str">
        <f t="shared" si="20"/>
        <v>Bone Bone</v>
      </c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8"/>
      <c r="AL272" s="18"/>
    </row>
    <row r="273" spans="2:38" ht="15" customHeight="1" x14ac:dyDescent="0.2">
      <c r="B273" s="193">
        <v>1</v>
      </c>
      <c r="C273" s="347" t="s">
        <v>388</v>
      </c>
      <c r="D273" s="193" t="str">
        <f t="shared" si="17"/>
        <v>CPO000245PN</v>
      </c>
      <c r="E273" s="193" t="s">
        <v>56</v>
      </c>
      <c r="F273" s="193" t="s">
        <v>1340</v>
      </c>
      <c r="G273" s="193" t="s">
        <v>1347</v>
      </c>
      <c r="H273" s="193" t="s">
        <v>78</v>
      </c>
      <c r="I273" s="193" t="s">
        <v>41</v>
      </c>
      <c r="J273" s="193" t="str">
        <f t="shared" si="18"/>
        <v>10 Roda</v>
      </c>
      <c r="K273" s="194">
        <v>45997</v>
      </c>
      <c r="L273" s="195">
        <v>25080</v>
      </c>
      <c r="M273" s="195">
        <v>10840</v>
      </c>
      <c r="N273" s="195">
        <v>14240</v>
      </c>
      <c r="O273" s="195">
        <v>14230</v>
      </c>
      <c r="P273" s="196">
        <v>0.77916666666666701</v>
      </c>
      <c r="Q273" s="196">
        <v>0.86041666666666705</v>
      </c>
      <c r="R273" s="193" t="s">
        <v>42</v>
      </c>
      <c r="S273" s="193" t="s">
        <v>1781</v>
      </c>
      <c r="T273" s="197">
        <f t="shared" si="19"/>
        <v>99</v>
      </c>
      <c r="U273" s="193"/>
      <c r="V273" s="193" t="str">
        <f t="shared" si="20"/>
        <v>Burau</v>
      </c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8"/>
      <c r="AL273" s="18"/>
    </row>
    <row r="274" spans="2:38" ht="15" customHeight="1" x14ac:dyDescent="0.2">
      <c r="B274" s="193">
        <v>1</v>
      </c>
      <c r="C274" s="347" t="s">
        <v>389</v>
      </c>
      <c r="D274" s="193" t="str">
        <f t="shared" si="17"/>
        <v>CPO000246PN</v>
      </c>
      <c r="E274" s="193" t="s">
        <v>46</v>
      </c>
      <c r="F274" s="193" t="s">
        <v>1340</v>
      </c>
      <c r="G274" s="193" t="s">
        <v>1347</v>
      </c>
      <c r="H274" s="193" t="s">
        <v>78</v>
      </c>
      <c r="I274" s="193" t="s">
        <v>41</v>
      </c>
      <c r="J274" s="193" t="str">
        <f t="shared" si="18"/>
        <v>10 Roda</v>
      </c>
      <c r="K274" s="194">
        <v>45997</v>
      </c>
      <c r="L274" s="195">
        <v>26610</v>
      </c>
      <c r="M274" s="195">
        <v>11800</v>
      </c>
      <c r="N274" s="195">
        <v>14810</v>
      </c>
      <c r="O274" s="195">
        <v>14800</v>
      </c>
      <c r="P274" s="196">
        <v>0.780555555555556</v>
      </c>
      <c r="Q274" s="196">
        <v>0.85555555555555596</v>
      </c>
      <c r="R274" s="193" t="s">
        <v>42</v>
      </c>
      <c r="S274" s="193" t="s">
        <v>1393</v>
      </c>
      <c r="T274" s="197">
        <f t="shared" si="19"/>
        <v>99</v>
      </c>
      <c r="U274" s="193"/>
      <c r="V274" s="193" t="str">
        <f t="shared" si="20"/>
        <v>Burau</v>
      </c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8"/>
      <c r="AL274" s="18"/>
    </row>
    <row r="275" spans="2:38" ht="15" customHeight="1" x14ac:dyDescent="0.2">
      <c r="B275" s="193">
        <v>1</v>
      </c>
      <c r="C275" s="347" t="s">
        <v>378</v>
      </c>
      <c r="D275" s="193" t="str">
        <f t="shared" si="17"/>
        <v>CPO000235MIS</v>
      </c>
      <c r="E275" s="193" t="s">
        <v>73</v>
      </c>
      <c r="F275" s="193" t="s">
        <v>1345</v>
      </c>
      <c r="G275" s="193" t="s">
        <v>1344</v>
      </c>
      <c r="H275" s="193" t="s">
        <v>40</v>
      </c>
      <c r="I275" s="193" t="s">
        <v>41</v>
      </c>
      <c r="J275" s="193" t="str">
        <f t="shared" si="18"/>
        <v>6 Roda</v>
      </c>
      <c r="K275" s="194">
        <v>45997</v>
      </c>
      <c r="L275" s="195">
        <v>13440</v>
      </c>
      <c r="M275" s="195">
        <v>3990</v>
      </c>
      <c r="N275" s="195">
        <v>9450</v>
      </c>
      <c r="O275" s="195">
        <v>9410</v>
      </c>
      <c r="P275" s="196">
        <v>0.92430555555555605</v>
      </c>
      <c r="Q275" s="196">
        <v>1.2500000000000001E-2</v>
      </c>
      <c r="R275" s="193" t="s">
        <v>42</v>
      </c>
      <c r="S275" s="193"/>
      <c r="T275" s="197">
        <f t="shared" si="19"/>
        <v>494</v>
      </c>
      <c r="U275" s="193"/>
      <c r="V275" s="193" t="str">
        <f t="shared" si="20"/>
        <v>Pomala</v>
      </c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8"/>
      <c r="AL275" s="18"/>
    </row>
    <row r="276" spans="2:38" ht="15" customHeight="1" x14ac:dyDescent="0.2">
      <c r="B276" s="193">
        <v>1</v>
      </c>
      <c r="C276" s="347" t="s">
        <v>381</v>
      </c>
      <c r="D276" s="193" t="str">
        <f t="shared" si="17"/>
        <v>CPO000238MIS</v>
      </c>
      <c r="E276" s="193" t="s">
        <v>181</v>
      </c>
      <c r="F276" s="193" t="s">
        <v>1345</v>
      </c>
      <c r="G276" s="193" t="s">
        <v>1344</v>
      </c>
      <c r="H276" s="193" t="s">
        <v>40</v>
      </c>
      <c r="I276" s="193" t="s">
        <v>41</v>
      </c>
      <c r="J276" s="193" t="str">
        <f t="shared" si="18"/>
        <v>6 Roda</v>
      </c>
      <c r="K276" s="194">
        <v>45997</v>
      </c>
      <c r="L276" s="195">
        <v>13540</v>
      </c>
      <c r="M276" s="195">
        <v>3960</v>
      </c>
      <c r="N276" s="195">
        <v>9580</v>
      </c>
      <c r="O276" s="195">
        <v>9550</v>
      </c>
      <c r="P276" s="196">
        <v>0.94027777777777799</v>
      </c>
      <c r="Q276" s="196">
        <v>3.8888888888888903E-2</v>
      </c>
      <c r="R276" s="193" t="s">
        <v>42</v>
      </c>
      <c r="S276" s="193"/>
      <c r="T276" s="197">
        <f t="shared" si="19"/>
        <v>494</v>
      </c>
      <c r="U276" s="193"/>
      <c r="V276" s="193" t="str">
        <f t="shared" si="20"/>
        <v>Pomala</v>
      </c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8"/>
      <c r="AL276" s="18"/>
    </row>
    <row r="277" spans="2:38" ht="15" customHeight="1" x14ac:dyDescent="0.2">
      <c r="B277" s="193">
        <v>1</v>
      </c>
      <c r="C277" s="347" t="s">
        <v>382</v>
      </c>
      <c r="D277" s="193" t="str">
        <f t="shared" si="17"/>
        <v>CPO000239MIS</v>
      </c>
      <c r="E277" s="193" t="s">
        <v>166</v>
      </c>
      <c r="F277" s="193" t="s">
        <v>1345</v>
      </c>
      <c r="G277" s="193" t="s">
        <v>1344</v>
      </c>
      <c r="H277" s="193" t="s">
        <v>40</v>
      </c>
      <c r="I277" s="193" t="s">
        <v>41</v>
      </c>
      <c r="J277" s="193" t="str">
        <f t="shared" si="18"/>
        <v>6 Roda</v>
      </c>
      <c r="K277" s="194">
        <v>45997</v>
      </c>
      <c r="L277" s="195">
        <v>13090</v>
      </c>
      <c r="M277" s="195">
        <v>3770</v>
      </c>
      <c r="N277" s="195">
        <v>9320</v>
      </c>
      <c r="O277" s="195">
        <v>9320</v>
      </c>
      <c r="P277" s="196">
        <v>0.94583333333333297</v>
      </c>
      <c r="Q277" s="196">
        <v>4.2361111111111099E-2</v>
      </c>
      <c r="R277" s="193" t="s">
        <v>42</v>
      </c>
      <c r="S277" s="193"/>
      <c r="T277" s="197">
        <f t="shared" si="19"/>
        <v>494</v>
      </c>
      <c r="U277" s="193"/>
      <c r="V277" s="193" t="str">
        <f t="shared" si="20"/>
        <v>Pomala</v>
      </c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8"/>
      <c r="AL277" s="18"/>
    </row>
    <row r="278" spans="2:38" ht="15" customHeight="1" x14ac:dyDescent="0.2">
      <c r="B278" s="193">
        <v>1</v>
      </c>
      <c r="C278" s="347" t="s">
        <v>383</v>
      </c>
      <c r="D278" s="193" t="str">
        <f t="shared" si="17"/>
        <v>CPO000240MIS</v>
      </c>
      <c r="E278" s="193" t="s">
        <v>147</v>
      </c>
      <c r="F278" s="193" t="s">
        <v>1345</v>
      </c>
      <c r="G278" s="193" t="s">
        <v>1344</v>
      </c>
      <c r="H278" s="193" t="s">
        <v>40</v>
      </c>
      <c r="I278" s="193" t="s">
        <v>41</v>
      </c>
      <c r="J278" s="193" t="str">
        <f t="shared" si="18"/>
        <v>6 Roda</v>
      </c>
      <c r="K278" s="194">
        <v>45997</v>
      </c>
      <c r="L278" s="195">
        <v>13970</v>
      </c>
      <c r="M278" s="195">
        <v>4050</v>
      </c>
      <c r="N278" s="195">
        <v>9920</v>
      </c>
      <c r="O278" s="195">
        <v>10000</v>
      </c>
      <c r="P278" s="196">
        <v>0.94652777777777797</v>
      </c>
      <c r="Q278" s="196">
        <v>5.7638888888888899E-2</v>
      </c>
      <c r="R278" s="193" t="s">
        <v>42</v>
      </c>
      <c r="S278" s="193"/>
      <c r="T278" s="197">
        <f t="shared" si="19"/>
        <v>494</v>
      </c>
      <c r="U278" s="193"/>
      <c r="V278" s="193" t="str">
        <f t="shared" si="20"/>
        <v>Pomala</v>
      </c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8"/>
      <c r="AL278" s="18"/>
    </row>
    <row r="279" spans="2:38" ht="15" customHeight="1" x14ac:dyDescent="0.2">
      <c r="B279" s="193">
        <v>1</v>
      </c>
      <c r="C279" s="347" t="s">
        <v>385</v>
      </c>
      <c r="D279" s="193" t="str">
        <f t="shared" ref="D279:D342" si="21">I279&amp;C279&amp;_xlfn.XLOOKUP(H279,$AM$4:$AM$26,$AN$4:$AN$26,"")</f>
        <v>CPO000242MIS</v>
      </c>
      <c r="E279" s="193" t="s">
        <v>183</v>
      </c>
      <c r="F279" s="193" t="s">
        <v>1345</v>
      </c>
      <c r="G279" s="193" t="s">
        <v>1344</v>
      </c>
      <c r="H279" s="193" t="s">
        <v>40</v>
      </c>
      <c r="I279" s="193" t="s">
        <v>41</v>
      </c>
      <c r="J279" s="193" t="str">
        <f t="shared" ref="J279:J318" si="22">IF(MIN(L279,M279)&lt;=5000,"6 Roda",IF(MIN(L279,M279)&lt;=13800,"10 Roda","12 Roda"))</f>
        <v>6 Roda</v>
      </c>
      <c r="K279" s="194">
        <v>45997</v>
      </c>
      <c r="L279" s="195">
        <v>14260</v>
      </c>
      <c r="M279" s="195">
        <v>4190</v>
      </c>
      <c r="N279" s="195">
        <v>10070</v>
      </c>
      <c r="O279" s="195">
        <v>10060</v>
      </c>
      <c r="P279" s="196">
        <v>0.70972222222222203</v>
      </c>
      <c r="Q279" s="196">
        <v>0.749305555555556</v>
      </c>
      <c r="R279" s="193" t="s">
        <v>42</v>
      </c>
      <c r="S279" s="193"/>
      <c r="T279" s="197">
        <f t="shared" ref="T279:T342" si="23">IFERROR(_xlfn.XLOOKUP(H279,$AM$4:$AM$18,$AP$4:$AP$18,""),0)</f>
        <v>494</v>
      </c>
      <c r="U279" s="193"/>
      <c r="V279" s="193" t="str">
        <f t="shared" ref="V279:V342" si="24">IFERROR(_xlfn.XLOOKUP(H279,$AM$4:$AM$18,$AO$4:$AO$18,""),"")</f>
        <v>Pomala</v>
      </c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8"/>
      <c r="AL279" s="18"/>
    </row>
    <row r="280" spans="2:38" ht="15" customHeight="1" x14ac:dyDescent="0.2">
      <c r="B280" s="193">
        <v>1</v>
      </c>
      <c r="C280" s="347" t="s">
        <v>386</v>
      </c>
      <c r="D280" s="193" t="str">
        <f t="shared" si="21"/>
        <v>CPO000243MIS</v>
      </c>
      <c r="E280" s="193" t="s">
        <v>151</v>
      </c>
      <c r="F280" s="193" t="s">
        <v>1345</v>
      </c>
      <c r="G280" s="193" t="s">
        <v>1344</v>
      </c>
      <c r="H280" s="193" t="s">
        <v>40</v>
      </c>
      <c r="I280" s="193" t="s">
        <v>41</v>
      </c>
      <c r="J280" s="193" t="str">
        <f t="shared" si="22"/>
        <v>6 Roda</v>
      </c>
      <c r="K280" s="194">
        <v>45997</v>
      </c>
      <c r="L280" s="195">
        <v>13510</v>
      </c>
      <c r="M280" s="195">
        <v>4070</v>
      </c>
      <c r="N280" s="195">
        <v>9440</v>
      </c>
      <c r="O280" s="195">
        <v>9440</v>
      </c>
      <c r="P280" s="196">
        <v>0.71111111111111103</v>
      </c>
      <c r="Q280" s="196">
        <v>0.75347222222222199</v>
      </c>
      <c r="R280" s="193" t="s">
        <v>42</v>
      </c>
      <c r="S280" s="193"/>
      <c r="T280" s="197">
        <f t="shared" si="23"/>
        <v>494</v>
      </c>
      <c r="U280" s="193"/>
      <c r="V280" s="193" t="str">
        <f t="shared" si="24"/>
        <v>Pomala</v>
      </c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8"/>
      <c r="AL280" s="18"/>
    </row>
    <row r="281" spans="2:38" ht="15" customHeight="1" x14ac:dyDescent="0.2">
      <c r="B281" s="193">
        <v>1</v>
      </c>
      <c r="C281" s="347" t="s">
        <v>387</v>
      </c>
      <c r="D281" s="193" t="str">
        <f t="shared" si="21"/>
        <v>CPO000244MIS</v>
      </c>
      <c r="E281" s="193" t="s">
        <v>153</v>
      </c>
      <c r="F281" s="193" t="s">
        <v>1345</v>
      </c>
      <c r="G281" s="193" t="s">
        <v>1344</v>
      </c>
      <c r="H281" s="193" t="s">
        <v>40</v>
      </c>
      <c r="I281" s="193" t="s">
        <v>41</v>
      </c>
      <c r="J281" s="193" t="str">
        <f t="shared" si="22"/>
        <v>6 Roda</v>
      </c>
      <c r="K281" s="194">
        <v>45997</v>
      </c>
      <c r="L281" s="195">
        <v>13600</v>
      </c>
      <c r="M281" s="195">
        <v>3970</v>
      </c>
      <c r="N281" s="195">
        <v>9630</v>
      </c>
      <c r="O281" s="195">
        <v>9620</v>
      </c>
      <c r="P281" s="196">
        <v>0.71666666666666701</v>
      </c>
      <c r="Q281" s="196">
        <v>0.76875000000000004</v>
      </c>
      <c r="R281" s="193" t="s">
        <v>42</v>
      </c>
      <c r="S281" s="193"/>
      <c r="T281" s="197">
        <f t="shared" si="23"/>
        <v>494</v>
      </c>
      <c r="U281" s="193"/>
      <c r="V281" s="193" t="str">
        <f t="shared" si="24"/>
        <v>Pomala</v>
      </c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8"/>
      <c r="AL281" s="18"/>
    </row>
    <row r="282" spans="2:38" ht="15" customHeight="1" x14ac:dyDescent="0.2">
      <c r="B282" s="193">
        <v>1</v>
      </c>
      <c r="C282" s="347" t="s">
        <v>380</v>
      </c>
      <c r="D282" s="193" t="str">
        <f t="shared" si="21"/>
        <v>CPO000237JAS</v>
      </c>
      <c r="E282" s="193" t="s">
        <v>70</v>
      </c>
      <c r="F282" s="193" t="s">
        <v>1431</v>
      </c>
      <c r="G282" s="193" t="s">
        <v>1346</v>
      </c>
      <c r="H282" s="193" t="s">
        <v>49</v>
      </c>
      <c r="I282" s="193" t="s">
        <v>41</v>
      </c>
      <c r="J282" s="193" t="str">
        <f t="shared" si="22"/>
        <v>12 Roda</v>
      </c>
      <c r="K282" s="194">
        <v>45997</v>
      </c>
      <c r="L282" s="195">
        <v>45860</v>
      </c>
      <c r="M282" s="195">
        <v>17680</v>
      </c>
      <c r="N282" s="195">
        <v>28180</v>
      </c>
      <c r="O282" s="195">
        <v>28090</v>
      </c>
      <c r="P282" s="196">
        <v>0.93611111111111101</v>
      </c>
      <c r="Q282" s="196">
        <v>8.3333333333333297E-3</v>
      </c>
      <c r="R282" s="193" t="s">
        <v>42</v>
      </c>
      <c r="S282" s="193" t="s">
        <v>1499</v>
      </c>
      <c r="T282" s="197">
        <f t="shared" si="23"/>
        <v>68</v>
      </c>
      <c r="U282" s="193" t="s">
        <v>1922</v>
      </c>
      <c r="V282" s="193" t="str">
        <f t="shared" si="24"/>
        <v>Bone Bone</v>
      </c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8"/>
      <c r="AL282" s="18"/>
    </row>
    <row r="283" spans="2:38" ht="15" customHeight="1" x14ac:dyDescent="0.2">
      <c r="B283" s="193">
        <v>1</v>
      </c>
      <c r="C283" s="347" t="s">
        <v>384</v>
      </c>
      <c r="D283" s="193" t="str">
        <f t="shared" si="21"/>
        <v>CPO000241JAS</v>
      </c>
      <c r="E283" s="193" t="s">
        <v>84</v>
      </c>
      <c r="F283" s="193" t="s">
        <v>1431</v>
      </c>
      <c r="G283" s="193" t="s">
        <v>1346</v>
      </c>
      <c r="H283" s="193" t="s">
        <v>49</v>
      </c>
      <c r="I283" s="193" t="s">
        <v>41</v>
      </c>
      <c r="J283" s="193" t="str">
        <f t="shared" si="22"/>
        <v>10 Roda</v>
      </c>
      <c r="K283" s="194">
        <v>45997</v>
      </c>
      <c r="L283" s="195">
        <v>26690</v>
      </c>
      <c r="M283" s="195">
        <v>12260</v>
      </c>
      <c r="N283" s="195">
        <v>14430</v>
      </c>
      <c r="O283" s="195">
        <v>14400</v>
      </c>
      <c r="P283" s="196">
        <v>0.97222222222222199</v>
      </c>
      <c r="Q283" s="196">
        <v>6.9444444444444397E-3</v>
      </c>
      <c r="R283" s="193" t="s">
        <v>42</v>
      </c>
      <c r="S283" s="193" t="s">
        <v>1782</v>
      </c>
      <c r="T283" s="197">
        <f t="shared" si="23"/>
        <v>68</v>
      </c>
      <c r="U283" s="193" t="s">
        <v>1922</v>
      </c>
      <c r="V283" s="193" t="str">
        <f t="shared" si="24"/>
        <v>Bone Bone</v>
      </c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8"/>
      <c r="AL283" s="18"/>
    </row>
    <row r="284" spans="2:38" ht="15" customHeight="1" x14ac:dyDescent="0.2">
      <c r="B284" s="193">
        <v>1</v>
      </c>
      <c r="C284" s="347" t="s">
        <v>390</v>
      </c>
      <c r="D284" s="193" t="str">
        <f t="shared" si="21"/>
        <v>CPO000247JAS</v>
      </c>
      <c r="E284" s="193" t="s">
        <v>76</v>
      </c>
      <c r="F284" s="193" t="s">
        <v>1433</v>
      </c>
      <c r="G284" s="193" t="s">
        <v>1337</v>
      </c>
      <c r="H284" s="193" t="s">
        <v>49</v>
      </c>
      <c r="I284" s="193" t="s">
        <v>41</v>
      </c>
      <c r="J284" s="193" t="str">
        <f t="shared" si="22"/>
        <v>12 Roda</v>
      </c>
      <c r="K284" s="194">
        <v>45997</v>
      </c>
      <c r="L284" s="195">
        <v>45760</v>
      </c>
      <c r="M284" s="195">
        <v>17620</v>
      </c>
      <c r="N284" s="195">
        <v>28140</v>
      </c>
      <c r="O284" s="195">
        <v>28120</v>
      </c>
      <c r="P284" s="196">
        <v>0.82291666666666696</v>
      </c>
      <c r="Q284" s="196">
        <v>0.88263888888888897</v>
      </c>
      <c r="R284" s="193" t="s">
        <v>42</v>
      </c>
      <c r="S284" s="193" t="s">
        <v>1372</v>
      </c>
      <c r="T284" s="197">
        <f t="shared" si="23"/>
        <v>68</v>
      </c>
      <c r="U284" s="193" t="s">
        <v>1922</v>
      </c>
      <c r="V284" s="193" t="str">
        <f t="shared" si="24"/>
        <v>Bone Bone</v>
      </c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8"/>
      <c r="AL284" s="18"/>
    </row>
    <row r="285" spans="2:38" ht="15" customHeight="1" x14ac:dyDescent="0.2">
      <c r="B285" s="193">
        <v>1</v>
      </c>
      <c r="C285" s="347" t="s">
        <v>391</v>
      </c>
      <c r="D285" s="193" t="str">
        <f t="shared" si="21"/>
        <v>CPO000248JAS</v>
      </c>
      <c r="E285" s="193" t="s">
        <v>84</v>
      </c>
      <c r="F285" s="193" t="s">
        <v>1433</v>
      </c>
      <c r="G285" s="193" t="s">
        <v>1337</v>
      </c>
      <c r="H285" s="193" t="s">
        <v>49</v>
      </c>
      <c r="I285" s="193" t="s">
        <v>41</v>
      </c>
      <c r="J285" s="193" t="str">
        <f t="shared" si="22"/>
        <v>10 Roda</v>
      </c>
      <c r="K285" s="194">
        <v>45997</v>
      </c>
      <c r="L285" s="195">
        <v>26630</v>
      </c>
      <c r="M285" s="195">
        <v>12190</v>
      </c>
      <c r="N285" s="195">
        <v>14440</v>
      </c>
      <c r="O285" s="195">
        <v>14400</v>
      </c>
      <c r="P285" s="196">
        <v>0.85</v>
      </c>
      <c r="Q285" s="196">
        <v>0.89652777777777803</v>
      </c>
      <c r="R285" s="193" t="s">
        <v>42</v>
      </c>
      <c r="S285" s="193" t="s">
        <v>1782</v>
      </c>
      <c r="T285" s="197">
        <f t="shared" si="23"/>
        <v>68</v>
      </c>
      <c r="U285" s="193" t="s">
        <v>1922</v>
      </c>
      <c r="V285" s="193" t="str">
        <f t="shared" si="24"/>
        <v>Bone Bone</v>
      </c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8"/>
      <c r="AL285" s="18"/>
    </row>
    <row r="286" spans="2:38" ht="15" customHeight="1" x14ac:dyDescent="0.2">
      <c r="B286" s="193">
        <v>1</v>
      </c>
      <c r="C286" s="347" t="s">
        <v>392</v>
      </c>
      <c r="D286" s="193" t="str">
        <f t="shared" si="21"/>
        <v>CPO000249JAS</v>
      </c>
      <c r="E286" s="193" t="s">
        <v>70</v>
      </c>
      <c r="F286" s="193" t="s">
        <v>1433</v>
      </c>
      <c r="G286" s="193" t="s">
        <v>1337</v>
      </c>
      <c r="H286" s="193" t="s">
        <v>49</v>
      </c>
      <c r="I286" s="193" t="s">
        <v>41</v>
      </c>
      <c r="J286" s="193" t="str">
        <f t="shared" si="22"/>
        <v>12 Roda</v>
      </c>
      <c r="K286" s="194">
        <v>45997</v>
      </c>
      <c r="L286" s="195">
        <v>45840</v>
      </c>
      <c r="M286" s="195">
        <v>17680</v>
      </c>
      <c r="N286" s="195">
        <v>28160</v>
      </c>
      <c r="O286" s="195">
        <v>28100</v>
      </c>
      <c r="P286" s="196">
        <v>0.87291666666666701</v>
      </c>
      <c r="Q286" s="196">
        <v>0.92013888888888895</v>
      </c>
      <c r="R286" s="193" t="s">
        <v>42</v>
      </c>
      <c r="S286" s="193" t="s">
        <v>1499</v>
      </c>
      <c r="T286" s="197">
        <f t="shared" si="23"/>
        <v>68</v>
      </c>
      <c r="U286" s="193" t="s">
        <v>1922</v>
      </c>
      <c r="V286" s="193" t="str">
        <f t="shared" si="24"/>
        <v>Bone Bone</v>
      </c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8"/>
      <c r="AL286" s="18"/>
    </row>
    <row r="287" spans="2:38" ht="15" customHeight="1" x14ac:dyDescent="0.2">
      <c r="B287" s="193">
        <v>1</v>
      </c>
      <c r="C287" s="347" t="s">
        <v>393</v>
      </c>
      <c r="D287" s="193" t="str">
        <f t="shared" si="21"/>
        <v>CPO000250MIS</v>
      </c>
      <c r="E287" s="193" t="s">
        <v>171</v>
      </c>
      <c r="F287" s="193" t="s">
        <v>1345</v>
      </c>
      <c r="G287" s="193" t="s">
        <v>1344</v>
      </c>
      <c r="H287" s="193" t="s">
        <v>40</v>
      </c>
      <c r="I287" s="193" t="s">
        <v>41</v>
      </c>
      <c r="J287" s="193" t="str">
        <f t="shared" si="22"/>
        <v>6 Roda</v>
      </c>
      <c r="K287" s="194">
        <v>45999</v>
      </c>
      <c r="L287" s="195">
        <v>13240</v>
      </c>
      <c r="M287" s="195">
        <v>3630</v>
      </c>
      <c r="N287" s="195">
        <v>9610</v>
      </c>
      <c r="O287" s="195">
        <v>9600</v>
      </c>
      <c r="P287" s="196">
        <v>0.39513888888888898</v>
      </c>
      <c r="Q287" s="196">
        <v>0.43611111111111101</v>
      </c>
      <c r="R287" s="193" t="s">
        <v>42</v>
      </c>
      <c r="S287" s="193"/>
      <c r="T287" s="197">
        <f t="shared" si="23"/>
        <v>494</v>
      </c>
      <c r="U287" s="193"/>
      <c r="V287" s="193" t="str">
        <f t="shared" si="24"/>
        <v>Pomala</v>
      </c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8"/>
      <c r="AL287" s="18"/>
    </row>
    <row r="288" spans="2:38" ht="15" customHeight="1" x14ac:dyDescent="0.2">
      <c r="B288" s="193">
        <v>1</v>
      </c>
      <c r="C288" s="347" t="s">
        <v>394</v>
      </c>
      <c r="D288" s="193" t="str">
        <f t="shared" si="21"/>
        <v>CPO000251MIS</v>
      </c>
      <c r="E288" s="193" t="s">
        <v>53</v>
      </c>
      <c r="F288" s="193" t="s">
        <v>1345</v>
      </c>
      <c r="G288" s="193" t="s">
        <v>1344</v>
      </c>
      <c r="H288" s="193" t="s">
        <v>40</v>
      </c>
      <c r="I288" s="193" t="s">
        <v>41</v>
      </c>
      <c r="J288" s="193" t="str">
        <f t="shared" si="22"/>
        <v>6 Roda</v>
      </c>
      <c r="K288" s="194">
        <v>45999</v>
      </c>
      <c r="L288" s="195">
        <v>13340</v>
      </c>
      <c r="M288" s="195">
        <v>3800</v>
      </c>
      <c r="N288" s="195">
        <v>9540</v>
      </c>
      <c r="O288" s="195">
        <v>9520</v>
      </c>
      <c r="P288" s="196">
        <v>0.39652777777777798</v>
      </c>
      <c r="Q288" s="196">
        <v>0.4375</v>
      </c>
      <c r="R288" s="193" t="s">
        <v>42</v>
      </c>
      <c r="S288" s="193"/>
      <c r="T288" s="197">
        <f t="shared" si="23"/>
        <v>494</v>
      </c>
      <c r="U288" s="193"/>
      <c r="V288" s="193" t="str">
        <f t="shared" si="24"/>
        <v>Pomala</v>
      </c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8"/>
      <c r="AL288" s="18"/>
    </row>
    <row r="289" spans="2:38" ht="15" customHeight="1" x14ac:dyDescent="0.2">
      <c r="B289" s="193">
        <v>1</v>
      </c>
      <c r="C289" s="347" t="s">
        <v>395</v>
      </c>
      <c r="D289" s="193" t="str">
        <f t="shared" si="21"/>
        <v>CPO000252MIS</v>
      </c>
      <c r="E289" s="193" t="s">
        <v>158</v>
      </c>
      <c r="F289" s="193" t="s">
        <v>1345</v>
      </c>
      <c r="G289" s="193" t="s">
        <v>1344</v>
      </c>
      <c r="H289" s="193" t="s">
        <v>40</v>
      </c>
      <c r="I289" s="193" t="s">
        <v>41</v>
      </c>
      <c r="J289" s="193" t="str">
        <f t="shared" si="22"/>
        <v>6 Roda</v>
      </c>
      <c r="K289" s="194">
        <v>45999</v>
      </c>
      <c r="L289" s="195">
        <v>14010</v>
      </c>
      <c r="M289" s="195">
        <v>3990</v>
      </c>
      <c r="N289" s="195">
        <v>10020</v>
      </c>
      <c r="O289" s="195">
        <v>10000</v>
      </c>
      <c r="P289" s="196">
        <v>0.40277777777777801</v>
      </c>
      <c r="Q289" s="196">
        <v>0.46319444444444502</v>
      </c>
      <c r="R289" s="193" t="s">
        <v>42</v>
      </c>
      <c r="S289" s="193"/>
      <c r="T289" s="197">
        <f t="shared" si="23"/>
        <v>494</v>
      </c>
      <c r="U289" s="193"/>
      <c r="V289" s="193" t="str">
        <f t="shared" si="24"/>
        <v>Pomala</v>
      </c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8"/>
      <c r="AL289" s="18"/>
    </row>
    <row r="290" spans="2:38" ht="15" customHeight="1" x14ac:dyDescent="0.2">
      <c r="B290" s="193">
        <v>1</v>
      </c>
      <c r="C290" s="347" t="s">
        <v>401</v>
      </c>
      <c r="D290" s="193" t="str">
        <f t="shared" si="21"/>
        <v>CPO000258MIS</v>
      </c>
      <c r="E290" s="193" t="s">
        <v>186</v>
      </c>
      <c r="F290" s="193" t="s">
        <v>1345</v>
      </c>
      <c r="G290" s="193" t="s">
        <v>1344</v>
      </c>
      <c r="H290" s="193" t="s">
        <v>40</v>
      </c>
      <c r="I290" s="193" t="s">
        <v>41</v>
      </c>
      <c r="J290" s="193" t="str">
        <f t="shared" si="22"/>
        <v>6 Roda</v>
      </c>
      <c r="K290" s="194">
        <v>45999</v>
      </c>
      <c r="L290" s="195">
        <v>13500</v>
      </c>
      <c r="M290" s="195">
        <v>3960</v>
      </c>
      <c r="N290" s="195">
        <v>9540</v>
      </c>
      <c r="O290" s="195">
        <v>9500</v>
      </c>
      <c r="P290" s="196">
        <v>0.69652777777777797</v>
      </c>
      <c r="Q290" s="196">
        <v>0.749305555555556</v>
      </c>
      <c r="R290" s="193" t="s">
        <v>137</v>
      </c>
      <c r="S290" s="193"/>
      <c r="T290" s="197">
        <f t="shared" si="23"/>
        <v>494</v>
      </c>
      <c r="U290" s="193"/>
      <c r="V290" s="193" t="str">
        <f t="shared" si="24"/>
        <v>Pomala</v>
      </c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8"/>
      <c r="AL290" s="18"/>
    </row>
    <row r="291" spans="2:38" ht="15" customHeight="1" x14ac:dyDescent="0.2">
      <c r="B291" s="193">
        <v>1</v>
      </c>
      <c r="C291" s="347" t="s">
        <v>396</v>
      </c>
      <c r="D291" s="193" t="str">
        <f t="shared" si="21"/>
        <v>CPO000253KMP</v>
      </c>
      <c r="E291" s="193" t="s">
        <v>76</v>
      </c>
      <c r="F291" s="193" t="s">
        <v>1452</v>
      </c>
      <c r="G291" s="193" t="s">
        <v>1336</v>
      </c>
      <c r="H291" s="193" t="s">
        <v>59</v>
      </c>
      <c r="I291" s="193" t="s">
        <v>41</v>
      </c>
      <c r="J291" s="193" t="str">
        <f t="shared" si="22"/>
        <v>12 Roda</v>
      </c>
      <c r="K291" s="194">
        <v>45999</v>
      </c>
      <c r="L291" s="195">
        <v>45680</v>
      </c>
      <c r="M291" s="195">
        <v>17600</v>
      </c>
      <c r="N291" s="195">
        <v>28080</v>
      </c>
      <c r="O291" s="195">
        <v>28080</v>
      </c>
      <c r="P291" s="196">
        <v>0.44305555555555598</v>
      </c>
      <c r="Q291" s="196">
        <v>0.55138888888888904</v>
      </c>
      <c r="R291" s="193" t="s">
        <v>42</v>
      </c>
      <c r="S291" s="193" t="s">
        <v>1372</v>
      </c>
      <c r="T291" s="197">
        <f t="shared" si="23"/>
        <v>53</v>
      </c>
      <c r="U291" s="193" t="s">
        <v>1922</v>
      </c>
      <c r="V291" s="193" t="str">
        <f t="shared" si="24"/>
        <v>Masamba</v>
      </c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8"/>
      <c r="AL291" s="18"/>
    </row>
    <row r="292" spans="2:38" ht="15" customHeight="1" x14ac:dyDescent="0.2">
      <c r="B292" s="193">
        <v>1</v>
      </c>
      <c r="C292" s="347" t="s">
        <v>397</v>
      </c>
      <c r="D292" s="193" t="str">
        <f t="shared" si="21"/>
        <v>CPO000254KMP</v>
      </c>
      <c r="E292" s="193" t="s">
        <v>70</v>
      </c>
      <c r="F292" s="193" t="s">
        <v>1452</v>
      </c>
      <c r="G292" s="193" t="s">
        <v>1336</v>
      </c>
      <c r="H292" s="193" t="s">
        <v>59</v>
      </c>
      <c r="I292" s="193" t="s">
        <v>41</v>
      </c>
      <c r="J292" s="193" t="str">
        <f t="shared" si="22"/>
        <v>12 Roda</v>
      </c>
      <c r="K292" s="194">
        <v>45999</v>
      </c>
      <c r="L292" s="195">
        <v>45710</v>
      </c>
      <c r="M292" s="195">
        <v>17620</v>
      </c>
      <c r="N292" s="195">
        <v>28090</v>
      </c>
      <c r="O292" s="195">
        <v>28100</v>
      </c>
      <c r="P292" s="196">
        <v>0.46111111111111103</v>
      </c>
      <c r="Q292" s="196">
        <v>0.55208333333333304</v>
      </c>
      <c r="R292" s="193" t="s">
        <v>42</v>
      </c>
      <c r="S292" s="193" t="s">
        <v>1499</v>
      </c>
      <c r="T292" s="197">
        <f t="shared" si="23"/>
        <v>53</v>
      </c>
      <c r="U292" s="193" t="s">
        <v>1922</v>
      </c>
      <c r="V292" s="193" t="str">
        <f t="shared" si="24"/>
        <v>Masamba</v>
      </c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8"/>
      <c r="AL292" s="18"/>
    </row>
    <row r="293" spans="2:38" ht="15" customHeight="1" x14ac:dyDescent="0.2">
      <c r="B293" s="193">
        <v>1</v>
      </c>
      <c r="C293" s="347" t="s">
        <v>398</v>
      </c>
      <c r="D293" s="193" t="str">
        <f t="shared" si="21"/>
        <v>CPO000255JAS</v>
      </c>
      <c r="E293" s="193" t="s">
        <v>56</v>
      </c>
      <c r="F293" s="193" t="s">
        <v>1433</v>
      </c>
      <c r="G293" s="193" t="s">
        <v>1337</v>
      </c>
      <c r="H293" s="193" t="s">
        <v>49</v>
      </c>
      <c r="I293" s="193" t="s">
        <v>41</v>
      </c>
      <c r="J293" s="193" t="str">
        <f t="shared" si="22"/>
        <v>10 Roda</v>
      </c>
      <c r="K293" s="194">
        <v>45999</v>
      </c>
      <c r="L293" s="195">
        <v>25060</v>
      </c>
      <c r="M293" s="195">
        <v>10820</v>
      </c>
      <c r="N293" s="195">
        <v>14240</v>
      </c>
      <c r="O293" s="195">
        <v>14220</v>
      </c>
      <c r="P293" s="196">
        <v>0.46250000000000002</v>
      </c>
      <c r="Q293" s="196">
        <v>0.55277777777777803</v>
      </c>
      <c r="R293" s="193" t="s">
        <v>42</v>
      </c>
      <c r="S293" s="193" t="s">
        <v>1781</v>
      </c>
      <c r="T293" s="197">
        <f t="shared" si="23"/>
        <v>68</v>
      </c>
      <c r="U293" s="193" t="s">
        <v>1922</v>
      </c>
      <c r="V293" s="193" t="str">
        <f t="shared" si="24"/>
        <v>Bone Bone</v>
      </c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8"/>
      <c r="AL293" s="18"/>
    </row>
    <row r="294" spans="2:38" ht="15" customHeight="1" x14ac:dyDescent="0.2">
      <c r="B294" s="193">
        <v>1</v>
      </c>
      <c r="C294" s="347" t="s">
        <v>399</v>
      </c>
      <c r="D294" s="193" t="str">
        <f t="shared" si="21"/>
        <v>CPO000256JAS</v>
      </c>
      <c r="E294" s="193" t="s">
        <v>84</v>
      </c>
      <c r="F294" s="193" t="s">
        <v>1433</v>
      </c>
      <c r="G294" s="193" t="s">
        <v>1337</v>
      </c>
      <c r="H294" s="193" t="s">
        <v>49</v>
      </c>
      <c r="I294" s="193" t="s">
        <v>41</v>
      </c>
      <c r="J294" s="193" t="str">
        <f t="shared" si="22"/>
        <v>10 Roda</v>
      </c>
      <c r="K294" s="194">
        <v>45999</v>
      </c>
      <c r="L294" s="195">
        <v>26600</v>
      </c>
      <c r="M294" s="195">
        <v>12310</v>
      </c>
      <c r="N294" s="195">
        <v>14290</v>
      </c>
      <c r="O294" s="195">
        <v>14430</v>
      </c>
      <c r="P294" s="196">
        <v>0.48055555555555601</v>
      </c>
      <c r="Q294" s="196">
        <v>0.56736111111111098</v>
      </c>
      <c r="R294" s="193" t="s">
        <v>42</v>
      </c>
      <c r="S294" s="193" t="s">
        <v>1782</v>
      </c>
      <c r="T294" s="197">
        <f t="shared" si="23"/>
        <v>68</v>
      </c>
      <c r="U294" s="193" t="s">
        <v>1922</v>
      </c>
      <c r="V294" s="193" t="str">
        <f t="shared" si="24"/>
        <v>Bone Bone</v>
      </c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8"/>
      <c r="AL294" s="18"/>
    </row>
    <row r="295" spans="2:38" ht="15" customHeight="1" x14ac:dyDescent="0.2">
      <c r="B295" s="193">
        <v>1</v>
      </c>
      <c r="C295" s="347" t="s">
        <v>400</v>
      </c>
      <c r="D295" s="193" t="str">
        <f t="shared" si="21"/>
        <v>CPO000257JAS</v>
      </c>
      <c r="E295" s="193" t="s">
        <v>46</v>
      </c>
      <c r="F295" s="193" t="s">
        <v>1433</v>
      </c>
      <c r="G295" s="193" t="s">
        <v>1337</v>
      </c>
      <c r="H295" s="193" t="s">
        <v>49</v>
      </c>
      <c r="I295" s="193" t="s">
        <v>41</v>
      </c>
      <c r="J295" s="193" t="str">
        <f t="shared" si="22"/>
        <v>10 Roda</v>
      </c>
      <c r="K295" s="194">
        <v>45999</v>
      </c>
      <c r="L295" s="195">
        <v>26590</v>
      </c>
      <c r="M295" s="195">
        <v>11890</v>
      </c>
      <c r="N295" s="195">
        <v>14700</v>
      </c>
      <c r="O295" s="195">
        <v>14640</v>
      </c>
      <c r="P295" s="196">
        <v>0.50624999999999998</v>
      </c>
      <c r="Q295" s="196">
        <v>0.58958333333333302</v>
      </c>
      <c r="R295" s="193" t="s">
        <v>42</v>
      </c>
      <c r="S295" s="193" t="s">
        <v>1393</v>
      </c>
      <c r="T295" s="197">
        <f t="shared" si="23"/>
        <v>68</v>
      </c>
      <c r="U295" s="193" t="s">
        <v>1922</v>
      </c>
      <c r="V295" s="193" t="str">
        <f t="shared" si="24"/>
        <v>Bone Bone</v>
      </c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8"/>
      <c r="AL295" s="18"/>
    </row>
    <row r="296" spans="2:38" ht="15" customHeight="1" x14ac:dyDescent="0.2">
      <c r="B296" s="193">
        <v>1</v>
      </c>
      <c r="C296" s="347" t="s">
        <v>402</v>
      </c>
      <c r="D296" s="193" t="str">
        <f t="shared" si="21"/>
        <v>CPO000259KMP</v>
      </c>
      <c r="E296" s="193" t="s">
        <v>76</v>
      </c>
      <c r="F296" s="193" t="s">
        <v>1452</v>
      </c>
      <c r="G296" s="193" t="s">
        <v>1336</v>
      </c>
      <c r="H296" s="193" t="s">
        <v>59</v>
      </c>
      <c r="I296" s="193" t="s">
        <v>41</v>
      </c>
      <c r="J296" s="193" t="str">
        <f t="shared" si="22"/>
        <v>12 Roda</v>
      </c>
      <c r="K296" s="194">
        <v>45999</v>
      </c>
      <c r="L296" s="195">
        <v>45600</v>
      </c>
      <c r="M296" s="195">
        <v>17540</v>
      </c>
      <c r="N296" s="195">
        <v>28060</v>
      </c>
      <c r="O296" s="195">
        <v>28080</v>
      </c>
      <c r="P296" s="196">
        <v>0.71180555555555602</v>
      </c>
      <c r="Q296" s="196">
        <v>0.79930555555555605</v>
      </c>
      <c r="R296" s="193" t="s">
        <v>137</v>
      </c>
      <c r="S296" s="193" t="s">
        <v>1372</v>
      </c>
      <c r="T296" s="197">
        <f t="shared" si="23"/>
        <v>53</v>
      </c>
      <c r="U296" s="193" t="s">
        <v>1922</v>
      </c>
      <c r="V296" s="193" t="str">
        <f t="shared" si="24"/>
        <v>Masamba</v>
      </c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8"/>
      <c r="AL296" s="18"/>
    </row>
    <row r="297" spans="2:38" ht="15" customHeight="1" x14ac:dyDescent="0.2">
      <c r="B297" s="193">
        <v>1</v>
      </c>
      <c r="C297" s="347" t="s">
        <v>403</v>
      </c>
      <c r="D297" s="193" t="str">
        <f t="shared" si="21"/>
        <v>CPO000260KMP</v>
      </c>
      <c r="E297" s="193" t="s">
        <v>70</v>
      </c>
      <c r="F297" s="193" t="s">
        <v>1452</v>
      </c>
      <c r="G297" s="193" t="s">
        <v>1336</v>
      </c>
      <c r="H297" s="193" t="s">
        <v>59</v>
      </c>
      <c r="I297" s="193" t="s">
        <v>41</v>
      </c>
      <c r="J297" s="193" t="str">
        <f t="shared" si="22"/>
        <v>12 Roda</v>
      </c>
      <c r="K297" s="194">
        <v>45999</v>
      </c>
      <c r="L297" s="195">
        <v>45650</v>
      </c>
      <c r="M297" s="195">
        <v>17610</v>
      </c>
      <c r="N297" s="195">
        <v>28040</v>
      </c>
      <c r="O297" s="195">
        <v>28060</v>
      </c>
      <c r="P297" s="196">
        <v>0.73263888888888895</v>
      </c>
      <c r="Q297" s="196">
        <v>0.79513888888888895</v>
      </c>
      <c r="R297" s="193" t="s">
        <v>137</v>
      </c>
      <c r="S297" s="193" t="s">
        <v>1499</v>
      </c>
      <c r="T297" s="197">
        <f t="shared" si="23"/>
        <v>53</v>
      </c>
      <c r="U297" s="193" t="s">
        <v>1922</v>
      </c>
      <c r="V297" s="193" t="str">
        <f t="shared" si="24"/>
        <v>Masamba</v>
      </c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8"/>
      <c r="AL297" s="18"/>
    </row>
    <row r="298" spans="2:38" ht="15" customHeight="1" x14ac:dyDescent="0.2">
      <c r="B298" s="193">
        <v>1</v>
      </c>
      <c r="C298" s="347" t="s">
        <v>404</v>
      </c>
      <c r="D298" s="193" t="str">
        <f t="shared" si="21"/>
        <v>CPO000261JAS</v>
      </c>
      <c r="E298" s="193" t="s">
        <v>56</v>
      </c>
      <c r="F298" s="193" t="s">
        <v>1433</v>
      </c>
      <c r="G298" s="193" t="s">
        <v>1337</v>
      </c>
      <c r="H298" s="193" t="s">
        <v>49</v>
      </c>
      <c r="I298" s="193" t="s">
        <v>41</v>
      </c>
      <c r="J298" s="193" t="str">
        <f t="shared" si="22"/>
        <v>10 Roda</v>
      </c>
      <c r="K298" s="194">
        <v>45999</v>
      </c>
      <c r="L298" s="195">
        <v>24980</v>
      </c>
      <c r="M298" s="195">
        <v>10750</v>
      </c>
      <c r="N298" s="195">
        <v>14230</v>
      </c>
      <c r="O298" s="195">
        <v>14150</v>
      </c>
      <c r="P298" s="196">
        <v>0.74444444444444502</v>
      </c>
      <c r="Q298" s="196">
        <v>0.80347222222222203</v>
      </c>
      <c r="R298" s="193" t="s">
        <v>137</v>
      </c>
      <c r="S298" s="193" t="s">
        <v>1781</v>
      </c>
      <c r="T298" s="197">
        <f t="shared" si="23"/>
        <v>68</v>
      </c>
      <c r="U298" s="193" t="s">
        <v>1922</v>
      </c>
      <c r="V298" s="193" t="str">
        <f t="shared" si="24"/>
        <v>Bone Bone</v>
      </c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8"/>
      <c r="AL298" s="18"/>
    </row>
    <row r="299" spans="2:38" ht="15" customHeight="1" x14ac:dyDescent="0.2">
      <c r="B299" s="193">
        <v>1</v>
      </c>
      <c r="C299" s="347" t="s">
        <v>405</v>
      </c>
      <c r="D299" s="193" t="str">
        <f t="shared" si="21"/>
        <v>CPO000262JAS</v>
      </c>
      <c r="E299" s="193" t="s">
        <v>84</v>
      </c>
      <c r="F299" s="193" t="s">
        <v>1433</v>
      </c>
      <c r="G299" s="193" t="s">
        <v>1337</v>
      </c>
      <c r="H299" s="193" t="s">
        <v>49</v>
      </c>
      <c r="I299" s="193" t="s">
        <v>41</v>
      </c>
      <c r="J299" s="193" t="str">
        <f t="shared" si="22"/>
        <v>10 Roda</v>
      </c>
      <c r="K299" s="194">
        <v>45999</v>
      </c>
      <c r="L299" s="195">
        <v>26710</v>
      </c>
      <c r="M299" s="195">
        <v>12280</v>
      </c>
      <c r="N299" s="195">
        <v>14430</v>
      </c>
      <c r="O299" s="195">
        <v>14380</v>
      </c>
      <c r="P299" s="196">
        <v>0.75902777777777797</v>
      </c>
      <c r="Q299" s="196">
        <v>0.81458333333333299</v>
      </c>
      <c r="R299" s="193" t="s">
        <v>137</v>
      </c>
      <c r="S299" s="193" t="s">
        <v>1782</v>
      </c>
      <c r="T299" s="197">
        <f t="shared" si="23"/>
        <v>68</v>
      </c>
      <c r="U299" s="193" t="s">
        <v>1922</v>
      </c>
      <c r="V299" s="193" t="str">
        <f t="shared" si="24"/>
        <v>Bone Bone</v>
      </c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8"/>
      <c r="AL299" s="18"/>
    </row>
    <row r="300" spans="2:38" ht="15" customHeight="1" x14ac:dyDescent="0.2">
      <c r="B300" s="193">
        <v>1</v>
      </c>
      <c r="C300" s="347" t="s">
        <v>406</v>
      </c>
      <c r="D300" s="193" t="str">
        <f t="shared" si="21"/>
        <v>CPO000263JAS</v>
      </c>
      <c r="E300" s="193" t="s">
        <v>46</v>
      </c>
      <c r="F300" s="193" t="s">
        <v>1433</v>
      </c>
      <c r="G300" s="193" t="s">
        <v>1337</v>
      </c>
      <c r="H300" s="193" t="s">
        <v>49</v>
      </c>
      <c r="I300" s="193" t="s">
        <v>41</v>
      </c>
      <c r="J300" s="193" t="str">
        <f t="shared" si="22"/>
        <v>10 Roda</v>
      </c>
      <c r="K300" s="194">
        <v>45999</v>
      </c>
      <c r="L300" s="195">
        <v>26640</v>
      </c>
      <c r="M300" s="195">
        <v>11860</v>
      </c>
      <c r="N300" s="195">
        <v>14780</v>
      </c>
      <c r="O300" s="195">
        <v>14720</v>
      </c>
      <c r="P300" s="196">
        <v>0.76527777777777795</v>
      </c>
      <c r="Q300" s="196">
        <v>0.844444444444444</v>
      </c>
      <c r="R300" s="193" t="s">
        <v>137</v>
      </c>
      <c r="S300" s="193" t="s">
        <v>1393</v>
      </c>
      <c r="T300" s="197">
        <f t="shared" si="23"/>
        <v>68</v>
      </c>
      <c r="U300" s="193" t="s">
        <v>1922</v>
      </c>
      <c r="V300" s="193" t="str">
        <f t="shared" si="24"/>
        <v>Bone Bone</v>
      </c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8"/>
      <c r="AL300" s="18"/>
    </row>
    <row r="301" spans="2:38" ht="15" customHeight="1" x14ac:dyDescent="0.2">
      <c r="B301" s="193">
        <v>1</v>
      </c>
      <c r="C301" s="347" t="s">
        <v>418</v>
      </c>
      <c r="D301" s="193" t="str">
        <f t="shared" si="21"/>
        <v>CPO000276PN</v>
      </c>
      <c r="E301" s="193" t="s">
        <v>76</v>
      </c>
      <c r="F301" s="193" t="s">
        <v>1340</v>
      </c>
      <c r="G301" s="193" t="s">
        <v>1347</v>
      </c>
      <c r="H301" s="193" t="s">
        <v>78</v>
      </c>
      <c r="I301" s="193" t="s">
        <v>41</v>
      </c>
      <c r="J301" s="193" t="str">
        <f t="shared" si="22"/>
        <v>12 Roda</v>
      </c>
      <c r="K301" s="194">
        <v>46000</v>
      </c>
      <c r="L301" s="195">
        <v>45830</v>
      </c>
      <c r="M301" s="195">
        <v>17890</v>
      </c>
      <c r="N301" s="195">
        <v>27940</v>
      </c>
      <c r="O301" s="195">
        <v>28120</v>
      </c>
      <c r="P301" s="196">
        <v>0.80138888888888904</v>
      </c>
      <c r="Q301" s="196">
        <v>0.86736111111111103</v>
      </c>
      <c r="R301" s="193" t="s">
        <v>137</v>
      </c>
      <c r="S301" s="193" t="s">
        <v>1372</v>
      </c>
      <c r="T301" s="197">
        <f t="shared" si="23"/>
        <v>99</v>
      </c>
      <c r="U301" s="193"/>
      <c r="V301" s="193" t="str">
        <f t="shared" si="24"/>
        <v>Burau</v>
      </c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8"/>
      <c r="AL301" s="18"/>
    </row>
    <row r="302" spans="2:38" ht="15" customHeight="1" x14ac:dyDescent="0.2">
      <c r="B302" s="193">
        <v>1</v>
      </c>
      <c r="C302" s="347" t="s">
        <v>420</v>
      </c>
      <c r="D302" s="193" t="str">
        <f t="shared" si="21"/>
        <v>CPO000278PN</v>
      </c>
      <c r="E302" s="193" t="s">
        <v>46</v>
      </c>
      <c r="F302" s="193" t="s">
        <v>1340</v>
      </c>
      <c r="G302" s="193" t="s">
        <v>1347</v>
      </c>
      <c r="H302" s="193" t="s">
        <v>78</v>
      </c>
      <c r="I302" s="193" t="s">
        <v>41</v>
      </c>
      <c r="J302" s="193" t="str">
        <f t="shared" si="22"/>
        <v>10 Roda</v>
      </c>
      <c r="K302" s="194">
        <v>46000</v>
      </c>
      <c r="L302" s="195">
        <v>26590</v>
      </c>
      <c r="M302" s="195">
        <v>11860</v>
      </c>
      <c r="N302" s="195">
        <v>14730</v>
      </c>
      <c r="O302" s="195">
        <v>14810</v>
      </c>
      <c r="P302" s="196">
        <v>0.81805555555555598</v>
      </c>
      <c r="Q302" s="196">
        <v>0.89722222222222203</v>
      </c>
      <c r="R302" s="193" t="s">
        <v>137</v>
      </c>
      <c r="S302" s="193" t="s">
        <v>1393</v>
      </c>
      <c r="T302" s="197">
        <f t="shared" si="23"/>
        <v>99</v>
      </c>
      <c r="U302" s="193"/>
      <c r="V302" s="193" t="str">
        <f t="shared" si="24"/>
        <v>Burau</v>
      </c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8"/>
      <c r="AL302" s="18"/>
    </row>
    <row r="303" spans="2:38" ht="15" customHeight="1" x14ac:dyDescent="0.2">
      <c r="B303" s="193">
        <v>1</v>
      </c>
      <c r="C303" s="347" t="s">
        <v>421</v>
      </c>
      <c r="D303" s="193" t="str">
        <f t="shared" si="21"/>
        <v>CPO000279PN</v>
      </c>
      <c r="E303" s="193" t="s">
        <v>70</v>
      </c>
      <c r="F303" s="193" t="s">
        <v>1340</v>
      </c>
      <c r="G303" s="193" t="s">
        <v>1347</v>
      </c>
      <c r="H303" s="193" t="s">
        <v>78</v>
      </c>
      <c r="I303" s="193" t="s">
        <v>41</v>
      </c>
      <c r="J303" s="193" t="str">
        <f t="shared" si="22"/>
        <v>12 Roda</v>
      </c>
      <c r="K303" s="194">
        <v>46000</v>
      </c>
      <c r="L303" s="195">
        <v>45620</v>
      </c>
      <c r="M303" s="195">
        <v>17560</v>
      </c>
      <c r="N303" s="195">
        <v>28060</v>
      </c>
      <c r="O303" s="195">
        <v>28140</v>
      </c>
      <c r="P303" s="196">
        <v>0.82083333333333297</v>
      </c>
      <c r="Q303" s="196">
        <v>0.88472222222222197</v>
      </c>
      <c r="R303" s="193" t="s">
        <v>137</v>
      </c>
      <c r="S303" s="193" t="s">
        <v>1499</v>
      </c>
      <c r="T303" s="197">
        <f t="shared" si="23"/>
        <v>99</v>
      </c>
      <c r="U303" s="193"/>
      <c r="V303" s="193" t="str">
        <f t="shared" si="24"/>
        <v>Burau</v>
      </c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8"/>
      <c r="AL303" s="18"/>
    </row>
    <row r="304" spans="2:38" ht="15" customHeight="1" x14ac:dyDescent="0.2">
      <c r="B304" s="193">
        <v>1</v>
      </c>
      <c r="C304" s="347" t="s">
        <v>407</v>
      </c>
      <c r="D304" s="193" t="str">
        <f t="shared" si="21"/>
        <v>CPO000264MIS</v>
      </c>
      <c r="E304" s="193" t="s">
        <v>39</v>
      </c>
      <c r="F304" s="193" t="s">
        <v>1345</v>
      </c>
      <c r="G304" s="193" t="s">
        <v>1344</v>
      </c>
      <c r="H304" s="193" t="s">
        <v>40</v>
      </c>
      <c r="I304" s="193" t="s">
        <v>41</v>
      </c>
      <c r="J304" s="193" t="str">
        <f t="shared" si="22"/>
        <v>6 Roda</v>
      </c>
      <c r="K304" s="194">
        <v>46000</v>
      </c>
      <c r="L304" s="195">
        <v>13730</v>
      </c>
      <c r="M304" s="195">
        <v>4100</v>
      </c>
      <c r="N304" s="195">
        <v>9630</v>
      </c>
      <c r="O304" s="195">
        <v>9570</v>
      </c>
      <c r="P304" s="196">
        <v>0.97361111111111098</v>
      </c>
      <c r="Q304" s="196">
        <v>1.1111111111111099E-2</v>
      </c>
      <c r="R304" s="193" t="s">
        <v>137</v>
      </c>
      <c r="S304" s="193"/>
      <c r="T304" s="197">
        <f t="shared" si="23"/>
        <v>494</v>
      </c>
      <c r="U304" s="193"/>
      <c r="V304" s="193" t="str">
        <f t="shared" si="24"/>
        <v>Pomala</v>
      </c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8"/>
      <c r="AL304" s="18"/>
    </row>
    <row r="305" spans="2:38" ht="15" customHeight="1" x14ac:dyDescent="0.2">
      <c r="B305" s="193">
        <v>1</v>
      </c>
      <c r="C305" s="347" t="s">
        <v>408</v>
      </c>
      <c r="D305" s="193" t="str">
        <f t="shared" si="21"/>
        <v>CPO000265MIS</v>
      </c>
      <c r="E305" s="193" t="s">
        <v>73</v>
      </c>
      <c r="F305" s="193" t="s">
        <v>1345</v>
      </c>
      <c r="G305" s="193" t="s">
        <v>1344</v>
      </c>
      <c r="H305" s="193" t="s">
        <v>40</v>
      </c>
      <c r="I305" s="193" t="s">
        <v>41</v>
      </c>
      <c r="J305" s="193" t="str">
        <f t="shared" si="22"/>
        <v>6 Roda</v>
      </c>
      <c r="K305" s="194">
        <v>46000</v>
      </c>
      <c r="L305" s="195">
        <v>13490</v>
      </c>
      <c r="M305" s="195">
        <v>4010</v>
      </c>
      <c r="N305" s="195">
        <v>9480</v>
      </c>
      <c r="O305" s="195">
        <v>9430</v>
      </c>
      <c r="P305" s="196">
        <v>0.97916666666666696</v>
      </c>
      <c r="Q305" s="196">
        <v>1.0416666666666701E-2</v>
      </c>
      <c r="R305" s="193" t="s">
        <v>137</v>
      </c>
      <c r="S305" s="193"/>
      <c r="T305" s="197">
        <f t="shared" si="23"/>
        <v>494</v>
      </c>
      <c r="U305" s="193"/>
      <c r="V305" s="193" t="str">
        <f t="shared" si="24"/>
        <v>Pomala</v>
      </c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8"/>
      <c r="AL305" s="18"/>
    </row>
    <row r="306" spans="2:38" ht="15" customHeight="1" x14ac:dyDescent="0.2">
      <c r="B306" s="193">
        <v>1</v>
      </c>
      <c r="C306" s="347" t="s">
        <v>409</v>
      </c>
      <c r="D306" s="193" t="str">
        <f t="shared" si="21"/>
        <v>CPO000266MIS</v>
      </c>
      <c r="E306" s="193" t="s">
        <v>166</v>
      </c>
      <c r="F306" s="193" t="s">
        <v>1345</v>
      </c>
      <c r="G306" s="193" t="s">
        <v>1344</v>
      </c>
      <c r="H306" s="193" t="s">
        <v>40</v>
      </c>
      <c r="I306" s="193" t="s">
        <v>41</v>
      </c>
      <c r="J306" s="193" t="str">
        <f t="shared" si="22"/>
        <v>6 Roda</v>
      </c>
      <c r="K306" s="194">
        <v>46000</v>
      </c>
      <c r="L306" s="195">
        <v>13160</v>
      </c>
      <c r="M306" s="195">
        <v>3790</v>
      </c>
      <c r="N306" s="195">
        <v>9370</v>
      </c>
      <c r="O306" s="195">
        <v>9350</v>
      </c>
      <c r="P306" s="196">
        <v>0.98055555555555596</v>
      </c>
      <c r="Q306" s="196">
        <v>4.65277777777778E-2</v>
      </c>
      <c r="R306" s="193" t="s">
        <v>137</v>
      </c>
      <c r="S306" s="193"/>
      <c r="T306" s="197">
        <f t="shared" si="23"/>
        <v>494</v>
      </c>
      <c r="U306" s="193"/>
      <c r="V306" s="193" t="str">
        <f t="shared" si="24"/>
        <v>Pomala</v>
      </c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8"/>
      <c r="AL306" s="18"/>
    </row>
    <row r="307" spans="2:38" ht="15" customHeight="1" x14ac:dyDescent="0.2">
      <c r="B307" s="193">
        <v>1</v>
      </c>
      <c r="C307" s="347" t="s">
        <v>410</v>
      </c>
      <c r="D307" s="193" t="str">
        <f t="shared" si="21"/>
        <v>CPO000268MIS</v>
      </c>
      <c r="E307" s="193" t="s">
        <v>163</v>
      </c>
      <c r="F307" s="193" t="s">
        <v>1345</v>
      </c>
      <c r="G307" s="193" t="s">
        <v>1344</v>
      </c>
      <c r="H307" s="193" t="s">
        <v>40</v>
      </c>
      <c r="I307" s="193" t="s">
        <v>41</v>
      </c>
      <c r="J307" s="193" t="str">
        <f t="shared" si="22"/>
        <v>6 Roda</v>
      </c>
      <c r="K307" s="194">
        <v>46000</v>
      </c>
      <c r="L307" s="195">
        <v>13990</v>
      </c>
      <c r="M307" s="195">
        <v>3950</v>
      </c>
      <c r="N307" s="195">
        <v>10040</v>
      </c>
      <c r="O307" s="195">
        <v>10090</v>
      </c>
      <c r="P307" s="196">
        <v>2.0138888888888901E-2</v>
      </c>
      <c r="Q307" s="196">
        <v>4.7916666666666698E-2</v>
      </c>
      <c r="R307" s="193" t="s">
        <v>137</v>
      </c>
      <c r="S307" s="193"/>
      <c r="T307" s="197">
        <f t="shared" si="23"/>
        <v>494</v>
      </c>
      <c r="U307" s="193"/>
      <c r="V307" s="193" t="str">
        <f t="shared" si="24"/>
        <v>Pomala</v>
      </c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8"/>
      <c r="AL307" s="18"/>
    </row>
    <row r="308" spans="2:38" ht="15" customHeight="1" x14ac:dyDescent="0.2">
      <c r="B308" s="193">
        <v>1</v>
      </c>
      <c r="C308" s="347" t="s">
        <v>411</v>
      </c>
      <c r="D308" s="193" t="str">
        <f t="shared" si="21"/>
        <v>CPO000269MIS</v>
      </c>
      <c r="E308" s="193" t="s">
        <v>169</v>
      </c>
      <c r="F308" s="193" t="s">
        <v>1345</v>
      </c>
      <c r="G308" s="193" t="s">
        <v>1344</v>
      </c>
      <c r="H308" s="193" t="s">
        <v>40</v>
      </c>
      <c r="I308" s="193" t="s">
        <v>41</v>
      </c>
      <c r="J308" s="193" t="str">
        <f t="shared" si="22"/>
        <v>6 Roda</v>
      </c>
      <c r="K308" s="194">
        <v>46000</v>
      </c>
      <c r="L308" s="195">
        <v>13410</v>
      </c>
      <c r="M308" s="195">
        <v>3950</v>
      </c>
      <c r="N308" s="195">
        <v>9460</v>
      </c>
      <c r="O308" s="195">
        <v>9410</v>
      </c>
      <c r="P308" s="196">
        <v>0.35069444444444398</v>
      </c>
      <c r="Q308" s="196">
        <v>0.38819444444444501</v>
      </c>
      <c r="R308" s="193" t="s">
        <v>42</v>
      </c>
      <c r="S308" s="193"/>
      <c r="T308" s="197">
        <f t="shared" si="23"/>
        <v>494</v>
      </c>
      <c r="U308" s="193"/>
      <c r="V308" s="193" t="str">
        <f t="shared" si="24"/>
        <v>Pomala</v>
      </c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8"/>
      <c r="AL308" s="18"/>
    </row>
    <row r="309" spans="2:38" ht="15" customHeight="1" x14ac:dyDescent="0.2">
      <c r="B309" s="193">
        <v>1</v>
      </c>
      <c r="C309" s="347" t="s">
        <v>412</v>
      </c>
      <c r="D309" s="193" t="str">
        <f t="shared" si="21"/>
        <v>CPO000270MIS</v>
      </c>
      <c r="E309" s="193" t="s">
        <v>173</v>
      </c>
      <c r="F309" s="193" t="s">
        <v>1345</v>
      </c>
      <c r="G309" s="193" t="s">
        <v>1344</v>
      </c>
      <c r="H309" s="193" t="s">
        <v>40</v>
      </c>
      <c r="I309" s="193" t="s">
        <v>41</v>
      </c>
      <c r="J309" s="193" t="str">
        <f t="shared" si="22"/>
        <v>6 Roda</v>
      </c>
      <c r="K309" s="194">
        <v>46000</v>
      </c>
      <c r="L309" s="195">
        <v>14270</v>
      </c>
      <c r="M309" s="195">
        <v>4560</v>
      </c>
      <c r="N309" s="195">
        <v>9710</v>
      </c>
      <c r="O309" s="195">
        <v>9670</v>
      </c>
      <c r="P309" s="196">
        <v>0.35208333333333303</v>
      </c>
      <c r="Q309" s="196">
        <v>0.389583333333333</v>
      </c>
      <c r="R309" s="193" t="s">
        <v>42</v>
      </c>
      <c r="S309" s="193"/>
      <c r="T309" s="197">
        <f t="shared" si="23"/>
        <v>494</v>
      </c>
      <c r="U309" s="193"/>
      <c r="V309" s="193" t="str">
        <f t="shared" si="24"/>
        <v>Pomala</v>
      </c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8"/>
      <c r="AL309" s="18"/>
    </row>
    <row r="310" spans="2:38" ht="15" customHeight="1" x14ac:dyDescent="0.2">
      <c r="B310" s="193">
        <v>1</v>
      </c>
      <c r="C310" s="347" t="s">
        <v>413</v>
      </c>
      <c r="D310" s="193" t="str">
        <f t="shared" si="21"/>
        <v>CPO000271MIS</v>
      </c>
      <c r="E310" s="193" t="s">
        <v>181</v>
      </c>
      <c r="F310" s="193" t="s">
        <v>1345</v>
      </c>
      <c r="G310" s="193" t="s">
        <v>1344</v>
      </c>
      <c r="H310" s="193" t="s">
        <v>40</v>
      </c>
      <c r="I310" s="193" t="s">
        <v>41</v>
      </c>
      <c r="J310" s="193" t="str">
        <f t="shared" si="22"/>
        <v>6 Roda</v>
      </c>
      <c r="K310" s="194">
        <v>46000</v>
      </c>
      <c r="L310" s="195">
        <v>13610</v>
      </c>
      <c r="M310" s="195">
        <v>4050</v>
      </c>
      <c r="N310" s="195">
        <v>9560</v>
      </c>
      <c r="O310" s="195">
        <v>9610</v>
      </c>
      <c r="P310" s="196">
        <v>0.39305555555555599</v>
      </c>
      <c r="Q310" s="196">
        <v>0.44027777777777799</v>
      </c>
      <c r="R310" s="193" t="s">
        <v>42</v>
      </c>
      <c r="S310" s="193"/>
      <c r="T310" s="197">
        <f t="shared" si="23"/>
        <v>494</v>
      </c>
      <c r="U310" s="193"/>
      <c r="V310" s="193" t="str">
        <f t="shared" si="24"/>
        <v>Pomala</v>
      </c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8"/>
      <c r="AL310" s="18"/>
    </row>
    <row r="311" spans="2:38" ht="15" customHeight="1" x14ac:dyDescent="0.2">
      <c r="B311" s="193">
        <v>1</v>
      </c>
      <c r="C311" s="347" t="s">
        <v>416</v>
      </c>
      <c r="D311" s="193" t="str">
        <f t="shared" si="21"/>
        <v>CPO000274MIS</v>
      </c>
      <c r="E311" s="193" t="s">
        <v>183</v>
      </c>
      <c r="F311" s="193" t="s">
        <v>1345</v>
      </c>
      <c r="G311" s="193" t="s">
        <v>1344</v>
      </c>
      <c r="H311" s="193" t="s">
        <v>40</v>
      </c>
      <c r="I311" s="193" t="s">
        <v>41</v>
      </c>
      <c r="J311" s="193" t="str">
        <f t="shared" si="22"/>
        <v>6 Roda</v>
      </c>
      <c r="K311" s="194">
        <v>46000</v>
      </c>
      <c r="L311" s="195">
        <v>14220</v>
      </c>
      <c r="M311" s="195">
        <v>4170</v>
      </c>
      <c r="N311" s="195">
        <v>10050</v>
      </c>
      <c r="O311" s="195">
        <v>10000</v>
      </c>
      <c r="P311" s="196">
        <v>0.68402777777777801</v>
      </c>
      <c r="Q311" s="196">
        <v>0.71041666666666703</v>
      </c>
      <c r="R311" s="193" t="s">
        <v>137</v>
      </c>
      <c r="S311" s="193"/>
      <c r="T311" s="197">
        <f t="shared" si="23"/>
        <v>494</v>
      </c>
      <c r="U311" s="193"/>
      <c r="V311" s="193" t="str">
        <f t="shared" si="24"/>
        <v>Pomala</v>
      </c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8"/>
      <c r="AL311" s="18"/>
    </row>
    <row r="312" spans="2:38" ht="15" customHeight="1" x14ac:dyDescent="0.2">
      <c r="B312" s="193">
        <v>1</v>
      </c>
      <c r="C312" s="347" t="s">
        <v>414</v>
      </c>
      <c r="D312" s="193" t="str">
        <f t="shared" si="21"/>
        <v>CPO000272JAS</v>
      </c>
      <c r="E312" s="193" t="s">
        <v>84</v>
      </c>
      <c r="F312" s="193" t="s">
        <v>1433</v>
      </c>
      <c r="G312" s="193" t="s">
        <v>1337</v>
      </c>
      <c r="H312" s="193" t="s">
        <v>49</v>
      </c>
      <c r="I312" s="193" t="s">
        <v>41</v>
      </c>
      <c r="J312" s="193" t="str">
        <f t="shared" si="22"/>
        <v>10 Roda</v>
      </c>
      <c r="K312" s="194">
        <v>46000</v>
      </c>
      <c r="L312" s="195">
        <v>26670</v>
      </c>
      <c r="M312" s="195">
        <v>12230</v>
      </c>
      <c r="N312" s="195">
        <v>14440</v>
      </c>
      <c r="O312" s="195">
        <v>14400</v>
      </c>
      <c r="P312" s="196">
        <v>0.46736111111111101</v>
      </c>
      <c r="Q312" s="196">
        <v>0.55000000000000004</v>
      </c>
      <c r="R312" s="193" t="s">
        <v>42</v>
      </c>
      <c r="S312" s="193" t="s">
        <v>1782</v>
      </c>
      <c r="T312" s="197">
        <f t="shared" si="23"/>
        <v>68</v>
      </c>
      <c r="U312" s="193" t="s">
        <v>1922</v>
      </c>
      <c r="V312" s="193" t="str">
        <f t="shared" si="24"/>
        <v>Bone Bone</v>
      </c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8"/>
      <c r="AL312" s="18"/>
    </row>
    <row r="313" spans="2:38" ht="15" customHeight="1" x14ac:dyDescent="0.2">
      <c r="B313" s="193">
        <v>1</v>
      </c>
      <c r="C313" s="347" t="s">
        <v>415</v>
      </c>
      <c r="D313" s="193" t="str">
        <f t="shared" si="21"/>
        <v>CPO000273JAS</v>
      </c>
      <c r="E313" s="193" t="s">
        <v>56</v>
      </c>
      <c r="F313" s="193" t="s">
        <v>1433</v>
      </c>
      <c r="G313" s="193" t="s">
        <v>1337</v>
      </c>
      <c r="H313" s="193" t="s">
        <v>49</v>
      </c>
      <c r="I313" s="193" t="s">
        <v>41</v>
      </c>
      <c r="J313" s="193" t="str">
        <f t="shared" si="22"/>
        <v>10 Roda</v>
      </c>
      <c r="K313" s="194">
        <v>46000</v>
      </c>
      <c r="L313" s="195">
        <v>25100</v>
      </c>
      <c r="M313" s="195">
        <v>10870</v>
      </c>
      <c r="N313" s="195">
        <v>14230</v>
      </c>
      <c r="O313" s="195">
        <v>14190</v>
      </c>
      <c r="P313" s="196">
        <v>0.468055555555556</v>
      </c>
      <c r="Q313" s="196">
        <v>0.563194444444444</v>
      </c>
      <c r="R313" s="193" t="s">
        <v>42</v>
      </c>
      <c r="S313" s="193" t="s">
        <v>1781</v>
      </c>
      <c r="T313" s="197">
        <f t="shared" si="23"/>
        <v>68</v>
      </c>
      <c r="U313" s="193" t="s">
        <v>1922</v>
      </c>
      <c r="V313" s="193" t="str">
        <f t="shared" si="24"/>
        <v>Bone Bone</v>
      </c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8"/>
      <c r="AL313" s="18"/>
    </row>
    <row r="314" spans="2:38" ht="15" customHeight="1" x14ac:dyDescent="0.2">
      <c r="B314" s="193">
        <v>1</v>
      </c>
      <c r="C314" s="347" t="s">
        <v>417</v>
      </c>
      <c r="D314" s="193" t="str">
        <f t="shared" si="21"/>
        <v>CPO000275JAS</v>
      </c>
      <c r="E314" s="193" t="s">
        <v>56</v>
      </c>
      <c r="F314" s="193" t="s">
        <v>1433</v>
      </c>
      <c r="G314" s="193" t="s">
        <v>1337</v>
      </c>
      <c r="H314" s="193" t="s">
        <v>49</v>
      </c>
      <c r="I314" s="193" t="s">
        <v>41</v>
      </c>
      <c r="J314" s="193" t="str">
        <f t="shared" si="22"/>
        <v>10 Roda</v>
      </c>
      <c r="K314" s="194">
        <v>46000</v>
      </c>
      <c r="L314" s="195">
        <v>25060</v>
      </c>
      <c r="M314" s="195">
        <v>10830</v>
      </c>
      <c r="N314" s="195">
        <v>14230</v>
      </c>
      <c r="O314" s="195">
        <v>14190</v>
      </c>
      <c r="P314" s="196">
        <v>0.79166666666666696</v>
      </c>
      <c r="Q314" s="196">
        <v>0.844444444444444</v>
      </c>
      <c r="R314" s="193" t="s">
        <v>137</v>
      </c>
      <c r="S314" s="193" t="s">
        <v>1781</v>
      </c>
      <c r="T314" s="197">
        <f t="shared" si="23"/>
        <v>68</v>
      </c>
      <c r="U314" s="193" t="s">
        <v>1922</v>
      </c>
      <c r="V314" s="193" t="str">
        <f t="shared" si="24"/>
        <v>Bone Bone</v>
      </c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8"/>
      <c r="AL314" s="18"/>
    </row>
    <row r="315" spans="2:38" ht="15" customHeight="1" x14ac:dyDescent="0.2">
      <c r="B315" s="193">
        <v>1</v>
      </c>
      <c r="C315" s="347" t="s">
        <v>419</v>
      </c>
      <c r="D315" s="193" t="str">
        <f t="shared" si="21"/>
        <v>CPO000277JAS</v>
      </c>
      <c r="E315" s="193" t="s">
        <v>84</v>
      </c>
      <c r="F315" s="193" t="s">
        <v>1433</v>
      </c>
      <c r="G315" s="193" t="s">
        <v>1337</v>
      </c>
      <c r="H315" s="193" t="s">
        <v>49</v>
      </c>
      <c r="I315" s="193" t="s">
        <v>41</v>
      </c>
      <c r="J315" s="193" t="str">
        <f t="shared" si="22"/>
        <v>10 Roda</v>
      </c>
      <c r="K315" s="194">
        <v>46000</v>
      </c>
      <c r="L315" s="195">
        <v>26600</v>
      </c>
      <c r="M315" s="195">
        <v>12180</v>
      </c>
      <c r="N315" s="195">
        <v>14420</v>
      </c>
      <c r="O315" s="195">
        <v>14380</v>
      </c>
      <c r="P315" s="196">
        <v>0.80833333333333302</v>
      </c>
      <c r="Q315" s="196">
        <v>0.86597222222222203</v>
      </c>
      <c r="R315" s="193" t="s">
        <v>137</v>
      </c>
      <c r="S315" s="193" t="s">
        <v>1782</v>
      </c>
      <c r="T315" s="197">
        <f t="shared" si="23"/>
        <v>68</v>
      </c>
      <c r="U315" s="193" t="s">
        <v>1922</v>
      </c>
      <c r="V315" s="193" t="str">
        <f t="shared" si="24"/>
        <v>Bone Bone</v>
      </c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8"/>
      <c r="AL315" s="18"/>
    </row>
    <row r="316" spans="2:38" ht="15" customHeight="1" x14ac:dyDescent="0.2">
      <c r="B316" s="193">
        <v>1</v>
      </c>
      <c r="C316" s="347" t="s">
        <v>146</v>
      </c>
      <c r="D316" s="193" t="str">
        <f t="shared" si="21"/>
        <v>CPO000039MIS</v>
      </c>
      <c r="E316" s="193" t="s">
        <v>147</v>
      </c>
      <c r="F316" s="193" t="s">
        <v>1345</v>
      </c>
      <c r="G316" s="193" t="s">
        <v>1344</v>
      </c>
      <c r="H316" s="193" t="s">
        <v>40</v>
      </c>
      <c r="I316" s="193" t="s">
        <v>41</v>
      </c>
      <c r="J316" s="193" t="str">
        <f t="shared" si="22"/>
        <v>6 Roda</v>
      </c>
      <c r="K316" s="194">
        <v>46001</v>
      </c>
      <c r="L316" s="195">
        <v>13900</v>
      </c>
      <c r="M316" s="195">
        <v>4020</v>
      </c>
      <c r="N316" s="195">
        <v>9690</v>
      </c>
      <c r="O316" s="195">
        <v>9660</v>
      </c>
      <c r="P316" s="196">
        <v>0.34166666666666701</v>
      </c>
      <c r="Q316" s="196">
        <v>0.40208333333333302</v>
      </c>
      <c r="R316" s="193" t="s">
        <v>42</v>
      </c>
      <c r="S316" s="193"/>
      <c r="T316" s="197">
        <f t="shared" si="23"/>
        <v>494</v>
      </c>
      <c r="U316" s="193"/>
      <c r="V316" s="193" t="str">
        <f t="shared" si="24"/>
        <v>Pomala</v>
      </c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8"/>
      <c r="AL316" s="18"/>
    </row>
    <row r="317" spans="2:38" ht="15" customHeight="1" x14ac:dyDescent="0.2">
      <c r="B317" s="193">
        <v>1</v>
      </c>
      <c r="C317" s="347" t="s">
        <v>146</v>
      </c>
      <c r="D317" s="193" t="str">
        <f t="shared" si="21"/>
        <v>CPO000039MIS</v>
      </c>
      <c r="E317" s="193" t="s">
        <v>147</v>
      </c>
      <c r="F317" s="193" t="s">
        <v>1345</v>
      </c>
      <c r="G317" s="193" t="s">
        <v>1344</v>
      </c>
      <c r="H317" s="193" t="s">
        <v>40</v>
      </c>
      <c r="I317" s="193" t="s">
        <v>41</v>
      </c>
      <c r="J317" s="193" t="str">
        <f t="shared" si="22"/>
        <v>6 Roda</v>
      </c>
      <c r="K317" s="194">
        <v>46001</v>
      </c>
      <c r="L317" s="195">
        <v>14020</v>
      </c>
      <c r="M317" s="195">
        <v>3980</v>
      </c>
      <c r="N317" s="195">
        <v>10040</v>
      </c>
      <c r="O317" s="195">
        <v>9970</v>
      </c>
      <c r="P317" s="196">
        <v>0.33819444444444502</v>
      </c>
      <c r="Q317" s="196">
        <v>0.37777777777777799</v>
      </c>
      <c r="R317" s="193" t="s">
        <v>42</v>
      </c>
      <c r="S317" s="193"/>
      <c r="T317" s="197">
        <f t="shared" si="23"/>
        <v>494</v>
      </c>
      <c r="U317" s="193"/>
      <c r="V317" s="193" t="str">
        <f t="shared" si="24"/>
        <v>Pomala</v>
      </c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8"/>
      <c r="AL317" s="18"/>
    </row>
    <row r="318" spans="2:38" ht="15" customHeight="1" x14ac:dyDescent="0.2">
      <c r="B318" s="193">
        <v>1</v>
      </c>
      <c r="C318" s="347" t="s">
        <v>148</v>
      </c>
      <c r="D318" s="193" t="str">
        <f t="shared" si="21"/>
        <v>CPO000040MIS</v>
      </c>
      <c r="E318" s="193" t="s">
        <v>149</v>
      </c>
      <c r="F318" s="193" t="s">
        <v>1345</v>
      </c>
      <c r="G318" s="193" t="s">
        <v>1344</v>
      </c>
      <c r="H318" s="193" t="s">
        <v>40</v>
      </c>
      <c r="I318" s="193" t="s">
        <v>41</v>
      </c>
      <c r="J318" s="193" t="str">
        <f t="shared" si="22"/>
        <v>6 Roda</v>
      </c>
      <c r="K318" s="194">
        <v>46001</v>
      </c>
      <c r="L318" s="195">
        <v>13520</v>
      </c>
      <c r="M318" s="195">
        <v>4060</v>
      </c>
      <c r="N318" s="195">
        <v>9460</v>
      </c>
      <c r="O318" s="195">
        <v>9430</v>
      </c>
      <c r="P318" s="196">
        <v>0.34375</v>
      </c>
      <c r="Q318" s="196">
        <v>0.41805555555555601</v>
      </c>
      <c r="R318" s="193" t="s">
        <v>42</v>
      </c>
      <c r="S318" s="193"/>
      <c r="T318" s="197">
        <f t="shared" si="23"/>
        <v>494</v>
      </c>
      <c r="U318" s="193"/>
      <c r="V318" s="193" t="str">
        <f t="shared" si="24"/>
        <v>Pomala</v>
      </c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8"/>
      <c r="AL318" s="18"/>
    </row>
    <row r="319" spans="2:38" ht="15" customHeight="1" x14ac:dyDescent="0.2">
      <c r="B319" s="193">
        <v>1</v>
      </c>
      <c r="C319" s="347" t="s">
        <v>148</v>
      </c>
      <c r="D319" s="193" t="str">
        <f t="shared" si="21"/>
        <v>CPO000040MIS</v>
      </c>
      <c r="E319" s="193" t="s">
        <v>149</v>
      </c>
      <c r="F319" s="193" t="s">
        <v>1335</v>
      </c>
      <c r="G319" s="193" t="s">
        <v>1334</v>
      </c>
      <c r="H319" s="193" t="s">
        <v>40</v>
      </c>
      <c r="I319" s="193" t="s">
        <v>41</v>
      </c>
      <c r="J319" s="193" t="s">
        <v>1131</v>
      </c>
      <c r="K319" s="194">
        <v>46001</v>
      </c>
      <c r="L319" s="195">
        <v>13900</v>
      </c>
      <c r="M319" s="195">
        <v>13710</v>
      </c>
      <c r="N319" s="195">
        <v>190</v>
      </c>
      <c r="O319" s="195">
        <v>190</v>
      </c>
      <c r="P319" s="196">
        <v>0.34166666666666701</v>
      </c>
      <c r="Q319" s="196">
        <v>0.40208333333333302</v>
      </c>
      <c r="R319" s="193" t="s">
        <v>42</v>
      </c>
      <c r="S319" s="193"/>
      <c r="T319" s="197">
        <f t="shared" si="23"/>
        <v>494</v>
      </c>
      <c r="U319" s="193"/>
      <c r="V319" s="193" t="str">
        <f t="shared" si="24"/>
        <v>Pomala</v>
      </c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8"/>
      <c r="AL319" s="18"/>
    </row>
    <row r="320" spans="2:38" ht="15" customHeight="1" x14ac:dyDescent="0.2">
      <c r="B320" s="193">
        <v>1</v>
      </c>
      <c r="C320" s="347" t="s">
        <v>422</v>
      </c>
      <c r="D320" s="193" t="str">
        <f t="shared" si="21"/>
        <v>CPO000280PN</v>
      </c>
      <c r="E320" s="193" t="s">
        <v>46</v>
      </c>
      <c r="F320" s="193" t="s">
        <v>1340</v>
      </c>
      <c r="G320" s="193" t="s">
        <v>1347</v>
      </c>
      <c r="H320" s="193" t="s">
        <v>78</v>
      </c>
      <c r="I320" s="193" t="s">
        <v>41</v>
      </c>
      <c r="J320" s="193" t="str">
        <f t="shared" ref="J320:J383" si="25">IF(MIN(L320,M320)&lt;=5000,"6 Roda",IF(MIN(L320,M320)&lt;=13800,"10 Roda","12 Roda"))</f>
        <v>10 Roda</v>
      </c>
      <c r="K320" s="194">
        <v>46001</v>
      </c>
      <c r="L320" s="195">
        <v>26630</v>
      </c>
      <c r="M320" s="195">
        <v>11900</v>
      </c>
      <c r="N320" s="195">
        <v>14730</v>
      </c>
      <c r="O320" s="195">
        <v>14680</v>
      </c>
      <c r="P320" s="196">
        <v>0.61944444444444502</v>
      </c>
      <c r="Q320" s="196">
        <v>0.69166666666666698</v>
      </c>
      <c r="R320" s="193" t="s">
        <v>42</v>
      </c>
      <c r="S320" s="193" t="s">
        <v>1393</v>
      </c>
      <c r="T320" s="197">
        <f t="shared" si="23"/>
        <v>99</v>
      </c>
      <c r="U320" s="193"/>
      <c r="V320" s="193" t="str">
        <f t="shared" si="24"/>
        <v>Burau</v>
      </c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8"/>
      <c r="AL320" s="18"/>
    </row>
    <row r="321" spans="2:38" ht="15" customHeight="1" x14ac:dyDescent="0.2">
      <c r="B321" s="193">
        <v>1</v>
      </c>
      <c r="C321" s="347" t="s">
        <v>423</v>
      </c>
      <c r="D321" s="193" t="str">
        <f t="shared" si="21"/>
        <v>CPO000281PN</v>
      </c>
      <c r="E321" s="193" t="s">
        <v>84</v>
      </c>
      <c r="F321" s="193" t="s">
        <v>1340</v>
      </c>
      <c r="G321" s="193" t="s">
        <v>1347</v>
      </c>
      <c r="H321" s="193" t="s">
        <v>78</v>
      </c>
      <c r="I321" s="193" t="s">
        <v>41</v>
      </c>
      <c r="J321" s="193" t="str">
        <f t="shared" si="25"/>
        <v>10 Roda</v>
      </c>
      <c r="K321" s="194">
        <v>46001</v>
      </c>
      <c r="L321" s="195">
        <v>26570</v>
      </c>
      <c r="M321" s="195">
        <v>12170</v>
      </c>
      <c r="N321" s="195">
        <v>14400</v>
      </c>
      <c r="O321" s="195">
        <v>14310</v>
      </c>
      <c r="P321" s="196">
        <v>0.62916666666666698</v>
      </c>
      <c r="Q321" s="196">
        <v>0.69861111111111096</v>
      </c>
      <c r="R321" s="193" t="s">
        <v>42</v>
      </c>
      <c r="S321" s="193" t="s">
        <v>1782</v>
      </c>
      <c r="T321" s="197">
        <f t="shared" si="23"/>
        <v>99</v>
      </c>
      <c r="U321" s="193"/>
      <c r="V321" s="193" t="str">
        <f t="shared" si="24"/>
        <v>Burau</v>
      </c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8"/>
      <c r="AL321" s="18"/>
    </row>
    <row r="322" spans="2:38" ht="15" customHeight="1" x14ac:dyDescent="0.2">
      <c r="B322" s="193">
        <v>1</v>
      </c>
      <c r="C322" s="347" t="s">
        <v>424</v>
      </c>
      <c r="D322" s="193" t="str">
        <f t="shared" si="21"/>
        <v>CPO000282PN</v>
      </c>
      <c r="E322" s="193" t="s">
        <v>70</v>
      </c>
      <c r="F322" s="193" t="s">
        <v>1340</v>
      </c>
      <c r="G322" s="193" t="s">
        <v>1347</v>
      </c>
      <c r="H322" s="193" t="s">
        <v>78</v>
      </c>
      <c r="I322" s="193" t="s">
        <v>41</v>
      </c>
      <c r="J322" s="193" t="str">
        <f t="shared" si="25"/>
        <v>12 Roda</v>
      </c>
      <c r="K322" s="194">
        <v>46001</v>
      </c>
      <c r="L322" s="195">
        <v>45660</v>
      </c>
      <c r="M322" s="195">
        <v>17660</v>
      </c>
      <c r="N322" s="195">
        <v>28000</v>
      </c>
      <c r="O322" s="195">
        <v>28030</v>
      </c>
      <c r="P322" s="196">
        <v>0.72777777777777797</v>
      </c>
      <c r="Q322" s="196">
        <v>0.80069444444444504</v>
      </c>
      <c r="R322" s="193" t="s">
        <v>42</v>
      </c>
      <c r="S322" s="193" t="s">
        <v>1499</v>
      </c>
      <c r="T322" s="197">
        <f t="shared" si="23"/>
        <v>99</v>
      </c>
      <c r="U322" s="193"/>
      <c r="V322" s="193" t="str">
        <f t="shared" si="24"/>
        <v>Burau</v>
      </c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8"/>
      <c r="AL322" s="18"/>
    </row>
    <row r="323" spans="2:38" ht="15" customHeight="1" x14ac:dyDescent="0.2">
      <c r="B323" s="193">
        <v>1</v>
      </c>
      <c r="C323" s="347" t="s">
        <v>425</v>
      </c>
      <c r="D323" s="193" t="str">
        <f t="shared" si="21"/>
        <v>CPO000283PN</v>
      </c>
      <c r="E323" s="193" t="s">
        <v>76</v>
      </c>
      <c r="F323" s="193" t="s">
        <v>1340</v>
      </c>
      <c r="G323" s="193" t="s">
        <v>1347</v>
      </c>
      <c r="H323" s="193" t="s">
        <v>78</v>
      </c>
      <c r="I323" s="193" t="s">
        <v>41</v>
      </c>
      <c r="J323" s="193" t="str">
        <f t="shared" si="25"/>
        <v>12 Roda</v>
      </c>
      <c r="K323" s="194">
        <v>46001</v>
      </c>
      <c r="L323" s="195">
        <v>45840</v>
      </c>
      <c r="M323" s="195">
        <v>17870</v>
      </c>
      <c r="N323" s="195">
        <v>27970</v>
      </c>
      <c r="O323" s="195">
        <v>27920</v>
      </c>
      <c r="P323" s="196">
        <v>0.750694444444444</v>
      </c>
      <c r="Q323" s="196">
        <v>0.83263888888888904</v>
      </c>
      <c r="R323" s="193" t="s">
        <v>42</v>
      </c>
      <c r="S323" s="193" t="s">
        <v>1372</v>
      </c>
      <c r="T323" s="197">
        <f t="shared" si="23"/>
        <v>99</v>
      </c>
      <c r="U323" s="193"/>
      <c r="V323" s="193" t="str">
        <f t="shared" si="24"/>
        <v>Burau</v>
      </c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8"/>
      <c r="AL323" s="18"/>
    </row>
    <row r="324" spans="2:38" ht="15" customHeight="1" x14ac:dyDescent="0.2">
      <c r="B324" s="193">
        <v>1</v>
      </c>
      <c r="C324" s="347" t="s">
        <v>426</v>
      </c>
      <c r="D324" s="193" t="str">
        <f t="shared" si="21"/>
        <v>CPO000284PN</v>
      </c>
      <c r="E324" s="193" t="s">
        <v>56</v>
      </c>
      <c r="F324" s="193" t="s">
        <v>1340</v>
      </c>
      <c r="G324" s="193" t="s">
        <v>1347</v>
      </c>
      <c r="H324" s="193" t="s">
        <v>78</v>
      </c>
      <c r="I324" s="193" t="s">
        <v>41</v>
      </c>
      <c r="J324" s="193" t="str">
        <f t="shared" si="25"/>
        <v>10 Roda</v>
      </c>
      <c r="K324" s="194">
        <v>46001</v>
      </c>
      <c r="L324" s="195">
        <v>24950</v>
      </c>
      <c r="M324" s="195">
        <v>10780</v>
      </c>
      <c r="N324" s="195">
        <v>14170</v>
      </c>
      <c r="O324" s="195">
        <v>14160</v>
      </c>
      <c r="P324" s="196">
        <v>0.75277777777777799</v>
      </c>
      <c r="Q324" s="196">
        <v>0.83402777777777803</v>
      </c>
      <c r="R324" s="193" t="s">
        <v>42</v>
      </c>
      <c r="S324" s="193" t="s">
        <v>1781</v>
      </c>
      <c r="T324" s="197">
        <f t="shared" si="23"/>
        <v>99</v>
      </c>
      <c r="U324" s="193"/>
      <c r="V324" s="193" t="str">
        <f t="shared" si="24"/>
        <v>Burau</v>
      </c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8"/>
      <c r="AL324" s="18"/>
    </row>
    <row r="325" spans="2:38" ht="15" customHeight="1" x14ac:dyDescent="0.2">
      <c r="B325" s="193">
        <v>1</v>
      </c>
      <c r="C325" s="347" t="s">
        <v>150</v>
      </c>
      <c r="D325" s="193" t="str">
        <f t="shared" si="21"/>
        <v>CPO000041MIS</v>
      </c>
      <c r="E325" s="193" t="s">
        <v>151</v>
      </c>
      <c r="F325" s="193" t="s">
        <v>1345</v>
      </c>
      <c r="G325" s="193" t="s">
        <v>1344</v>
      </c>
      <c r="H325" s="193" t="s">
        <v>40</v>
      </c>
      <c r="I325" s="193" t="s">
        <v>41</v>
      </c>
      <c r="J325" s="193" t="str">
        <f t="shared" si="25"/>
        <v>6 Roda</v>
      </c>
      <c r="K325" s="194">
        <v>46001</v>
      </c>
      <c r="L325" s="195">
        <v>13580</v>
      </c>
      <c r="M325" s="195">
        <v>3980</v>
      </c>
      <c r="N325" s="195">
        <v>9600</v>
      </c>
      <c r="O325" s="195">
        <v>9570</v>
      </c>
      <c r="P325" s="196">
        <v>0.34513888888888899</v>
      </c>
      <c r="Q325" s="196">
        <v>0.43541666666666701</v>
      </c>
      <c r="R325" s="193" t="s">
        <v>42</v>
      </c>
      <c r="S325" s="193"/>
      <c r="T325" s="197">
        <f t="shared" si="23"/>
        <v>494</v>
      </c>
      <c r="U325" s="193"/>
      <c r="V325" s="193" t="str">
        <f t="shared" si="24"/>
        <v>Pomala</v>
      </c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8"/>
      <c r="AL325" s="18"/>
    </row>
    <row r="326" spans="2:38" ht="15" customHeight="1" x14ac:dyDescent="0.2">
      <c r="B326" s="193">
        <v>1</v>
      </c>
      <c r="C326" s="347" t="s">
        <v>152</v>
      </c>
      <c r="D326" s="193" t="str">
        <f t="shared" si="21"/>
        <v>CPO000042MIS</v>
      </c>
      <c r="E326" s="193" t="s">
        <v>153</v>
      </c>
      <c r="F326" s="193" t="s">
        <v>1345</v>
      </c>
      <c r="G326" s="193" t="s">
        <v>1344</v>
      </c>
      <c r="H326" s="193" t="s">
        <v>40</v>
      </c>
      <c r="I326" s="193" t="s">
        <v>41</v>
      </c>
      <c r="J326" s="193" t="str">
        <f t="shared" si="25"/>
        <v>6 Roda</v>
      </c>
      <c r="K326" s="194">
        <v>46001</v>
      </c>
      <c r="L326" s="195">
        <v>14110</v>
      </c>
      <c r="M326" s="195">
        <v>4110</v>
      </c>
      <c r="N326" s="195">
        <v>10000</v>
      </c>
      <c r="O326" s="195">
        <v>9970</v>
      </c>
      <c r="P326" s="196">
        <v>0.34583333333333299</v>
      </c>
      <c r="Q326" s="196">
        <v>0.46180555555555602</v>
      </c>
      <c r="R326" s="193" t="s">
        <v>42</v>
      </c>
      <c r="S326" s="193"/>
      <c r="T326" s="197">
        <f t="shared" si="23"/>
        <v>494</v>
      </c>
      <c r="U326" s="193"/>
      <c r="V326" s="193" t="str">
        <f t="shared" si="24"/>
        <v>Pomala</v>
      </c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8"/>
      <c r="AL326" s="18"/>
    </row>
    <row r="327" spans="2:38" ht="15" customHeight="1" x14ac:dyDescent="0.2">
      <c r="B327" s="193">
        <v>1</v>
      </c>
      <c r="C327" s="347" t="s">
        <v>154</v>
      </c>
      <c r="D327" s="193" t="str">
        <f t="shared" si="21"/>
        <v>CPO000043MIS</v>
      </c>
      <c r="E327" s="193" t="s">
        <v>156</v>
      </c>
      <c r="F327" s="193" t="s">
        <v>1345</v>
      </c>
      <c r="G327" s="193" t="s">
        <v>1344</v>
      </c>
      <c r="H327" s="193" t="s">
        <v>40</v>
      </c>
      <c r="I327" s="193" t="s">
        <v>41</v>
      </c>
      <c r="J327" s="193" t="str">
        <f t="shared" si="25"/>
        <v>6 Roda</v>
      </c>
      <c r="K327" s="194">
        <v>46001</v>
      </c>
      <c r="L327" s="195">
        <v>13540</v>
      </c>
      <c r="M327" s="195">
        <v>3920</v>
      </c>
      <c r="N327" s="195">
        <v>9620</v>
      </c>
      <c r="O327" s="195">
        <v>10180</v>
      </c>
      <c r="P327" s="196">
        <v>0.34791666666666698</v>
      </c>
      <c r="Q327" s="196">
        <v>0.47291666666666698</v>
      </c>
      <c r="R327" s="193" t="s">
        <v>42</v>
      </c>
      <c r="S327" s="193"/>
      <c r="T327" s="197">
        <f t="shared" si="23"/>
        <v>494</v>
      </c>
      <c r="U327" s="193"/>
      <c r="V327" s="193" t="str">
        <f t="shared" si="24"/>
        <v>Pomala</v>
      </c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8"/>
      <c r="AL327" s="18"/>
    </row>
    <row r="328" spans="2:38" ht="15" customHeight="1" x14ac:dyDescent="0.2">
      <c r="B328" s="193">
        <v>1</v>
      </c>
      <c r="C328" s="347" t="s">
        <v>157</v>
      </c>
      <c r="D328" s="193" t="str">
        <f t="shared" si="21"/>
        <v>CPO000044MIS</v>
      </c>
      <c r="E328" s="193" t="s">
        <v>155</v>
      </c>
      <c r="F328" s="193" t="s">
        <v>1345</v>
      </c>
      <c r="G328" s="193" t="s">
        <v>1344</v>
      </c>
      <c r="H328" s="193" t="s">
        <v>40</v>
      </c>
      <c r="I328" s="193" t="s">
        <v>41</v>
      </c>
      <c r="J328" s="193" t="str">
        <f t="shared" si="25"/>
        <v>6 Roda</v>
      </c>
      <c r="K328" s="194">
        <v>46001</v>
      </c>
      <c r="L328" s="195">
        <v>13470</v>
      </c>
      <c r="M328" s="195">
        <v>3630</v>
      </c>
      <c r="N328" s="195">
        <v>9840</v>
      </c>
      <c r="O328" s="195">
        <v>9830</v>
      </c>
      <c r="P328" s="196">
        <v>0.43055555555555602</v>
      </c>
      <c r="Q328" s="196">
        <v>0.50208333333333299</v>
      </c>
      <c r="R328" s="193" t="s">
        <v>42</v>
      </c>
      <c r="S328" s="193"/>
      <c r="T328" s="197">
        <f t="shared" si="23"/>
        <v>494</v>
      </c>
      <c r="U328" s="193"/>
      <c r="V328" s="193" t="str">
        <f t="shared" si="24"/>
        <v>Pomala</v>
      </c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8"/>
      <c r="AL328" s="18"/>
    </row>
    <row r="329" spans="2:38" ht="15" customHeight="1" x14ac:dyDescent="0.2">
      <c r="B329" s="193">
        <v>1</v>
      </c>
      <c r="C329" s="347" t="s">
        <v>159</v>
      </c>
      <c r="D329" s="193" t="str">
        <f t="shared" si="21"/>
        <v>CPO000045MIS</v>
      </c>
      <c r="E329" s="193" t="s">
        <v>160</v>
      </c>
      <c r="F329" s="193" t="s">
        <v>1345</v>
      </c>
      <c r="G329" s="193" t="s">
        <v>1344</v>
      </c>
      <c r="H329" s="193" t="s">
        <v>40</v>
      </c>
      <c r="I329" s="193" t="s">
        <v>41</v>
      </c>
      <c r="J329" s="193" t="str">
        <f t="shared" si="25"/>
        <v>6 Roda</v>
      </c>
      <c r="K329" s="194">
        <v>46001</v>
      </c>
      <c r="L329" s="195">
        <v>14540</v>
      </c>
      <c r="M329" s="195">
        <v>4370</v>
      </c>
      <c r="N329" s="195">
        <v>10170</v>
      </c>
      <c r="O329" s="195">
        <v>9650</v>
      </c>
      <c r="P329" s="196">
        <v>0.43194444444444502</v>
      </c>
      <c r="Q329" s="196">
        <v>0.51041666666666696</v>
      </c>
      <c r="R329" s="193" t="s">
        <v>42</v>
      </c>
      <c r="S329" s="193"/>
      <c r="T329" s="197">
        <f t="shared" si="23"/>
        <v>494</v>
      </c>
      <c r="U329" s="193"/>
      <c r="V329" s="193" t="str">
        <f t="shared" si="24"/>
        <v>Pomala</v>
      </c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8"/>
      <c r="AL329" s="18"/>
    </row>
    <row r="330" spans="2:38" ht="15" customHeight="1" x14ac:dyDescent="0.2">
      <c r="B330" s="193">
        <v>1</v>
      </c>
      <c r="C330" s="347" t="s">
        <v>427</v>
      </c>
      <c r="D330" s="193" t="str">
        <f t="shared" si="21"/>
        <v>CPO000285MIS</v>
      </c>
      <c r="E330" s="193" t="s">
        <v>53</v>
      </c>
      <c r="F330" s="193" t="s">
        <v>1335</v>
      </c>
      <c r="G330" s="193" t="s">
        <v>1334</v>
      </c>
      <c r="H330" s="193" t="s">
        <v>40</v>
      </c>
      <c r="I330" s="193" t="s">
        <v>41</v>
      </c>
      <c r="J330" s="193" t="str">
        <f t="shared" si="25"/>
        <v>6 Roda</v>
      </c>
      <c r="K330" s="194">
        <v>46002</v>
      </c>
      <c r="L330" s="195">
        <v>13290</v>
      </c>
      <c r="M330" s="195">
        <v>3760</v>
      </c>
      <c r="N330" s="195">
        <v>9530</v>
      </c>
      <c r="O330" s="195">
        <v>9520</v>
      </c>
      <c r="P330" s="196">
        <v>0.97361111111111098</v>
      </c>
      <c r="Q330" s="196">
        <v>1.38888888888889E-3</v>
      </c>
      <c r="R330" s="193" t="s">
        <v>137</v>
      </c>
      <c r="S330" s="193"/>
      <c r="T330" s="197">
        <f t="shared" si="23"/>
        <v>494</v>
      </c>
      <c r="U330" s="193"/>
      <c r="V330" s="193" t="str">
        <f t="shared" si="24"/>
        <v>Pomala</v>
      </c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8"/>
      <c r="AL330" s="18"/>
    </row>
    <row r="331" spans="2:38" ht="15" customHeight="1" x14ac:dyDescent="0.2">
      <c r="B331" s="193">
        <v>1</v>
      </c>
      <c r="C331" s="347" t="s">
        <v>428</v>
      </c>
      <c r="D331" s="193" t="str">
        <f t="shared" si="21"/>
        <v>CPO000286MIS</v>
      </c>
      <c r="E331" s="193" t="s">
        <v>177</v>
      </c>
      <c r="F331" s="193" t="s">
        <v>1335</v>
      </c>
      <c r="G331" s="193" t="s">
        <v>1334</v>
      </c>
      <c r="H331" s="193" t="s">
        <v>40</v>
      </c>
      <c r="I331" s="193" t="s">
        <v>41</v>
      </c>
      <c r="J331" s="193" t="str">
        <f t="shared" si="25"/>
        <v>6 Roda</v>
      </c>
      <c r="K331" s="194">
        <v>46002</v>
      </c>
      <c r="L331" s="195">
        <v>13910</v>
      </c>
      <c r="M331" s="195">
        <v>4220</v>
      </c>
      <c r="N331" s="195">
        <v>9690</v>
      </c>
      <c r="O331" s="195">
        <v>9630</v>
      </c>
      <c r="P331" s="196">
        <v>0.97499999999999998</v>
      </c>
      <c r="Q331" s="196">
        <v>9.0277777777777804E-3</v>
      </c>
      <c r="R331" s="193" t="s">
        <v>137</v>
      </c>
      <c r="S331" s="193"/>
      <c r="T331" s="197">
        <f t="shared" si="23"/>
        <v>494</v>
      </c>
      <c r="U331" s="193"/>
      <c r="V331" s="193" t="str">
        <f t="shared" si="24"/>
        <v>Pomala</v>
      </c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8"/>
      <c r="AL331" s="18"/>
    </row>
    <row r="332" spans="2:38" ht="15" customHeight="1" x14ac:dyDescent="0.2">
      <c r="B332" s="193">
        <v>1</v>
      </c>
      <c r="C332" s="347" t="s">
        <v>429</v>
      </c>
      <c r="D332" s="193" t="str">
        <f t="shared" si="21"/>
        <v>CPO000287MIS</v>
      </c>
      <c r="E332" s="193" t="s">
        <v>171</v>
      </c>
      <c r="F332" s="193" t="s">
        <v>1335</v>
      </c>
      <c r="G332" s="193" t="s">
        <v>1334</v>
      </c>
      <c r="H332" s="193" t="s">
        <v>40</v>
      </c>
      <c r="I332" s="193" t="s">
        <v>41</v>
      </c>
      <c r="J332" s="193" t="str">
        <f t="shared" si="25"/>
        <v>6 Roda</v>
      </c>
      <c r="K332" s="194">
        <v>46002</v>
      </c>
      <c r="L332" s="195">
        <v>13240</v>
      </c>
      <c r="M332" s="195">
        <v>3600</v>
      </c>
      <c r="N332" s="195">
        <v>9640</v>
      </c>
      <c r="O332" s="195">
        <v>9590</v>
      </c>
      <c r="P332" s="196">
        <v>0.99861111111111101</v>
      </c>
      <c r="Q332" s="196">
        <v>2.1527777777777798E-2</v>
      </c>
      <c r="R332" s="193" t="s">
        <v>137</v>
      </c>
      <c r="S332" s="193"/>
      <c r="T332" s="197">
        <f t="shared" si="23"/>
        <v>494</v>
      </c>
      <c r="U332" s="193"/>
      <c r="V332" s="193" t="str">
        <f t="shared" si="24"/>
        <v>Pomala</v>
      </c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8"/>
      <c r="AL332" s="18"/>
    </row>
    <row r="333" spans="2:38" ht="15" customHeight="1" x14ac:dyDescent="0.2">
      <c r="B333" s="193">
        <v>1</v>
      </c>
      <c r="C333" s="347" t="s">
        <v>430</v>
      </c>
      <c r="D333" s="193" t="str">
        <f t="shared" si="21"/>
        <v>CPO000288MIS</v>
      </c>
      <c r="E333" s="193" t="s">
        <v>158</v>
      </c>
      <c r="F333" s="193" t="s">
        <v>1335</v>
      </c>
      <c r="G333" s="193" t="s">
        <v>1334</v>
      </c>
      <c r="H333" s="193" t="s">
        <v>40</v>
      </c>
      <c r="I333" s="193" t="s">
        <v>41</v>
      </c>
      <c r="J333" s="193" t="str">
        <f t="shared" si="25"/>
        <v>6 Roda</v>
      </c>
      <c r="K333" s="194">
        <v>46002</v>
      </c>
      <c r="L333" s="195">
        <v>13960</v>
      </c>
      <c r="M333" s="195">
        <v>3920</v>
      </c>
      <c r="N333" s="195">
        <v>10040</v>
      </c>
      <c r="O333" s="195">
        <v>9960</v>
      </c>
      <c r="P333" s="196">
        <v>0</v>
      </c>
      <c r="Q333" s="196">
        <v>2.29166666666667E-2</v>
      </c>
      <c r="R333" s="193" t="s">
        <v>137</v>
      </c>
      <c r="S333" s="193"/>
      <c r="T333" s="197">
        <f t="shared" si="23"/>
        <v>494</v>
      </c>
      <c r="U333" s="193"/>
      <c r="V333" s="193" t="str">
        <f t="shared" si="24"/>
        <v>Pomala</v>
      </c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8"/>
      <c r="AL333" s="18"/>
    </row>
    <row r="334" spans="2:38" ht="15" customHeight="1" x14ac:dyDescent="0.2">
      <c r="B334" s="193">
        <v>1</v>
      </c>
      <c r="C334" s="347" t="s">
        <v>453</v>
      </c>
      <c r="D334" s="193" t="str">
        <f t="shared" si="21"/>
        <v>CPO000311MIS</v>
      </c>
      <c r="E334" s="193" t="s">
        <v>163</v>
      </c>
      <c r="F334" s="193" t="s">
        <v>1335</v>
      </c>
      <c r="G334" s="193" t="s">
        <v>1334</v>
      </c>
      <c r="H334" s="193" t="s">
        <v>40</v>
      </c>
      <c r="I334" s="193" t="s">
        <v>41</v>
      </c>
      <c r="J334" s="193" t="str">
        <f t="shared" si="25"/>
        <v>6 Roda</v>
      </c>
      <c r="K334" s="194">
        <v>46003</v>
      </c>
      <c r="L334" s="195">
        <v>14050</v>
      </c>
      <c r="M334" s="195">
        <v>3900</v>
      </c>
      <c r="N334" s="195">
        <v>10150</v>
      </c>
      <c r="O334" s="195">
        <v>10140</v>
      </c>
      <c r="P334" s="196">
        <v>0.96111111111111103</v>
      </c>
      <c r="Q334" s="196">
        <v>0.98124999999999996</v>
      </c>
      <c r="R334" s="193" t="s">
        <v>137</v>
      </c>
      <c r="S334" s="193"/>
      <c r="T334" s="197">
        <f t="shared" si="23"/>
        <v>494</v>
      </c>
      <c r="U334" s="193"/>
      <c r="V334" s="193" t="str">
        <f t="shared" si="24"/>
        <v>Pomala</v>
      </c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8"/>
      <c r="AL334" s="18"/>
    </row>
    <row r="335" spans="2:38" ht="15" customHeight="1" x14ac:dyDescent="0.2">
      <c r="B335" s="193">
        <v>1</v>
      </c>
      <c r="C335" s="347" t="s">
        <v>443</v>
      </c>
      <c r="D335" s="193" t="str">
        <f t="shared" si="21"/>
        <v>CPO000301KMP</v>
      </c>
      <c r="E335" s="193" t="s">
        <v>76</v>
      </c>
      <c r="F335" s="193" t="s">
        <v>1452</v>
      </c>
      <c r="G335" s="193" t="s">
        <v>1336</v>
      </c>
      <c r="H335" s="193" t="s">
        <v>59</v>
      </c>
      <c r="I335" s="193" t="s">
        <v>41</v>
      </c>
      <c r="J335" s="193" t="str">
        <f t="shared" si="25"/>
        <v>12 Roda</v>
      </c>
      <c r="K335" s="194">
        <v>46003</v>
      </c>
      <c r="L335" s="195">
        <v>45730</v>
      </c>
      <c r="M335" s="195">
        <v>17770</v>
      </c>
      <c r="N335" s="195">
        <v>27960</v>
      </c>
      <c r="O335" s="195">
        <v>27980</v>
      </c>
      <c r="P335" s="196">
        <v>0.39583333333333298</v>
      </c>
      <c r="Q335" s="196">
        <v>0.47847222222222202</v>
      </c>
      <c r="R335" s="193" t="s">
        <v>42</v>
      </c>
      <c r="S335" s="193" t="s">
        <v>1372</v>
      </c>
      <c r="T335" s="197">
        <f t="shared" si="23"/>
        <v>53</v>
      </c>
      <c r="U335" s="193" t="s">
        <v>1922</v>
      </c>
      <c r="V335" s="193" t="str">
        <f t="shared" si="24"/>
        <v>Masamba</v>
      </c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8"/>
      <c r="AL335" s="18"/>
    </row>
    <row r="336" spans="2:38" ht="15" customHeight="1" x14ac:dyDescent="0.2">
      <c r="B336" s="193">
        <v>1</v>
      </c>
      <c r="C336" s="347" t="s">
        <v>444</v>
      </c>
      <c r="D336" s="193" t="str">
        <f t="shared" si="21"/>
        <v>CPO000302KMP</v>
      </c>
      <c r="E336" s="193" t="s">
        <v>70</v>
      </c>
      <c r="F336" s="193" t="s">
        <v>1452</v>
      </c>
      <c r="G336" s="193" t="s">
        <v>1336</v>
      </c>
      <c r="H336" s="193" t="s">
        <v>59</v>
      </c>
      <c r="I336" s="193" t="s">
        <v>41</v>
      </c>
      <c r="J336" s="193" t="str">
        <f t="shared" si="25"/>
        <v>12 Roda</v>
      </c>
      <c r="K336" s="194">
        <v>46003</v>
      </c>
      <c r="L336" s="195">
        <v>45690</v>
      </c>
      <c r="M336" s="195">
        <v>17580</v>
      </c>
      <c r="N336" s="195">
        <v>28110</v>
      </c>
      <c r="O336" s="195">
        <v>28120</v>
      </c>
      <c r="P336" s="196">
        <v>0.41944444444444501</v>
      </c>
      <c r="Q336" s="196">
        <v>0.47986111111111102</v>
      </c>
      <c r="R336" s="193" t="s">
        <v>42</v>
      </c>
      <c r="S336" s="193" t="s">
        <v>1499</v>
      </c>
      <c r="T336" s="197">
        <f t="shared" si="23"/>
        <v>53</v>
      </c>
      <c r="U336" s="193" t="s">
        <v>1922</v>
      </c>
      <c r="V336" s="193" t="str">
        <f t="shared" si="24"/>
        <v>Masamba</v>
      </c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8"/>
      <c r="AL336" s="18"/>
    </row>
    <row r="337" spans="2:38" ht="15" customHeight="1" x14ac:dyDescent="0.2">
      <c r="B337" s="193">
        <v>1</v>
      </c>
      <c r="C337" s="347" t="s">
        <v>445</v>
      </c>
      <c r="D337" s="193" t="str">
        <f t="shared" si="21"/>
        <v>CPO000303JAS</v>
      </c>
      <c r="E337" s="193" t="s">
        <v>56</v>
      </c>
      <c r="F337" s="193" t="s">
        <v>1433</v>
      </c>
      <c r="G337" s="193" t="s">
        <v>1337</v>
      </c>
      <c r="H337" s="193" t="s">
        <v>49</v>
      </c>
      <c r="I337" s="193" t="s">
        <v>41</v>
      </c>
      <c r="J337" s="193" t="str">
        <f t="shared" si="25"/>
        <v>10 Roda</v>
      </c>
      <c r="K337" s="194">
        <v>46003</v>
      </c>
      <c r="L337" s="195">
        <v>25080</v>
      </c>
      <c r="M337" s="195">
        <v>10830</v>
      </c>
      <c r="N337" s="195">
        <v>14250</v>
      </c>
      <c r="O337" s="195">
        <v>14240</v>
      </c>
      <c r="P337" s="196">
        <v>0.48194444444444501</v>
      </c>
      <c r="Q337" s="196">
        <v>0.61666666666666703</v>
      </c>
      <c r="R337" s="193" t="s">
        <v>42</v>
      </c>
      <c r="S337" s="193" t="s">
        <v>1781</v>
      </c>
      <c r="T337" s="197">
        <f t="shared" si="23"/>
        <v>68</v>
      </c>
      <c r="U337" s="193" t="s">
        <v>1922</v>
      </c>
      <c r="V337" s="193" t="str">
        <f t="shared" si="24"/>
        <v>Bone Bone</v>
      </c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8"/>
      <c r="AL337" s="18"/>
    </row>
    <row r="338" spans="2:38" ht="15" customHeight="1" x14ac:dyDescent="0.2">
      <c r="B338" s="193">
        <v>1</v>
      </c>
      <c r="C338" s="347" t="s">
        <v>446</v>
      </c>
      <c r="D338" s="193" t="str">
        <f t="shared" si="21"/>
        <v>CPO000304JAS</v>
      </c>
      <c r="E338" s="193" t="s">
        <v>46</v>
      </c>
      <c r="F338" s="193" t="s">
        <v>1433</v>
      </c>
      <c r="G338" s="193" t="s">
        <v>1337</v>
      </c>
      <c r="H338" s="193" t="s">
        <v>49</v>
      </c>
      <c r="I338" s="193" t="s">
        <v>41</v>
      </c>
      <c r="J338" s="193" t="str">
        <f t="shared" si="25"/>
        <v>10 Roda</v>
      </c>
      <c r="K338" s="194">
        <v>46003</v>
      </c>
      <c r="L338" s="195">
        <v>26710</v>
      </c>
      <c r="M338" s="195">
        <v>11930</v>
      </c>
      <c r="N338" s="195">
        <v>14780</v>
      </c>
      <c r="O338" s="195">
        <v>14750</v>
      </c>
      <c r="P338" s="196">
        <v>0.57569444444444395</v>
      </c>
      <c r="Q338" s="196">
        <v>0.62777777777777799</v>
      </c>
      <c r="R338" s="193" t="s">
        <v>42</v>
      </c>
      <c r="S338" s="193" t="s">
        <v>1393</v>
      </c>
      <c r="T338" s="197">
        <f t="shared" si="23"/>
        <v>68</v>
      </c>
      <c r="U338" s="193" t="s">
        <v>1922</v>
      </c>
      <c r="V338" s="193" t="str">
        <f t="shared" si="24"/>
        <v>Bone Bone</v>
      </c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8"/>
      <c r="AL338" s="18"/>
    </row>
    <row r="339" spans="2:38" ht="15" customHeight="1" x14ac:dyDescent="0.2">
      <c r="B339" s="193">
        <v>1</v>
      </c>
      <c r="C339" s="347" t="s">
        <v>447</v>
      </c>
      <c r="D339" s="193" t="str">
        <f t="shared" si="21"/>
        <v>CPO000305JAS</v>
      </c>
      <c r="E339" s="193" t="s">
        <v>84</v>
      </c>
      <c r="F339" s="193" t="s">
        <v>1433</v>
      </c>
      <c r="G339" s="193" t="s">
        <v>1337</v>
      </c>
      <c r="H339" s="193" t="s">
        <v>49</v>
      </c>
      <c r="I339" s="193" t="s">
        <v>41</v>
      </c>
      <c r="J339" s="193" t="str">
        <f t="shared" si="25"/>
        <v>10 Roda</v>
      </c>
      <c r="K339" s="194">
        <v>46003</v>
      </c>
      <c r="L339" s="195">
        <v>26710</v>
      </c>
      <c r="M339" s="195">
        <v>12230</v>
      </c>
      <c r="N339" s="195">
        <v>14480</v>
      </c>
      <c r="O339" s="195">
        <v>14450</v>
      </c>
      <c r="P339" s="196">
        <v>0.58333333333333304</v>
      </c>
      <c r="Q339" s="196">
        <v>0.65486111111111101</v>
      </c>
      <c r="R339" s="193" t="s">
        <v>42</v>
      </c>
      <c r="S339" s="193" t="s">
        <v>1782</v>
      </c>
      <c r="T339" s="197">
        <f t="shared" si="23"/>
        <v>68</v>
      </c>
      <c r="U339" s="193" t="s">
        <v>1922</v>
      </c>
      <c r="V339" s="193" t="str">
        <f t="shared" si="24"/>
        <v>Bone Bone</v>
      </c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8"/>
      <c r="AL339" s="18"/>
    </row>
    <row r="340" spans="2:38" ht="15" customHeight="1" x14ac:dyDescent="0.2">
      <c r="B340" s="193">
        <v>1</v>
      </c>
      <c r="C340" s="347" t="s">
        <v>448</v>
      </c>
      <c r="D340" s="193" t="str">
        <f t="shared" si="21"/>
        <v>CPO000306KMP</v>
      </c>
      <c r="E340" s="193" t="s">
        <v>76</v>
      </c>
      <c r="F340" s="193" t="s">
        <v>1452</v>
      </c>
      <c r="G340" s="193" t="s">
        <v>1336</v>
      </c>
      <c r="H340" s="193" t="s">
        <v>59</v>
      </c>
      <c r="I340" s="193" t="s">
        <v>41</v>
      </c>
      <c r="J340" s="193" t="str">
        <f t="shared" si="25"/>
        <v>12 Roda</v>
      </c>
      <c r="K340" s="194">
        <v>46003</v>
      </c>
      <c r="L340" s="195">
        <v>45730</v>
      </c>
      <c r="M340" s="195">
        <v>17720</v>
      </c>
      <c r="N340" s="195">
        <v>28010</v>
      </c>
      <c r="O340" s="195">
        <v>27960</v>
      </c>
      <c r="P340" s="196">
        <v>0.72499999999999998</v>
      </c>
      <c r="Q340" s="196">
        <v>0.76041666666666696</v>
      </c>
      <c r="R340" s="193" t="s">
        <v>137</v>
      </c>
      <c r="S340" s="193" t="s">
        <v>1372</v>
      </c>
      <c r="T340" s="197">
        <f t="shared" si="23"/>
        <v>53</v>
      </c>
      <c r="U340" s="193" t="s">
        <v>1922</v>
      </c>
      <c r="V340" s="193" t="str">
        <f t="shared" si="24"/>
        <v>Masamba</v>
      </c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8"/>
      <c r="AL340" s="18"/>
    </row>
    <row r="341" spans="2:38" ht="15" customHeight="1" x14ac:dyDescent="0.2">
      <c r="B341" s="193">
        <v>1</v>
      </c>
      <c r="C341" s="347" t="s">
        <v>449</v>
      </c>
      <c r="D341" s="193" t="str">
        <f t="shared" si="21"/>
        <v>CPO000307KMP</v>
      </c>
      <c r="E341" s="193" t="s">
        <v>70</v>
      </c>
      <c r="F341" s="193" t="s">
        <v>1452</v>
      </c>
      <c r="G341" s="193" t="s">
        <v>1336</v>
      </c>
      <c r="H341" s="193" t="s">
        <v>59</v>
      </c>
      <c r="I341" s="193" t="s">
        <v>41</v>
      </c>
      <c r="J341" s="193" t="str">
        <f t="shared" si="25"/>
        <v>12 Roda</v>
      </c>
      <c r="K341" s="194">
        <v>46003</v>
      </c>
      <c r="L341" s="195">
        <v>45580</v>
      </c>
      <c r="M341" s="195">
        <v>17530</v>
      </c>
      <c r="N341" s="195">
        <v>28050</v>
      </c>
      <c r="O341" s="195">
        <v>28000</v>
      </c>
      <c r="P341" s="196">
        <v>0.75</v>
      </c>
      <c r="Q341" s="196">
        <v>0.78472222222222199</v>
      </c>
      <c r="R341" s="193" t="s">
        <v>137</v>
      </c>
      <c r="S341" s="193" t="s">
        <v>1499</v>
      </c>
      <c r="T341" s="197">
        <f t="shared" si="23"/>
        <v>53</v>
      </c>
      <c r="U341" s="193" t="s">
        <v>1922</v>
      </c>
      <c r="V341" s="193" t="str">
        <f t="shared" si="24"/>
        <v>Masamba</v>
      </c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8"/>
      <c r="AL341" s="18"/>
    </row>
    <row r="342" spans="2:38" ht="15" customHeight="1" x14ac:dyDescent="0.2">
      <c r="B342" s="193">
        <v>1</v>
      </c>
      <c r="C342" s="347" t="s">
        <v>450</v>
      </c>
      <c r="D342" s="193" t="str">
        <f t="shared" si="21"/>
        <v>CPO000308JAS</v>
      </c>
      <c r="E342" s="193" t="s">
        <v>46</v>
      </c>
      <c r="F342" s="193" t="s">
        <v>1433</v>
      </c>
      <c r="G342" s="193" t="s">
        <v>1337</v>
      </c>
      <c r="H342" s="193" t="s">
        <v>49</v>
      </c>
      <c r="I342" s="193" t="s">
        <v>41</v>
      </c>
      <c r="J342" s="193" t="str">
        <f t="shared" si="25"/>
        <v>10 Roda</v>
      </c>
      <c r="K342" s="194">
        <v>46003</v>
      </c>
      <c r="L342" s="195">
        <v>26640</v>
      </c>
      <c r="M342" s="195">
        <v>11900</v>
      </c>
      <c r="N342" s="195">
        <v>14740</v>
      </c>
      <c r="O342" s="195">
        <v>14700</v>
      </c>
      <c r="P342" s="196">
        <v>0.82847222222222205</v>
      </c>
      <c r="Q342" s="196">
        <v>0.89375000000000004</v>
      </c>
      <c r="R342" s="193" t="s">
        <v>137</v>
      </c>
      <c r="S342" s="193" t="s">
        <v>1393</v>
      </c>
      <c r="T342" s="197">
        <f t="shared" si="23"/>
        <v>68</v>
      </c>
      <c r="U342" s="193" t="s">
        <v>1922</v>
      </c>
      <c r="V342" s="193" t="str">
        <f t="shared" si="24"/>
        <v>Bone Bone</v>
      </c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8"/>
      <c r="AL342" s="18"/>
    </row>
    <row r="343" spans="2:38" ht="15" customHeight="1" x14ac:dyDescent="0.2">
      <c r="B343" s="193">
        <v>1</v>
      </c>
      <c r="C343" s="347" t="s">
        <v>451</v>
      </c>
      <c r="D343" s="193" t="str">
        <f t="shared" ref="D343:D406" si="26">I343&amp;C343&amp;_xlfn.XLOOKUP(H343,$AM$4:$AM$26,$AN$4:$AN$26,"")</f>
        <v>CPO000309JAS</v>
      </c>
      <c r="E343" s="193" t="s">
        <v>56</v>
      </c>
      <c r="F343" s="193" t="s">
        <v>1433</v>
      </c>
      <c r="G343" s="193" t="s">
        <v>1337</v>
      </c>
      <c r="H343" s="193" t="s">
        <v>49</v>
      </c>
      <c r="I343" s="193" t="s">
        <v>41</v>
      </c>
      <c r="J343" s="193" t="str">
        <f t="shared" si="25"/>
        <v>10 Roda</v>
      </c>
      <c r="K343" s="194">
        <v>46003</v>
      </c>
      <c r="L343" s="195">
        <v>25110</v>
      </c>
      <c r="M343" s="195">
        <v>10860</v>
      </c>
      <c r="N343" s="195">
        <v>14250</v>
      </c>
      <c r="O343" s="195">
        <v>14150</v>
      </c>
      <c r="P343" s="196">
        <v>0.84652777777777799</v>
      </c>
      <c r="Q343" s="196">
        <v>0.89861111111111103</v>
      </c>
      <c r="R343" s="193" t="s">
        <v>137</v>
      </c>
      <c r="S343" s="193" t="s">
        <v>1781</v>
      </c>
      <c r="T343" s="197">
        <f t="shared" ref="T343:T406" si="27">IFERROR(_xlfn.XLOOKUP(H343,$AM$4:$AM$18,$AP$4:$AP$18,""),0)</f>
        <v>68</v>
      </c>
      <c r="U343" s="193" t="s">
        <v>1922</v>
      </c>
      <c r="V343" s="193" t="str">
        <f t="shared" ref="V343:V406" si="28">IFERROR(_xlfn.XLOOKUP(H343,$AM$4:$AM$18,$AO$4:$AO$18,""),"")</f>
        <v>Bone Bone</v>
      </c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8"/>
      <c r="AL343" s="18"/>
    </row>
    <row r="344" spans="2:38" ht="15" customHeight="1" x14ac:dyDescent="0.2">
      <c r="B344" s="193">
        <v>1</v>
      </c>
      <c r="C344" s="347" t="s">
        <v>452</v>
      </c>
      <c r="D344" s="193" t="str">
        <f t="shared" si="26"/>
        <v>CPO000310JAS</v>
      </c>
      <c r="E344" s="193" t="s">
        <v>84</v>
      </c>
      <c r="F344" s="193" t="s">
        <v>1433</v>
      </c>
      <c r="G344" s="193" t="s">
        <v>1337</v>
      </c>
      <c r="H344" s="193" t="s">
        <v>49</v>
      </c>
      <c r="I344" s="193" t="s">
        <v>41</v>
      </c>
      <c r="J344" s="193" t="str">
        <f t="shared" si="25"/>
        <v>10 Roda</v>
      </c>
      <c r="K344" s="194">
        <v>46003</v>
      </c>
      <c r="L344" s="195">
        <v>26650</v>
      </c>
      <c r="M344" s="195">
        <v>12170</v>
      </c>
      <c r="N344" s="195">
        <v>14480</v>
      </c>
      <c r="O344" s="195">
        <v>14430</v>
      </c>
      <c r="P344" s="196">
        <v>0.88194444444444398</v>
      </c>
      <c r="Q344" s="196">
        <v>0.936805555555556</v>
      </c>
      <c r="R344" s="193" t="s">
        <v>137</v>
      </c>
      <c r="S344" s="193" t="s">
        <v>1782</v>
      </c>
      <c r="T344" s="197">
        <f t="shared" si="27"/>
        <v>68</v>
      </c>
      <c r="U344" s="193" t="s">
        <v>1922</v>
      </c>
      <c r="V344" s="193" t="str">
        <f t="shared" si="28"/>
        <v>Bone Bone</v>
      </c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8"/>
      <c r="AL344" s="18"/>
    </row>
    <row r="345" spans="2:38" ht="15" customHeight="1" x14ac:dyDescent="0.2">
      <c r="B345" s="193">
        <v>1</v>
      </c>
      <c r="C345" s="347" t="s">
        <v>454</v>
      </c>
      <c r="D345" s="193" t="str">
        <f t="shared" si="26"/>
        <v>CPO000312MIS</v>
      </c>
      <c r="E345" s="193" t="s">
        <v>181</v>
      </c>
      <c r="F345" s="193" t="s">
        <v>1335</v>
      </c>
      <c r="G345" s="193" t="s">
        <v>1334</v>
      </c>
      <c r="H345" s="193" t="s">
        <v>40</v>
      </c>
      <c r="I345" s="193" t="s">
        <v>41</v>
      </c>
      <c r="J345" s="193" t="str">
        <f t="shared" si="25"/>
        <v>6 Roda</v>
      </c>
      <c r="K345" s="194">
        <v>46004</v>
      </c>
      <c r="L345" s="195">
        <v>13610</v>
      </c>
      <c r="M345" s="195">
        <v>3940</v>
      </c>
      <c r="N345" s="195">
        <v>9670</v>
      </c>
      <c r="O345" s="195">
        <v>9570</v>
      </c>
      <c r="P345" s="196">
        <v>0.97222222222222199</v>
      </c>
      <c r="Q345" s="196">
        <v>2.7777777777777801E-3</v>
      </c>
      <c r="R345" s="193" t="s">
        <v>137</v>
      </c>
      <c r="S345" s="193"/>
      <c r="T345" s="197">
        <f t="shared" si="27"/>
        <v>494</v>
      </c>
      <c r="U345" s="193"/>
      <c r="V345" s="193" t="str">
        <f t="shared" si="28"/>
        <v>Pomala</v>
      </c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8"/>
      <c r="AL345" s="18"/>
    </row>
    <row r="346" spans="2:38" ht="15" customHeight="1" x14ac:dyDescent="0.2">
      <c r="B346" s="193">
        <v>1</v>
      </c>
      <c r="C346" s="347" t="s">
        <v>455</v>
      </c>
      <c r="D346" s="193" t="str">
        <f t="shared" si="26"/>
        <v>CPO000313MIS</v>
      </c>
      <c r="E346" s="193" t="s">
        <v>166</v>
      </c>
      <c r="F346" s="193" t="s">
        <v>1335</v>
      </c>
      <c r="G346" s="193" t="s">
        <v>1334</v>
      </c>
      <c r="H346" s="193" t="s">
        <v>40</v>
      </c>
      <c r="I346" s="193" t="s">
        <v>41</v>
      </c>
      <c r="J346" s="193" t="str">
        <f t="shared" si="25"/>
        <v>6 Roda</v>
      </c>
      <c r="K346" s="194">
        <v>46004</v>
      </c>
      <c r="L346" s="195">
        <v>13190</v>
      </c>
      <c r="M346" s="195">
        <v>3780</v>
      </c>
      <c r="N346" s="195">
        <v>9410</v>
      </c>
      <c r="O346" s="195">
        <v>9400</v>
      </c>
      <c r="P346" s="196">
        <v>0.98402777777777795</v>
      </c>
      <c r="Q346" s="196">
        <v>5.5555555555555601E-3</v>
      </c>
      <c r="R346" s="193" t="s">
        <v>137</v>
      </c>
      <c r="S346" s="193"/>
      <c r="T346" s="197">
        <f t="shared" si="27"/>
        <v>494</v>
      </c>
      <c r="U346" s="193"/>
      <c r="V346" s="193" t="str">
        <f t="shared" si="28"/>
        <v>Pomala</v>
      </c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8"/>
      <c r="AL346" s="18"/>
    </row>
    <row r="347" spans="2:38" ht="15" customHeight="1" x14ac:dyDescent="0.2">
      <c r="B347" s="193">
        <v>1</v>
      </c>
      <c r="C347" s="347" t="s">
        <v>456</v>
      </c>
      <c r="D347" s="193" t="str">
        <f t="shared" si="26"/>
        <v>CPO000314MIS</v>
      </c>
      <c r="E347" s="193" t="s">
        <v>169</v>
      </c>
      <c r="F347" s="193" t="s">
        <v>1335</v>
      </c>
      <c r="G347" s="193" t="s">
        <v>1334</v>
      </c>
      <c r="H347" s="193" t="s">
        <v>40</v>
      </c>
      <c r="I347" s="193" t="s">
        <v>41</v>
      </c>
      <c r="J347" s="193" t="str">
        <f t="shared" si="25"/>
        <v>6 Roda</v>
      </c>
      <c r="K347" s="194">
        <v>46004</v>
      </c>
      <c r="L347" s="195">
        <v>13490</v>
      </c>
      <c r="M347" s="195">
        <v>3970</v>
      </c>
      <c r="N347" s="195">
        <v>9520</v>
      </c>
      <c r="O347" s="195">
        <v>9490</v>
      </c>
      <c r="P347" s="196">
        <v>0.38541666666666702</v>
      </c>
      <c r="Q347" s="196">
        <v>0.41597222222222202</v>
      </c>
      <c r="R347" s="193" t="s">
        <v>42</v>
      </c>
      <c r="S347" s="193"/>
      <c r="T347" s="197">
        <f t="shared" si="27"/>
        <v>494</v>
      </c>
      <c r="U347" s="193"/>
      <c r="V347" s="193" t="str">
        <f t="shared" si="28"/>
        <v>Pomala</v>
      </c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8"/>
      <c r="AL347" s="18"/>
    </row>
    <row r="348" spans="2:38" ht="15" customHeight="1" x14ac:dyDescent="0.2">
      <c r="B348" s="193">
        <v>1</v>
      </c>
      <c r="C348" s="347" t="s">
        <v>465</v>
      </c>
      <c r="D348" s="193" t="str">
        <f t="shared" si="26"/>
        <v>CPO000323MIS</v>
      </c>
      <c r="E348" s="193" t="s">
        <v>171</v>
      </c>
      <c r="F348" s="193" t="s">
        <v>1335</v>
      </c>
      <c r="G348" s="193" t="s">
        <v>1334</v>
      </c>
      <c r="H348" s="193" t="s">
        <v>40</v>
      </c>
      <c r="I348" s="193" t="s">
        <v>41</v>
      </c>
      <c r="J348" s="193" t="str">
        <f t="shared" si="25"/>
        <v>6 Roda</v>
      </c>
      <c r="K348" s="194">
        <v>46004</v>
      </c>
      <c r="L348" s="195">
        <v>13300</v>
      </c>
      <c r="M348" s="195">
        <v>3670</v>
      </c>
      <c r="N348" s="195">
        <v>9630</v>
      </c>
      <c r="O348" s="195">
        <v>9600</v>
      </c>
      <c r="P348" s="196">
        <v>0.68958333333333299</v>
      </c>
      <c r="Q348" s="196">
        <v>0.75208333333333299</v>
      </c>
      <c r="R348" s="193" t="s">
        <v>42</v>
      </c>
      <c r="S348" s="193"/>
      <c r="T348" s="197">
        <f t="shared" si="27"/>
        <v>494</v>
      </c>
      <c r="U348" s="193"/>
      <c r="V348" s="193" t="str">
        <f t="shared" si="28"/>
        <v>Pomala</v>
      </c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8"/>
      <c r="AL348" s="18"/>
    </row>
    <row r="349" spans="2:38" ht="15" customHeight="1" x14ac:dyDescent="0.2">
      <c r="B349" s="193">
        <v>1</v>
      </c>
      <c r="C349" s="347" t="s">
        <v>466</v>
      </c>
      <c r="D349" s="193" t="str">
        <f t="shared" si="26"/>
        <v>CPO000324MIS</v>
      </c>
      <c r="E349" s="193" t="s">
        <v>177</v>
      </c>
      <c r="F349" s="193" t="s">
        <v>1335</v>
      </c>
      <c r="G349" s="193" t="s">
        <v>1334</v>
      </c>
      <c r="H349" s="193" t="s">
        <v>40</v>
      </c>
      <c r="I349" s="193" t="s">
        <v>41</v>
      </c>
      <c r="J349" s="193" t="str">
        <f t="shared" si="25"/>
        <v>6 Roda</v>
      </c>
      <c r="K349" s="194">
        <v>46004</v>
      </c>
      <c r="L349" s="195">
        <v>13790</v>
      </c>
      <c r="M349" s="195">
        <v>4060</v>
      </c>
      <c r="N349" s="195">
        <v>9730</v>
      </c>
      <c r="O349" s="195">
        <v>9690</v>
      </c>
      <c r="P349" s="196">
        <v>0.69097222222222199</v>
      </c>
      <c r="Q349" s="196">
        <v>0.74791666666666701</v>
      </c>
      <c r="R349" s="193" t="s">
        <v>42</v>
      </c>
      <c r="S349" s="193"/>
      <c r="T349" s="197">
        <f t="shared" si="27"/>
        <v>494</v>
      </c>
      <c r="U349" s="193"/>
      <c r="V349" s="193" t="str">
        <f t="shared" si="28"/>
        <v>Pomala</v>
      </c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8"/>
      <c r="AL349" s="18"/>
    </row>
    <row r="350" spans="2:38" ht="15" customHeight="1" x14ac:dyDescent="0.2">
      <c r="B350" s="193">
        <v>1</v>
      </c>
      <c r="C350" s="347" t="s">
        <v>468</v>
      </c>
      <c r="D350" s="193" t="str">
        <f t="shared" si="26"/>
        <v>CPO000326MIS</v>
      </c>
      <c r="E350" s="193" t="s">
        <v>160</v>
      </c>
      <c r="F350" s="193" t="s">
        <v>1335</v>
      </c>
      <c r="G350" s="193" t="s">
        <v>1334</v>
      </c>
      <c r="H350" s="193" t="s">
        <v>40</v>
      </c>
      <c r="I350" s="193" t="s">
        <v>41</v>
      </c>
      <c r="J350" s="193" t="str">
        <f t="shared" si="25"/>
        <v>6 Roda</v>
      </c>
      <c r="K350" s="194">
        <v>46004</v>
      </c>
      <c r="L350" s="195">
        <v>13470</v>
      </c>
      <c r="M350" s="195">
        <v>3590</v>
      </c>
      <c r="N350" s="195">
        <v>9880</v>
      </c>
      <c r="O350" s="195">
        <v>9840</v>
      </c>
      <c r="P350" s="196">
        <v>0.75</v>
      </c>
      <c r="Q350" s="196">
        <v>0.79236111111111096</v>
      </c>
      <c r="R350" s="193" t="s">
        <v>42</v>
      </c>
      <c r="S350" s="193"/>
      <c r="T350" s="197">
        <f t="shared" si="27"/>
        <v>494</v>
      </c>
      <c r="U350" s="193"/>
      <c r="V350" s="193" t="str">
        <f t="shared" si="28"/>
        <v>Pomala</v>
      </c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8"/>
      <c r="AL350" s="18"/>
    </row>
    <row r="351" spans="2:38" ht="15" customHeight="1" x14ac:dyDescent="0.2">
      <c r="B351" s="193">
        <v>1</v>
      </c>
      <c r="C351" s="347" t="s">
        <v>469</v>
      </c>
      <c r="D351" s="193" t="str">
        <f t="shared" si="26"/>
        <v>CPO000327MIS</v>
      </c>
      <c r="E351" s="193" t="s">
        <v>158</v>
      </c>
      <c r="F351" s="193" t="s">
        <v>1335</v>
      </c>
      <c r="G351" s="193" t="s">
        <v>1334</v>
      </c>
      <c r="H351" s="193" t="s">
        <v>40</v>
      </c>
      <c r="I351" s="193" t="s">
        <v>41</v>
      </c>
      <c r="J351" s="193" t="str">
        <f t="shared" si="25"/>
        <v>6 Roda</v>
      </c>
      <c r="K351" s="194">
        <v>46004</v>
      </c>
      <c r="L351" s="195">
        <v>13980</v>
      </c>
      <c r="M351" s="195">
        <v>3950</v>
      </c>
      <c r="N351" s="195">
        <v>10030</v>
      </c>
      <c r="O351" s="195">
        <v>9980</v>
      </c>
      <c r="P351" s="196">
        <v>0.75138888888888899</v>
      </c>
      <c r="Q351" s="196">
        <v>0.78472222222222199</v>
      </c>
      <c r="R351" s="193" t="s">
        <v>42</v>
      </c>
      <c r="S351" s="193"/>
      <c r="T351" s="197">
        <f t="shared" si="27"/>
        <v>494</v>
      </c>
      <c r="U351" s="193"/>
      <c r="V351" s="193" t="str">
        <f t="shared" si="28"/>
        <v>Pomala</v>
      </c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8"/>
      <c r="AL351" s="18"/>
    </row>
    <row r="352" spans="2:38" ht="15" customHeight="1" x14ac:dyDescent="0.2">
      <c r="B352" s="193">
        <v>1</v>
      </c>
      <c r="C352" s="347" t="s">
        <v>471</v>
      </c>
      <c r="D352" s="193" t="str">
        <f t="shared" si="26"/>
        <v>CPO000329MIS</v>
      </c>
      <c r="E352" s="193" t="s">
        <v>186</v>
      </c>
      <c r="F352" s="193" t="s">
        <v>1335</v>
      </c>
      <c r="G352" s="193" t="s">
        <v>1334</v>
      </c>
      <c r="H352" s="193" t="s">
        <v>40</v>
      </c>
      <c r="I352" s="193" t="s">
        <v>41</v>
      </c>
      <c r="J352" s="193" t="str">
        <f t="shared" si="25"/>
        <v>6 Roda</v>
      </c>
      <c r="K352" s="194">
        <v>46004</v>
      </c>
      <c r="L352" s="195">
        <v>13540</v>
      </c>
      <c r="M352" s="195">
        <v>3960</v>
      </c>
      <c r="N352" s="195">
        <v>9580</v>
      </c>
      <c r="O352" s="195">
        <v>9560</v>
      </c>
      <c r="P352" s="196">
        <v>0.88194444444444398</v>
      </c>
      <c r="Q352" s="196">
        <v>0.93125000000000002</v>
      </c>
      <c r="R352" s="193" t="s">
        <v>137</v>
      </c>
      <c r="S352" s="193"/>
      <c r="T352" s="197">
        <f t="shared" si="27"/>
        <v>494</v>
      </c>
      <c r="U352" s="193"/>
      <c r="V352" s="193" t="str">
        <f t="shared" si="28"/>
        <v>Pomala</v>
      </c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8"/>
      <c r="AL352" s="18"/>
    </row>
    <row r="353" spans="2:38" ht="15" customHeight="1" x14ac:dyDescent="0.2">
      <c r="B353" s="193">
        <v>1</v>
      </c>
      <c r="C353" s="347" t="s">
        <v>472</v>
      </c>
      <c r="D353" s="193" t="str">
        <f t="shared" si="26"/>
        <v>CPO000330MIS</v>
      </c>
      <c r="E353" s="193" t="s">
        <v>473</v>
      </c>
      <c r="F353" s="193" t="s">
        <v>1335</v>
      </c>
      <c r="G353" s="193" t="s">
        <v>1334</v>
      </c>
      <c r="H353" s="193" t="s">
        <v>40</v>
      </c>
      <c r="I353" s="193" t="s">
        <v>41</v>
      </c>
      <c r="J353" s="193" t="str">
        <f t="shared" si="25"/>
        <v>6 Roda</v>
      </c>
      <c r="K353" s="194">
        <v>46004</v>
      </c>
      <c r="L353" s="195">
        <v>14520</v>
      </c>
      <c r="M353" s="195">
        <v>4350</v>
      </c>
      <c r="N353" s="195">
        <v>10170</v>
      </c>
      <c r="O353" s="195">
        <v>10100</v>
      </c>
      <c r="P353" s="196">
        <v>0.88333333333333297</v>
      </c>
      <c r="Q353" s="196">
        <v>0.92569444444444504</v>
      </c>
      <c r="R353" s="193" t="s">
        <v>137</v>
      </c>
      <c r="S353" s="193"/>
      <c r="T353" s="197">
        <f t="shared" si="27"/>
        <v>494</v>
      </c>
      <c r="U353" s="193"/>
      <c r="V353" s="193" t="str">
        <f t="shared" si="28"/>
        <v>Pomala</v>
      </c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8"/>
      <c r="AL353" s="18"/>
    </row>
    <row r="354" spans="2:38" ht="15" customHeight="1" x14ac:dyDescent="0.2">
      <c r="B354" s="193">
        <v>1</v>
      </c>
      <c r="C354" s="347" t="s">
        <v>474</v>
      </c>
      <c r="D354" s="193" t="str">
        <f t="shared" si="26"/>
        <v>CPO000331MIS</v>
      </c>
      <c r="E354" s="193" t="s">
        <v>147</v>
      </c>
      <c r="F354" s="193" t="s">
        <v>1335</v>
      </c>
      <c r="G354" s="193" t="s">
        <v>1334</v>
      </c>
      <c r="H354" s="193" t="s">
        <v>40</v>
      </c>
      <c r="I354" s="193" t="s">
        <v>41</v>
      </c>
      <c r="J354" s="193" t="str">
        <f t="shared" si="25"/>
        <v>6 Roda</v>
      </c>
      <c r="K354" s="194">
        <v>46004</v>
      </c>
      <c r="L354" s="195">
        <v>14050</v>
      </c>
      <c r="M354" s="195">
        <v>3980</v>
      </c>
      <c r="N354" s="195">
        <v>10070</v>
      </c>
      <c r="O354" s="195">
        <v>10030</v>
      </c>
      <c r="P354" s="196">
        <v>0.90416666666666701</v>
      </c>
      <c r="Q354" s="196">
        <v>0.96319444444444502</v>
      </c>
      <c r="R354" s="193" t="s">
        <v>137</v>
      </c>
      <c r="S354" s="193"/>
      <c r="T354" s="197">
        <f t="shared" si="27"/>
        <v>494</v>
      </c>
      <c r="U354" s="193"/>
      <c r="V354" s="193" t="str">
        <f t="shared" si="28"/>
        <v>Pomala</v>
      </c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8"/>
      <c r="AL354" s="18"/>
    </row>
    <row r="355" spans="2:38" ht="15" customHeight="1" x14ac:dyDescent="0.2">
      <c r="B355" s="193">
        <v>1</v>
      </c>
      <c r="C355" s="347" t="s">
        <v>475</v>
      </c>
      <c r="D355" s="193" t="str">
        <f t="shared" si="26"/>
        <v>CPO000332MIS</v>
      </c>
      <c r="E355" s="193" t="s">
        <v>53</v>
      </c>
      <c r="F355" s="193" t="s">
        <v>1335</v>
      </c>
      <c r="G355" s="193" t="s">
        <v>1334</v>
      </c>
      <c r="H355" s="193" t="s">
        <v>40</v>
      </c>
      <c r="I355" s="193" t="s">
        <v>41</v>
      </c>
      <c r="J355" s="193" t="str">
        <f t="shared" si="25"/>
        <v>6 Roda</v>
      </c>
      <c r="K355" s="194">
        <v>46004</v>
      </c>
      <c r="L355" s="195">
        <v>13330</v>
      </c>
      <c r="M355" s="195">
        <v>3750</v>
      </c>
      <c r="N355" s="195">
        <v>9580</v>
      </c>
      <c r="O355" s="195">
        <v>9560</v>
      </c>
      <c r="P355" s="196">
        <v>0.905555555555556</v>
      </c>
      <c r="Q355" s="196">
        <v>0.95972222222222203</v>
      </c>
      <c r="R355" s="193" t="s">
        <v>137</v>
      </c>
      <c r="S355" s="193"/>
      <c r="T355" s="197">
        <f t="shared" si="27"/>
        <v>494</v>
      </c>
      <c r="U355" s="193"/>
      <c r="V355" s="193" t="str">
        <f t="shared" si="28"/>
        <v>Pomala</v>
      </c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8"/>
      <c r="AL355" s="18"/>
    </row>
    <row r="356" spans="2:38" ht="15" customHeight="1" x14ac:dyDescent="0.2">
      <c r="B356" s="193">
        <v>1</v>
      </c>
      <c r="C356" s="347" t="s">
        <v>457</v>
      </c>
      <c r="D356" s="193" t="str">
        <f t="shared" si="26"/>
        <v>CPO000315JAS</v>
      </c>
      <c r="E356" s="193" t="s">
        <v>56</v>
      </c>
      <c r="F356" s="193" t="s">
        <v>1433</v>
      </c>
      <c r="G356" s="193" t="s">
        <v>1337</v>
      </c>
      <c r="H356" s="193" t="s">
        <v>49</v>
      </c>
      <c r="I356" s="193" t="s">
        <v>41</v>
      </c>
      <c r="J356" s="193" t="str">
        <f t="shared" si="25"/>
        <v>10 Roda</v>
      </c>
      <c r="K356" s="194">
        <v>46004</v>
      </c>
      <c r="L356" s="195">
        <v>25080</v>
      </c>
      <c r="M356" s="195">
        <v>11120</v>
      </c>
      <c r="N356" s="195">
        <v>13960</v>
      </c>
      <c r="O356" s="195">
        <v>14210</v>
      </c>
      <c r="P356" s="196">
        <v>0.40763888888888899</v>
      </c>
      <c r="Q356" s="196">
        <v>0.48958333333333298</v>
      </c>
      <c r="R356" s="193" t="s">
        <v>42</v>
      </c>
      <c r="S356" s="193" t="s">
        <v>1781</v>
      </c>
      <c r="T356" s="197">
        <f t="shared" si="27"/>
        <v>68</v>
      </c>
      <c r="U356" s="193" t="s">
        <v>1922</v>
      </c>
      <c r="V356" s="193" t="str">
        <f t="shared" si="28"/>
        <v>Bone Bone</v>
      </c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8"/>
      <c r="AL356" s="18"/>
    </row>
    <row r="357" spans="2:38" ht="15" customHeight="1" x14ac:dyDescent="0.2">
      <c r="B357" s="193">
        <v>1</v>
      </c>
      <c r="C357" s="347" t="s">
        <v>458</v>
      </c>
      <c r="D357" s="193" t="str">
        <f t="shared" si="26"/>
        <v>CPO000316KMP</v>
      </c>
      <c r="E357" s="193" t="s">
        <v>70</v>
      </c>
      <c r="F357" s="193" t="s">
        <v>1452</v>
      </c>
      <c r="G357" s="193" t="s">
        <v>1336</v>
      </c>
      <c r="H357" s="193" t="s">
        <v>59</v>
      </c>
      <c r="I357" s="193" t="s">
        <v>41</v>
      </c>
      <c r="J357" s="193" t="str">
        <f t="shared" si="25"/>
        <v>12 Roda</v>
      </c>
      <c r="K357" s="194">
        <v>46004</v>
      </c>
      <c r="L357" s="195">
        <v>45990</v>
      </c>
      <c r="M357" s="195">
        <v>17770</v>
      </c>
      <c r="N357" s="195">
        <v>28220</v>
      </c>
      <c r="O357" s="195">
        <v>28240</v>
      </c>
      <c r="P357" s="196">
        <v>0.41249999999999998</v>
      </c>
      <c r="Q357" s="196">
        <v>0.48194444444444501</v>
      </c>
      <c r="R357" s="193" t="s">
        <v>42</v>
      </c>
      <c r="S357" s="193" t="s">
        <v>1499</v>
      </c>
      <c r="T357" s="197">
        <f t="shared" si="27"/>
        <v>53</v>
      </c>
      <c r="U357" s="193" t="s">
        <v>1922</v>
      </c>
      <c r="V357" s="193" t="str">
        <f t="shared" si="28"/>
        <v>Masamba</v>
      </c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8"/>
      <c r="AL357" s="18"/>
    </row>
    <row r="358" spans="2:38" ht="15" customHeight="1" x14ac:dyDescent="0.2">
      <c r="B358" s="193">
        <v>1</v>
      </c>
      <c r="C358" s="347" t="s">
        <v>459</v>
      </c>
      <c r="D358" s="193" t="str">
        <f t="shared" si="26"/>
        <v>CPO000317KMP</v>
      </c>
      <c r="E358" s="193" t="s">
        <v>76</v>
      </c>
      <c r="F358" s="193" t="s">
        <v>1452</v>
      </c>
      <c r="G358" s="193" t="s">
        <v>1336</v>
      </c>
      <c r="H358" s="193" t="s">
        <v>59</v>
      </c>
      <c r="I358" s="193" t="s">
        <v>41</v>
      </c>
      <c r="J358" s="193" t="str">
        <f t="shared" si="25"/>
        <v>12 Roda</v>
      </c>
      <c r="K358" s="194">
        <v>46004</v>
      </c>
      <c r="L358" s="195">
        <v>46000</v>
      </c>
      <c r="M358" s="195">
        <v>17920</v>
      </c>
      <c r="N358" s="195">
        <v>28080</v>
      </c>
      <c r="O358" s="195">
        <v>28100</v>
      </c>
      <c r="P358" s="196">
        <v>0.41388888888888897</v>
      </c>
      <c r="Q358" s="196">
        <v>0.47986111111111102</v>
      </c>
      <c r="R358" s="193" t="s">
        <v>42</v>
      </c>
      <c r="S358" s="193" t="s">
        <v>1372</v>
      </c>
      <c r="T358" s="197">
        <f t="shared" si="27"/>
        <v>53</v>
      </c>
      <c r="U358" s="193" t="s">
        <v>1922</v>
      </c>
      <c r="V358" s="193" t="str">
        <f t="shared" si="28"/>
        <v>Masamba</v>
      </c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8"/>
      <c r="AL358" s="18"/>
    </row>
    <row r="359" spans="2:38" ht="15" customHeight="1" x14ac:dyDescent="0.2">
      <c r="B359" s="193">
        <v>1</v>
      </c>
      <c r="C359" s="347" t="s">
        <v>460</v>
      </c>
      <c r="D359" s="193" t="str">
        <f t="shared" si="26"/>
        <v>CPO000318JAS</v>
      </c>
      <c r="E359" s="193" t="s">
        <v>46</v>
      </c>
      <c r="F359" s="193" t="s">
        <v>1433</v>
      </c>
      <c r="G359" s="193" t="s">
        <v>1337</v>
      </c>
      <c r="H359" s="193" t="s">
        <v>49</v>
      </c>
      <c r="I359" s="193" t="s">
        <v>41</v>
      </c>
      <c r="J359" s="193" t="str">
        <f t="shared" si="25"/>
        <v>10 Roda</v>
      </c>
      <c r="K359" s="194">
        <v>46004</v>
      </c>
      <c r="L359" s="195">
        <v>26610</v>
      </c>
      <c r="M359" s="195">
        <v>11860</v>
      </c>
      <c r="N359" s="195">
        <v>14750</v>
      </c>
      <c r="O359" s="195">
        <v>14710</v>
      </c>
      <c r="P359" s="196">
        <v>0.41527777777777802</v>
      </c>
      <c r="Q359" s="196">
        <v>0.49791666666666701</v>
      </c>
      <c r="R359" s="193" t="s">
        <v>42</v>
      </c>
      <c r="S359" s="193" t="s">
        <v>1393</v>
      </c>
      <c r="T359" s="197">
        <f t="shared" si="27"/>
        <v>68</v>
      </c>
      <c r="U359" s="193" t="s">
        <v>1922</v>
      </c>
      <c r="V359" s="193" t="str">
        <f t="shared" si="28"/>
        <v>Bone Bone</v>
      </c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8"/>
      <c r="AL359" s="18"/>
    </row>
    <row r="360" spans="2:38" ht="15" customHeight="1" x14ac:dyDescent="0.2">
      <c r="B360" s="193">
        <v>1</v>
      </c>
      <c r="C360" s="347" t="s">
        <v>461</v>
      </c>
      <c r="D360" s="193" t="str">
        <f t="shared" si="26"/>
        <v>CPO000319JAS</v>
      </c>
      <c r="E360" s="193" t="s">
        <v>84</v>
      </c>
      <c r="F360" s="193" t="s">
        <v>1433</v>
      </c>
      <c r="G360" s="193" t="s">
        <v>1337</v>
      </c>
      <c r="H360" s="193" t="s">
        <v>49</v>
      </c>
      <c r="I360" s="193" t="s">
        <v>41</v>
      </c>
      <c r="J360" s="193" t="str">
        <f t="shared" si="25"/>
        <v>10 Roda</v>
      </c>
      <c r="K360" s="194">
        <v>46004</v>
      </c>
      <c r="L360" s="195">
        <v>26590</v>
      </c>
      <c r="M360" s="195">
        <v>12270</v>
      </c>
      <c r="N360" s="195">
        <v>14320</v>
      </c>
      <c r="O360" s="195">
        <v>14430</v>
      </c>
      <c r="P360" s="196">
        <v>0.43541666666666701</v>
      </c>
      <c r="Q360" s="196">
        <v>0.56874999999999998</v>
      </c>
      <c r="R360" s="193" t="s">
        <v>42</v>
      </c>
      <c r="S360" s="193" t="s">
        <v>1782</v>
      </c>
      <c r="T360" s="197">
        <f t="shared" si="27"/>
        <v>68</v>
      </c>
      <c r="U360" s="193" t="s">
        <v>1922</v>
      </c>
      <c r="V360" s="193" t="str">
        <f t="shared" si="28"/>
        <v>Bone Bone</v>
      </c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8"/>
      <c r="AL360" s="18"/>
    </row>
    <row r="361" spans="2:38" ht="15" customHeight="1" x14ac:dyDescent="0.2">
      <c r="B361" s="193">
        <v>1</v>
      </c>
      <c r="C361" s="347" t="s">
        <v>462</v>
      </c>
      <c r="D361" s="193" t="str">
        <f t="shared" si="26"/>
        <v>CPO000320JAS</v>
      </c>
      <c r="E361" s="193" t="s">
        <v>56</v>
      </c>
      <c r="F361" s="193" t="s">
        <v>1433</v>
      </c>
      <c r="G361" s="193" t="s">
        <v>1337</v>
      </c>
      <c r="H361" s="193" t="s">
        <v>49</v>
      </c>
      <c r="I361" s="193" t="s">
        <v>41</v>
      </c>
      <c r="J361" s="193" t="str">
        <f t="shared" si="25"/>
        <v>10 Roda</v>
      </c>
      <c r="K361" s="194">
        <v>46004</v>
      </c>
      <c r="L361" s="195">
        <v>25010</v>
      </c>
      <c r="M361" s="195">
        <v>10770</v>
      </c>
      <c r="N361" s="195">
        <v>14240</v>
      </c>
      <c r="O361" s="195">
        <v>13900</v>
      </c>
      <c r="P361" s="196">
        <v>0.67500000000000004</v>
      </c>
      <c r="Q361" s="196">
        <v>0.73124999999999996</v>
      </c>
      <c r="R361" s="193" t="s">
        <v>137</v>
      </c>
      <c r="S361" s="193" t="s">
        <v>1781</v>
      </c>
      <c r="T361" s="197">
        <f t="shared" si="27"/>
        <v>68</v>
      </c>
      <c r="U361" s="193" t="s">
        <v>1922</v>
      </c>
      <c r="V361" s="193" t="str">
        <f t="shared" si="28"/>
        <v>Bone Bone</v>
      </c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8"/>
      <c r="AL361" s="18"/>
    </row>
    <row r="362" spans="2:38" ht="15" customHeight="1" x14ac:dyDescent="0.2">
      <c r="B362" s="193">
        <v>1</v>
      </c>
      <c r="C362" s="347" t="s">
        <v>463</v>
      </c>
      <c r="D362" s="193" t="str">
        <f t="shared" si="26"/>
        <v>CPO000321KMP</v>
      </c>
      <c r="E362" s="193" t="s">
        <v>76</v>
      </c>
      <c r="F362" s="193" t="s">
        <v>1452</v>
      </c>
      <c r="G362" s="193" t="s">
        <v>1336</v>
      </c>
      <c r="H362" s="193" t="s">
        <v>59</v>
      </c>
      <c r="I362" s="193" t="s">
        <v>41</v>
      </c>
      <c r="J362" s="193" t="str">
        <f t="shared" si="25"/>
        <v>12 Roda</v>
      </c>
      <c r="K362" s="194">
        <v>46004</v>
      </c>
      <c r="L362" s="195">
        <v>45900</v>
      </c>
      <c r="M362" s="195">
        <v>17860</v>
      </c>
      <c r="N362" s="195">
        <v>28040</v>
      </c>
      <c r="O362" s="195">
        <v>27980</v>
      </c>
      <c r="P362" s="196">
        <v>0.67847222222222203</v>
      </c>
      <c r="Q362" s="196">
        <v>0.72083333333333299</v>
      </c>
      <c r="R362" s="193" t="s">
        <v>137</v>
      </c>
      <c r="S362" s="193" t="s">
        <v>1372</v>
      </c>
      <c r="T362" s="197">
        <f t="shared" si="27"/>
        <v>53</v>
      </c>
      <c r="U362" s="193" t="s">
        <v>1922</v>
      </c>
      <c r="V362" s="193" t="str">
        <f t="shared" si="28"/>
        <v>Masamba</v>
      </c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8"/>
      <c r="AL362" s="18"/>
    </row>
    <row r="363" spans="2:38" ht="15" customHeight="1" x14ac:dyDescent="0.2">
      <c r="B363" s="193">
        <v>1</v>
      </c>
      <c r="C363" s="347" t="s">
        <v>464</v>
      </c>
      <c r="D363" s="193" t="str">
        <f t="shared" si="26"/>
        <v>CPO000322KMP</v>
      </c>
      <c r="E363" s="193" t="s">
        <v>70</v>
      </c>
      <c r="F363" s="193" t="s">
        <v>1452</v>
      </c>
      <c r="G363" s="193" t="s">
        <v>1336</v>
      </c>
      <c r="H363" s="193" t="s">
        <v>59</v>
      </c>
      <c r="I363" s="193" t="s">
        <v>41</v>
      </c>
      <c r="J363" s="193" t="str">
        <f t="shared" si="25"/>
        <v>12 Roda</v>
      </c>
      <c r="K363" s="194">
        <v>46004</v>
      </c>
      <c r="L363" s="195">
        <v>45810</v>
      </c>
      <c r="M363" s="195">
        <v>17680</v>
      </c>
      <c r="N363" s="195">
        <v>28130</v>
      </c>
      <c r="O363" s="195">
        <v>28060</v>
      </c>
      <c r="P363" s="196">
        <v>0.68125000000000002</v>
      </c>
      <c r="Q363" s="196">
        <v>0.72222222222222199</v>
      </c>
      <c r="R363" s="193" t="s">
        <v>42</v>
      </c>
      <c r="S363" s="193" t="s">
        <v>1499</v>
      </c>
      <c r="T363" s="197">
        <f t="shared" si="27"/>
        <v>53</v>
      </c>
      <c r="U363" s="193" t="s">
        <v>1922</v>
      </c>
      <c r="V363" s="193" t="str">
        <f t="shared" si="28"/>
        <v>Masamba</v>
      </c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8"/>
      <c r="AL363" s="18"/>
    </row>
    <row r="364" spans="2:38" ht="15" customHeight="1" x14ac:dyDescent="0.2">
      <c r="B364" s="193">
        <v>1</v>
      </c>
      <c r="C364" s="347" t="s">
        <v>467</v>
      </c>
      <c r="D364" s="193" t="str">
        <f t="shared" si="26"/>
        <v>CPO000325JAS</v>
      </c>
      <c r="E364" s="193" t="s">
        <v>46</v>
      </c>
      <c r="F364" s="193" t="s">
        <v>1433</v>
      </c>
      <c r="G364" s="193" t="s">
        <v>1337</v>
      </c>
      <c r="H364" s="193" t="s">
        <v>49</v>
      </c>
      <c r="I364" s="193" t="s">
        <v>41</v>
      </c>
      <c r="J364" s="193" t="str">
        <f t="shared" si="25"/>
        <v>10 Roda</v>
      </c>
      <c r="K364" s="194">
        <v>46004</v>
      </c>
      <c r="L364" s="195">
        <v>26510</v>
      </c>
      <c r="M364" s="195">
        <v>11820</v>
      </c>
      <c r="N364" s="195">
        <v>14690</v>
      </c>
      <c r="O364" s="195">
        <v>14680</v>
      </c>
      <c r="P364" s="196">
        <v>0.69236111111111098</v>
      </c>
      <c r="Q364" s="196">
        <v>0.73472222222222205</v>
      </c>
      <c r="R364" s="193" t="s">
        <v>42</v>
      </c>
      <c r="S364" s="193" t="s">
        <v>1393</v>
      </c>
      <c r="T364" s="197">
        <f t="shared" si="27"/>
        <v>68</v>
      </c>
      <c r="U364" s="193" t="s">
        <v>1922</v>
      </c>
      <c r="V364" s="193" t="str">
        <f t="shared" si="28"/>
        <v>Bone Bone</v>
      </c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8"/>
      <c r="AL364" s="18"/>
    </row>
    <row r="365" spans="2:38" ht="15" customHeight="1" x14ac:dyDescent="0.2">
      <c r="B365" s="193">
        <v>1</v>
      </c>
      <c r="C365" s="347" t="s">
        <v>470</v>
      </c>
      <c r="D365" s="193" t="str">
        <f t="shared" si="26"/>
        <v>CPO000328JAS</v>
      </c>
      <c r="E365" s="193" t="s">
        <v>84</v>
      </c>
      <c r="F365" s="193" t="s">
        <v>1433</v>
      </c>
      <c r="G365" s="193" t="s">
        <v>1337</v>
      </c>
      <c r="H365" s="193" t="s">
        <v>49</v>
      </c>
      <c r="I365" s="193" t="s">
        <v>41</v>
      </c>
      <c r="J365" s="193" t="str">
        <f t="shared" si="25"/>
        <v>10 Roda</v>
      </c>
      <c r="K365" s="194">
        <v>46004</v>
      </c>
      <c r="L365" s="195">
        <v>26690</v>
      </c>
      <c r="M365" s="195">
        <v>12210</v>
      </c>
      <c r="N365" s="195">
        <v>14480</v>
      </c>
      <c r="O365" s="195">
        <v>14430</v>
      </c>
      <c r="P365" s="196">
        <v>0.75347222222222199</v>
      </c>
      <c r="Q365" s="196">
        <v>0.78888888888888897</v>
      </c>
      <c r="R365" s="193" t="s">
        <v>42</v>
      </c>
      <c r="S365" s="193" t="s">
        <v>1782</v>
      </c>
      <c r="T365" s="197">
        <f t="shared" si="27"/>
        <v>68</v>
      </c>
      <c r="U365" s="193" t="s">
        <v>1922</v>
      </c>
      <c r="V365" s="193" t="str">
        <f t="shared" si="28"/>
        <v>Bone Bone</v>
      </c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8"/>
      <c r="AL365" s="18"/>
    </row>
    <row r="366" spans="2:38" ht="15" customHeight="1" x14ac:dyDescent="0.2">
      <c r="B366" s="193">
        <v>1</v>
      </c>
      <c r="C366" s="347" t="s">
        <v>476</v>
      </c>
      <c r="D366" s="193" t="str">
        <f t="shared" si="26"/>
        <v>CPO000333MIS</v>
      </c>
      <c r="E366" s="193" t="s">
        <v>156</v>
      </c>
      <c r="F366" s="193" t="s">
        <v>1335</v>
      </c>
      <c r="G366" s="193" t="s">
        <v>1334</v>
      </c>
      <c r="H366" s="193" t="s">
        <v>40</v>
      </c>
      <c r="I366" s="193" t="s">
        <v>41</v>
      </c>
      <c r="J366" s="193" t="str">
        <f t="shared" si="25"/>
        <v>6 Roda</v>
      </c>
      <c r="K366" s="194">
        <v>46006</v>
      </c>
      <c r="L366" s="195">
        <v>14140</v>
      </c>
      <c r="M366" s="195">
        <v>4190</v>
      </c>
      <c r="N366" s="195">
        <v>9950</v>
      </c>
      <c r="O366" s="195">
        <v>10000</v>
      </c>
      <c r="P366" s="196">
        <v>0.33263888888888898</v>
      </c>
      <c r="Q366" s="196">
        <v>0.38055555555555598</v>
      </c>
      <c r="R366" s="193" t="s">
        <v>42</v>
      </c>
      <c r="S366" s="193"/>
      <c r="T366" s="197">
        <f t="shared" si="27"/>
        <v>494</v>
      </c>
      <c r="U366" s="193"/>
      <c r="V366" s="193" t="str">
        <f t="shared" si="28"/>
        <v>Pomala</v>
      </c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8"/>
      <c r="AL366" s="18"/>
    </row>
    <row r="367" spans="2:38" ht="15" customHeight="1" x14ac:dyDescent="0.2">
      <c r="B367" s="193">
        <v>1</v>
      </c>
      <c r="C367" s="347" t="s">
        <v>477</v>
      </c>
      <c r="D367" s="193" t="str">
        <f t="shared" si="26"/>
        <v>CPO000334MIS</v>
      </c>
      <c r="E367" s="193" t="s">
        <v>153</v>
      </c>
      <c r="F367" s="193" t="s">
        <v>1335</v>
      </c>
      <c r="G367" s="193" t="s">
        <v>1334</v>
      </c>
      <c r="H367" s="193" t="s">
        <v>40</v>
      </c>
      <c r="I367" s="193" t="s">
        <v>41</v>
      </c>
      <c r="J367" s="193" t="str">
        <f t="shared" si="25"/>
        <v>6 Roda</v>
      </c>
      <c r="K367" s="194">
        <v>46006</v>
      </c>
      <c r="L367" s="195">
        <v>13620</v>
      </c>
      <c r="M367" s="195">
        <v>3980</v>
      </c>
      <c r="N367" s="195">
        <v>9640</v>
      </c>
      <c r="O367" s="195">
        <v>9590</v>
      </c>
      <c r="P367" s="196">
        <v>0.33402777777777798</v>
      </c>
      <c r="Q367" s="196">
        <v>0.38124999999999998</v>
      </c>
      <c r="R367" s="193" t="s">
        <v>42</v>
      </c>
      <c r="S367" s="193"/>
      <c r="T367" s="197">
        <f t="shared" si="27"/>
        <v>494</v>
      </c>
      <c r="U367" s="193"/>
      <c r="V367" s="193" t="str">
        <f t="shared" si="28"/>
        <v>Pomala</v>
      </c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8"/>
      <c r="AL367" s="18"/>
    </row>
    <row r="368" spans="2:38" ht="15" customHeight="1" x14ac:dyDescent="0.2">
      <c r="B368" s="193">
        <v>1</v>
      </c>
      <c r="C368" s="347" t="s">
        <v>478</v>
      </c>
      <c r="D368" s="193" t="str">
        <f t="shared" si="26"/>
        <v>CPO000335MIS</v>
      </c>
      <c r="E368" s="193" t="s">
        <v>151</v>
      </c>
      <c r="F368" s="193" t="s">
        <v>1335</v>
      </c>
      <c r="G368" s="193" t="s">
        <v>1334</v>
      </c>
      <c r="H368" s="193" t="s">
        <v>40</v>
      </c>
      <c r="I368" s="193" t="s">
        <v>41</v>
      </c>
      <c r="J368" s="193" t="str">
        <f t="shared" si="25"/>
        <v>6 Roda</v>
      </c>
      <c r="K368" s="194">
        <v>46006</v>
      </c>
      <c r="L368" s="195">
        <v>13540</v>
      </c>
      <c r="M368" s="195">
        <v>4090</v>
      </c>
      <c r="N368" s="195">
        <v>9450</v>
      </c>
      <c r="O368" s="195">
        <v>9390</v>
      </c>
      <c r="P368" s="196">
        <v>0.33472222222222198</v>
      </c>
      <c r="Q368" s="196">
        <v>0.40625</v>
      </c>
      <c r="R368" s="193" t="s">
        <v>42</v>
      </c>
      <c r="S368" s="193"/>
      <c r="T368" s="197">
        <f t="shared" si="27"/>
        <v>494</v>
      </c>
      <c r="U368" s="193"/>
      <c r="V368" s="193" t="str">
        <f t="shared" si="28"/>
        <v>Pomala</v>
      </c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8"/>
      <c r="AL368" s="18"/>
    </row>
    <row r="369" spans="2:38" ht="15" customHeight="1" x14ac:dyDescent="0.2">
      <c r="B369" s="193">
        <v>1</v>
      </c>
      <c r="C369" s="347" t="s">
        <v>479</v>
      </c>
      <c r="D369" s="193" t="str">
        <f t="shared" si="26"/>
        <v>CPO000336MIS</v>
      </c>
      <c r="E369" s="193" t="s">
        <v>149</v>
      </c>
      <c r="F369" s="193" t="s">
        <v>1335</v>
      </c>
      <c r="G369" s="193" t="s">
        <v>1334</v>
      </c>
      <c r="H369" s="193" t="s">
        <v>40</v>
      </c>
      <c r="I369" s="193" t="s">
        <v>41</v>
      </c>
      <c r="J369" s="193" t="str">
        <f t="shared" si="25"/>
        <v>6 Roda</v>
      </c>
      <c r="K369" s="194">
        <v>46006</v>
      </c>
      <c r="L369" s="195">
        <v>13940</v>
      </c>
      <c r="M369" s="195">
        <v>4040</v>
      </c>
      <c r="N369" s="195">
        <v>9900</v>
      </c>
      <c r="O369" s="195">
        <v>9870</v>
      </c>
      <c r="P369" s="196">
        <v>0.33541666666666697</v>
      </c>
      <c r="Q369" s="196">
        <v>0.41458333333333303</v>
      </c>
      <c r="R369" s="193" t="s">
        <v>42</v>
      </c>
      <c r="S369" s="193"/>
      <c r="T369" s="197">
        <f t="shared" si="27"/>
        <v>494</v>
      </c>
      <c r="U369" s="193"/>
      <c r="V369" s="193" t="str">
        <f t="shared" si="28"/>
        <v>Pomala</v>
      </c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8"/>
      <c r="AL369" s="18"/>
    </row>
    <row r="370" spans="2:38" ht="15" customHeight="1" x14ac:dyDescent="0.2">
      <c r="B370" s="193">
        <v>1</v>
      </c>
      <c r="C370" s="347" t="s">
        <v>480</v>
      </c>
      <c r="D370" s="193" t="str">
        <f t="shared" si="26"/>
        <v>CPO000337MIS</v>
      </c>
      <c r="E370" s="193" t="s">
        <v>155</v>
      </c>
      <c r="F370" s="193" t="s">
        <v>1335</v>
      </c>
      <c r="G370" s="193" t="s">
        <v>1334</v>
      </c>
      <c r="H370" s="193" t="s">
        <v>40</v>
      </c>
      <c r="I370" s="193" t="s">
        <v>41</v>
      </c>
      <c r="J370" s="193" t="str">
        <f t="shared" si="25"/>
        <v>6 Roda</v>
      </c>
      <c r="K370" s="194">
        <v>46006</v>
      </c>
      <c r="L370" s="195">
        <v>13520</v>
      </c>
      <c r="M370" s="195">
        <v>3940</v>
      </c>
      <c r="N370" s="195">
        <v>9580</v>
      </c>
      <c r="O370" s="195">
        <v>9630</v>
      </c>
      <c r="P370" s="196">
        <v>0.38541666666666702</v>
      </c>
      <c r="Q370" s="196">
        <v>0.422916666666667</v>
      </c>
      <c r="R370" s="193" t="s">
        <v>42</v>
      </c>
      <c r="S370" s="193"/>
      <c r="T370" s="197">
        <f t="shared" si="27"/>
        <v>494</v>
      </c>
      <c r="U370" s="193"/>
      <c r="V370" s="193" t="str">
        <f t="shared" si="28"/>
        <v>Pomala</v>
      </c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8"/>
      <c r="AL370" s="18"/>
    </row>
    <row r="371" spans="2:38" ht="15" customHeight="1" x14ac:dyDescent="0.2">
      <c r="B371" s="193">
        <v>1</v>
      </c>
      <c r="C371" s="347" t="s">
        <v>481</v>
      </c>
      <c r="D371" s="193" t="str">
        <f t="shared" si="26"/>
        <v>CPO000338MIS</v>
      </c>
      <c r="E371" s="193" t="s">
        <v>183</v>
      </c>
      <c r="F371" s="193" t="s">
        <v>1335</v>
      </c>
      <c r="G371" s="193" t="s">
        <v>1334</v>
      </c>
      <c r="H371" s="193" t="s">
        <v>40</v>
      </c>
      <c r="I371" s="193" t="s">
        <v>41</v>
      </c>
      <c r="J371" s="193" t="str">
        <f t="shared" si="25"/>
        <v>6 Roda</v>
      </c>
      <c r="K371" s="194">
        <v>46006</v>
      </c>
      <c r="L371" s="195">
        <v>14320</v>
      </c>
      <c r="M371" s="195">
        <v>4250</v>
      </c>
      <c r="N371" s="195">
        <v>10070</v>
      </c>
      <c r="O371" s="195">
        <v>10040</v>
      </c>
      <c r="P371" s="196">
        <v>0.38611111111111102</v>
      </c>
      <c r="Q371" s="196">
        <v>0.40972222222222199</v>
      </c>
      <c r="R371" s="193" t="s">
        <v>42</v>
      </c>
      <c r="S371" s="193"/>
      <c r="T371" s="197">
        <f t="shared" si="27"/>
        <v>494</v>
      </c>
      <c r="U371" s="193"/>
      <c r="V371" s="193" t="str">
        <f t="shared" si="28"/>
        <v>Pomala</v>
      </c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8"/>
      <c r="AL371" s="18"/>
    </row>
    <row r="372" spans="2:38" ht="15" customHeight="1" x14ac:dyDescent="0.2">
      <c r="B372" s="193">
        <v>1</v>
      </c>
      <c r="C372" s="347" t="s">
        <v>482</v>
      </c>
      <c r="D372" s="193" t="str">
        <f t="shared" si="26"/>
        <v>CPO000339MIS</v>
      </c>
      <c r="E372" s="193" t="s">
        <v>39</v>
      </c>
      <c r="F372" s="193" t="s">
        <v>1335</v>
      </c>
      <c r="G372" s="193" t="s">
        <v>1334</v>
      </c>
      <c r="H372" s="193" t="s">
        <v>40</v>
      </c>
      <c r="I372" s="193" t="s">
        <v>41</v>
      </c>
      <c r="J372" s="193" t="str">
        <f t="shared" si="25"/>
        <v>6 Roda</v>
      </c>
      <c r="K372" s="194">
        <v>46006</v>
      </c>
      <c r="L372" s="195">
        <v>13750</v>
      </c>
      <c r="M372" s="195">
        <v>4090</v>
      </c>
      <c r="N372" s="195">
        <v>9660</v>
      </c>
      <c r="O372" s="195">
        <v>9620</v>
      </c>
      <c r="P372" s="196">
        <v>0.389583333333333</v>
      </c>
      <c r="Q372" s="196">
        <v>0.43263888888888902</v>
      </c>
      <c r="R372" s="193" t="s">
        <v>42</v>
      </c>
      <c r="S372" s="193"/>
      <c r="T372" s="197">
        <f t="shared" si="27"/>
        <v>494</v>
      </c>
      <c r="U372" s="193"/>
      <c r="V372" s="193" t="str">
        <f t="shared" si="28"/>
        <v>Pomala</v>
      </c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8"/>
      <c r="AL372" s="18"/>
    </row>
    <row r="373" spans="2:38" ht="15" customHeight="1" x14ac:dyDescent="0.2">
      <c r="B373" s="193">
        <v>1</v>
      </c>
      <c r="C373" s="347" t="s">
        <v>483</v>
      </c>
      <c r="D373" s="193" t="str">
        <f t="shared" si="26"/>
        <v>CPO000340MIS</v>
      </c>
      <c r="E373" s="193" t="s">
        <v>184</v>
      </c>
      <c r="F373" s="193" t="s">
        <v>1335</v>
      </c>
      <c r="G373" s="193" t="s">
        <v>1334</v>
      </c>
      <c r="H373" s="193" t="s">
        <v>40</v>
      </c>
      <c r="I373" s="193" t="s">
        <v>41</v>
      </c>
      <c r="J373" s="193" t="str">
        <f t="shared" si="25"/>
        <v>6 Roda</v>
      </c>
      <c r="K373" s="194">
        <v>46006</v>
      </c>
      <c r="L373" s="195">
        <v>13850</v>
      </c>
      <c r="M373" s="195">
        <v>3920</v>
      </c>
      <c r="N373" s="195">
        <v>9930</v>
      </c>
      <c r="O373" s="195">
        <v>9900</v>
      </c>
      <c r="P373" s="196">
        <v>0.390972222222222</v>
      </c>
      <c r="Q373" s="196">
        <v>0.43958333333333299</v>
      </c>
      <c r="R373" s="193" t="s">
        <v>42</v>
      </c>
      <c r="S373" s="193"/>
      <c r="T373" s="197">
        <f t="shared" si="27"/>
        <v>494</v>
      </c>
      <c r="U373" s="193"/>
      <c r="V373" s="193" t="str">
        <f t="shared" si="28"/>
        <v>Pomala</v>
      </c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8"/>
      <c r="AL373" s="18"/>
    </row>
    <row r="374" spans="2:38" ht="15" customHeight="1" x14ac:dyDescent="0.2">
      <c r="B374" s="193">
        <v>1</v>
      </c>
      <c r="C374" s="347" t="s">
        <v>484</v>
      </c>
      <c r="D374" s="193" t="str">
        <f t="shared" si="26"/>
        <v>CPO000341MIS</v>
      </c>
      <c r="E374" s="193" t="s">
        <v>73</v>
      </c>
      <c r="F374" s="193" t="s">
        <v>1335</v>
      </c>
      <c r="G374" s="193" t="s">
        <v>1334</v>
      </c>
      <c r="H374" s="193" t="s">
        <v>40</v>
      </c>
      <c r="I374" s="193" t="s">
        <v>41</v>
      </c>
      <c r="J374" s="193" t="str">
        <f t="shared" si="25"/>
        <v>6 Roda</v>
      </c>
      <c r="K374" s="194">
        <v>46006</v>
      </c>
      <c r="L374" s="195">
        <v>13450</v>
      </c>
      <c r="M374" s="195">
        <v>4010</v>
      </c>
      <c r="N374" s="195">
        <v>9440</v>
      </c>
      <c r="O374" s="195">
        <v>9420</v>
      </c>
      <c r="P374" s="196">
        <v>0.405555555555556</v>
      </c>
      <c r="Q374" s="196">
        <v>0.43541666666666701</v>
      </c>
      <c r="R374" s="193" t="s">
        <v>42</v>
      </c>
      <c r="S374" s="193"/>
      <c r="T374" s="197">
        <f t="shared" si="27"/>
        <v>494</v>
      </c>
      <c r="U374" s="193"/>
      <c r="V374" s="193" t="str">
        <f t="shared" si="28"/>
        <v>Pomala</v>
      </c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8"/>
      <c r="AL374" s="18"/>
    </row>
    <row r="375" spans="2:38" ht="15" customHeight="1" x14ac:dyDescent="0.2">
      <c r="B375" s="193">
        <v>1</v>
      </c>
      <c r="C375" s="347" t="s">
        <v>489</v>
      </c>
      <c r="D375" s="193" t="str">
        <f t="shared" si="26"/>
        <v>CPO000346MIS</v>
      </c>
      <c r="E375" s="193" t="s">
        <v>163</v>
      </c>
      <c r="F375" s="193" t="s">
        <v>1335</v>
      </c>
      <c r="G375" s="193" t="s">
        <v>1334</v>
      </c>
      <c r="H375" s="193" t="s">
        <v>40</v>
      </c>
      <c r="I375" s="193" t="s">
        <v>41</v>
      </c>
      <c r="J375" s="193" t="str">
        <f t="shared" si="25"/>
        <v>6 Roda</v>
      </c>
      <c r="K375" s="194">
        <v>46006</v>
      </c>
      <c r="L375" s="195">
        <v>14040</v>
      </c>
      <c r="M375" s="195">
        <v>3910</v>
      </c>
      <c r="N375" s="195">
        <v>10130</v>
      </c>
      <c r="O375" s="195">
        <v>10130</v>
      </c>
      <c r="P375" s="196">
        <v>0.88819444444444395</v>
      </c>
      <c r="Q375" s="196">
        <v>0.91249999999999998</v>
      </c>
      <c r="R375" s="193" t="s">
        <v>42</v>
      </c>
      <c r="S375" s="193"/>
      <c r="T375" s="197">
        <f t="shared" si="27"/>
        <v>494</v>
      </c>
      <c r="U375" s="193"/>
      <c r="V375" s="193" t="str">
        <f t="shared" si="28"/>
        <v>Pomala</v>
      </c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8"/>
      <c r="AL375" s="18"/>
    </row>
    <row r="376" spans="2:38" ht="15" customHeight="1" x14ac:dyDescent="0.2">
      <c r="B376" s="193">
        <v>1</v>
      </c>
      <c r="C376" s="347" t="s">
        <v>485</v>
      </c>
      <c r="D376" s="193" t="str">
        <f t="shared" si="26"/>
        <v>CPO000342KMP</v>
      </c>
      <c r="E376" s="193" t="s">
        <v>76</v>
      </c>
      <c r="F376" s="193" t="s">
        <v>1452</v>
      </c>
      <c r="G376" s="193" t="s">
        <v>1336</v>
      </c>
      <c r="H376" s="193" t="s">
        <v>59</v>
      </c>
      <c r="I376" s="193" t="s">
        <v>41</v>
      </c>
      <c r="J376" s="193" t="str">
        <f t="shared" si="25"/>
        <v>12 Roda</v>
      </c>
      <c r="K376" s="194">
        <v>46006</v>
      </c>
      <c r="L376" s="195">
        <v>45880</v>
      </c>
      <c r="M376" s="195">
        <v>17890</v>
      </c>
      <c r="N376" s="195">
        <v>27990</v>
      </c>
      <c r="O376" s="195">
        <v>28040</v>
      </c>
      <c r="P376" s="196">
        <v>0.46319444444444502</v>
      </c>
      <c r="Q376" s="196">
        <v>0.51111111111111096</v>
      </c>
      <c r="R376" s="193" t="s">
        <v>137</v>
      </c>
      <c r="S376" s="193" t="s">
        <v>1372</v>
      </c>
      <c r="T376" s="197">
        <f t="shared" si="27"/>
        <v>53</v>
      </c>
      <c r="U376" s="193" t="s">
        <v>1922</v>
      </c>
      <c r="V376" s="193" t="str">
        <f t="shared" si="28"/>
        <v>Masamba</v>
      </c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8"/>
      <c r="AL376" s="18"/>
    </row>
    <row r="377" spans="2:38" ht="15" customHeight="1" x14ac:dyDescent="0.2">
      <c r="B377" s="193">
        <v>1</v>
      </c>
      <c r="C377" s="347" t="s">
        <v>486</v>
      </c>
      <c r="D377" s="193" t="str">
        <f t="shared" si="26"/>
        <v>CPO000343KMP</v>
      </c>
      <c r="E377" s="193" t="s">
        <v>70</v>
      </c>
      <c r="F377" s="193" t="s">
        <v>1452</v>
      </c>
      <c r="G377" s="193" t="s">
        <v>1336</v>
      </c>
      <c r="H377" s="193" t="s">
        <v>59</v>
      </c>
      <c r="I377" s="193" t="s">
        <v>41</v>
      </c>
      <c r="J377" s="193" t="str">
        <f t="shared" si="25"/>
        <v>12 Roda</v>
      </c>
      <c r="K377" s="194">
        <v>46006</v>
      </c>
      <c r="L377" s="195">
        <v>45780</v>
      </c>
      <c r="M377" s="195">
        <v>17660</v>
      </c>
      <c r="N377" s="195">
        <v>28120</v>
      </c>
      <c r="O377" s="195">
        <v>28100</v>
      </c>
      <c r="P377" s="196">
        <v>0.52152777777777803</v>
      </c>
      <c r="Q377" s="196">
        <v>0.62152777777777801</v>
      </c>
      <c r="R377" s="193" t="s">
        <v>137</v>
      </c>
      <c r="S377" s="193" t="s">
        <v>1499</v>
      </c>
      <c r="T377" s="197">
        <f t="shared" si="27"/>
        <v>53</v>
      </c>
      <c r="U377" s="193" t="s">
        <v>1922</v>
      </c>
      <c r="V377" s="193" t="str">
        <f t="shared" si="28"/>
        <v>Masamba</v>
      </c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8"/>
      <c r="AL377" s="18"/>
    </row>
    <row r="378" spans="2:38" ht="15" customHeight="1" x14ac:dyDescent="0.2">
      <c r="B378" s="193">
        <v>1</v>
      </c>
      <c r="C378" s="347" t="s">
        <v>487</v>
      </c>
      <c r="D378" s="193" t="str">
        <f t="shared" si="26"/>
        <v>CPO000344JAS</v>
      </c>
      <c r="E378" s="193" t="s">
        <v>84</v>
      </c>
      <c r="F378" s="193" t="s">
        <v>1433</v>
      </c>
      <c r="G378" s="193" t="s">
        <v>1337</v>
      </c>
      <c r="H378" s="193" t="s">
        <v>49</v>
      </c>
      <c r="I378" s="193" t="s">
        <v>41</v>
      </c>
      <c r="J378" s="193" t="str">
        <f t="shared" si="25"/>
        <v>10 Roda</v>
      </c>
      <c r="K378" s="194">
        <v>46006</v>
      </c>
      <c r="L378" s="195">
        <v>26610</v>
      </c>
      <c r="M378" s="195">
        <v>12150</v>
      </c>
      <c r="N378" s="195">
        <v>14460</v>
      </c>
      <c r="O378" s="195">
        <v>14400</v>
      </c>
      <c r="P378" s="196">
        <v>0.70416666666666705</v>
      </c>
      <c r="Q378" s="196">
        <v>0.73819444444444504</v>
      </c>
      <c r="R378" s="193" t="s">
        <v>137</v>
      </c>
      <c r="S378" s="193" t="s">
        <v>1782</v>
      </c>
      <c r="T378" s="197">
        <f t="shared" si="27"/>
        <v>68</v>
      </c>
      <c r="U378" s="193" t="s">
        <v>1922</v>
      </c>
      <c r="V378" s="193" t="str">
        <f t="shared" si="28"/>
        <v>Bone Bone</v>
      </c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8"/>
      <c r="AL378" s="18"/>
    </row>
    <row r="379" spans="2:38" ht="15" customHeight="1" x14ac:dyDescent="0.2">
      <c r="B379" s="193">
        <v>1</v>
      </c>
      <c r="C379" s="347" t="s">
        <v>488</v>
      </c>
      <c r="D379" s="193" t="str">
        <f t="shared" si="26"/>
        <v>CPO000345JAS</v>
      </c>
      <c r="E379" s="193" t="s">
        <v>56</v>
      </c>
      <c r="F379" s="193" t="s">
        <v>1433</v>
      </c>
      <c r="G379" s="193" t="s">
        <v>1337</v>
      </c>
      <c r="H379" s="193" t="s">
        <v>49</v>
      </c>
      <c r="I379" s="193" t="s">
        <v>41</v>
      </c>
      <c r="J379" s="193" t="str">
        <f t="shared" si="25"/>
        <v>10 Roda</v>
      </c>
      <c r="K379" s="194">
        <v>46006</v>
      </c>
      <c r="L379" s="195">
        <v>24970</v>
      </c>
      <c r="M379" s="195">
        <v>10730</v>
      </c>
      <c r="N379" s="195">
        <v>14240</v>
      </c>
      <c r="O379" s="195">
        <v>14190</v>
      </c>
      <c r="P379" s="196">
        <v>0.74097222222222203</v>
      </c>
      <c r="Q379" s="196">
        <v>0.80625000000000002</v>
      </c>
      <c r="R379" s="193" t="s">
        <v>137</v>
      </c>
      <c r="S379" s="193" t="s">
        <v>1781</v>
      </c>
      <c r="T379" s="197">
        <f t="shared" si="27"/>
        <v>68</v>
      </c>
      <c r="U379" s="193" t="s">
        <v>1922</v>
      </c>
      <c r="V379" s="193" t="str">
        <f t="shared" si="28"/>
        <v>Bone Bone</v>
      </c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8"/>
      <c r="AL379" s="18"/>
    </row>
    <row r="380" spans="2:38" ht="15" customHeight="1" x14ac:dyDescent="0.2">
      <c r="B380" s="193">
        <v>1</v>
      </c>
      <c r="C380" s="347" t="s">
        <v>493</v>
      </c>
      <c r="D380" s="193" t="str">
        <f t="shared" si="26"/>
        <v>CPO000350PN</v>
      </c>
      <c r="E380" s="193" t="s">
        <v>56</v>
      </c>
      <c r="F380" s="193" t="s">
        <v>1340</v>
      </c>
      <c r="G380" s="193" t="s">
        <v>1347</v>
      </c>
      <c r="H380" s="193" t="s">
        <v>78</v>
      </c>
      <c r="I380" s="193" t="s">
        <v>41</v>
      </c>
      <c r="J380" s="193" t="str">
        <f t="shared" si="25"/>
        <v>10 Roda</v>
      </c>
      <c r="K380" s="194">
        <v>46007</v>
      </c>
      <c r="L380" s="195">
        <v>25070</v>
      </c>
      <c r="M380" s="195">
        <v>10890</v>
      </c>
      <c r="N380" s="195">
        <v>14180</v>
      </c>
      <c r="O380" s="195">
        <v>14230</v>
      </c>
      <c r="P380" s="196">
        <v>0.55555555555555602</v>
      </c>
      <c r="Q380" s="196">
        <v>0.624305555555556</v>
      </c>
      <c r="R380" s="193" t="s">
        <v>137</v>
      </c>
      <c r="S380" s="193" t="s">
        <v>1781</v>
      </c>
      <c r="T380" s="197">
        <f t="shared" si="27"/>
        <v>99</v>
      </c>
      <c r="U380" s="193"/>
      <c r="V380" s="193" t="str">
        <f t="shared" si="28"/>
        <v>Burau</v>
      </c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8"/>
      <c r="AL380" s="18"/>
    </row>
    <row r="381" spans="2:38" ht="15" customHeight="1" x14ac:dyDescent="0.2">
      <c r="B381" s="193">
        <v>1</v>
      </c>
      <c r="C381" s="347" t="s">
        <v>494</v>
      </c>
      <c r="D381" s="193" t="str">
        <f t="shared" si="26"/>
        <v>CPO000351PN</v>
      </c>
      <c r="E381" s="193" t="s">
        <v>76</v>
      </c>
      <c r="F381" s="193" t="s">
        <v>1340</v>
      </c>
      <c r="G381" s="193" t="s">
        <v>1347</v>
      </c>
      <c r="H381" s="193" t="s">
        <v>78</v>
      </c>
      <c r="I381" s="193" t="s">
        <v>41</v>
      </c>
      <c r="J381" s="193" t="str">
        <f t="shared" si="25"/>
        <v>12 Roda</v>
      </c>
      <c r="K381" s="194">
        <v>46007</v>
      </c>
      <c r="L381" s="195">
        <v>45740</v>
      </c>
      <c r="M381" s="195">
        <v>17780</v>
      </c>
      <c r="N381" s="195">
        <v>27960</v>
      </c>
      <c r="O381" s="195">
        <v>28000</v>
      </c>
      <c r="P381" s="196">
        <v>0.55972222222222201</v>
      </c>
      <c r="Q381" s="196">
        <v>0.62916666666666698</v>
      </c>
      <c r="R381" s="193" t="s">
        <v>137</v>
      </c>
      <c r="S381" s="193" t="s">
        <v>1372</v>
      </c>
      <c r="T381" s="197">
        <f t="shared" si="27"/>
        <v>99</v>
      </c>
      <c r="U381" s="193"/>
      <c r="V381" s="193" t="str">
        <f t="shared" si="28"/>
        <v>Burau</v>
      </c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8"/>
      <c r="AL381" s="18"/>
    </row>
    <row r="382" spans="2:38" ht="15" customHeight="1" x14ac:dyDescent="0.2">
      <c r="B382" s="193">
        <v>1</v>
      </c>
      <c r="C382" s="347" t="s">
        <v>495</v>
      </c>
      <c r="D382" s="193" t="str">
        <f t="shared" si="26"/>
        <v>CPO000352PN</v>
      </c>
      <c r="E382" s="193" t="s">
        <v>84</v>
      </c>
      <c r="F382" s="193" t="s">
        <v>1340</v>
      </c>
      <c r="G382" s="193" t="s">
        <v>1347</v>
      </c>
      <c r="H382" s="193" t="s">
        <v>78</v>
      </c>
      <c r="I382" s="193" t="s">
        <v>41</v>
      </c>
      <c r="J382" s="193" t="str">
        <f t="shared" si="25"/>
        <v>10 Roda</v>
      </c>
      <c r="K382" s="194">
        <v>46007</v>
      </c>
      <c r="L382" s="195">
        <v>26550</v>
      </c>
      <c r="M382" s="195">
        <v>12150</v>
      </c>
      <c r="N382" s="195">
        <v>14400</v>
      </c>
      <c r="O382" s="195">
        <v>14480</v>
      </c>
      <c r="P382" s="196">
        <v>0.60069444444444398</v>
      </c>
      <c r="Q382" s="196">
        <v>0.67361111111111105</v>
      </c>
      <c r="R382" s="193" t="s">
        <v>137</v>
      </c>
      <c r="S382" s="193" t="s">
        <v>1782</v>
      </c>
      <c r="T382" s="197">
        <f t="shared" si="27"/>
        <v>99</v>
      </c>
      <c r="U382" s="193"/>
      <c r="V382" s="193" t="str">
        <f t="shared" si="28"/>
        <v>Burau</v>
      </c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8"/>
      <c r="AL382" s="18"/>
    </row>
    <row r="383" spans="2:38" ht="15" customHeight="1" x14ac:dyDescent="0.2">
      <c r="B383" s="193">
        <v>1</v>
      </c>
      <c r="C383" s="347" t="s">
        <v>496</v>
      </c>
      <c r="D383" s="193" t="str">
        <f t="shared" si="26"/>
        <v>CPO000353PN</v>
      </c>
      <c r="E383" s="193" t="s">
        <v>46</v>
      </c>
      <c r="F383" s="193" t="s">
        <v>1340</v>
      </c>
      <c r="G383" s="193" t="s">
        <v>1347</v>
      </c>
      <c r="H383" s="193" t="s">
        <v>78</v>
      </c>
      <c r="I383" s="193" t="s">
        <v>41</v>
      </c>
      <c r="J383" s="193" t="str">
        <f t="shared" si="25"/>
        <v>10 Roda</v>
      </c>
      <c r="K383" s="194">
        <v>46007</v>
      </c>
      <c r="L383" s="195">
        <v>26630</v>
      </c>
      <c r="M383" s="195">
        <v>11870</v>
      </c>
      <c r="N383" s="195">
        <v>14760</v>
      </c>
      <c r="O383" s="195">
        <v>14780</v>
      </c>
      <c r="P383" s="196">
        <v>0.60416666666666696</v>
      </c>
      <c r="Q383" s="196">
        <v>0.66458333333333297</v>
      </c>
      <c r="R383" s="193" t="s">
        <v>137</v>
      </c>
      <c r="S383" s="193" t="s">
        <v>1393</v>
      </c>
      <c r="T383" s="197">
        <f t="shared" si="27"/>
        <v>99</v>
      </c>
      <c r="U383" s="193"/>
      <c r="V383" s="193" t="str">
        <f t="shared" si="28"/>
        <v>Burau</v>
      </c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8"/>
      <c r="AL383" s="18"/>
    </row>
    <row r="384" spans="2:38" ht="15" customHeight="1" x14ac:dyDescent="0.2">
      <c r="B384" s="193">
        <v>1</v>
      </c>
      <c r="C384" s="347" t="s">
        <v>497</v>
      </c>
      <c r="D384" s="193" t="str">
        <f t="shared" si="26"/>
        <v>CPO000354PN</v>
      </c>
      <c r="E384" s="193" t="s">
        <v>70</v>
      </c>
      <c r="F384" s="193" t="s">
        <v>1340</v>
      </c>
      <c r="G384" s="193" t="s">
        <v>1347</v>
      </c>
      <c r="H384" s="193" t="s">
        <v>78</v>
      </c>
      <c r="I384" s="193" t="s">
        <v>41</v>
      </c>
      <c r="J384" s="193" t="str">
        <f t="shared" ref="J384:J447" si="29">IF(MIN(L384,M384)&lt;=5000,"6 Roda",IF(MIN(L384,M384)&lt;=13800,"10 Roda","12 Roda"))</f>
        <v>12 Roda</v>
      </c>
      <c r="K384" s="194">
        <v>46007</v>
      </c>
      <c r="L384" s="195">
        <v>45720</v>
      </c>
      <c r="M384" s="195">
        <v>17660</v>
      </c>
      <c r="N384" s="195">
        <v>28060</v>
      </c>
      <c r="O384" s="195">
        <v>28210</v>
      </c>
      <c r="P384" s="196">
        <v>0.60694444444444395</v>
      </c>
      <c r="Q384" s="196">
        <v>0.65277777777777801</v>
      </c>
      <c r="R384" s="193" t="s">
        <v>137</v>
      </c>
      <c r="S384" s="193" t="s">
        <v>1499</v>
      </c>
      <c r="T384" s="197">
        <f t="shared" si="27"/>
        <v>99</v>
      </c>
      <c r="U384" s="193"/>
      <c r="V384" s="193" t="str">
        <f t="shared" si="28"/>
        <v>Burau</v>
      </c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8"/>
      <c r="AL384" s="18"/>
    </row>
    <row r="385" spans="2:38" ht="15" customHeight="1" x14ac:dyDescent="0.2">
      <c r="B385" s="193">
        <v>1</v>
      </c>
      <c r="C385" s="347" t="s">
        <v>490</v>
      </c>
      <c r="D385" s="193" t="str">
        <f t="shared" si="26"/>
        <v>CPO000347MIS</v>
      </c>
      <c r="E385" s="193" t="s">
        <v>166</v>
      </c>
      <c r="F385" s="193" t="s">
        <v>1335</v>
      </c>
      <c r="G385" s="193" t="s">
        <v>1334</v>
      </c>
      <c r="H385" s="193" t="s">
        <v>40</v>
      </c>
      <c r="I385" s="193" t="s">
        <v>41</v>
      </c>
      <c r="J385" s="193" t="str">
        <f t="shared" si="29"/>
        <v>6 Roda</v>
      </c>
      <c r="K385" s="194">
        <v>46007</v>
      </c>
      <c r="L385" s="195">
        <v>13190</v>
      </c>
      <c r="M385" s="195">
        <v>3800</v>
      </c>
      <c r="N385" s="195">
        <v>9390</v>
      </c>
      <c r="O385" s="195">
        <v>9380</v>
      </c>
      <c r="P385" s="196">
        <v>0.34166666666666701</v>
      </c>
      <c r="Q385" s="196">
        <v>0.37847222222222199</v>
      </c>
      <c r="R385" s="193" t="s">
        <v>137</v>
      </c>
      <c r="S385" s="193"/>
      <c r="T385" s="197">
        <f t="shared" si="27"/>
        <v>494</v>
      </c>
      <c r="U385" s="193"/>
      <c r="V385" s="193" t="str">
        <f t="shared" si="28"/>
        <v>Pomala</v>
      </c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8"/>
      <c r="AL385" s="18"/>
    </row>
    <row r="386" spans="2:38" ht="15" customHeight="1" x14ac:dyDescent="0.2">
      <c r="B386" s="193">
        <v>1</v>
      </c>
      <c r="C386" s="347" t="s">
        <v>491</v>
      </c>
      <c r="D386" s="193" t="str">
        <f t="shared" si="26"/>
        <v>CPO000348MIS</v>
      </c>
      <c r="E386" s="193" t="s">
        <v>181</v>
      </c>
      <c r="F386" s="193" t="s">
        <v>1335</v>
      </c>
      <c r="G386" s="193" t="s">
        <v>1334</v>
      </c>
      <c r="H386" s="193" t="s">
        <v>40</v>
      </c>
      <c r="I386" s="193" t="s">
        <v>41</v>
      </c>
      <c r="J386" s="193" t="str">
        <f t="shared" si="29"/>
        <v>6 Roda</v>
      </c>
      <c r="K386" s="194">
        <v>46007</v>
      </c>
      <c r="L386" s="195">
        <v>13610</v>
      </c>
      <c r="M386" s="195">
        <v>3960</v>
      </c>
      <c r="N386" s="195">
        <v>9650</v>
      </c>
      <c r="O386" s="195">
        <v>9610</v>
      </c>
      <c r="P386" s="196">
        <v>0.34375</v>
      </c>
      <c r="Q386" s="196">
        <v>0.38402777777777802</v>
      </c>
      <c r="R386" s="193" t="s">
        <v>137</v>
      </c>
      <c r="S386" s="193"/>
      <c r="T386" s="197">
        <f t="shared" si="27"/>
        <v>494</v>
      </c>
      <c r="U386" s="193"/>
      <c r="V386" s="193" t="str">
        <f t="shared" si="28"/>
        <v>Pomala</v>
      </c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8"/>
      <c r="AL386" s="18"/>
    </row>
    <row r="387" spans="2:38" ht="15" customHeight="1" x14ac:dyDescent="0.2">
      <c r="B387" s="193">
        <v>1</v>
      </c>
      <c r="C387" s="347" t="s">
        <v>492</v>
      </c>
      <c r="D387" s="193" t="str">
        <f t="shared" si="26"/>
        <v>CPO000349MIS</v>
      </c>
      <c r="E387" s="193" t="s">
        <v>169</v>
      </c>
      <c r="F387" s="193" t="s">
        <v>1335</v>
      </c>
      <c r="G387" s="193" t="s">
        <v>1334</v>
      </c>
      <c r="H387" s="193" t="s">
        <v>40</v>
      </c>
      <c r="I387" s="193" t="s">
        <v>41</v>
      </c>
      <c r="J387" s="193" t="str">
        <f t="shared" si="29"/>
        <v>6 Roda</v>
      </c>
      <c r="K387" s="194">
        <v>46007</v>
      </c>
      <c r="L387" s="195">
        <v>13460</v>
      </c>
      <c r="M387" s="195">
        <v>3960</v>
      </c>
      <c r="N387" s="195">
        <v>9500</v>
      </c>
      <c r="O387" s="195">
        <v>9470</v>
      </c>
      <c r="P387" s="196">
        <v>0.34583333333333299</v>
      </c>
      <c r="Q387" s="196">
        <v>0.38611111111111102</v>
      </c>
      <c r="R387" s="193" t="s">
        <v>137</v>
      </c>
      <c r="S387" s="193"/>
      <c r="T387" s="197">
        <f t="shared" si="27"/>
        <v>494</v>
      </c>
      <c r="U387" s="193"/>
      <c r="V387" s="193" t="str">
        <f t="shared" si="28"/>
        <v>Pomala</v>
      </c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8"/>
      <c r="AL387" s="18"/>
    </row>
    <row r="388" spans="2:38" ht="15" customHeight="1" x14ac:dyDescent="0.2">
      <c r="B388" s="193">
        <v>1</v>
      </c>
      <c r="C388" s="347" t="s">
        <v>498</v>
      </c>
      <c r="D388" s="193" t="str">
        <f t="shared" si="26"/>
        <v>CPO000355MIS</v>
      </c>
      <c r="E388" s="193" t="s">
        <v>53</v>
      </c>
      <c r="F388" s="193" t="s">
        <v>1335</v>
      </c>
      <c r="G388" s="193" t="s">
        <v>1334</v>
      </c>
      <c r="H388" s="193" t="s">
        <v>40</v>
      </c>
      <c r="I388" s="193" t="s">
        <v>41</v>
      </c>
      <c r="J388" s="193" t="str">
        <f t="shared" si="29"/>
        <v>6 Roda</v>
      </c>
      <c r="K388" s="194">
        <v>46007</v>
      </c>
      <c r="L388" s="195">
        <v>13320</v>
      </c>
      <c r="M388" s="195">
        <v>3750</v>
      </c>
      <c r="N388" s="195">
        <v>9570</v>
      </c>
      <c r="O388" s="195">
        <v>9550</v>
      </c>
      <c r="P388" s="196">
        <v>0.905555555555556</v>
      </c>
      <c r="Q388" s="196">
        <v>0.93333333333333302</v>
      </c>
      <c r="R388" s="193" t="s">
        <v>42</v>
      </c>
      <c r="S388" s="193"/>
      <c r="T388" s="197">
        <f t="shared" si="27"/>
        <v>494</v>
      </c>
      <c r="U388" s="193"/>
      <c r="V388" s="193" t="str">
        <f t="shared" si="28"/>
        <v>Pomala</v>
      </c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8"/>
      <c r="AL388" s="18"/>
    </row>
    <row r="389" spans="2:38" ht="15" customHeight="1" x14ac:dyDescent="0.2">
      <c r="B389" s="193">
        <v>1</v>
      </c>
      <c r="C389" s="347" t="s">
        <v>508</v>
      </c>
      <c r="D389" s="193" t="str">
        <f t="shared" si="26"/>
        <v>CPO000365MIS</v>
      </c>
      <c r="E389" s="193" t="s">
        <v>151</v>
      </c>
      <c r="F389" s="193" t="s">
        <v>1335</v>
      </c>
      <c r="G389" s="193" t="s">
        <v>1334</v>
      </c>
      <c r="H389" s="193" t="s">
        <v>40</v>
      </c>
      <c r="I389" s="193" t="s">
        <v>41</v>
      </c>
      <c r="J389" s="193" t="str">
        <f t="shared" si="29"/>
        <v>6 Roda</v>
      </c>
      <c r="K389" s="194">
        <v>46007</v>
      </c>
      <c r="L389" s="195">
        <v>13480</v>
      </c>
      <c r="M389" s="195">
        <v>4090</v>
      </c>
      <c r="N389" s="195">
        <v>9390</v>
      </c>
      <c r="O389" s="195">
        <v>9360</v>
      </c>
      <c r="P389" s="196">
        <v>0.69583333333333297</v>
      </c>
      <c r="Q389" s="196">
        <v>0.72499999999999998</v>
      </c>
      <c r="R389" s="193" t="s">
        <v>137</v>
      </c>
      <c r="S389" s="193"/>
      <c r="T389" s="197">
        <f t="shared" si="27"/>
        <v>494</v>
      </c>
      <c r="U389" s="193"/>
      <c r="V389" s="193" t="str">
        <f t="shared" si="28"/>
        <v>Pomala</v>
      </c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8"/>
      <c r="AL389" s="18"/>
    </row>
    <row r="390" spans="2:38" ht="15" customHeight="1" x14ac:dyDescent="0.2">
      <c r="B390" s="193">
        <v>1</v>
      </c>
      <c r="C390" s="347" t="s">
        <v>502</v>
      </c>
      <c r="D390" s="193" t="str">
        <f t="shared" si="26"/>
        <v>CPO000359PN</v>
      </c>
      <c r="E390" s="193" t="s">
        <v>56</v>
      </c>
      <c r="F390" s="193" t="s">
        <v>1340</v>
      </c>
      <c r="G390" s="193" t="s">
        <v>1347</v>
      </c>
      <c r="H390" s="193" t="s">
        <v>78</v>
      </c>
      <c r="I390" s="193" t="s">
        <v>41</v>
      </c>
      <c r="J390" s="193" t="str">
        <f t="shared" si="29"/>
        <v>10 Roda</v>
      </c>
      <c r="K390" s="194">
        <v>46008</v>
      </c>
      <c r="L390" s="195">
        <v>25010</v>
      </c>
      <c r="M390" s="195">
        <v>10860</v>
      </c>
      <c r="N390" s="195">
        <v>14150</v>
      </c>
      <c r="O390" s="195">
        <v>14210</v>
      </c>
      <c r="P390" s="196">
        <v>0.61319444444444504</v>
      </c>
      <c r="Q390" s="196">
        <v>0.68958333333333299</v>
      </c>
      <c r="R390" s="193" t="s">
        <v>137</v>
      </c>
      <c r="S390" s="193" t="s">
        <v>1781</v>
      </c>
      <c r="T390" s="197">
        <f t="shared" si="27"/>
        <v>99</v>
      </c>
      <c r="U390" s="193"/>
      <c r="V390" s="193" t="str">
        <f t="shared" si="28"/>
        <v>Burau</v>
      </c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8"/>
      <c r="AL390" s="18"/>
    </row>
    <row r="391" spans="2:38" ht="15" customHeight="1" x14ac:dyDescent="0.2">
      <c r="B391" s="193">
        <v>1</v>
      </c>
      <c r="C391" s="347" t="s">
        <v>503</v>
      </c>
      <c r="D391" s="193" t="str">
        <f t="shared" si="26"/>
        <v>CPO000360PN</v>
      </c>
      <c r="E391" s="193" t="s">
        <v>84</v>
      </c>
      <c r="F391" s="193" t="s">
        <v>1340</v>
      </c>
      <c r="G391" s="193" t="s">
        <v>1347</v>
      </c>
      <c r="H391" s="193" t="s">
        <v>78</v>
      </c>
      <c r="I391" s="193" t="s">
        <v>41</v>
      </c>
      <c r="J391" s="193" t="str">
        <f t="shared" si="29"/>
        <v>10 Roda</v>
      </c>
      <c r="K391" s="194">
        <v>46008</v>
      </c>
      <c r="L391" s="195">
        <v>26640</v>
      </c>
      <c r="M391" s="195">
        <v>12260</v>
      </c>
      <c r="N391" s="195">
        <v>14380</v>
      </c>
      <c r="O391" s="195">
        <v>14400</v>
      </c>
      <c r="P391" s="196">
        <v>0.61666666666666703</v>
      </c>
      <c r="Q391" s="196">
        <v>0.69444444444444398</v>
      </c>
      <c r="R391" s="193" t="s">
        <v>137</v>
      </c>
      <c r="S391" s="193" t="s">
        <v>1782</v>
      </c>
      <c r="T391" s="197">
        <f t="shared" si="27"/>
        <v>99</v>
      </c>
      <c r="U391" s="193"/>
      <c r="V391" s="193" t="str">
        <f t="shared" si="28"/>
        <v>Burau</v>
      </c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8"/>
      <c r="AL391" s="18"/>
    </row>
    <row r="392" spans="2:38" ht="15" customHeight="1" x14ac:dyDescent="0.2">
      <c r="B392" s="193">
        <v>1</v>
      </c>
      <c r="C392" s="347" t="s">
        <v>504</v>
      </c>
      <c r="D392" s="193" t="str">
        <f t="shared" si="26"/>
        <v>CPO000361PN</v>
      </c>
      <c r="E392" s="193" t="s">
        <v>70</v>
      </c>
      <c r="F392" s="193" t="s">
        <v>1340</v>
      </c>
      <c r="G392" s="193" t="s">
        <v>1347</v>
      </c>
      <c r="H392" s="193" t="s">
        <v>78</v>
      </c>
      <c r="I392" s="193" t="s">
        <v>41</v>
      </c>
      <c r="J392" s="193" t="str">
        <f t="shared" si="29"/>
        <v>12 Roda</v>
      </c>
      <c r="K392" s="194">
        <v>46008</v>
      </c>
      <c r="L392" s="195">
        <v>45840</v>
      </c>
      <c r="M392" s="195">
        <v>17820</v>
      </c>
      <c r="N392" s="195">
        <v>28020</v>
      </c>
      <c r="O392" s="195">
        <v>28110</v>
      </c>
      <c r="P392" s="196">
        <v>0.62361111111111101</v>
      </c>
      <c r="Q392" s="196">
        <v>0.6875</v>
      </c>
      <c r="R392" s="193" t="s">
        <v>137</v>
      </c>
      <c r="S392" s="193" t="s">
        <v>1499</v>
      </c>
      <c r="T392" s="197">
        <f t="shared" si="27"/>
        <v>99</v>
      </c>
      <c r="U392" s="193"/>
      <c r="V392" s="193" t="str">
        <f t="shared" si="28"/>
        <v>Burau</v>
      </c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8"/>
      <c r="AL392" s="18"/>
    </row>
    <row r="393" spans="2:38" ht="15" customHeight="1" x14ac:dyDescent="0.2">
      <c r="B393" s="193">
        <v>1</v>
      </c>
      <c r="C393" s="347" t="s">
        <v>505</v>
      </c>
      <c r="D393" s="193" t="str">
        <f t="shared" si="26"/>
        <v>CPO000362PN</v>
      </c>
      <c r="E393" s="193" t="s">
        <v>46</v>
      </c>
      <c r="F393" s="193" t="s">
        <v>1340</v>
      </c>
      <c r="G393" s="193" t="s">
        <v>1347</v>
      </c>
      <c r="H393" s="193" t="s">
        <v>78</v>
      </c>
      <c r="I393" s="193" t="s">
        <v>41</v>
      </c>
      <c r="J393" s="193" t="str">
        <f t="shared" si="29"/>
        <v>10 Roda</v>
      </c>
      <c r="K393" s="194">
        <v>46008</v>
      </c>
      <c r="L393" s="195">
        <v>26550</v>
      </c>
      <c r="M393" s="195">
        <v>11870</v>
      </c>
      <c r="N393" s="195">
        <v>14680</v>
      </c>
      <c r="O393" s="195">
        <v>14760</v>
      </c>
      <c r="P393" s="196">
        <v>0.62916666666666698</v>
      </c>
      <c r="Q393" s="196">
        <v>0.73819444444444504</v>
      </c>
      <c r="R393" s="193" t="s">
        <v>137</v>
      </c>
      <c r="S393" s="193" t="s">
        <v>1393</v>
      </c>
      <c r="T393" s="197">
        <f t="shared" si="27"/>
        <v>99</v>
      </c>
      <c r="U393" s="193"/>
      <c r="V393" s="193" t="str">
        <f t="shared" si="28"/>
        <v>Burau</v>
      </c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8"/>
      <c r="AL393" s="18"/>
    </row>
    <row r="394" spans="2:38" ht="15" customHeight="1" x14ac:dyDescent="0.2">
      <c r="B394" s="193">
        <v>1</v>
      </c>
      <c r="C394" s="347" t="s">
        <v>506</v>
      </c>
      <c r="D394" s="193" t="str">
        <f t="shared" si="26"/>
        <v>CPO000363PN</v>
      </c>
      <c r="E394" s="193" t="s">
        <v>76</v>
      </c>
      <c r="F394" s="193" t="s">
        <v>1340</v>
      </c>
      <c r="G394" s="193" t="s">
        <v>1347</v>
      </c>
      <c r="H394" s="193" t="s">
        <v>78</v>
      </c>
      <c r="I394" s="193" t="s">
        <v>41</v>
      </c>
      <c r="J394" s="193" t="str">
        <f t="shared" si="29"/>
        <v>12 Roda</v>
      </c>
      <c r="K394" s="194">
        <v>46008</v>
      </c>
      <c r="L394" s="195">
        <v>45880</v>
      </c>
      <c r="M394" s="195">
        <v>17920</v>
      </c>
      <c r="N394" s="195">
        <v>27960</v>
      </c>
      <c r="O394" s="195">
        <v>27990</v>
      </c>
      <c r="P394" s="196">
        <v>0.65347222222222201</v>
      </c>
      <c r="Q394" s="196">
        <v>0.70625000000000004</v>
      </c>
      <c r="R394" s="193" t="s">
        <v>137</v>
      </c>
      <c r="S394" s="193" t="s">
        <v>1372</v>
      </c>
      <c r="T394" s="197">
        <f t="shared" si="27"/>
        <v>99</v>
      </c>
      <c r="U394" s="193"/>
      <c r="V394" s="193" t="str">
        <f t="shared" si="28"/>
        <v>Burau</v>
      </c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8"/>
      <c r="AL394" s="18"/>
    </row>
    <row r="395" spans="2:38" ht="15" customHeight="1" x14ac:dyDescent="0.2">
      <c r="B395" s="193">
        <v>1</v>
      </c>
      <c r="C395" s="347" t="s">
        <v>499</v>
      </c>
      <c r="D395" s="193" t="str">
        <f t="shared" si="26"/>
        <v>CPO000356MIS</v>
      </c>
      <c r="E395" s="193" t="s">
        <v>160</v>
      </c>
      <c r="F395" s="193" t="s">
        <v>1335</v>
      </c>
      <c r="G395" s="193" t="s">
        <v>1334</v>
      </c>
      <c r="H395" s="193" t="s">
        <v>40</v>
      </c>
      <c r="I395" s="193" t="s">
        <v>41</v>
      </c>
      <c r="J395" s="193" t="str">
        <f t="shared" si="29"/>
        <v>6 Roda</v>
      </c>
      <c r="K395" s="194">
        <v>46008</v>
      </c>
      <c r="L395" s="195">
        <v>13370</v>
      </c>
      <c r="M395" s="195">
        <v>3630</v>
      </c>
      <c r="N395" s="195">
        <v>9740</v>
      </c>
      <c r="O395" s="195">
        <v>9690</v>
      </c>
      <c r="P395" s="196">
        <v>0.38819444444444501</v>
      </c>
      <c r="Q395" s="196">
        <v>0.436805555555556</v>
      </c>
      <c r="R395" s="193" t="s">
        <v>137</v>
      </c>
      <c r="S395" s="193"/>
      <c r="T395" s="197">
        <f t="shared" si="27"/>
        <v>494</v>
      </c>
      <c r="U395" s="193"/>
      <c r="V395" s="193" t="str">
        <f t="shared" si="28"/>
        <v>Pomala</v>
      </c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8"/>
      <c r="AL395" s="18"/>
    </row>
    <row r="396" spans="2:38" ht="15" customHeight="1" x14ac:dyDescent="0.2">
      <c r="B396" s="193">
        <v>1</v>
      </c>
      <c r="C396" s="347" t="s">
        <v>500</v>
      </c>
      <c r="D396" s="193" t="str">
        <f t="shared" si="26"/>
        <v>CPO000357MIS</v>
      </c>
      <c r="E396" s="193" t="s">
        <v>171</v>
      </c>
      <c r="F396" s="193" t="s">
        <v>1335</v>
      </c>
      <c r="G396" s="193" t="s">
        <v>1334</v>
      </c>
      <c r="H396" s="193" t="s">
        <v>40</v>
      </c>
      <c r="I396" s="193" t="s">
        <v>41</v>
      </c>
      <c r="J396" s="193" t="str">
        <f t="shared" si="29"/>
        <v>6 Roda</v>
      </c>
      <c r="K396" s="194">
        <v>46008</v>
      </c>
      <c r="L396" s="195">
        <v>13120</v>
      </c>
      <c r="M396" s="195">
        <v>3660</v>
      </c>
      <c r="N396" s="195">
        <v>9460</v>
      </c>
      <c r="O396" s="195">
        <v>9500</v>
      </c>
      <c r="P396" s="196">
        <v>0.390277777777778</v>
      </c>
      <c r="Q396" s="196">
        <v>0.43472222222222201</v>
      </c>
      <c r="R396" s="193" t="s">
        <v>137</v>
      </c>
      <c r="S396" s="193"/>
      <c r="T396" s="197">
        <f t="shared" si="27"/>
        <v>494</v>
      </c>
      <c r="U396" s="193"/>
      <c r="V396" s="193" t="str">
        <f t="shared" si="28"/>
        <v>Pomala</v>
      </c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8"/>
      <c r="AL396" s="18"/>
    </row>
    <row r="397" spans="2:38" ht="15" customHeight="1" x14ac:dyDescent="0.2">
      <c r="B397" s="193">
        <v>1</v>
      </c>
      <c r="C397" s="347" t="s">
        <v>501</v>
      </c>
      <c r="D397" s="193" t="str">
        <f t="shared" si="26"/>
        <v>CPO000358MIS</v>
      </c>
      <c r="E397" s="193" t="s">
        <v>158</v>
      </c>
      <c r="F397" s="193" t="s">
        <v>1335</v>
      </c>
      <c r="G397" s="193" t="s">
        <v>1334</v>
      </c>
      <c r="H397" s="193" t="s">
        <v>40</v>
      </c>
      <c r="I397" s="193" t="s">
        <v>41</v>
      </c>
      <c r="J397" s="193" t="str">
        <f t="shared" si="29"/>
        <v>6 Roda</v>
      </c>
      <c r="K397" s="194">
        <v>46008</v>
      </c>
      <c r="L397" s="195">
        <v>14090</v>
      </c>
      <c r="M397" s="195">
        <v>4120</v>
      </c>
      <c r="N397" s="195">
        <v>9970</v>
      </c>
      <c r="O397" s="195">
        <v>9930</v>
      </c>
      <c r="P397" s="196">
        <v>0.390972222222222</v>
      </c>
      <c r="Q397" s="196">
        <v>0.43888888888888899</v>
      </c>
      <c r="R397" s="193" t="s">
        <v>137</v>
      </c>
      <c r="S397" s="193"/>
      <c r="T397" s="197">
        <f t="shared" si="27"/>
        <v>494</v>
      </c>
      <c r="U397" s="193"/>
      <c r="V397" s="193" t="str">
        <f t="shared" si="28"/>
        <v>Pomala</v>
      </c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8"/>
      <c r="AL397" s="18"/>
    </row>
    <row r="398" spans="2:38" ht="15" customHeight="1" x14ac:dyDescent="0.2">
      <c r="B398" s="193">
        <v>1</v>
      </c>
      <c r="C398" s="347" t="s">
        <v>507</v>
      </c>
      <c r="D398" s="193" t="str">
        <f t="shared" si="26"/>
        <v>CPO000364MIS</v>
      </c>
      <c r="E398" s="193" t="s">
        <v>183</v>
      </c>
      <c r="F398" s="193" t="s">
        <v>1335</v>
      </c>
      <c r="G398" s="193" t="s">
        <v>1334</v>
      </c>
      <c r="H398" s="193" t="s">
        <v>40</v>
      </c>
      <c r="I398" s="193" t="s">
        <v>41</v>
      </c>
      <c r="J398" s="193" t="str">
        <f t="shared" si="29"/>
        <v>6 Roda</v>
      </c>
      <c r="K398" s="194">
        <v>46008</v>
      </c>
      <c r="L398" s="195">
        <v>14150</v>
      </c>
      <c r="M398" s="195">
        <v>4270</v>
      </c>
      <c r="N398" s="195">
        <v>9880</v>
      </c>
      <c r="O398" s="195">
        <v>9930</v>
      </c>
      <c r="P398" s="196">
        <v>0.68263888888888902</v>
      </c>
      <c r="Q398" s="196">
        <v>0.71458333333333302</v>
      </c>
      <c r="R398" s="193" t="s">
        <v>137</v>
      </c>
      <c r="S398" s="193"/>
      <c r="T398" s="197">
        <f t="shared" si="27"/>
        <v>494</v>
      </c>
      <c r="U398" s="193"/>
      <c r="V398" s="193" t="str">
        <f t="shared" si="28"/>
        <v>Pomala</v>
      </c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8"/>
      <c r="AL398" s="18"/>
    </row>
    <row r="399" spans="2:38" ht="15" customHeight="1" x14ac:dyDescent="0.2">
      <c r="B399" s="193">
        <v>1</v>
      </c>
      <c r="C399" s="347" t="s">
        <v>509</v>
      </c>
      <c r="D399" s="193" t="str">
        <f t="shared" si="26"/>
        <v>CPO000366MIS</v>
      </c>
      <c r="E399" s="193" t="s">
        <v>186</v>
      </c>
      <c r="F399" s="193" t="s">
        <v>1335</v>
      </c>
      <c r="G399" s="193" t="s">
        <v>1334</v>
      </c>
      <c r="H399" s="193" t="s">
        <v>40</v>
      </c>
      <c r="I399" s="193" t="s">
        <v>41</v>
      </c>
      <c r="J399" s="193" t="str">
        <f t="shared" si="29"/>
        <v>6 Roda</v>
      </c>
      <c r="K399" s="194">
        <v>46008</v>
      </c>
      <c r="L399" s="195">
        <v>13410</v>
      </c>
      <c r="M399" s="195">
        <v>3950</v>
      </c>
      <c r="N399" s="195">
        <v>9460</v>
      </c>
      <c r="O399" s="195">
        <v>9430</v>
      </c>
      <c r="P399" s="196">
        <v>0.88888888888888895</v>
      </c>
      <c r="Q399" s="196">
        <v>0.91597222222222197</v>
      </c>
      <c r="R399" s="193" t="s">
        <v>137</v>
      </c>
      <c r="S399" s="193"/>
      <c r="T399" s="197">
        <f t="shared" si="27"/>
        <v>494</v>
      </c>
      <c r="U399" s="193"/>
      <c r="V399" s="193" t="str">
        <f t="shared" si="28"/>
        <v>Pomala</v>
      </c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8"/>
      <c r="AL399" s="18"/>
    </row>
    <row r="400" spans="2:38" ht="15" customHeight="1" x14ac:dyDescent="0.2">
      <c r="B400" s="193">
        <v>1</v>
      </c>
      <c r="C400" s="347" t="s">
        <v>521</v>
      </c>
      <c r="D400" s="193" t="str">
        <f t="shared" si="26"/>
        <v>CPO000377PN</v>
      </c>
      <c r="E400" s="193" t="s">
        <v>76</v>
      </c>
      <c r="F400" s="193" t="s">
        <v>1340</v>
      </c>
      <c r="G400" s="193" t="s">
        <v>1347</v>
      </c>
      <c r="H400" s="193" t="s">
        <v>78</v>
      </c>
      <c r="I400" s="193" t="s">
        <v>41</v>
      </c>
      <c r="J400" s="193" t="str">
        <f t="shared" si="29"/>
        <v>12 Roda</v>
      </c>
      <c r="K400" s="194">
        <v>46009</v>
      </c>
      <c r="L400" s="195">
        <v>45850</v>
      </c>
      <c r="M400" s="195">
        <v>18170</v>
      </c>
      <c r="N400" s="195">
        <v>27680</v>
      </c>
      <c r="O400" s="195">
        <v>28040</v>
      </c>
      <c r="P400" s="196">
        <v>0.79652777777777795</v>
      </c>
      <c r="Q400" s="196">
        <v>0.85138888888888897</v>
      </c>
      <c r="R400" s="193" t="s">
        <v>42</v>
      </c>
      <c r="S400" s="193" t="s">
        <v>1372</v>
      </c>
      <c r="T400" s="197">
        <f t="shared" si="27"/>
        <v>99</v>
      </c>
      <c r="U400" s="193"/>
      <c r="V400" s="193" t="str">
        <f t="shared" si="28"/>
        <v>Burau</v>
      </c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8"/>
      <c r="AL400" s="18"/>
    </row>
    <row r="401" spans="2:38" ht="15" customHeight="1" x14ac:dyDescent="0.2">
      <c r="B401" s="193">
        <v>1</v>
      </c>
      <c r="C401" s="347" t="s">
        <v>510</v>
      </c>
      <c r="D401" s="193" t="str">
        <f t="shared" si="26"/>
        <v>CPO000367MIS</v>
      </c>
      <c r="E401" s="193" t="s">
        <v>147</v>
      </c>
      <c r="F401" s="193" t="s">
        <v>1335</v>
      </c>
      <c r="G401" s="193" t="s">
        <v>1334</v>
      </c>
      <c r="H401" s="193" t="s">
        <v>40</v>
      </c>
      <c r="I401" s="193" t="s">
        <v>41</v>
      </c>
      <c r="J401" s="193" t="str">
        <f t="shared" si="29"/>
        <v>6 Roda</v>
      </c>
      <c r="K401" s="194">
        <v>46009</v>
      </c>
      <c r="L401" s="195">
        <v>13920</v>
      </c>
      <c r="M401" s="195">
        <v>4150</v>
      </c>
      <c r="N401" s="195">
        <v>9770</v>
      </c>
      <c r="O401" s="195">
        <v>9910</v>
      </c>
      <c r="P401" s="196">
        <v>0.34166666666666701</v>
      </c>
      <c r="Q401" s="196">
        <v>0.38472222222222202</v>
      </c>
      <c r="R401" s="193" t="s">
        <v>137</v>
      </c>
      <c r="S401" s="193"/>
      <c r="T401" s="197">
        <f t="shared" si="27"/>
        <v>494</v>
      </c>
      <c r="U401" s="193"/>
      <c r="V401" s="193" t="str">
        <f t="shared" si="28"/>
        <v>Pomala</v>
      </c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8"/>
      <c r="AL401" s="18"/>
    </row>
    <row r="402" spans="2:38" ht="15" customHeight="1" x14ac:dyDescent="0.2">
      <c r="B402" s="193">
        <v>1</v>
      </c>
      <c r="C402" s="347" t="s">
        <v>511</v>
      </c>
      <c r="D402" s="193" t="str">
        <f t="shared" si="26"/>
        <v>CPO000368MIS</v>
      </c>
      <c r="E402" s="193" t="s">
        <v>473</v>
      </c>
      <c r="F402" s="193" t="s">
        <v>1335</v>
      </c>
      <c r="G402" s="193" t="s">
        <v>1334</v>
      </c>
      <c r="H402" s="193" t="s">
        <v>40</v>
      </c>
      <c r="I402" s="193" t="s">
        <v>41</v>
      </c>
      <c r="J402" s="193" t="str">
        <f t="shared" si="29"/>
        <v>6 Roda</v>
      </c>
      <c r="K402" s="194">
        <v>46009</v>
      </c>
      <c r="L402" s="195">
        <v>14440</v>
      </c>
      <c r="M402" s="195">
        <v>4420</v>
      </c>
      <c r="N402" s="195">
        <v>10020</v>
      </c>
      <c r="O402" s="195">
        <v>10070</v>
      </c>
      <c r="P402" s="196">
        <v>0.343055555555556</v>
      </c>
      <c r="Q402" s="196">
        <v>0.39374999999999999</v>
      </c>
      <c r="R402" s="193" t="s">
        <v>137</v>
      </c>
      <c r="S402" s="193"/>
      <c r="T402" s="197">
        <f t="shared" si="27"/>
        <v>494</v>
      </c>
      <c r="U402" s="193"/>
      <c r="V402" s="193" t="str">
        <f t="shared" si="28"/>
        <v>Pomala</v>
      </c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8"/>
      <c r="AL402" s="18"/>
    </row>
    <row r="403" spans="2:38" ht="15" customHeight="1" x14ac:dyDescent="0.2">
      <c r="B403" s="193">
        <v>1</v>
      </c>
      <c r="C403" s="347" t="s">
        <v>512</v>
      </c>
      <c r="D403" s="193" t="str">
        <f t="shared" si="26"/>
        <v>CPO000369MIS</v>
      </c>
      <c r="E403" s="193" t="s">
        <v>513</v>
      </c>
      <c r="F403" s="193" t="s">
        <v>1335</v>
      </c>
      <c r="G403" s="193" t="s">
        <v>1334</v>
      </c>
      <c r="H403" s="193" t="s">
        <v>40</v>
      </c>
      <c r="I403" s="193" t="s">
        <v>41</v>
      </c>
      <c r="J403" s="193" t="str">
        <f t="shared" si="29"/>
        <v>6 Roda</v>
      </c>
      <c r="K403" s="194">
        <v>46009</v>
      </c>
      <c r="L403" s="195">
        <v>13730</v>
      </c>
      <c r="M403" s="195">
        <v>3960</v>
      </c>
      <c r="N403" s="195">
        <v>9770</v>
      </c>
      <c r="O403" s="195">
        <v>9750</v>
      </c>
      <c r="P403" s="196">
        <v>0.34861111111111098</v>
      </c>
      <c r="Q403" s="196">
        <v>0.38888888888888901</v>
      </c>
      <c r="R403" s="193" t="s">
        <v>137</v>
      </c>
      <c r="S403" s="193"/>
      <c r="T403" s="197">
        <f t="shared" si="27"/>
        <v>494</v>
      </c>
      <c r="U403" s="193"/>
      <c r="V403" s="193" t="str">
        <f t="shared" si="28"/>
        <v>Pomala</v>
      </c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8"/>
      <c r="AL403" s="18"/>
    </row>
    <row r="404" spans="2:38" ht="15" customHeight="1" x14ac:dyDescent="0.2">
      <c r="B404" s="193">
        <v>1</v>
      </c>
      <c r="C404" s="347" t="s">
        <v>514</v>
      </c>
      <c r="D404" s="193" t="str">
        <f t="shared" si="26"/>
        <v>CPO000370MIS</v>
      </c>
      <c r="E404" s="193" t="s">
        <v>73</v>
      </c>
      <c r="F404" s="193" t="s">
        <v>1335</v>
      </c>
      <c r="G404" s="193" t="s">
        <v>1334</v>
      </c>
      <c r="H404" s="193" t="s">
        <v>40</v>
      </c>
      <c r="I404" s="193" t="s">
        <v>41</v>
      </c>
      <c r="J404" s="193" t="str">
        <f t="shared" si="29"/>
        <v>6 Roda</v>
      </c>
      <c r="K404" s="194">
        <v>46009</v>
      </c>
      <c r="L404" s="195">
        <v>13380</v>
      </c>
      <c r="M404" s="195">
        <v>4040</v>
      </c>
      <c r="N404" s="195">
        <v>9340</v>
      </c>
      <c r="O404" s="195">
        <v>9300</v>
      </c>
      <c r="P404" s="196">
        <v>0.35208333333333303</v>
      </c>
      <c r="Q404" s="196">
        <v>0.38819444444444501</v>
      </c>
      <c r="R404" s="193" t="s">
        <v>137</v>
      </c>
      <c r="S404" s="193"/>
      <c r="T404" s="197">
        <f t="shared" si="27"/>
        <v>494</v>
      </c>
      <c r="U404" s="193"/>
      <c r="V404" s="193" t="str">
        <f t="shared" si="28"/>
        <v>Pomala</v>
      </c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8"/>
      <c r="AL404" s="18"/>
    </row>
    <row r="405" spans="2:38" ht="15" customHeight="1" x14ac:dyDescent="0.2">
      <c r="B405" s="193">
        <v>1</v>
      </c>
      <c r="C405" s="347" t="s">
        <v>515</v>
      </c>
      <c r="D405" s="193" t="str">
        <f t="shared" si="26"/>
        <v>CPO000371MIS</v>
      </c>
      <c r="E405" s="193" t="s">
        <v>39</v>
      </c>
      <c r="F405" s="193" t="s">
        <v>1335</v>
      </c>
      <c r="G405" s="193" t="s">
        <v>1334</v>
      </c>
      <c r="H405" s="193" t="s">
        <v>40</v>
      </c>
      <c r="I405" s="193" t="s">
        <v>41</v>
      </c>
      <c r="J405" s="193" t="str">
        <f t="shared" si="29"/>
        <v>6 Roda</v>
      </c>
      <c r="K405" s="194">
        <v>46009</v>
      </c>
      <c r="L405" s="195">
        <v>13670</v>
      </c>
      <c r="M405" s="195">
        <v>4140</v>
      </c>
      <c r="N405" s="195">
        <v>9530</v>
      </c>
      <c r="O405" s="195">
        <v>9520</v>
      </c>
      <c r="P405" s="196">
        <v>0.35277777777777802</v>
      </c>
      <c r="Q405" s="196">
        <v>0.40763888888888899</v>
      </c>
      <c r="R405" s="193" t="s">
        <v>137</v>
      </c>
      <c r="S405" s="193"/>
      <c r="T405" s="197">
        <f t="shared" si="27"/>
        <v>494</v>
      </c>
      <c r="U405" s="193"/>
      <c r="V405" s="193" t="str">
        <f t="shared" si="28"/>
        <v>Pomala</v>
      </c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8"/>
      <c r="AL405" s="18"/>
    </row>
    <row r="406" spans="2:38" ht="15" customHeight="1" x14ac:dyDescent="0.2">
      <c r="B406" s="193">
        <v>1</v>
      </c>
      <c r="C406" s="347" t="s">
        <v>522</v>
      </c>
      <c r="D406" s="193" t="str">
        <f t="shared" si="26"/>
        <v>CPO000378PN</v>
      </c>
      <c r="E406" s="193" t="s">
        <v>56</v>
      </c>
      <c r="F406" s="193" t="s">
        <v>1340</v>
      </c>
      <c r="G406" s="193" t="s">
        <v>1347</v>
      </c>
      <c r="H406" s="193" t="s">
        <v>78</v>
      </c>
      <c r="I406" s="193" t="s">
        <v>41</v>
      </c>
      <c r="J406" s="193" t="str">
        <f t="shared" si="29"/>
        <v>10 Roda</v>
      </c>
      <c r="K406" s="194">
        <v>46009</v>
      </c>
      <c r="L406" s="195">
        <v>25010</v>
      </c>
      <c r="M406" s="195">
        <v>10850</v>
      </c>
      <c r="N406" s="195">
        <v>14160</v>
      </c>
      <c r="O406" s="195">
        <v>14120</v>
      </c>
      <c r="P406" s="196">
        <v>0.79791666666666705</v>
      </c>
      <c r="Q406" s="196">
        <v>0.87083333333333302</v>
      </c>
      <c r="R406" s="193" t="s">
        <v>42</v>
      </c>
      <c r="S406" s="193" t="s">
        <v>1781</v>
      </c>
      <c r="T406" s="197">
        <f t="shared" si="27"/>
        <v>99</v>
      </c>
      <c r="U406" s="193"/>
      <c r="V406" s="193" t="str">
        <f t="shared" si="28"/>
        <v>Burau</v>
      </c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8"/>
      <c r="AL406" s="18"/>
    </row>
    <row r="407" spans="2:38" ht="15" customHeight="1" x14ac:dyDescent="0.2">
      <c r="B407" s="193">
        <v>1</v>
      </c>
      <c r="C407" s="347" t="s">
        <v>523</v>
      </c>
      <c r="D407" s="193" t="str">
        <f t="shared" ref="D407:D470" si="30">I407&amp;C407&amp;_xlfn.XLOOKUP(H407,$AM$4:$AM$26,$AN$4:$AN$26,"")</f>
        <v>CPO000379PN</v>
      </c>
      <c r="E407" s="193" t="s">
        <v>46</v>
      </c>
      <c r="F407" s="193" t="s">
        <v>1340</v>
      </c>
      <c r="G407" s="193" t="s">
        <v>1347</v>
      </c>
      <c r="H407" s="193" t="s">
        <v>78</v>
      </c>
      <c r="I407" s="193" t="s">
        <v>41</v>
      </c>
      <c r="J407" s="193" t="str">
        <f t="shared" si="29"/>
        <v>10 Roda</v>
      </c>
      <c r="K407" s="194">
        <v>46009</v>
      </c>
      <c r="L407" s="195">
        <v>26600</v>
      </c>
      <c r="M407" s="195">
        <v>11870</v>
      </c>
      <c r="N407" s="195">
        <v>14730</v>
      </c>
      <c r="O407" s="195">
        <v>14780</v>
      </c>
      <c r="P407" s="196">
        <v>0.82013888888888897</v>
      </c>
      <c r="Q407" s="196">
        <v>0.87708333333333299</v>
      </c>
      <c r="R407" s="193" t="s">
        <v>42</v>
      </c>
      <c r="S407" s="193" t="s">
        <v>1393</v>
      </c>
      <c r="T407" s="197">
        <f t="shared" ref="T407:T470" si="31">IFERROR(_xlfn.XLOOKUP(H407,$AM$4:$AM$18,$AP$4:$AP$18,""),0)</f>
        <v>99</v>
      </c>
      <c r="U407" s="193"/>
      <c r="V407" s="193" t="str">
        <f t="shared" ref="V407:V470" si="32">IFERROR(_xlfn.XLOOKUP(H407,$AM$4:$AM$18,$AO$4:$AO$18,""),"")</f>
        <v>Burau</v>
      </c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8"/>
      <c r="AL407" s="18"/>
    </row>
    <row r="408" spans="2:38" ht="15" customHeight="1" x14ac:dyDescent="0.2">
      <c r="B408" s="193">
        <v>1</v>
      </c>
      <c r="C408" s="347" t="s">
        <v>524</v>
      </c>
      <c r="D408" s="193" t="str">
        <f t="shared" si="30"/>
        <v>CPO000380PN</v>
      </c>
      <c r="E408" s="193" t="s">
        <v>84</v>
      </c>
      <c r="F408" s="193" t="s">
        <v>1340</v>
      </c>
      <c r="G408" s="193" t="s">
        <v>1347</v>
      </c>
      <c r="H408" s="193" t="s">
        <v>78</v>
      </c>
      <c r="I408" s="193" t="s">
        <v>41</v>
      </c>
      <c r="J408" s="193" t="str">
        <f t="shared" si="29"/>
        <v>10 Roda</v>
      </c>
      <c r="K408" s="194">
        <v>46009</v>
      </c>
      <c r="L408" s="195">
        <v>26560</v>
      </c>
      <c r="M408" s="195">
        <v>12150</v>
      </c>
      <c r="N408" s="195">
        <v>14410</v>
      </c>
      <c r="O408" s="195">
        <v>14420</v>
      </c>
      <c r="P408" s="196">
        <v>0.82361111111111096</v>
      </c>
      <c r="Q408" s="196">
        <v>0.92083333333333295</v>
      </c>
      <c r="R408" s="193" t="s">
        <v>42</v>
      </c>
      <c r="S408" s="193" t="s">
        <v>1782</v>
      </c>
      <c r="T408" s="197">
        <f t="shared" si="31"/>
        <v>99</v>
      </c>
      <c r="U408" s="193"/>
      <c r="V408" s="193" t="str">
        <f t="shared" si="32"/>
        <v>Burau</v>
      </c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8"/>
      <c r="AL408" s="18"/>
    </row>
    <row r="409" spans="2:38" ht="15" customHeight="1" x14ac:dyDescent="0.2">
      <c r="B409" s="193">
        <v>1</v>
      </c>
      <c r="C409" s="347" t="s">
        <v>525</v>
      </c>
      <c r="D409" s="193" t="str">
        <f t="shared" si="30"/>
        <v>CPO000381PN</v>
      </c>
      <c r="E409" s="193" t="s">
        <v>70</v>
      </c>
      <c r="F409" s="193" t="s">
        <v>1340</v>
      </c>
      <c r="G409" s="193" t="s">
        <v>1347</v>
      </c>
      <c r="H409" s="193" t="s">
        <v>78</v>
      </c>
      <c r="I409" s="193" t="s">
        <v>41</v>
      </c>
      <c r="J409" s="193" t="str">
        <f t="shared" si="29"/>
        <v>12 Roda</v>
      </c>
      <c r="K409" s="194">
        <v>46009</v>
      </c>
      <c r="L409" s="195">
        <v>45740</v>
      </c>
      <c r="M409" s="195">
        <v>17710</v>
      </c>
      <c r="N409" s="195">
        <v>28030</v>
      </c>
      <c r="O409" s="195">
        <v>28080</v>
      </c>
      <c r="P409" s="196">
        <v>0.82777777777777795</v>
      </c>
      <c r="Q409" s="196">
        <v>0.88194444444444398</v>
      </c>
      <c r="R409" s="193" t="s">
        <v>42</v>
      </c>
      <c r="S409" s="193" t="s">
        <v>1499</v>
      </c>
      <c r="T409" s="197">
        <f t="shared" si="31"/>
        <v>99</v>
      </c>
      <c r="U409" s="193"/>
      <c r="V409" s="193" t="str">
        <f t="shared" si="32"/>
        <v>Burau</v>
      </c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8"/>
      <c r="AL409" s="18"/>
    </row>
    <row r="410" spans="2:38" ht="15" customHeight="1" x14ac:dyDescent="0.2">
      <c r="B410" s="193">
        <v>1</v>
      </c>
      <c r="C410" s="347" t="s">
        <v>516</v>
      </c>
      <c r="D410" s="193" t="str">
        <f t="shared" si="30"/>
        <v>CPO000372KMP</v>
      </c>
      <c r="E410" s="193" t="s">
        <v>76</v>
      </c>
      <c r="F410" s="193" t="s">
        <v>1453</v>
      </c>
      <c r="G410" s="193" t="s">
        <v>1348</v>
      </c>
      <c r="H410" s="193" t="s">
        <v>59</v>
      </c>
      <c r="I410" s="193" t="s">
        <v>41</v>
      </c>
      <c r="J410" s="193" t="str">
        <f t="shared" si="29"/>
        <v>12 Roda</v>
      </c>
      <c r="K410" s="194">
        <v>46009</v>
      </c>
      <c r="L410" s="195">
        <v>45870</v>
      </c>
      <c r="M410" s="195">
        <v>17910</v>
      </c>
      <c r="N410" s="195">
        <v>27960</v>
      </c>
      <c r="O410" s="195">
        <v>27980</v>
      </c>
      <c r="P410" s="196">
        <v>0.390972222222222</v>
      </c>
      <c r="Q410" s="196">
        <v>0.47361111111111098</v>
      </c>
      <c r="R410" s="193" t="s">
        <v>137</v>
      </c>
      <c r="S410" s="193" t="s">
        <v>1372</v>
      </c>
      <c r="T410" s="197">
        <f t="shared" si="31"/>
        <v>53</v>
      </c>
      <c r="U410" s="193" t="s">
        <v>1922</v>
      </c>
      <c r="V410" s="193" t="str">
        <f t="shared" si="32"/>
        <v>Masamba</v>
      </c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8"/>
      <c r="AL410" s="18"/>
    </row>
    <row r="411" spans="2:38" ht="15" customHeight="1" x14ac:dyDescent="0.2">
      <c r="B411" s="193">
        <v>1</v>
      </c>
      <c r="C411" s="347" t="s">
        <v>517</v>
      </c>
      <c r="D411" s="193" t="str">
        <f t="shared" si="30"/>
        <v>CPO000373KMP</v>
      </c>
      <c r="E411" s="193" t="s">
        <v>70</v>
      </c>
      <c r="F411" s="193" t="s">
        <v>1453</v>
      </c>
      <c r="G411" s="193" t="s">
        <v>1348</v>
      </c>
      <c r="H411" s="193" t="s">
        <v>59</v>
      </c>
      <c r="I411" s="193" t="s">
        <v>41</v>
      </c>
      <c r="J411" s="193" t="str">
        <f t="shared" si="29"/>
        <v>12 Roda</v>
      </c>
      <c r="K411" s="194">
        <v>46009</v>
      </c>
      <c r="L411" s="195">
        <v>45740</v>
      </c>
      <c r="M411" s="195">
        <v>17780</v>
      </c>
      <c r="N411" s="195">
        <v>27960</v>
      </c>
      <c r="O411" s="195">
        <v>27940</v>
      </c>
      <c r="P411" s="196">
        <v>0.41875000000000001</v>
      </c>
      <c r="Q411" s="196">
        <v>0.47152777777777799</v>
      </c>
      <c r="R411" s="193" t="s">
        <v>137</v>
      </c>
      <c r="S411" s="193" t="s">
        <v>1499</v>
      </c>
      <c r="T411" s="197">
        <f t="shared" si="31"/>
        <v>53</v>
      </c>
      <c r="U411" s="193" t="s">
        <v>1922</v>
      </c>
      <c r="V411" s="193" t="str">
        <f t="shared" si="32"/>
        <v>Masamba</v>
      </c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8"/>
      <c r="AL411" s="18"/>
    </row>
    <row r="412" spans="2:38" ht="15" customHeight="1" x14ac:dyDescent="0.2">
      <c r="B412" s="193">
        <v>1</v>
      </c>
      <c r="C412" s="347" t="s">
        <v>518</v>
      </c>
      <c r="D412" s="193" t="str">
        <f t="shared" si="30"/>
        <v>CPO000374KMP</v>
      </c>
      <c r="E412" s="193" t="s">
        <v>46</v>
      </c>
      <c r="F412" s="193" t="s">
        <v>1453</v>
      </c>
      <c r="G412" s="193" t="s">
        <v>1348</v>
      </c>
      <c r="H412" s="193" t="s">
        <v>59</v>
      </c>
      <c r="I412" s="193" t="s">
        <v>41</v>
      </c>
      <c r="J412" s="193" t="str">
        <f t="shared" si="29"/>
        <v>10 Roda</v>
      </c>
      <c r="K412" s="194">
        <v>46009</v>
      </c>
      <c r="L412" s="195">
        <v>26430</v>
      </c>
      <c r="M412" s="195">
        <v>11750</v>
      </c>
      <c r="N412" s="195">
        <v>14680</v>
      </c>
      <c r="O412" s="195">
        <v>14620</v>
      </c>
      <c r="P412" s="196">
        <v>0.42013888888888901</v>
      </c>
      <c r="Q412" s="196">
        <v>0.46597222222222201</v>
      </c>
      <c r="R412" s="193" t="s">
        <v>137</v>
      </c>
      <c r="S412" s="193" t="s">
        <v>1393</v>
      </c>
      <c r="T412" s="197">
        <f t="shared" si="31"/>
        <v>53</v>
      </c>
      <c r="U412" s="193" t="s">
        <v>1922</v>
      </c>
      <c r="V412" s="193" t="str">
        <f t="shared" si="32"/>
        <v>Masamba</v>
      </c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8"/>
      <c r="AL412" s="18"/>
    </row>
    <row r="413" spans="2:38" ht="15" customHeight="1" x14ac:dyDescent="0.2">
      <c r="B413" s="193">
        <v>1</v>
      </c>
      <c r="C413" s="347" t="s">
        <v>519</v>
      </c>
      <c r="D413" s="193" t="str">
        <f t="shared" si="30"/>
        <v>CPO000375KMP</v>
      </c>
      <c r="E413" s="193" t="s">
        <v>56</v>
      </c>
      <c r="F413" s="193" t="s">
        <v>1453</v>
      </c>
      <c r="G413" s="193" t="s">
        <v>1348</v>
      </c>
      <c r="H413" s="193" t="s">
        <v>59</v>
      </c>
      <c r="I413" s="193" t="s">
        <v>41</v>
      </c>
      <c r="J413" s="193" t="str">
        <f t="shared" si="29"/>
        <v>10 Roda</v>
      </c>
      <c r="K413" s="194">
        <v>46009</v>
      </c>
      <c r="L413" s="195">
        <v>25050</v>
      </c>
      <c r="M413" s="195">
        <v>10970</v>
      </c>
      <c r="N413" s="195">
        <v>14080</v>
      </c>
      <c r="O413" s="195">
        <v>14080</v>
      </c>
      <c r="P413" s="196">
        <v>0.42638888888888898</v>
      </c>
      <c r="Q413" s="196">
        <v>0.49375000000000002</v>
      </c>
      <c r="R413" s="193" t="s">
        <v>137</v>
      </c>
      <c r="S413" s="193" t="s">
        <v>1781</v>
      </c>
      <c r="T413" s="197">
        <f t="shared" si="31"/>
        <v>53</v>
      </c>
      <c r="U413" s="193" t="s">
        <v>1922</v>
      </c>
      <c r="V413" s="193" t="str">
        <f t="shared" si="32"/>
        <v>Masamba</v>
      </c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8"/>
      <c r="AL413" s="18"/>
    </row>
    <row r="414" spans="2:38" ht="15" customHeight="1" x14ac:dyDescent="0.2">
      <c r="B414" s="193">
        <v>1</v>
      </c>
      <c r="C414" s="347" t="s">
        <v>520</v>
      </c>
      <c r="D414" s="193" t="str">
        <f t="shared" si="30"/>
        <v>CPO000376KMP</v>
      </c>
      <c r="E414" s="193" t="s">
        <v>84</v>
      </c>
      <c r="F414" s="193" t="s">
        <v>1453</v>
      </c>
      <c r="G414" s="193" t="s">
        <v>1348</v>
      </c>
      <c r="H414" s="193" t="s">
        <v>59</v>
      </c>
      <c r="I414" s="193" t="s">
        <v>41</v>
      </c>
      <c r="J414" s="193" t="str">
        <f t="shared" si="29"/>
        <v>10 Roda</v>
      </c>
      <c r="K414" s="194">
        <v>46009</v>
      </c>
      <c r="L414" s="195">
        <v>26560</v>
      </c>
      <c r="M414" s="195">
        <v>12210</v>
      </c>
      <c r="N414" s="195">
        <v>14350</v>
      </c>
      <c r="O414" s="195">
        <v>14300</v>
      </c>
      <c r="P414" s="196">
        <v>0.43611111111111101</v>
      </c>
      <c r="Q414" s="196">
        <v>0.50347222222222199</v>
      </c>
      <c r="R414" s="193" t="s">
        <v>137</v>
      </c>
      <c r="S414" s="193" t="s">
        <v>1782</v>
      </c>
      <c r="T414" s="197">
        <f t="shared" si="31"/>
        <v>53</v>
      </c>
      <c r="U414" s="193" t="s">
        <v>1922</v>
      </c>
      <c r="V414" s="193" t="str">
        <f t="shared" si="32"/>
        <v>Masamba</v>
      </c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8"/>
      <c r="AL414" s="18"/>
    </row>
    <row r="415" spans="2:38" ht="15" customHeight="1" x14ac:dyDescent="0.2">
      <c r="B415" s="193">
        <v>1</v>
      </c>
      <c r="C415" s="347" t="s">
        <v>526</v>
      </c>
      <c r="D415" s="193" t="str">
        <f t="shared" si="30"/>
        <v>CPO000382MIS</v>
      </c>
      <c r="E415" s="193" t="s">
        <v>155</v>
      </c>
      <c r="F415" s="193" t="s">
        <v>1335</v>
      </c>
      <c r="G415" s="193" t="s">
        <v>1334</v>
      </c>
      <c r="H415" s="193" t="s">
        <v>40</v>
      </c>
      <c r="I415" s="193" t="s">
        <v>41</v>
      </c>
      <c r="J415" s="193" t="str">
        <f t="shared" si="29"/>
        <v>6 Roda</v>
      </c>
      <c r="K415" s="194">
        <v>46010</v>
      </c>
      <c r="L415" s="195">
        <v>13530</v>
      </c>
      <c r="M415" s="195">
        <v>3970</v>
      </c>
      <c r="N415" s="195">
        <v>9560</v>
      </c>
      <c r="O415" s="195">
        <v>9650</v>
      </c>
      <c r="P415" s="196">
        <v>0.35138888888888897</v>
      </c>
      <c r="Q415" s="196">
        <v>0.420833333333333</v>
      </c>
      <c r="R415" s="193" t="s">
        <v>137</v>
      </c>
      <c r="S415" s="193"/>
      <c r="T415" s="197">
        <f t="shared" si="31"/>
        <v>494</v>
      </c>
      <c r="U415" s="193"/>
      <c r="V415" s="193" t="str">
        <f t="shared" si="32"/>
        <v>Pomala</v>
      </c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8"/>
      <c r="AL415" s="18"/>
    </row>
    <row r="416" spans="2:38" ht="15" customHeight="1" x14ac:dyDescent="0.2">
      <c r="B416" s="193">
        <v>1</v>
      </c>
      <c r="C416" s="347" t="s">
        <v>527</v>
      </c>
      <c r="D416" s="193" t="str">
        <f t="shared" si="30"/>
        <v>CPO000383MIS</v>
      </c>
      <c r="E416" s="193" t="s">
        <v>149</v>
      </c>
      <c r="F416" s="193" t="s">
        <v>1335</v>
      </c>
      <c r="G416" s="193" t="s">
        <v>1334</v>
      </c>
      <c r="H416" s="193" t="s">
        <v>40</v>
      </c>
      <c r="I416" s="193" t="s">
        <v>41</v>
      </c>
      <c r="J416" s="193" t="str">
        <f t="shared" si="29"/>
        <v>6 Roda</v>
      </c>
      <c r="K416" s="194">
        <v>46010</v>
      </c>
      <c r="L416" s="195">
        <v>13880</v>
      </c>
      <c r="M416" s="195">
        <v>4050</v>
      </c>
      <c r="N416" s="195">
        <v>9830</v>
      </c>
      <c r="O416" s="195">
        <v>9840</v>
      </c>
      <c r="P416" s="196">
        <v>0.35277777777777802</v>
      </c>
      <c r="Q416" s="196">
        <v>0.41944444444444501</v>
      </c>
      <c r="R416" s="193" t="s">
        <v>137</v>
      </c>
      <c r="S416" s="193"/>
      <c r="T416" s="197">
        <f t="shared" si="31"/>
        <v>494</v>
      </c>
      <c r="U416" s="193"/>
      <c r="V416" s="193" t="str">
        <f t="shared" si="32"/>
        <v>Pomala</v>
      </c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8"/>
      <c r="AL416" s="18"/>
    </row>
    <row r="417" spans="2:38" ht="15" customHeight="1" x14ac:dyDescent="0.2">
      <c r="B417" s="193">
        <v>1</v>
      </c>
      <c r="C417" s="347" t="s">
        <v>528</v>
      </c>
      <c r="D417" s="193" t="str">
        <f t="shared" si="30"/>
        <v>CPO000384MIS</v>
      </c>
      <c r="E417" s="193" t="s">
        <v>153</v>
      </c>
      <c r="F417" s="193" t="s">
        <v>1335</v>
      </c>
      <c r="G417" s="193" t="s">
        <v>1334</v>
      </c>
      <c r="H417" s="193" t="s">
        <v>40</v>
      </c>
      <c r="I417" s="193" t="s">
        <v>41</v>
      </c>
      <c r="J417" s="193" t="str">
        <f t="shared" si="29"/>
        <v>6 Roda</v>
      </c>
      <c r="K417" s="194">
        <v>46010</v>
      </c>
      <c r="L417" s="195">
        <v>13590</v>
      </c>
      <c r="M417" s="195">
        <v>4000</v>
      </c>
      <c r="N417" s="195">
        <v>9590</v>
      </c>
      <c r="O417" s="195">
        <v>9550</v>
      </c>
      <c r="P417" s="196">
        <v>0.35416666666666702</v>
      </c>
      <c r="Q417" s="196">
        <v>0.41875000000000001</v>
      </c>
      <c r="R417" s="193" t="s">
        <v>137</v>
      </c>
      <c r="S417" s="193"/>
      <c r="T417" s="197">
        <f t="shared" si="31"/>
        <v>494</v>
      </c>
      <c r="U417" s="193"/>
      <c r="V417" s="193" t="str">
        <f t="shared" si="32"/>
        <v>Pomala</v>
      </c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8"/>
      <c r="AL417" s="18"/>
    </row>
    <row r="418" spans="2:38" ht="15" customHeight="1" x14ac:dyDescent="0.2">
      <c r="B418" s="193">
        <v>1</v>
      </c>
      <c r="C418" s="347" t="s">
        <v>539</v>
      </c>
      <c r="D418" s="193" t="str">
        <f t="shared" si="30"/>
        <v>CPO000395MIS</v>
      </c>
      <c r="E418" s="193" t="s">
        <v>163</v>
      </c>
      <c r="F418" s="193" t="s">
        <v>1335</v>
      </c>
      <c r="G418" s="193" t="s">
        <v>1334</v>
      </c>
      <c r="H418" s="193" t="s">
        <v>40</v>
      </c>
      <c r="I418" s="193" t="s">
        <v>41</v>
      </c>
      <c r="J418" s="193" t="str">
        <f t="shared" si="29"/>
        <v>6 Roda</v>
      </c>
      <c r="K418" s="194">
        <v>46010</v>
      </c>
      <c r="L418" s="195">
        <v>13900</v>
      </c>
      <c r="M418" s="195">
        <v>3990</v>
      </c>
      <c r="N418" s="195">
        <v>9910</v>
      </c>
      <c r="O418" s="195">
        <v>9970</v>
      </c>
      <c r="P418" s="196">
        <v>0.90625</v>
      </c>
      <c r="Q418" s="196">
        <v>0.93333333333333302</v>
      </c>
      <c r="R418" s="193" t="s">
        <v>42</v>
      </c>
      <c r="S418" s="193"/>
      <c r="T418" s="197">
        <f t="shared" si="31"/>
        <v>494</v>
      </c>
      <c r="U418" s="193"/>
      <c r="V418" s="193" t="str">
        <f t="shared" si="32"/>
        <v>Pomala</v>
      </c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8"/>
      <c r="AL418" s="18"/>
    </row>
    <row r="419" spans="2:38" ht="15" customHeight="1" x14ac:dyDescent="0.2">
      <c r="B419" s="193">
        <v>1</v>
      </c>
      <c r="C419" s="347" t="s">
        <v>540</v>
      </c>
      <c r="D419" s="193" t="str">
        <f t="shared" si="30"/>
        <v>CPO000396MIS</v>
      </c>
      <c r="E419" s="193" t="s">
        <v>171</v>
      </c>
      <c r="F419" s="193" t="s">
        <v>1335</v>
      </c>
      <c r="G419" s="193" t="s">
        <v>1334</v>
      </c>
      <c r="H419" s="193" t="s">
        <v>40</v>
      </c>
      <c r="I419" s="193" t="s">
        <v>41</v>
      </c>
      <c r="J419" s="193" t="str">
        <f t="shared" si="29"/>
        <v>6 Roda</v>
      </c>
      <c r="K419" s="194">
        <v>46010</v>
      </c>
      <c r="L419" s="195">
        <v>13140</v>
      </c>
      <c r="M419" s="195">
        <v>3640</v>
      </c>
      <c r="N419" s="195">
        <v>9500</v>
      </c>
      <c r="O419" s="195">
        <v>9440</v>
      </c>
      <c r="P419" s="196">
        <v>0.90833333333333299</v>
      </c>
      <c r="Q419" s="196">
        <v>0.94097222222222199</v>
      </c>
      <c r="R419" s="193" t="s">
        <v>42</v>
      </c>
      <c r="S419" s="193"/>
      <c r="T419" s="197">
        <f t="shared" si="31"/>
        <v>494</v>
      </c>
      <c r="U419" s="193"/>
      <c r="V419" s="193" t="str">
        <f t="shared" si="32"/>
        <v>Pomala</v>
      </c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8"/>
      <c r="AL419" s="18"/>
    </row>
    <row r="420" spans="2:38" ht="15" customHeight="1" x14ac:dyDescent="0.2">
      <c r="B420" s="193">
        <v>1</v>
      </c>
      <c r="C420" s="347" t="s">
        <v>541</v>
      </c>
      <c r="D420" s="193" t="str">
        <f t="shared" si="30"/>
        <v>CPO000397MIS</v>
      </c>
      <c r="E420" s="193" t="s">
        <v>160</v>
      </c>
      <c r="F420" s="193" t="s">
        <v>1335</v>
      </c>
      <c r="G420" s="193" t="s">
        <v>1334</v>
      </c>
      <c r="H420" s="193" t="s">
        <v>40</v>
      </c>
      <c r="I420" s="193" t="s">
        <v>41</v>
      </c>
      <c r="J420" s="193" t="str">
        <f t="shared" si="29"/>
        <v>6 Roda</v>
      </c>
      <c r="K420" s="194">
        <v>46010</v>
      </c>
      <c r="L420" s="195">
        <v>13400</v>
      </c>
      <c r="M420" s="195">
        <v>3640</v>
      </c>
      <c r="N420" s="195">
        <v>9760</v>
      </c>
      <c r="O420" s="195">
        <v>9710</v>
      </c>
      <c r="P420" s="196">
        <v>0.90902777777777799</v>
      </c>
      <c r="Q420" s="196">
        <v>0.94305555555555598</v>
      </c>
      <c r="R420" s="193" t="s">
        <v>42</v>
      </c>
      <c r="S420" s="193"/>
      <c r="T420" s="197">
        <f t="shared" si="31"/>
        <v>494</v>
      </c>
      <c r="U420" s="193"/>
      <c r="V420" s="193" t="str">
        <f t="shared" si="32"/>
        <v>Pomala</v>
      </c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8"/>
      <c r="AL420" s="18"/>
    </row>
    <row r="421" spans="2:38" ht="15" customHeight="1" x14ac:dyDescent="0.2">
      <c r="B421" s="193">
        <v>1</v>
      </c>
      <c r="C421" s="347" t="s">
        <v>529</v>
      </c>
      <c r="D421" s="193" t="str">
        <f t="shared" si="30"/>
        <v>CPO000385KMP</v>
      </c>
      <c r="E421" s="193" t="s">
        <v>56</v>
      </c>
      <c r="F421" s="193" t="s">
        <v>1453</v>
      </c>
      <c r="G421" s="193" t="s">
        <v>1348</v>
      </c>
      <c r="H421" s="193" t="s">
        <v>59</v>
      </c>
      <c r="I421" s="193" t="s">
        <v>41</v>
      </c>
      <c r="J421" s="193" t="str">
        <f t="shared" si="29"/>
        <v>10 Roda</v>
      </c>
      <c r="K421" s="194">
        <v>46010</v>
      </c>
      <c r="L421" s="195">
        <v>25110</v>
      </c>
      <c r="M421" s="195">
        <v>10940</v>
      </c>
      <c r="N421" s="195">
        <v>14170</v>
      </c>
      <c r="O421" s="195">
        <v>14180</v>
      </c>
      <c r="P421" s="196">
        <v>0.38194444444444398</v>
      </c>
      <c r="Q421" s="196">
        <v>0.47152777777777799</v>
      </c>
      <c r="R421" s="193" t="s">
        <v>137</v>
      </c>
      <c r="S421" s="193" t="s">
        <v>1781</v>
      </c>
      <c r="T421" s="197">
        <f t="shared" si="31"/>
        <v>53</v>
      </c>
      <c r="U421" s="193" t="s">
        <v>1922</v>
      </c>
      <c r="V421" s="193" t="str">
        <f t="shared" si="32"/>
        <v>Masamba</v>
      </c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8"/>
      <c r="AL421" s="18"/>
    </row>
    <row r="422" spans="2:38" ht="15" customHeight="1" x14ac:dyDescent="0.2">
      <c r="B422" s="193">
        <v>1</v>
      </c>
      <c r="C422" s="347" t="s">
        <v>530</v>
      </c>
      <c r="D422" s="193" t="str">
        <f t="shared" si="30"/>
        <v>CPO000386KMP</v>
      </c>
      <c r="E422" s="193" t="s">
        <v>46</v>
      </c>
      <c r="F422" s="193" t="s">
        <v>1453</v>
      </c>
      <c r="G422" s="193" t="s">
        <v>1348</v>
      </c>
      <c r="H422" s="193" t="s">
        <v>59</v>
      </c>
      <c r="I422" s="193" t="s">
        <v>41</v>
      </c>
      <c r="J422" s="193" t="str">
        <f t="shared" si="29"/>
        <v>10 Roda</v>
      </c>
      <c r="K422" s="194">
        <v>46010</v>
      </c>
      <c r="L422" s="195">
        <v>26520</v>
      </c>
      <c r="M422" s="195">
        <v>11840</v>
      </c>
      <c r="N422" s="195">
        <v>14680</v>
      </c>
      <c r="O422" s="195">
        <v>14660</v>
      </c>
      <c r="P422" s="196">
        <v>0.38888888888888901</v>
      </c>
      <c r="Q422" s="196">
        <v>0.55069444444444504</v>
      </c>
      <c r="R422" s="193" t="s">
        <v>137</v>
      </c>
      <c r="S422" s="193" t="s">
        <v>1393</v>
      </c>
      <c r="T422" s="197">
        <f t="shared" si="31"/>
        <v>53</v>
      </c>
      <c r="U422" s="193" t="s">
        <v>1922</v>
      </c>
      <c r="V422" s="193" t="str">
        <f t="shared" si="32"/>
        <v>Masamba</v>
      </c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8"/>
      <c r="AL422" s="18"/>
    </row>
    <row r="423" spans="2:38" ht="15" customHeight="1" x14ac:dyDescent="0.2">
      <c r="B423" s="193">
        <v>1</v>
      </c>
      <c r="C423" s="347" t="s">
        <v>531</v>
      </c>
      <c r="D423" s="193" t="str">
        <f t="shared" si="30"/>
        <v>CPO000387KMP</v>
      </c>
      <c r="E423" s="193" t="s">
        <v>84</v>
      </c>
      <c r="F423" s="193" t="s">
        <v>1453</v>
      </c>
      <c r="G423" s="193" t="s">
        <v>1348</v>
      </c>
      <c r="H423" s="193" t="s">
        <v>59</v>
      </c>
      <c r="I423" s="193" t="s">
        <v>41</v>
      </c>
      <c r="J423" s="193" t="str">
        <f t="shared" si="29"/>
        <v>10 Roda</v>
      </c>
      <c r="K423" s="194">
        <v>46010</v>
      </c>
      <c r="L423" s="195">
        <v>26670</v>
      </c>
      <c r="M423" s="195">
        <v>12280</v>
      </c>
      <c r="N423" s="195">
        <v>14390</v>
      </c>
      <c r="O423" s="195">
        <v>14360</v>
      </c>
      <c r="P423" s="196">
        <v>0.422222222222222</v>
      </c>
      <c r="Q423" s="196">
        <v>0.55138888888888904</v>
      </c>
      <c r="R423" s="193" t="s">
        <v>137</v>
      </c>
      <c r="S423" s="193" t="s">
        <v>1782</v>
      </c>
      <c r="T423" s="197">
        <f t="shared" si="31"/>
        <v>53</v>
      </c>
      <c r="U423" s="193" t="s">
        <v>1922</v>
      </c>
      <c r="V423" s="193" t="str">
        <f t="shared" si="32"/>
        <v>Masamba</v>
      </c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8"/>
      <c r="AL423" s="18"/>
    </row>
    <row r="424" spans="2:38" ht="15" customHeight="1" x14ac:dyDescent="0.2">
      <c r="B424" s="193">
        <v>1</v>
      </c>
      <c r="C424" s="347" t="s">
        <v>532</v>
      </c>
      <c r="D424" s="193" t="str">
        <f t="shared" si="30"/>
        <v>CPO000388KMP</v>
      </c>
      <c r="E424" s="193" t="s">
        <v>70</v>
      </c>
      <c r="F424" s="193" t="s">
        <v>1453</v>
      </c>
      <c r="G424" s="193" t="s">
        <v>1348</v>
      </c>
      <c r="H424" s="193" t="s">
        <v>59</v>
      </c>
      <c r="I424" s="193" t="s">
        <v>41</v>
      </c>
      <c r="J424" s="193" t="str">
        <f t="shared" si="29"/>
        <v>12 Roda</v>
      </c>
      <c r="K424" s="194">
        <v>46010</v>
      </c>
      <c r="L424" s="195">
        <v>45600</v>
      </c>
      <c r="M424" s="195">
        <v>17650</v>
      </c>
      <c r="N424" s="195">
        <v>27950</v>
      </c>
      <c r="O424" s="195">
        <v>27880</v>
      </c>
      <c r="P424" s="196">
        <v>0.43263888888888902</v>
      </c>
      <c r="Q424" s="196">
        <v>0.55416666666666703</v>
      </c>
      <c r="R424" s="193" t="s">
        <v>137</v>
      </c>
      <c r="S424" s="193" t="s">
        <v>1499</v>
      </c>
      <c r="T424" s="197">
        <f t="shared" si="31"/>
        <v>53</v>
      </c>
      <c r="U424" s="193" t="s">
        <v>1922</v>
      </c>
      <c r="V424" s="193" t="str">
        <f t="shared" si="32"/>
        <v>Masamba</v>
      </c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8"/>
      <c r="AL424" s="18"/>
    </row>
    <row r="425" spans="2:38" ht="15" customHeight="1" x14ac:dyDescent="0.2">
      <c r="B425" s="193">
        <v>1</v>
      </c>
      <c r="C425" s="347" t="s">
        <v>533</v>
      </c>
      <c r="D425" s="193" t="str">
        <f t="shared" si="30"/>
        <v>CPO000389KMP</v>
      </c>
      <c r="E425" s="193" t="s">
        <v>76</v>
      </c>
      <c r="F425" s="193" t="s">
        <v>1453</v>
      </c>
      <c r="G425" s="193" t="s">
        <v>1348</v>
      </c>
      <c r="H425" s="193" t="s">
        <v>59</v>
      </c>
      <c r="I425" s="193" t="s">
        <v>41</v>
      </c>
      <c r="J425" s="193" t="str">
        <f t="shared" si="29"/>
        <v>12 Roda</v>
      </c>
      <c r="K425" s="194">
        <v>46010</v>
      </c>
      <c r="L425" s="195">
        <v>45770</v>
      </c>
      <c r="M425" s="195">
        <v>18060</v>
      </c>
      <c r="N425" s="195">
        <v>27710</v>
      </c>
      <c r="O425" s="195">
        <v>27600</v>
      </c>
      <c r="P425" s="196">
        <v>0.44374999999999998</v>
      </c>
      <c r="Q425" s="196">
        <v>0.55208333333333304</v>
      </c>
      <c r="R425" s="193" t="s">
        <v>137</v>
      </c>
      <c r="S425" s="193" t="s">
        <v>1372</v>
      </c>
      <c r="T425" s="197">
        <f t="shared" si="31"/>
        <v>53</v>
      </c>
      <c r="U425" s="193" t="s">
        <v>1922</v>
      </c>
      <c r="V425" s="193" t="str">
        <f t="shared" si="32"/>
        <v>Masamba</v>
      </c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8"/>
      <c r="AL425" s="18"/>
    </row>
    <row r="426" spans="2:38" ht="15" customHeight="1" x14ac:dyDescent="0.2">
      <c r="B426" s="193">
        <v>1</v>
      </c>
      <c r="C426" s="347" t="s">
        <v>534</v>
      </c>
      <c r="D426" s="193" t="str">
        <f t="shared" si="30"/>
        <v>CPO000390JAS</v>
      </c>
      <c r="E426" s="193" t="s">
        <v>56</v>
      </c>
      <c r="F426" s="193" t="s">
        <v>1433</v>
      </c>
      <c r="G426" s="193" t="s">
        <v>1337</v>
      </c>
      <c r="H426" s="193" t="s">
        <v>49</v>
      </c>
      <c r="I426" s="193" t="s">
        <v>41</v>
      </c>
      <c r="J426" s="193" t="str">
        <f t="shared" si="29"/>
        <v>10 Roda</v>
      </c>
      <c r="K426" s="194">
        <v>46010</v>
      </c>
      <c r="L426" s="195">
        <v>25050</v>
      </c>
      <c r="M426" s="195">
        <v>11240</v>
      </c>
      <c r="N426" s="195">
        <v>13810</v>
      </c>
      <c r="O426" s="195">
        <v>14120</v>
      </c>
      <c r="P426" s="196">
        <v>0.69930555555555596</v>
      </c>
      <c r="Q426" s="196">
        <v>0.75</v>
      </c>
      <c r="R426" s="193" t="s">
        <v>42</v>
      </c>
      <c r="S426" s="193" t="s">
        <v>1781</v>
      </c>
      <c r="T426" s="197">
        <f t="shared" si="31"/>
        <v>68</v>
      </c>
      <c r="U426" s="193" t="s">
        <v>1922</v>
      </c>
      <c r="V426" s="193" t="str">
        <f t="shared" si="32"/>
        <v>Bone Bone</v>
      </c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8"/>
      <c r="AL426" s="18"/>
    </row>
    <row r="427" spans="2:38" ht="15" customHeight="1" x14ac:dyDescent="0.2">
      <c r="B427" s="193">
        <v>1</v>
      </c>
      <c r="C427" s="347" t="s">
        <v>535</v>
      </c>
      <c r="D427" s="193" t="str">
        <f t="shared" si="30"/>
        <v>CPO000391JAS</v>
      </c>
      <c r="E427" s="193" t="s">
        <v>84</v>
      </c>
      <c r="F427" s="193" t="s">
        <v>1435</v>
      </c>
      <c r="G427" s="193" t="s">
        <v>1349</v>
      </c>
      <c r="H427" s="193" t="s">
        <v>49</v>
      </c>
      <c r="I427" s="193" t="s">
        <v>41</v>
      </c>
      <c r="J427" s="193" t="str">
        <f t="shared" si="29"/>
        <v>10 Roda</v>
      </c>
      <c r="K427" s="194">
        <v>46010</v>
      </c>
      <c r="L427" s="195">
        <v>26680</v>
      </c>
      <c r="M427" s="195">
        <v>12240</v>
      </c>
      <c r="N427" s="195">
        <v>14440</v>
      </c>
      <c r="O427" s="195">
        <v>14360</v>
      </c>
      <c r="P427" s="196">
        <v>0.75416666666666698</v>
      </c>
      <c r="Q427" s="196">
        <v>0.843055555555556</v>
      </c>
      <c r="R427" s="193" t="s">
        <v>42</v>
      </c>
      <c r="S427" s="193" t="s">
        <v>1782</v>
      </c>
      <c r="T427" s="197">
        <f t="shared" si="31"/>
        <v>68</v>
      </c>
      <c r="U427" s="193" t="s">
        <v>1922</v>
      </c>
      <c r="V427" s="193" t="str">
        <f t="shared" si="32"/>
        <v>Bone Bone</v>
      </c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8"/>
      <c r="AL427" s="18"/>
    </row>
    <row r="428" spans="2:38" ht="15" customHeight="1" x14ac:dyDescent="0.2">
      <c r="B428" s="193">
        <v>1</v>
      </c>
      <c r="C428" s="347" t="s">
        <v>536</v>
      </c>
      <c r="D428" s="193" t="str">
        <f t="shared" si="30"/>
        <v>CPO000392JAS</v>
      </c>
      <c r="E428" s="193" t="s">
        <v>46</v>
      </c>
      <c r="F428" s="193" t="s">
        <v>1435</v>
      </c>
      <c r="G428" s="193" t="s">
        <v>1349</v>
      </c>
      <c r="H428" s="193" t="s">
        <v>49</v>
      </c>
      <c r="I428" s="193" t="s">
        <v>41</v>
      </c>
      <c r="J428" s="193" t="str">
        <f t="shared" si="29"/>
        <v>10 Roda</v>
      </c>
      <c r="K428" s="194">
        <v>46010</v>
      </c>
      <c r="L428" s="195">
        <v>26480</v>
      </c>
      <c r="M428" s="195">
        <v>11790</v>
      </c>
      <c r="N428" s="195">
        <v>14690</v>
      </c>
      <c r="O428" s="195">
        <v>14610</v>
      </c>
      <c r="P428" s="196">
        <v>0.75972222222222197</v>
      </c>
      <c r="Q428" s="196">
        <v>0.84513888888888899</v>
      </c>
      <c r="R428" s="193" t="s">
        <v>42</v>
      </c>
      <c r="S428" s="193" t="s">
        <v>1393</v>
      </c>
      <c r="T428" s="197">
        <f t="shared" si="31"/>
        <v>68</v>
      </c>
      <c r="U428" s="193" t="s">
        <v>1922</v>
      </c>
      <c r="V428" s="193" t="str">
        <f t="shared" si="32"/>
        <v>Bone Bone</v>
      </c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8"/>
      <c r="AL428" s="18"/>
    </row>
    <row r="429" spans="2:38" ht="15" customHeight="1" x14ac:dyDescent="0.2">
      <c r="B429" s="193">
        <v>1</v>
      </c>
      <c r="C429" s="347" t="s">
        <v>537</v>
      </c>
      <c r="D429" s="193" t="str">
        <f t="shared" si="30"/>
        <v>CPO000393JAS</v>
      </c>
      <c r="E429" s="193" t="s">
        <v>70</v>
      </c>
      <c r="F429" s="193" t="s">
        <v>1435</v>
      </c>
      <c r="G429" s="193" t="s">
        <v>1349</v>
      </c>
      <c r="H429" s="193" t="s">
        <v>49</v>
      </c>
      <c r="I429" s="193" t="s">
        <v>41</v>
      </c>
      <c r="J429" s="193" t="str">
        <f t="shared" si="29"/>
        <v>12 Roda</v>
      </c>
      <c r="K429" s="194">
        <v>46010</v>
      </c>
      <c r="L429" s="195">
        <v>45820</v>
      </c>
      <c r="M429" s="195">
        <v>17840</v>
      </c>
      <c r="N429" s="195">
        <v>27980</v>
      </c>
      <c r="O429" s="195">
        <v>27920</v>
      </c>
      <c r="P429" s="196">
        <v>0.84027777777777801</v>
      </c>
      <c r="Q429" s="196">
        <v>0.88749999999999996</v>
      </c>
      <c r="R429" s="193" t="s">
        <v>42</v>
      </c>
      <c r="S429" s="193" t="s">
        <v>1499</v>
      </c>
      <c r="T429" s="197">
        <f t="shared" si="31"/>
        <v>68</v>
      </c>
      <c r="U429" s="193" t="s">
        <v>1922</v>
      </c>
      <c r="V429" s="193" t="str">
        <f t="shared" si="32"/>
        <v>Bone Bone</v>
      </c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8"/>
      <c r="AL429" s="18"/>
    </row>
    <row r="430" spans="2:38" ht="15" customHeight="1" x14ac:dyDescent="0.2">
      <c r="B430" s="193">
        <v>1</v>
      </c>
      <c r="C430" s="347" t="s">
        <v>538</v>
      </c>
      <c r="D430" s="193" t="str">
        <f t="shared" si="30"/>
        <v>CPO000394JAS</v>
      </c>
      <c r="E430" s="193" t="s">
        <v>76</v>
      </c>
      <c r="F430" s="193" t="s">
        <v>1435</v>
      </c>
      <c r="G430" s="193" t="s">
        <v>1349</v>
      </c>
      <c r="H430" s="193" t="s">
        <v>49</v>
      </c>
      <c r="I430" s="193" t="s">
        <v>41</v>
      </c>
      <c r="J430" s="193" t="str">
        <f t="shared" si="29"/>
        <v>12 Roda</v>
      </c>
      <c r="K430" s="194">
        <v>46010</v>
      </c>
      <c r="L430" s="195">
        <v>45930</v>
      </c>
      <c r="M430" s="195">
        <v>18000</v>
      </c>
      <c r="N430" s="195">
        <v>27930</v>
      </c>
      <c r="O430" s="195">
        <v>27660</v>
      </c>
      <c r="P430" s="196">
        <v>0.84166666666666701</v>
      </c>
      <c r="Q430" s="196">
        <v>0.88819444444444395</v>
      </c>
      <c r="R430" s="193" t="s">
        <v>42</v>
      </c>
      <c r="S430" s="193" t="s">
        <v>1372</v>
      </c>
      <c r="T430" s="197">
        <f t="shared" si="31"/>
        <v>68</v>
      </c>
      <c r="U430" s="193" t="s">
        <v>1922</v>
      </c>
      <c r="V430" s="193" t="str">
        <f t="shared" si="32"/>
        <v>Bone Bone</v>
      </c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8"/>
      <c r="AL430" s="18"/>
    </row>
    <row r="431" spans="2:38" ht="15" customHeight="1" x14ac:dyDescent="0.2">
      <c r="B431" s="193">
        <v>1</v>
      </c>
      <c r="C431" s="347" t="s">
        <v>542</v>
      </c>
      <c r="D431" s="193" t="str">
        <f t="shared" si="30"/>
        <v>CPO000398MIS</v>
      </c>
      <c r="E431" s="193" t="s">
        <v>181</v>
      </c>
      <c r="F431" s="193" t="s">
        <v>1335</v>
      </c>
      <c r="G431" s="193" t="s">
        <v>1334</v>
      </c>
      <c r="H431" s="193" t="s">
        <v>40</v>
      </c>
      <c r="I431" s="193" t="s">
        <v>41</v>
      </c>
      <c r="J431" s="193" t="str">
        <f t="shared" si="29"/>
        <v>6 Roda</v>
      </c>
      <c r="K431" s="194">
        <v>46011</v>
      </c>
      <c r="L431" s="195">
        <v>13510</v>
      </c>
      <c r="M431" s="195">
        <v>4140</v>
      </c>
      <c r="N431" s="195">
        <v>9370</v>
      </c>
      <c r="O431" s="195">
        <v>9500</v>
      </c>
      <c r="P431" s="196">
        <v>0.360416666666667</v>
      </c>
      <c r="Q431" s="196">
        <v>0.41041666666666698</v>
      </c>
      <c r="R431" s="193" t="s">
        <v>137</v>
      </c>
      <c r="S431" s="193"/>
      <c r="T431" s="197">
        <f t="shared" si="31"/>
        <v>494</v>
      </c>
      <c r="U431" s="193"/>
      <c r="V431" s="193" t="str">
        <f t="shared" si="32"/>
        <v>Pomala</v>
      </c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8"/>
      <c r="AL431" s="18"/>
    </row>
    <row r="432" spans="2:38" ht="15" customHeight="1" x14ac:dyDescent="0.2">
      <c r="B432" s="193">
        <v>1</v>
      </c>
      <c r="C432" s="347" t="s">
        <v>543</v>
      </c>
      <c r="D432" s="193" t="str">
        <f t="shared" si="30"/>
        <v>CPO000399MIS</v>
      </c>
      <c r="E432" s="193" t="s">
        <v>166</v>
      </c>
      <c r="F432" s="193" t="s">
        <v>1335</v>
      </c>
      <c r="G432" s="193" t="s">
        <v>1334</v>
      </c>
      <c r="H432" s="193" t="s">
        <v>40</v>
      </c>
      <c r="I432" s="193" t="s">
        <v>41</v>
      </c>
      <c r="J432" s="193" t="str">
        <f t="shared" si="29"/>
        <v>6 Roda</v>
      </c>
      <c r="K432" s="194">
        <v>46011</v>
      </c>
      <c r="L432" s="195">
        <v>13050</v>
      </c>
      <c r="M432" s="195">
        <v>3980</v>
      </c>
      <c r="N432" s="195">
        <v>9070</v>
      </c>
      <c r="O432" s="195">
        <v>9210</v>
      </c>
      <c r="P432" s="196">
        <v>0.36111111111111099</v>
      </c>
      <c r="Q432" s="196">
        <v>0.405555555555556</v>
      </c>
      <c r="R432" s="193" t="s">
        <v>137</v>
      </c>
      <c r="S432" s="193"/>
      <c r="T432" s="197">
        <f t="shared" si="31"/>
        <v>494</v>
      </c>
      <c r="U432" s="193"/>
      <c r="V432" s="193" t="str">
        <f t="shared" si="32"/>
        <v>Pomala</v>
      </c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8"/>
      <c r="AL432" s="18"/>
    </row>
    <row r="433" spans="2:38" ht="15" customHeight="1" x14ac:dyDescent="0.2">
      <c r="B433" s="193">
        <v>1</v>
      </c>
      <c r="C433" s="347" t="s">
        <v>544</v>
      </c>
      <c r="D433" s="193" t="str">
        <f t="shared" si="30"/>
        <v>CPO000400MIS</v>
      </c>
      <c r="E433" s="193" t="s">
        <v>169</v>
      </c>
      <c r="F433" s="193" t="s">
        <v>1335</v>
      </c>
      <c r="G433" s="193" t="s">
        <v>1334</v>
      </c>
      <c r="H433" s="193" t="s">
        <v>40</v>
      </c>
      <c r="I433" s="193" t="s">
        <v>41</v>
      </c>
      <c r="J433" s="193" t="str">
        <f t="shared" si="29"/>
        <v>6 Roda</v>
      </c>
      <c r="K433" s="194">
        <v>46011</v>
      </c>
      <c r="L433" s="195">
        <v>13350</v>
      </c>
      <c r="M433" s="195">
        <v>3990</v>
      </c>
      <c r="N433" s="195">
        <v>9360</v>
      </c>
      <c r="O433" s="195">
        <v>9360</v>
      </c>
      <c r="P433" s="196">
        <v>0.36249999999999999</v>
      </c>
      <c r="Q433" s="196">
        <v>0.41319444444444398</v>
      </c>
      <c r="R433" s="193" t="s">
        <v>137</v>
      </c>
      <c r="S433" s="193"/>
      <c r="T433" s="197">
        <f t="shared" si="31"/>
        <v>494</v>
      </c>
      <c r="U433" s="193"/>
      <c r="V433" s="193" t="str">
        <f t="shared" si="32"/>
        <v>Pomala</v>
      </c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8"/>
      <c r="AL433" s="18"/>
    </row>
    <row r="434" spans="2:38" ht="15" customHeight="1" x14ac:dyDescent="0.2">
      <c r="B434" s="193">
        <v>1</v>
      </c>
      <c r="C434" s="347" t="s">
        <v>549</v>
      </c>
      <c r="D434" s="193" t="str">
        <f t="shared" si="30"/>
        <v>CPO000405MIS</v>
      </c>
      <c r="E434" s="193" t="s">
        <v>151</v>
      </c>
      <c r="F434" s="193" t="s">
        <v>1335</v>
      </c>
      <c r="G434" s="193" t="s">
        <v>1334</v>
      </c>
      <c r="H434" s="193" t="s">
        <v>40</v>
      </c>
      <c r="I434" s="193" t="s">
        <v>41</v>
      </c>
      <c r="J434" s="193" t="str">
        <f t="shared" si="29"/>
        <v>6 Roda</v>
      </c>
      <c r="K434" s="194">
        <v>46011</v>
      </c>
      <c r="L434" s="195">
        <v>13490</v>
      </c>
      <c r="M434" s="195">
        <v>4140</v>
      </c>
      <c r="N434" s="195">
        <v>9350</v>
      </c>
      <c r="O434" s="195">
        <v>9400</v>
      </c>
      <c r="P434" s="196">
        <v>0.66944444444444395</v>
      </c>
      <c r="Q434" s="196">
        <v>0.70902777777777803</v>
      </c>
      <c r="R434" s="193" t="s">
        <v>42</v>
      </c>
      <c r="S434" s="193"/>
      <c r="T434" s="197">
        <f t="shared" si="31"/>
        <v>494</v>
      </c>
      <c r="U434" s="193"/>
      <c r="V434" s="193" t="str">
        <f t="shared" si="32"/>
        <v>Pomala</v>
      </c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8"/>
      <c r="AL434" s="18"/>
    </row>
    <row r="435" spans="2:38" ht="15" customHeight="1" x14ac:dyDescent="0.2">
      <c r="B435" s="193">
        <v>1</v>
      </c>
      <c r="C435" s="347" t="s">
        <v>553</v>
      </c>
      <c r="D435" s="193" t="str">
        <f t="shared" si="30"/>
        <v>CPO000409MIS</v>
      </c>
      <c r="E435" s="193" t="s">
        <v>183</v>
      </c>
      <c r="F435" s="193" t="s">
        <v>1335</v>
      </c>
      <c r="G435" s="193" t="s">
        <v>1334</v>
      </c>
      <c r="H435" s="193" t="s">
        <v>40</v>
      </c>
      <c r="I435" s="193" t="s">
        <v>41</v>
      </c>
      <c r="J435" s="193" t="str">
        <f t="shared" si="29"/>
        <v>6 Roda</v>
      </c>
      <c r="K435" s="194">
        <v>46011</v>
      </c>
      <c r="L435" s="195">
        <v>14220</v>
      </c>
      <c r="M435" s="195">
        <v>4200</v>
      </c>
      <c r="N435" s="195">
        <v>10020</v>
      </c>
      <c r="O435" s="195">
        <v>10000</v>
      </c>
      <c r="P435" s="196">
        <v>0.73402777777777795</v>
      </c>
      <c r="Q435" s="196">
        <v>0.75416666666666698</v>
      </c>
      <c r="R435" s="193" t="s">
        <v>42</v>
      </c>
      <c r="S435" s="193"/>
      <c r="T435" s="197">
        <f t="shared" si="31"/>
        <v>494</v>
      </c>
      <c r="U435" s="193"/>
      <c r="V435" s="193" t="str">
        <f t="shared" si="32"/>
        <v>Pomala</v>
      </c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8"/>
      <c r="AL435" s="18"/>
    </row>
    <row r="436" spans="2:38" ht="15" customHeight="1" x14ac:dyDescent="0.2">
      <c r="B436" s="193">
        <v>1</v>
      </c>
      <c r="C436" s="347" t="s">
        <v>545</v>
      </c>
      <c r="D436" s="193" t="str">
        <f t="shared" si="30"/>
        <v>CPO000401JAS</v>
      </c>
      <c r="E436" s="193" t="s">
        <v>56</v>
      </c>
      <c r="F436" s="193" t="s">
        <v>1435</v>
      </c>
      <c r="G436" s="193" t="s">
        <v>1349</v>
      </c>
      <c r="H436" s="193" t="s">
        <v>49</v>
      </c>
      <c r="I436" s="193" t="s">
        <v>41</v>
      </c>
      <c r="J436" s="193" t="str">
        <f t="shared" si="29"/>
        <v>10 Roda</v>
      </c>
      <c r="K436" s="194">
        <v>46011</v>
      </c>
      <c r="L436" s="195">
        <v>25020</v>
      </c>
      <c r="M436" s="195">
        <v>11170</v>
      </c>
      <c r="N436" s="195">
        <v>13850</v>
      </c>
      <c r="O436" s="195">
        <v>13770</v>
      </c>
      <c r="P436" s="196">
        <v>0.41180555555555598</v>
      </c>
      <c r="Q436" s="196">
        <v>0.49444444444444502</v>
      </c>
      <c r="R436" s="193" t="s">
        <v>137</v>
      </c>
      <c r="S436" s="193" t="s">
        <v>1781</v>
      </c>
      <c r="T436" s="197">
        <f t="shared" si="31"/>
        <v>68</v>
      </c>
      <c r="U436" s="193" t="s">
        <v>1922</v>
      </c>
      <c r="V436" s="193" t="str">
        <f t="shared" si="32"/>
        <v>Bone Bone</v>
      </c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8"/>
      <c r="AL436" s="18"/>
    </row>
    <row r="437" spans="2:38" ht="15" customHeight="1" x14ac:dyDescent="0.2">
      <c r="B437" s="193">
        <v>1</v>
      </c>
      <c r="C437" s="347" t="s">
        <v>546</v>
      </c>
      <c r="D437" s="193" t="str">
        <f t="shared" si="30"/>
        <v>CPO000402JAS</v>
      </c>
      <c r="E437" s="193" t="s">
        <v>46</v>
      </c>
      <c r="F437" s="193" t="s">
        <v>1435</v>
      </c>
      <c r="G437" s="193" t="s">
        <v>1349</v>
      </c>
      <c r="H437" s="193" t="s">
        <v>49</v>
      </c>
      <c r="I437" s="193" t="s">
        <v>41</v>
      </c>
      <c r="J437" s="193" t="str">
        <f t="shared" si="29"/>
        <v>10 Roda</v>
      </c>
      <c r="K437" s="194">
        <v>46011</v>
      </c>
      <c r="L437" s="195">
        <v>26450</v>
      </c>
      <c r="M437" s="195">
        <v>11770</v>
      </c>
      <c r="N437" s="195">
        <v>14680</v>
      </c>
      <c r="O437" s="195">
        <v>14650</v>
      </c>
      <c r="P437" s="196">
        <v>0.44236111111111098</v>
      </c>
      <c r="Q437" s="196">
        <v>0.49305555555555602</v>
      </c>
      <c r="R437" s="193" t="s">
        <v>137</v>
      </c>
      <c r="S437" s="193" t="s">
        <v>1393</v>
      </c>
      <c r="T437" s="197">
        <f t="shared" si="31"/>
        <v>68</v>
      </c>
      <c r="U437" s="193" t="s">
        <v>1922</v>
      </c>
      <c r="V437" s="193" t="str">
        <f t="shared" si="32"/>
        <v>Bone Bone</v>
      </c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8"/>
      <c r="AL437" s="18"/>
    </row>
    <row r="438" spans="2:38" ht="15" customHeight="1" x14ac:dyDescent="0.2">
      <c r="B438" s="193">
        <v>1</v>
      </c>
      <c r="C438" s="347" t="s">
        <v>547</v>
      </c>
      <c r="D438" s="193" t="str">
        <f t="shared" si="30"/>
        <v>CPO000403JAS</v>
      </c>
      <c r="E438" s="193" t="s">
        <v>70</v>
      </c>
      <c r="F438" s="193" t="s">
        <v>1435</v>
      </c>
      <c r="G438" s="193" t="s">
        <v>1349</v>
      </c>
      <c r="H438" s="193" t="s">
        <v>49</v>
      </c>
      <c r="I438" s="193" t="s">
        <v>41</v>
      </c>
      <c r="J438" s="193" t="str">
        <f t="shared" si="29"/>
        <v>12 Roda</v>
      </c>
      <c r="K438" s="194">
        <v>46011</v>
      </c>
      <c r="L438" s="195">
        <v>45760</v>
      </c>
      <c r="M438" s="195">
        <v>17790</v>
      </c>
      <c r="N438" s="195">
        <v>27970</v>
      </c>
      <c r="O438" s="195">
        <v>27900</v>
      </c>
      <c r="P438" s="196">
        <v>0.44444444444444398</v>
      </c>
      <c r="Q438" s="196">
        <v>0.49861111111111101</v>
      </c>
      <c r="R438" s="193" t="s">
        <v>137</v>
      </c>
      <c r="S438" s="193" t="s">
        <v>1499</v>
      </c>
      <c r="T438" s="197">
        <f t="shared" si="31"/>
        <v>68</v>
      </c>
      <c r="U438" s="193" t="s">
        <v>1922</v>
      </c>
      <c r="V438" s="193" t="str">
        <f t="shared" si="32"/>
        <v>Bone Bone</v>
      </c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8"/>
      <c r="AL438" s="18"/>
    </row>
    <row r="439" spans="2:38" ht="15" customHeight="1" x14ac:dyDescent="0.2">
      <c r="B439" s="193">
        <v>1</v>
      </c>
      <c r="C439" s="347" t="s">
        <v>548</v>
      </c>
      <c r="D439" s="193" t="str">
        <f t="shared" si="30"/>
        <v>CPO000404JAS</v>
      </c>
      <c r="E439" s="193" t="s">
        <v>84</v>
      </c>
      <c r="F439" s="193" t="s">
        <v>1435</v>
      </c>
      <c r="G439" s="193" t="s">
        <v>1349</v>
      </c>
      <c r="H439" s="193" t="s">
        <v>49</v>
      </c>
      <c r="I439" s="193" t="s">
        <v>41</v>
      </c>
      <c r="J439" s="193" t="str">
        <f t="shared" si="29"/>
        <v>10 Roda</v>
      </c>
      <c r="K439" s="194">
        <v>46011</v>
      </c>
      <c r="L439" s="195">
        <v>26570</v>
      </c>
      <c r="M439" s="195">
        <v>12210</v>
      </c>
      <c r="N439" s="195">
        <v>14360</v>
      </c>
      <c r="O439" s="195">
        <v>14330</v>
      </c>
      <c r="P439" s="196">
        <v>0.46041666666666697</v>
      </c>
      <c r="Q439" s="196">
        <v>0.51388888888888895</v>
      </c>
      <c r="R439" s="193" t="s">
        <v>137</v>
      </c>
      <c r="S439" s="193" t="s">
        <v>1782</v>
      </c>
      <c r="T439" s="197">
        <f t="shared" si="31"/>
        <v>68</v>
      </c>
      <c r="U439" s="193" t="s">
        <v>1922</v>
      </c>
      <c r="V439" s="193" t="str">
        <f t="shared" si="32"/>
        <v>Bone Bone</v>
      </c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8"/>
      <c r="AL439" s="18"/>
    </row>
    <row r="440" spans="2:38" ht="15" customHeight="1" x14ac:dyDescent="0.2">
      <c r="B440" s="193">
        <v>1</v>
      </c>
      <c r="C440" s="347" t="s">
        <v>550</v>
      </c>
      <c r="D440" s="193" t="str">
        <f t="shared" si="30"/>
        <v>CPO000406JAS</v>
      </c>
      <c r="E440" s="193" t="s">
        <v>76</v>
      </c>
      <c r="F440" s="193" t="s">
        <v>1435</v>
      </c>
      <c r="G440" s="193" t="s">
        <v>1349</v>
      </c>
      <c r="H440" s="193" t="s">
        <v>49</v>
      </c>
      <c r="I440" s="193" t="s">
        <v>41</v>
      </c>
      <c r="J440" s="193" t="str">
        <f t="shared" si="29"/>
        <v>12 Roda</v>
      </c>
      <c r="K440" s="194">
        <v>46011</v>
      </c>
      <c r="L440" s="195">
        <v>45760</v>
      </c>
      <c r="M440" s="195">
        <v>17420</v>
      </c>
      <c r="N440" s="195">
        <v>28340</v>
      </c>
      <c r="O440" s="195">
        <v>28300</v>
      </c>
      <c r="P440" s="196">
        <v>0.67430555555555605</v>
      </c>
      <c r="Q440" s="196">
        <v>0.72986111111111096</v>
      </c>
      <c r="R440" s="193" t="s">
        <v>42</v>
      </c>
      <c r="S440" s="193" t="s">
        <v>1372</v>
      </c>
      <c r="T440" s="197">
        <f t="shared" si="31"/>
        <v>68</v>
      </c>
      <c r="U440" s="193" t="s">
        <v>1922</v>
      </c>
      <c r="V440" s="193" t="str">
        <f t="shared" si="32"/>
        <v>Bone Bone</v>
      </c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8"/>
      <c r="AL440" s="18"/>
    </row>
    <row r="441" spans="2:38" ht="15" customHeight="1" x14ac:dyDescent="0.2">
      <c r="B441" s="193">
        <v>1</v>
      </c>
      <c r="C441" s="347" t="s">
        <v>551</v>
      </c>
      <c r="D441" s="193" t="str">
        <f t="shared" si="30"/>
        <v>CPO000407JAS</v>
      </c>
      <c r="E441" s="193" t="s">
        <v>70</v>
      </c>
      <c r="F441" s="193" t="s">
        <v>1435</v>
      </c>
      <c r="G441" s="193" t="s">
        <v>1349</v>
      </c>
      <c r="H441" s="193" t="s">
        <v>49</v>
      </c>
      <c r="I441" s="193" t="s">
        <v>41</v>
      </c>
      <c r="J441" s="193" t="str">
        <f t="shared" si="29"/>
        <v>12 Roda</v>
      </c>
      <c r="K441" s="194">
        <v>46011</v>
      </c>
      <c r="L441" s="195">
        <v>45800</v>
      </c>
      <c r="M441" s="195">
        <v>17710</v>
      </c>
      <c r="N441" s="195">
        <v>28090</v>
      </c>
      <c r="O441" s="195">
        <v>28010</v>
      </c>
      <c r="P441" s="196">
        <v>0.70833333333333304</v>
      </c>
      <c r="Q441" s="196">
        <v>0.74791666666666701</v>
      </c>
      <c r="R441" s="193" t="s">
        <v>42</v>
      </c>
      <c r="S441" s="193" t="s">
        <v>1499</v>
      </c>
      <c r="T441" s="197">
        <f t="shared" si="31"/>
        <v>68</v>
      </c>
      <c r="U441" s="193" t="s">
        <v>1922</v>
      </c>
      <c r="V441" s="193" t="str">
        <f t="shared" si="32"/>
        <v>Bone Bone</v>
      </c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8"/>
      <c r="AL441" s="18"/>
    </row>
    <row r="442" spans="2:38" ht="15" customHeight="1" x14ac:dyDescent="0.2">
      <c r="B442" s="193">
        <v>1</v>
      </c>
      <c r="C442" s="347" t="s">
        <v>552</v>
      </c>
      <c r="D442" s="193" t="str">
        <f t="shared" si="30"/>
        <v>CPO000408JAS</v>
      </c>
      <c r="E442" s="193" t="s">
        <v>46</v>
      </c>
      <c r="F442" s="193" t="s">
        <v>1435</v>
      </c>
      <c r="G442" s="193" t="s">
        <v>1349</v>
      </c>
      <c r="H442" s="193" t="s">
        <v>49</v>
      </c>
      <c r="I442" s="193" t="s">
        <v>41</v>
      </c>
      <c r="J442" s="193" t="str">
        <f t="shared" si="29"/>
        <v>10 Roda</v>
      </c>
      <c r="K442" s="194">
        <v>46011</v>
      </c>
      <c r="L442" s="195">
        <v>26540</v>
      </c>
      <c r="M442" s="195">
        <v>11870</v>
      </c>
      <c r="N442" s="195">
        <v>14670</v>
      </c>
      <c r="O442" s="195">
        <v>14600</v>
      </c>
      <c r="P442" s="196">
        <v>0.71319444444444502</v>
      </c>
      <c r="Q442" s="196">
        <v>0.75277777777777799</v>
      </c>
      <c r="R442" s="193" t="s">
        <v>42</v>
      </c>
      <c r="S442" s="193" t="s">
        <v>1393</v>
      </c>
      <c r="T442" s="197">
        <f t="shared" si="31"/>
        <v>68</v>
      </c>
      <c r="U442" s="193" t="s">
        <v>1922</v>
      </c>
      <c r="V442" s="193" t="str">
        <f t="shared" si="32"/>
        <v>Bone Bone</v>
      </c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8"/>
      <c r="AL442" s="18"/>
    </row>
    <row r="443" spans="2:38" ht="15" customHeight="1" x14ac:dyDescent="0.2">
      <c r="B443" s="193">
        <v>1</v>
      </c>
      <c r="C443" s="347" t="s">
        <v>554</v>
      </c>
      <c r="D443" s="193" t="str">
        <f t="shared" si="30"/>
        <v>CPO000410JAS</v>
      </c>
      <c r="E443" s="193" t="s">
        <v>56</v>
      </c>
      <c r="F443" s="193" t="s">
        <v>1435</v>
      </c>
      <c r="G443" s="193" t="s">
        <v>1349</v>
      </c>
      <c r="H443" s="193" t="s">
        <v>49</v>
      </c>
      <c r="I443" s="193" t="s">
        <v>41</v>
      </c>
      <c r="J443" s="193" t="str">
        <f t="shared" si="29"/>
        <v>10 Roda</v>
      </c>
      <c r="K443" s="194">
        <v>46011</v>
      </c>
      <c r="L443" s="195">
        <v>25080</v>
      </c>
      <c r="M443" s="195">
        <v>10880</v>
      </c>
      <c r="N443" s="195">
        <v>14200</v>
      </c>
      <c r="O443" s="195">
        <v>13800</v>
      </c>
      <c r="P443" s="196">
        <v>0.74652777777777801</v>
      </c>
      <c r="Q443" s="196">
        <v>0.79374999999999996</v>
      </c>
      <c r="R443" s="193" t="s">
        <v>42</v>
      </c>
      <c r="S443" s="193" t="s">
        <v>1781</v>
      </c>
      <c r="T443" s="197">
        <f t="shared" si="31"/>
        <v>68</v>
      </c>
      <c r="U443" s="193" t="s">
        <v>1922</v>
      </c>
      <c r="V443" s="193" t="str">
        <f t="shared" si="32"/>
        <v>Bone Bone</v>
      </c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8"/>
      <c r="AL443" s="18"/>
    </row>
    <row r="444" spans="2:38" ht="15" customHeight="1" x14ac:dyDescent="0.2">
      <c r="B444" s="193">
        <v>1</v>
      </c>
      <c r="C444" s="347" t="s">
        <v>555</v>
      </c>
      <c r="D444" s="193" t="str">
        <f t="shared" si="30"/>
        <v>CPO000411JAS</v>
      </c>
      <c r="E444" s="193" t="s">
        <v>56</v>
      </c>
      <c r="F444" s="193" t="s">
        <v>1435</v>
      </c>
      <c r="G444" s="193" t="s">
        <v>1349</v>
      </c>
      <c r="H444" s="193" t="s">
        <v>49</v>
      </c>
      <c r="I444" s="193" t="s">
        <v>41</v>
      </c>
      <c r="J444" s="193" t="str">
        <f t="shared" si="29"/>
        <v>10 Roda</v>
      </c>
      <c r="K444" s="194">
        <v>46013</v>
      </c>
      <c r="L444" s="195">
        <v>25060</v>
      </c>
      <c r="M444" s="195">
        <v>10790</v>
      </c>
      <c r="N444" s="195">
        <v>14270</v>
      </c>
      <c r="O444" s="195">
        <v>14190</v>
      </c>
      <c r="P444" s="196">
        <v>0.46458333333333302</v>
      </c>
      <c r="Q444" s="196">
        <v>0.54930555555555605</v>
      </c>
      <c r="R444" s="193" t="s">
        <v>137</v>
      </c>
      <c r="S444" s="193" t="s">
        <v>1781</v>
      </c>
      <c r="T444" s="197">
        <f t="shared" si="31"/>
        <v>68</v>
      </c>
      <c r="U444" s="193" t="s">
        <v>1922</v>
      </c>
      <c r="V444" s="193" t="str">
        <f t="shared" si="32"/>
        <v>Bone Bone</v>
      </c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8"/>
      <c r="AL444" s="18"/>
    </row>
    <row r="445" spans="2:38" ht="15" customHeight="1" x14ac:dyDescent="0.2">
      <c r="B445" s="193">
        <v>1</v>
      </c>
      <c r="C445" s="347" t="s">
        <v>556</v>
      </c>
      <c r="D445" s="193" t="str">
        <f t="shared" si="30"/>
        <v>CPO000412JAS</v>
      </c>
      <c r="E445" s="193" t="s">
        <v>46</v>
      </c>
      <c r="F445" s="193" t="s">
        <v>1435</v>
      </c>
      <c r="G445" s="193" t="s">
        <v>1349</v>
      </c>
      <c r="H445" s="193" t="s">
        <v>49</v>
      </c>
      <c r="I445" s="193" t="s">
        <v>41</v>
      </c>
      <c r="J445" s="193" t="str">
        <f t="shared" si="29"/>
        <v>10 Roda</v>
      </c>
      <c r="K445" s="194">
        <v>46013</v>
      </c>
      <c r="L445" s="195">
        <v>26560</v>
      </c>
      <c r="M445" s="195">
        <v>11840</v>
      </c>
      <c r="N445" s="195">
        <v>14720</v>
      </c>
      <c r="O445" s="195">
        <v>14690</v>
      </c>
      <c r="P445" s="196">
        <v>0.48125000000000001</v>
      </c>
      <c r="Q445" s="196">
        <v>0.55416666666666703</v>
      </c>
      <c r="R445" s="193" t="s">
        <v>137</v>
      </c>
      <c r="S445" s="193" t="s">
        <v>1393</v>
      </c>
      <c r="T445" s="197">
        <f t="shared" si="31"/>
        <v>68</v>
      </c>
      <c r="U445" s="193" t="s">
        <v>1922</v>
      </c>
      <c r="V445" s="193" t="str">
        <f t="shared" si="32"/>
        <v>Bone Bone</v>
      </c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8"/>
      <c r="AL445" s="18"/>
    </row>
    <row r="446" spans="2:38" ht="15" customHeight="1" x14ac:dyDescent="0.2">
      <c r="B446" s="193">
        <v>1</v>
      </c>
      <c r="C446" s="347" t="s">
        <v>557</v>
      </c>
      <c r="D446" s="193" t="str">
        <f t="shared" si="30"/>
        <v>CPO000413JAS</v>
      </c>
      <c r="E446" s="193" t="s">
        <v>76</v>
      </c>
      <c r="F446" s="193" t="s">
        <v>1435</v>
      </c>
      <c r="G446" s="193" t="s">
        <v>1349</v>
      </c>
      <c r="H446" s="193" t="s">
        <v>49</v>
      </c>
      <c r="I446" s="193" t="s">
        <v>41</v>
      </c>
      <c r="J446" s="193" t="str">
        <f t="shared" si="29"/>
        <v>12 Roda</v>
      </c>
      <c r="K446" s="194">
        <v>46013</v>
      </c>
      <c r="L446" s="195">
        <v>45740</v>
      </c>
      <c r="M446" s="195">
        <v>17370</v>
      </c>
      <c r="N446" s="195">
        <v>28370</v>
      </c>
      <c r="O446" s="195">
        <v>28320</v>
      </c>
      <c r="P446" s="196">
        <v>0.50694444444444398</v>
      </c>
      <c r="Q446" s="196">
        <v>0.58055555555555605</v>
      </c>
      <c r="R446" s="193" t="s">
        <v>137</v>
      </c>
      <c r="S446" s="193" t="s">
        <v>1372</v>
      </c>
      <c r="T446" s="197">
        <f t="shared" si="31"/>
        <v>68</v>
      </c>
      <c r="U446" s="193" t="s">
        <v>1922</v>
      </c>
      <c r="V446" s="193" t="str">
        <f t="shared" si="32"/>
        <v>Bone Bone</v>
      </c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8"/>
      <c r="AL446" s="18"/>
    </row>
    <row r="447" spans="2:38" ht="15" customHeight="1" x14ac:dyDescent="0.2">
      <c r="B447" s="193">
        <v>1</v>
      </c>
      <c r="C447" s="347" t="s">
        <v>558</v>
      </c>
      <c r="D447" s="193" t="str">
        <f t="shared" si="30"/>
        <v>CPO000414JAS</v>
      </c>
      <c r="E447" s="193" t="s">
        <v>70</v>
      </c>
      <c r="F447" s="193" t="s">
        <v>1435</v>
      </c>
      <c r="G447" s="193" t="s">
        <v>1349</v>
      </c>
      <c r="H447" s="193" t="s">
        <v>49</v>
      </c>
      <c r="I447" s="193" t="s">
        <v>41</v>
      </c>
      <c r="J447" s="193" t="str">
        <f t="shared" si="29"/>
        <v>12 Roda</v>
      </c>
      <c r="K447" s="194">
        <v>46013</v>
      </c>
      <c r="L447" s="195">
        <v>45670</v>
      </c>
      <c r="M447" s="195">
        <v>17640</v>
      </c>
      <c r="N447" s="195">
        <v>28030</v>
      </c>
      <c r="O447" s="195">
        <v>27980</v>
      </c>
      <c r="P447" s="196">
        <v>0.54374999999999996</v>
      </c>
      <c r="Q447" s="196">
        <v>0.58819444444444502</v>
      </c>
      <c r="R447" s="193" t="s">
        <v>137</v>
      </c>
      <c r="S447" s="193" t="s">
        <v>1499</v>
      </c>
      <c r="T447" s="197">
        <f t="shared" si="31"/>
        <v>68</v>
      </c>
      <c r="U447" s="193" t="s">
        <v>1922</v>
      </c>
      <c r="V447" s="193" t="str">
        <f t="shared" si="32"/>
        <v>Bone Bone</v>
      </c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8"/>
      <c r="AL447" s="18"/>
    </row>
    <row r="448" spans="2:38" ht="15" customHeight="1" x14ac:dyDescent="0.2">
      <c r="B448" s="193">
        <v>1</v>
      </c>
      <c r="C448" s="347" t="s">
        <v>559</v>
      </c>
      <c r="D448" s="193" t="str">
        <f t="shared" si="30"/>
        <v>CPO000415JAS</v>
      </c>
      <c r="E448" s="193" t="s">
        <v>56</v>
      </c>
      <c r="F448" s="193" t="s">
        <v>1435</v>
      </c>
      <c r="G448" s="193" t="s">
        <v>1349</v>
      </c>
      <c r="H448" s="193" t="s">
        <v>49</v>
      </c>
      <c r="I448" s="193" t="s">
        <v>41</v>
      </c>
      <c r="J448" s="193" t="str">
        <f t="shared" ref="J448:J511" si="33">IF(MIN(L448,M448)&lt;=5000,"6 Roda",IF(MIN(L448,M448)&lt;=13800,"10 Roda","12 Roda"))</f>
        <v>10 Roda</v>
      </c>
      <c r="K448" s="194">
        <v>46013</v>
      </c>
      <c r="L448" s="195">
        <v>24980</v>
      </c>
      <c r="M448" s="195">
        <v>10730</v>
      </c>
      <c r="N448" s="195">
        <v>14250</v>
      </c>
      <c r="O448" s="195">
        <v>14170</v>
      </c>
      <c r="P448" s="196">
        <v>0.74444444444444502</v>
      </c>
      <c r="Q448" s="196">
        <v>0.81388888888888899</v>
      </c>
      <c r="R448" s="193" t="s">
        <v>42</v>
      </c>
      <c r="S448" s="193" t="s">
        <v>1781</v>
      </c>
      <c r="T448" s="197">
        <f t="shared" si="31"/>
        <v>68</v>
      </c>
      <c r="U448" s="193" t="s">
        <v>1922</v>
      </c>
      <c r="V448" s="193" t="str">
        <f t="shared" si="32"/>
        <v>Bone Bone</v>
      </c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8"/>
      <c r="AL448" s="18"/>
    </row>
    <row r="449" spans="2:38" ht="15" customHeight="1" x14ac:dyDescent="0.2">
      <c r="B449" s="193">
        <v>1</v>
      </c>
      <c r="C449" s="347" t="s">
        <v>560</v>
      </c>
      <c r="D449" s="193" t="str">
        <f t="shared" si="30"/>
        <v>CPO000416JAS</v>
      </c>
      <c r="E449" s="193" t="s">
        <v>46</v>
      </c>
      <c r="F449" s="193" t="s">
        <v>1435</v>
      </c>
      <c r="G449" s="193" t="s">
        <v>1349</v>
      </c>
      <c r="H449" s="193" t="s">
        <v>49</v>
      </c>
      <c r="I449" s="193" t="s">
        <v>41</v>
      </c>
      <c r="J449" s="193" t="str">
        <f t="shared" si="33"/>
        <v>10 Roda</v>
      </c>
      <c r="K449" s="194">
        <v>46013</v>
      </c>
      <c r="L449" s="195">
        <v>26530</v>
      </c>
      <c r="M449" s="195">
        <v>11810</v>
      </c>
      <c r="N449" s="195">
        <v>14720</v>
      </c>
      <c r="O449" s="195">
        <v>14680</v>
      </c>
      <c r="P449" s="196">
        <v>0.76597222222222205</v>
      </c>
      <c r="Q449" s="196">
        <v>0.82847222222222205</v>
      </c>
      <c r="R449" s="193" t="s">
        <v>42</v>
      </c>
      <c r="S449" s="193" t="s">
        <v>1393</v>
      </c>
      <c r="T449" s="197">
        <f t="shared" si="31"/>
        <v>68</v>
      </c>
      <c r="U449" s="193" t="s">
        <v>1922</v>
      </c>
      <c r="V449" s="193" t="str">
        <f t="shared" si="32"/>
        <v>Bone Bone</v>
      </c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8"/>
      <c r="AL449" s="18"/>
    </row>
    <row r="450" spans="2:38" ht="15" customHeight="1" x14ac:dyDescent="0.2">
      <c r="B450" s="193">
        <v>1</v>
      </c>
      <c r="C450" s="347" t="s">
        <v>784</v>
      </c>
      <c r="D450" s="193" t="str">
        <f t="shared" si="30"/>
        <v>CPO000622KMP</v>
      </c>
      <c r="E450" s="193" t="s">
        <v>76</v>
      </c>
      <c r="F450" s="193" t="s">
        <v>1455</v>
      </c>
      <c r="G450" s="193" t="s">
        <v>1359</v>
      </c>
      <c r="H450" s="193" t="s">
        <v>59</v>
      </c>
      <c r="I450" s="193" t="s">
        <v>41</v>
      </c>
      <c r="J450" s="193" t="str">
        <f t="shared" si="33"/>
        <v>12 Roda</v>
      </c>
      <c r="K450" s="194">
        <v>46058</v>
      </c>
      <c r="L450" s="195">
        <v>45850</v>
      </c>
      <c r="M450" s="195">
        <v>17550</v>
      </c>
      <c r="N450" s="195">
        <v>28300</v>
      </c>
      <c r="O450" s="195">
        <v>28400</v>
      </c>
      <c r="P450" s="196">
        <v>0.34930555555555598</v>
      </c>
      <c r="Q450" s="196">
        <v>0.40138888888888902</v>
      </c>
      <c r="R450" s="193" t="s">
        <v>137</v>
      </c>
      <c r="S450" s="193" t="s">
        <v>1372</v>
      </c>
      <c r="T450" s="197">
        <f t="shared" si="31"/>
        <v>53</v>
      </c>
      <c r="U450" s="193" t="s">
        <v>1922</v>
      </c>
      <c r="V450" s="193" t="str">
        <f t="shared" si="32"/>
        <v>Masamba</v>
      </c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8"/>
      <c r="AL450" s="18"/>
    </row>
    <row r="451" spans="2:38" ht="15" customHeight="1" x14ac:dyDescent="0.2">
      <c r="B451" s="193">
        <v>1</v>
      </c>
      <c r="C451" s="347" t="s">
        <v>562</v>
      </c>
      <c r="D451" s="193" t="str">
        <f t="shared" si="30"/>
        <v>CPO000418JAS</v>
      </c>
      <c r="E451" s="193" t="s">
        <v>70</v>
      </c>
      <c r="F451" s="193" t="s">
        <v>1435</v>
      </c>
      <c r="G451" s="193" t="s">
        <v>1349</v>
      </c>
      <c r="H451" s="193" t="s">
        <v>49</v>
      </c>
      <c r="I451" s="193" t="s">
        <v>41</v>
      </c>
      <c r="J451" s="193" t="str">
        <f t="shared" si="33"/>
        <v>12 Roda</v>
      </c>
      <c r="K451" s="194">
        <v>46013</v>
      </c>
      <c r="L451" s="195">
        <v>45890</v>
      </c>
      <c r="M451" s="195">
        <v>17830</v>
      </c>
      <c r="N451" s="195">
        <v>28060</v>
      </c>
      <c r="O451" s="195">
        <v>28000</v>
      </c>
      <c r="P451" s="196">
        <v>0.82638888888888895</v>
      </c>
      <c r="Q451" s="196">
        <v>0.85972222222222205</v>
      </c>
      <c r="R451" s="193" t="s">
        <v>42</v>
      </c>
      <c r="S451" s="193" t="s">
        <v>1499</v>
      </c>
      <c r="T451" s="197">
        <f t="shared" si="31"/>
        <v>68</v>
      </c>
      <c r="U451" s="193" t="s">
        <v>1922</v>
      </c>
      <c r="V451" s="193" t="str">
        <f t="shared" si="32"/>
        <v>Bone Bone</v>
      </c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8"/>
      <c r="AL451" s="18"/>
    </row>
    <row r="452" spans="2:38" ht="15" customHeight="1" x14ac:dyDescent="0.2">
      <c r="B452" s="193">
        <v>1</v>
      </c>
      <c r="C452" s="347" t="s">
        <v>563</v>
      </c>
      <c r="D452" s="193" t="str">
        <f t="shared" si="30"/>
        <v>CPO000419MIS</v>
      </c>
      <c r="E452" s="193" t="s">
        <v>147</v>
      </c>
      <c r="F452" s="193" t="s">
        <v>1335</v>
      </c>
      <c r="G452" s="193" t="s">
        <v>1334</v>
      </c>
      <c r="H452" s="193" t="s">
        <v>40</v>
      </c>
      <c r="I452" s="193" t="s">
        <v>41</v>
      </c>
      <c r="J452" s="193" t="str">
        <f t="shared" si="33"/>
        <v>6 Roda</v>
      </c>
      <c r="K452" s="194">
        <v>46014</v>
      </c>
      <c r="L452" s="195">
        <v>13960</v>
      </c>
      <c r="M452" s="195">
        <v>3980</v>
      </c>
      <c r="N452" s="195">
        <v>9980</v>
      </c>
      <c r="O452" s="195">
        <v>9970</v>
      </c>
      <c r="P452" s="196">
        <v>0.34722222222222199</v>
      </c>
      <c r="Q452" s="196">
        <v>0.40138888888888902</v>
      </c>
      <c r="R452" s="193" t="s">
        <v>137</v>
      </c>
      <c r="S452" s="193"/>
      <c r="T452" s="197">
        <f t="shared" si="31"/>
        <v>494</v>
      </c>
      <c r="U452" s="193"/>
      <c r="V452" s="193" t="str">
        <f t="shared" si="32"/>
        <v>Pomala</v>
      </c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8"/>
      <c r="AL452" s="18"/>
    </row>
    <row r="453" spans="2:38" ht="15" customHeight="1" x14ac:dyDescent="0.2">
      <c r="B453" s="193">
        <v>1</v>
      </c>
      <c r="C453" s="347" t="s">
        <v>564</v>
      </c>
      <c r="D453" s="193" t="str">
        <f t="shared" si="30"/>
        <v>CPO000420MIS</v>
      </c>
      <c r="E453" s="193" t="s">
        <v>565</v>
      </c>
      <c r="F453" s="193" t="s">
        <v>1335</v>
      </c>
      <c r="G453" s="193" t="s">
        <v>1334</v>
      </c>
      <c r="H453" s="193" t="s">
        <v>40</v>
      </c>
      <c r="I453" s="193" t="s">
        <v>41</v>
      </c>
      <c r="J453" s="193" t="str">
        <f t="shared" si="33"/>
        <v>6 Roda</v>
      </c>
      <c r="K453" s="194">
        <v>46014</v>
      </c>
      <c r="L453" s="195">
        <v>14520</v>
      </c>
      <c r="M453" s="195">
        <v>4390</v>
      </c>
      <c r="N453" s="195">
        <v>10130</v>
      </c>
      <c r="O453" s="195">
        <v>10030</v>
      </c>
      <c r="P453" s="196">
        <v>0.34861111111111098</v>
      </c>
      <c r="Q453" s="196">
        <v>0.39722222222222198</v>
      </c>
      <c r="R453" s="193" t="s">
        <v>137</v>
      </c>
      <c r="S453" s="193"/>
      <c r="T453" s="197">
        <f t="shared" si="31"/>
        <v>494</v>
      </c>
      <c r="U453" s="193"/>
      <c r="V453" s="193" t="str">
        <f t="shared" si="32"/>
        <v>Pomala</v>
      </c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8"/>
      <c r="AL453" s="18"/>
    </row>
    <row r="454" spans="2:38" ht="15" customHeight="1" x14ac:dyDescent="0.2">
      <c r="B454" s="193">
        <v>1</v>
      </c>
      <c r="C454" s="347" t="s">
        <v>566</v>
      </c>
      <c r="D454" s="193" t="str">
        <f t="shared" si="30"/>
        <v>CPO000421MIS</v>
      </c>
      <c r="E454" s="193" t="s">
        <v>149</v>
      </c>
      <c r="F454" s="193" t="s">
        <v>1335</v>
      </c>
      <c r="G454" s="193" t="s">
        <v>1334</v>
      </c>
      <c r="H454" s="193" t="s">
        <v>40</v>
      </c>
      <c r="I454" s="193" t="s">
        <v>41</v>
      </c>
      <c r="J454" s="193" t="str">
        <f t="shared" si="33"/>
        <v>6 Roda</v>
      </c>
      <c r="K454" s="194">
        <v>46014</v>
      </c>
      <c r="L454" s="195">
        <v>13900</v>
      </c>
      <c r="M454" s="195">
        <v>4040</v>
      </c>
      <c r="N454" s="195">
        <v>9860</v>
      </c>
      <c r="O454" s="195">
        <v>9850</v>
      </c>
      <c r="P454" s="196">
        <v>0.35277777777777802</v>
      </c>
      <c r="Q454" s="196">
        <v>0.41805555555555601</v>
      </c>
      <c r="R454" s="193" t="s">
        <v>137</v>
      </c>
      <c r="S454" s="193"/>
      <c r="T454" s="197">
        <f t="shared" si="31"/>
        <v>494</v>
      </c>
      <c r="U454" s="193"/>
      <c r="V454" s="193" t="str">
        <f t="shared" si="32"/>
        <v>Pomala</v>
      </c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8"/>
      <c r="AL454" s="18"/>
    </row>
    <row r="455" spans="2:38" ht="15" customHeight="1" x14ac:dyDescent="0.2">
      <c r="B455" s="193">
        <v>1</v>
      </c>
      <c r="C455" s="347" t="s">
        <v>567</v>
      </c>
      <c r="D455" s="193" t="str">
        <f t="shared" si="30"/>
        <v>CPO000422MIS</v>
      </c>
      <c r="E455" s="193" t="s">
        <v>224</v>
      </c>
      <c r="F455" s="193" t="s">
        <v>1335</v>
      </c>
      <c r="G455" s="193" t="s">
        <v>1334</v>
      </c>
      <c r="H455" s="193" t="s">
        <v>40</v>
      </c>
      <c r="I455" s="193" t="s">
        <v>41</v>
      </c>
      <c r="J455" s="193" t="str">
        <f t="shared" si="33"/>
        <v>6 Roda</v>
      </c>
      <c r="K455" s="194">
        <v>46014</v>
      </c>
      <c r="L455" s="195">
        <v>12290</v>
      </c>
      <c r="M455" s="195">
        <v>3810</v>
      </c>
      <c r="N455" s="195">
        <v>8480</v>
      </c>
      <c r="O455" s="195">
        <v>8450</v>
      </c>
      <c r="P455" s="196">
        <v>0.35486111111111102</v>
      </c>
      <c r="Q455" s="196">
        <v>0.42499999999999999</v>
      </c>
      <c r="R455" s="193" t="s">
        <v>137</v>
      </c>
      <c r="S455" s="193"/>
      <c r="T455" s="197">
        <f t="shared" si="31"/>
        <v>494</v>
      </c>
      <c r="U455" s="193"/>
      <c r="V455" s="193" t="str">
        <f t="shared" si="32"/>
        <v>Pomala</v>
      </c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8"/>
      <c r="AL455" s="18"/>
    </row>
    <row r="456" spans="2:38" ht="15" customHeight="1" x14ac:dyDescent="0.2">
      <c r="B456" s="193">
        <v>1</v>
      </c>
      <c r="C456" s="347" t="s">
        <v>568</v>
      </c>
      <c r="D456" s="193" t="str">
        <f t="shared" si="30"/>
        <v>CPO000423MIS</v>
      </c>
      <c r="E456" s="193" t="s">
        <v>569</v>
      </c>
      <c r="F456" s="193" t="s">
        <v>1335</v>
      </c>
      <c r="G456" s="193" t="s">
        <v>1334</v>
      </c>
      <c r="H456" s="193" t="s">
        <v>40</v>
      </c>
      <c r="I456" s="193" t="s">
        <v>41</v>
      </c>
      <c r="J456" s="193" t="str">
        <f t="shared" si="33"/>
        <v>6 Roda</v>
      </c>
      <c r="K456" s="194">
        <v>46014</v>
      </c>
      <c r="L456" s="195">
        <v>13570</v>
      </c>
      <c r="M456" s="195">
        <v>3840</v>
      </c>
      <c r="N456" s="195">
        <v>9730</v>
      </c>
      <c r="O456" s="195">
        <v>9640</v>
      </c>
      <c r="P456" s="196">
        <v>0.35555555555555601</v>
      </c>
      <c r="Q456" s="196">
        <v>0.42847222222222198</v>
      </c>
      <c r="R456" s="193" t="s">
        <v>137</v>
      </c>
      <c r="S456" s="193"/>
      <c r="T456" s="197">
        <f t="shared" si="31"/>
        <v>494</v>
      </c>
      <c r="U456" s="193"/>
      <c r="V456" s="193" t="str">
        <f t="shared" si="32"/>
        <v>Pomala</v>
      </c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8"/>
      <c r="AL456" s="18"/>
    </row>
    <row r="457" spans="2:38" ht="15" customHeight="1" x14ac:dyDescent="0.2">
      <c r="B457" s="193">
        <v>1</v>
      </c>
      <c r="C457" s="347" t="s">
        <v>574</v>
      </c>
      <c r="D457" s="193" t="str">
        <f t="shared" si="30"/>
        <v>CPO000428MIS</v>
      </c>
      <c r="E457" s="193" t="s">
        <v>169</v>
      </c>
      <c r="F457" s="193" t="s">
        <v>1335</v>
      </c>
      <c r="G457" s="193" t="s">
        <v>1334</v>
      </c>
      <c r="H457" s="193" t="s">
        <v>40</v>
      </c>
      <c r="I457" s="193" t="s">
        <v>41</v>
      </c>
      <c r="J457" s="193" t="str">
        <f t="shared" si="33"/>
        <v>6 Roda</v>
      </c>
      <c r="K457" s="194">
        <v>46014</v>
      </c>
      <c r="L457" s="195">
        <v>13500</v>
      </c>
      <c r="M457" s="195">
        <v>3970</v>
      </c>
      <c r="N457" s="195">
        <v>9530</v>
      </c>
      <c r="O457" s="195">
        <v>9460</v>
      </c>
      <c r="P457" s="196">
        <v>0.80277777777777803</v>
      </c>
      <c r="Q457" s="196">
        <v>0.83680555555555602</v>
      </c>
      <c r="R457" s="193" t="s">
        <v>42</v>
      </c>
      <c r="S457" s="193"/>
      <c r="T457" s="197">
        <f t="shared" si="31"/>
        <v>494</v>
      </c>
      <c r="U457" s="193"/>
      <c r="V457" s="193" t="str">
        <f t="shared" si="32"/>
        <v>Pomala</v>
      </c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8"/>
      <c r="AL457" s="18"/>
    </row>
    <row r="458" spans="2:38" ht="15" customHeight="1" x14ac:dyDescent="0.2">
      <c r="B458" s="193">
        <v>1</v>
      </c>
      <c r="C458" s="347" t="s">
        <v>575</v>
      </c>
      <c r="D458" s="193" t="str">
        <f t="shared" si="30"/>
        <v>CPO000429MIS</v>
      </c>
      <c r="E458" s="193" t="s">
        <v>163</v>
      </c>
      <c r="F458" s="193" t="s">
        <v>1335</v>
      </c>
      <c r="G458" s="193" t="s">
        <v>1334</v>
      </c>
      <c r="H458" s="193" t="s">
        <v>40</v>
      </c>
      <c r="I458" s="193" t="s">
        <v>41</v>
      </c>
      <c r="J458" s="193" t="str">
        <f t="shared" si="33"/>
        <v>6 Roda</v>
      </c>
      <c r="K458" s="194">
        <v>46014</v>
      </c>
      <c r="L458" s="195">
        <v>14040</v>
      </c>
      <c r="M458" s="195">
        <v>4030</v>
      </c>
      <c r="N458" s="195">
        <v>10010</v>
      </c>
      <c r="O458" s="195">
        <v>10140</v>
      </c>
      <c r="P458" s="196">
        <v>0.93611111111111101</v>
      </c>
      <c r="Q458" s="196">
        <v>0.95555555555555605</v>
      </c>
      <c r="R458" s="193" t="s">
        <v>42</v>
      </c>
      <c r="S458" s="193"/>
      <c r="T458" s="197">
        <f t="shared" si="31"/>
        <v>494</v>
      </c>
      <c r="U458" s="193"/>
      <c r="V458" s="193" t="str">
        <f t="shared" si="32"/>
        <v>Pomala</v>
      </c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8"/>
      <c r="AL458" s="18"/>
    </row>
    <row r="459" spans="2:38" ht="15" customHeight="1" x14ac:dyDescent="0.2">
      <c r="B459" s="193">
        <v>1</v>
      </c>
      <c r="C459" s="347" t="s">
        <v>576</v>
      </c>
      <c r="D459" s="193" t="str">
        <f t="shared" si="30"/>
        <v>CPO000430MIS</v>
      </c>
      <c r="E459" s="193" t="s">
        <v>166</v>
      </c>
      <c r="F459" s="193" t="s">
        <v>1335</v>
      </c>
      <c r="G459" s="193" t="s">
        <v>1334</v>
      </c>
      <c r="H459" s="193" t="s">
        <v>40</v>
      </c>
      <c r="I459" s="193" t="s">
        <v>41</v>
      </c>
      <c r="J459" s="193" t="str">
        <f t="shared" si="33"/>
        <v>6 Roda</v>
      </c>
      <c r="K459" s="194">
        <v>46014</v>
      </c>
      <c r="L459" s="195">
        <v>13170</v>
      </c>
      <c r="M459" s="195">
        <v>3760</v>
      </c>
      <c r="N459" s="195">
        <v>9410</v>
      </c>
      <c r="O459" s="195">
        <v>9300</v>
      </c>
      <c r="P459" s="196">
        <v>0.9375</v>
      </c>
      <c r="Q459" s="196">
        <v>0.96180555555555602</v>
      </c>
      <c r="R459" s="193" t="s">
        <v>42</v>
      </c>
      <c r="S459" s="193"/>
      <c r="T459" s="197">
        <f t="shared" si="31"/>
        <v>494</v>
      </c>
      <c r="U459" s="193"/>
      <c r="V459" s="193" t="str">
        <f t="shared" si="32"/>
        <v>Pomala</v>
      </c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8"/>
      <c r="AL459" s="18"/>
    </row>
    <row r="460" spans="2:38" ht="15" customHeight="1" x14ac:dyDescent="0.2">
      <c r="B460" s="193">
        <v>1</v>
      </c>
      <c r="C460" s="347" t="s">
        <v>570</v>
      </c>
      <c r="D460" s="193" t="str">
        <f t="shared" si="30"/>
        <v>CPO000424JAS</v>
      </c>
      <c r="E460" s="193" t="s">
        <v>56</v>
      </c>
      <c r="F460" s="193" t="s">
        <v>1435</v>
      </c>
      <c r="G460" s="193" t="s">
        <v>1349</v>
      </c>
      <c r="H460" s="193" t="s">
        <v>49</v>
      </c>
      <c r="I460" s="193" t="s">
        <v>41</v>
      </c>
      <c r="J460" s="193" t="str">
        <f t="shared" si="33"/>
        <v>10 Roda</v>
      </c>
      <c r="K460" s="194">
        <v>46014</v>
      </c>
      <c r="L460" s="195">
        <v>25150</v>
      </c>
      <c r="M460" s="195">
        <v>10850</v>
      </c>
      <c r="N460" s="195">
        <v>14300</v>
      </c>
      <c r="O460" s="195">
        <v>14250</v>
      </c>
      <c r="P460" s="196">
        <v>0.46250000000000002</v>
      </c>
      <c r="Q460" s="196">
        <v>0.55902777777777801</v>
      </c>
      <c r="R460" s="193" t="s">
        <v>137</v>
      </c>
      <c r="S460" s="193" t="s">
        <v>1781</v>
      </c>
      <c r="T460" s="197">
        <f t="shared" si="31"/>
        <v>68</v>
      </c>
      <c r="U460" s="193" t="s">
        <v>1922</v>
      </c>
      <c r="V460" s="193" t="str">
        <f t="shared" si="32"/>
        <v>Bone Bone</v>
      </c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8"/>
      <c r="AL460" s="18"/>
    </row>
    <row r="461" spans="2:38" ht="15" customHeight="1" x14ac:dyDescent="0.2">
      <c r="B461" s="193">
        <v>1</v>
      </c>
      <c r="C461" s="347" t="s">
        <v>785</v>
      </c>
      <c r="D461" s="193" t="str">
        <f t="shared" si="30"/>
        <v>CPO000623KMP</v>
      </c>
      <c r="E461" s="193" t="s">
        <v>70</v>
      </c>
      <c r="F461" s="193" t="s">
        <v>1455</v>
      </c>
      <c r="G461" s="193" t="s">
        <v>1359</v>
      </c>
      <c r="H461" s="193" t="s">
        <v>59</v>
      </c>
      <c r="I461" s="193" t="s">
        <v>41</v>
      </c>
      <c r="J461" s="193" t="str">
        <f t="shared" si="33"/>
        <v>12 Roda</v>
      </c>
      <c r="K461" s="194">
        <v>46058</v>
      </c>
      <c r="L461" s="195">
        <v>45850</v>
      </c>
      <c r="M461" s="195">
        <v>17550</v>
      </c>
      <c r="N461" s="195">
        <v>28300</v>
      </c>
      <c r="O461" s="195">
        <v>28400</v>
      </c>
      <c r="P461" s="196">
        <v>0.35625000000000001</v>
      </c>
      <c r="Q461" s="196">
        <v>0.41319444444444398</v>
      </c>
      <c r="R461" s="193" t="s">
        <v>137</v>
      </c>
      <c r="S461" s="193" t="s">
        <v>1499</v>
      </c>
      <c r="T461" s="197">
        <f t="shared" si="31"/>
        <v>53</v>
      </c>
      <c r="U461" s="193" t="s">
        <v>1922</v>
      </c>
      <c r="V461" s="193" t="str">
        <f t="shared" si="32"/>
        <v>Masamba</v>
      </c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8"/>
      <c r="AL461" s="18"/>
    </row>
    <row r="462" spans="2:38" ht="15" customHeight="1" x14ac:dyDescent="0.2">
      <c r="B462" s="193">
        <v>1</v>
      </c>
      <c r="C462" s="347" t="s">
        <v>572</v>
      </c>
      <c r="D462" s="193" t="str">
        <f t="shared" si="30"/>
        <v>CPO000426JAS</v>
      </c>
      <c r="E462" s="193" t="s">
        <v>46</v>
      </c>
      <c r="F462" s="193" t="s">
        <v>1435</v>
      </c>
      <c r="G462" s="193" t="s">
        <v>1349</v>
      </c>
      <c r="H462" s="193" t="s">
        <v>49</v>
      </c>
      <c r="I462" s="193" t="s">
        <v>41</v>
      </c>
      <c r="J462" s="193" t="str">
        <f t="shared" si="33"/>
        <v>10 Roda</v>
      </c>
      <c r="K462" s="194">
        <v>46014</v>
      </c>
      <c r="L462" s="195">
        <v>26450</v>
      </c>
      <c r="M462" s="195">
        <v>11770</v>
      </c>
      <c r="N462" s="195">
        <v>14680</v>
      </c>
      <c r="O462" s="195">
        <v>14670</v>
      </c>
      <c r="P462" s="196">
        <v>0.55486111111111103</v>
      </c>
      <c r="Q462" s="196">
        <v>0.59791666666666698</v>
      </c>
      <c r="R462" s="193" t="s">
        <v>137</v>
      </c>
      <c r="S462" s="193" t="s">
        <v>1393</v>
      </c>
      <c r="T462" s="197">
        <f t="shared" si="31"/>
        <v>68</v>
      </c>
      <c r="U462" s="193" t="s">
        <v>1922</v>
      </c>
      <c r="V462" s="193" t="str">
        <f t="shared" si="32"/>
        <v>Bone Bone</v>
      </c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8"/>
      <c r="AL462" s="18"/>
    </row>
    <row r="463" spans="2:38" ht="15" customHeight="1" x14ac:dyDescent="0.2">
      <c r="B463" s="193">
        <v>1</v>
      </c>
      <c r="C463" s="347" t="s">
        <v>573</v>
      </c>
      <c r="D463" s="193" t="str">
        <f t="shared" si="30"/>
        <v>CPO000427JAS</v>
      </c>
      <c r="E463" s="193" t="s">
        <v>70</v>
      </c>
      <c r="F463" s="193" t="s">
        <v>1435</v>
      </c>
      <c r="G463" s="193" t="s">
        <v>1349</v>
      </c>
      <c r="H463" s="193" t="s">
        <v>49</v>
      </c>
      <c r="I463" s="193" t="s">
        <v>41</v>
      </c>
      <c r="J463" s="193" t="str">
        <f t="shared" si="33"/>
        <v>12 Roda</v>
      </c>
      <c r="K463" s="194">
        <v>46014</v>
      </c>
      <c r="L463" s="195">
        <v>45880</v>
      </c>
      <c r="M463" s="195">
        <v>17770</v>
      </c>
      <c r="N463" s="195">
        <v>28110</v>
      </c>
      <c r="O463" s="195">
        <v>28030</v>
      </c>
      <c r="P463" s="196">
        <v>0.55694444444444502</v>
      </c>
      <c r="Q463" s="196">
        <v>0.59583333333333299</v>
      </c>
      <c r="R463" s="193" t="s">
        <v>137</v>
      </c>
      <c r="S463" s="193" t="s">
        <v>1499</v>
      </c>
      <c r="T463" s="197">
        <f t="shared" si="31"/>
        <v>68</v>
      </c>
      <c r="U463" s="193" t="s">
        <v>1922</v>
      </c>
      <c r="V463" s="193" t="str">
        <f t="shared" si="32"/>
        <v>Bone Bone</v>
      </c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8"/>
      <c r="AL463" s="18"/>
    </row>
    <row r="464" spans="2:38" ht="15" customHeight="1" x14ac:dyDescent="0.2">
      <c r="B464" s="193">
        <v>1</v>
      </c>
      <c r="C464" s="347" t="s">
        <v>579</v>
      </c>
      <c r="D464" s="193" t="str">
        <f t="shared" si="30"/>
        <v>CPO000432JAS</v>
      </c>
      <c r="E464" s="193" t="s">
        <v>76</v>
      </c>
      <c r="F464" s="193" t="s">
        <v>1437</v>
      </c>
      <c r="G464" s="193" t="s">
        <v>1350</v>
      </c>
      <c r="H464" s="193" t="s">
        <v>49</v>
      </c>
      <c r="I464" s="193" t="s">
        <v>41</v>
      </c>
      <c r="J464" s="193" t="str">
        <f t="shared" si="33"/>
        <v>12 Roda</v>
      </c>
      <c r="K464" s="194">
        <v>46018</v>
      </c>
      <c r="L464" s="195">
        <v>45940</v>
      </c>
      <c r="M464" s="195">
        <v>17510</v>
      </c>
      <c r="N464" s="195">
        <v>28430</v>
      </c>
      <c r="O464" s="195">
        <v>28390</v>
      </c>
      <c r="P464" s="196">
        <v>0.54861111111111105</v>
      </c>
      <c r="Q464" s="196">
        <v>0.61527777777777803</v>
      </c>
      <c r="R464" s="193" t="s">
        <v>137</v>
      </c>
      <c r="S464" s="193" t="s">
        <v>1372</v>
      </c>
      <c r="T464" s="197">
        <f t="shared" si="31"/>
        <v>68</v>
      </c>
      <c r="U464" s="193" t="s">
        <v>1922</v>
      </c>
      <c r="V464" s="193" t="str">
        <f t="shared" si="32"/>
        <v>Bone Bone</v>
      </c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8"/>
      <c r="AL464" s="18"/>
    </row>
    <row r="465" spans="2:38" ht="15" customHeight="1" x14ac:dyDescent="0.2">
      <c r="B465" s="193">
        <v>1</v>
      </c>
      <c r="C465" s="347" t="s">
        <v>580</v>
      </c>
      <c r="D465" s="193" t="str">
        <f t="shared" si="30"/>
        <v>CPO000433JAS</v>
      </c>
      <c r="E465" s="193" t="s">
        <v>70</v>
      </c>
      <c r="F465" s="193" t="s">
        <v>1437</v>
      </c>
      <c r="G465" s="193" t="s">
        <v>1350</v>
      </c>
      <c r="H465" s="193" t="s">
        <v>49</v>
      </c>
      <c r="I465" s="193" t="s">
        <v>41</v>
      </c>
      <c r="J465" s="193" t="str">
        <f t="shared" si="33"/>
        <v>12 Roda</v>
      </c>
      <c r="K465" s="194">
        <v>46018</v>
      </c>
      <c r="L465" s="195">
        <v>45820</v>
      </c>
      <c r="M465" s="195">
        <v>17720</v>
      </c>
      <c r="N465" s="195">
        <v>28100</v>
      </c>
      <c r="O465" s="195">
        <v>28040</v>
      </c>
      <c r="P465" s="196">
        <v>0.56805555555555598</v>
      </c>
      <c r="Q465" s="196">
        <v>0.60972222222222205</v>
      </c>
      <c r="R465" s="193" t="s">
        <v>137</v>
      </c>
      <c r="S465" s="193" t="s">
        <v>1499</v>
      </c>
      <c r="T465" s="197">
        <f t="shared" si="31"/>
        <v>68</v>
      </c>
      <c r="U465" s="193" t="s">
        <v>1922</v>
      </c>
      <c r="V465" s="193" t="str">
        <f t="shared" si="32"/>
        <v>Bone Bone</v>
      </c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8"/>
      <c r="AL465" s="18"/>
    </row>
    <row r="466" spans="2:38" ht="15" customHeight="1" x14ac:dyDescent="0.2">
      <c r="B466" s="193">
        <v>1</v>
      </c>
      <c r="C466" s="347" t="s">
        <v>581</v>
      </c>
      <c r="D466" s="193" t="str">
        <f t="shared" si="30"/>
        <v>CPO000434JAS</v>
      </c>
      <c r="E466" s="193" t="s">
        <v>56</v>
      </c>
      <c r="F466" s="193" t="s">
        <v>1437</v>
      </c>
      <c r="G466" s="193" t="s">
        <v>1350</v>
      </c>
      <c r="H466" s="193" t="s">
        <v>49</v>
      </c>
      <c r="I466" s="193" t="s">
        <v>41</v>
      </c>
      <c r="J466" s="193" t="str">
        <f t="shared" si="33"/>
        <v>10 Roda</v>
      </c>
      <c r="K466" s="194">
        <v>46018</v>
      </c>
      <c r="L466" s="195">
        <v>25020</v>
      </c>
      <c r="M466" s="195">
        <v>10730</v>
      </c>
      <c r="N466" s="195">
        <v>14290</v>
      </c>
      <c r="O466" s="195">
        <v>14240</v>
      </c>
      <c r="P466" s="196">
        <v>0.58472222222222203</v>
      </c>
      <c r="Q466" s="196">
        <v>0.65416666666666701</v>
      </c>
      <c r="R466" s="193" t="s">
        <v>137</v>
      </c>
      <c r="S466" s="193" t="s">
        <v>1781</v>
      </c>
      <c r="T466" s="197">
        <f t="shared" si="31"/>
        <v>68</v>
      </c>
      <c r="U466" s="193" t="s">
        <v>1922</v>
      </c>
      <c r="V466" s="193" t="str">
        <f t="shared" si="32"/>
        <v>Bone Bone</v>
      </c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8"/>
      <c r="AL466" s="18"/>
    </row>
    <row r="467" spans="2:38" ht="15" customHeight="1" x14ac:dyDescent="0.2">
      <c r="B467" s="193">
        <v>1</v>
      </c>
      <c r="C467" s="347" t="s">
        <v>582</v>
      </c>
      <c r="D467" s="193" t="str">
        <f t="shared" si="30"/>
        <v>CPO000435JAS</v>
      </c>
      <c r="E467" s="193" t="s">
        <v>84</v>
      </c>
      <c r="F467" s="193" t="s">
        <v>1437</v>
      </c>
      <c r="G467" s="193" t="s">
        <v>1350</v>
      </c>
      <c r="H467" s="193" t="s">
        <v>49</v>
      </c>
      <c r="I467" s="193" t="s">
        <v>41</v>
      </c>
      <c r="J467" s="193" t="str">
        <f t="shared" si="33"/>
        <v>10 Roda</v>
      </c>
      <c r="K467" s="194">
        <v>46018</v>
      </c>
      <c r="L467" s="195">
        <v>26730</v>
      </c>
      <c r="M467" s="195">
        <v>12290</v>
      </c>
      <c r="N467" s="195">
        <v>14440</v>
      </c>
      <c r="O467" s="195">
        <v>14390</v>
      </c>
      <c r="P467" s="196">
        <v>0.72083333333333299</v>
      </c>
      <c r="Q467" s="196">
        <v>0.77569444444444502</v>
      </c>
      <c r="R467" s="193" t="s">
        <v>137</v>
      </c>
      <c r="S467" s="193" t="s">
        <v>1782</v>
      </c>
      <c r="T467" s="197">
        <f t="shared" si="31"/>
        <v>68</v>
      </c>
      <c r="U467" s="193" t="s">
        <v>1922</v>
      </c>
      <c r="V467" s="193" t="str">
        <f t="shared" si="32"/>
        <v>Bone Bone</v>
      </c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8"/>
      <c r="AL467" s="18"/>
    </row>
    <row r="468" spans="2:38" ht="15" customHeight="1" x14ac:dyDescent="0.2">
      <c r="B468" s="193">
        <v>1</v>
      </c>
      <c r="C468" s="347" t="s">
        <v>584</v>
      </c>
      <c r="D468" s="193" t="str">
        <f t="shared" si="30"/>
        <v>CPO000437JAS</v>
      </c>
      <c r="E468" s="193" t="s">
        <v>76</v>
      </c>
      <c r="F468" s="193" t="s">
        <v>1437</v>
      </c>
      <c r="G468" s="193" t="s">
        <v>1350</v>
      </c>
      <c r="H468" s="193" t="s">
        <v>49</v>
      </c>
      <c r="I468" s="193" t="s">
        <v>41</v>
      </c>
      <c r="J468" s="193" t="str">
        <f t="shared" si="33"/>
        <v>12 Roda</v>
      </c>
      <c r="K468" s="194">
        <v>46018</v>
      </c>
      <c r="L468" s="195">
        <v>45840</v>
      </c>
      <c r="M468" s="195">
        <v>17470</v>
      </c>
      <c r="N468" s="195">
        <v>28370</v>
      </c>
      <c r="O468" s="195">
        <v>28290</v>
      </c>
      <c r="P468" s="196">
        <v>0.88958333333333295</v>
      </c>
      <c r="Q468" s="196">
        <v>0.95277777777777795</v>
      </c>
      <c r="R468" s="193" t="s">
        <v>137</v>
      </c>
      <c r="S468" s="193" t="s">
        <v>1372</v>
      </c>
      <c r="T468" s="197">
        <f t="shared" si="31"/>
        <v>68</v>
      </c>
      <c r="U468" s="193" t="s">
        <v>1922</v>
      </c>
      <c r="V468" s="193" t="str">
        <f t="shared" si="32"/>
        <v>Bone Bone</v>
      </c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8"/>
      <c r="AL468" s="18"/>
    </row>
    <row r="469" spans="2:38" ht="15" customHeight="1" x14ac:dyDescent="0.2">
      <c r="B469" s="193">
        <v>1</v>
      </c>
      <c r="C469" s="347" t="s">
        <v>585</v>
      </c>
      <c r="D469" s="193" t="str">
        <f t="shared" si="30"/>
        <v>CPO000438JAS</v>
      </c>
      <c r="E469" s="193" t="s">
        <v>70</v>
      </c>
      <c r="F469" s="193" t="s">
        <v>1437</v>
      </c>
      <c r="G469" s="193" t="s">
        <v>1350</v>
      </c>
      <c r="H469" s="193" t="s">
        <v>49</v>
      </c>
      <c r="I469" s="193" t="s">
        <v>41</v>
      </c>
      <c r="J469" s="193" t="str">
        <f t="shared" si="33"/>
        <v>12 Roda</v>
      </c>
      <c r="K469" s="194">
        <v>46018</v>
      </c>
      <c r="L469" s="195">
        <v>45770</v>
      </c>
      <c r="M469" s="195">
        <v>17700</v>
      </c>
      <c r="N469" s="195">
        <v>28070</v>
      </c>
      <c r="O469" s="195">
        <v>28040</v>
      </c>
      <c r="P469" s="196">
        <v>0.89236111111111105</v>
      </c>
      <c r="Q469" s="196">
        <v>0.95416666666666705</v>
      </c>
      <c r="R469" s="193" t="s">
        <v>137</v>
      </c>
      <c r="S469" s="193" t="s">
        <v>1499</v>
      </c>
      <c r="T469" s="197">
        <f t="shared" si="31"/>
        <v>68</v>
      </c>
      <c r="U469" s="193" t="s">
        <v>1922</v>
      </c>
      <c r="V469" s="193" t="str">
        <f t="shared" si="32"/>
        <v>Bone Bone</v>
      </c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8"/>
      <c r="AL469" s="18"/>
    </row>
    <row r="470" spans="2:38" ht="15" customHeight="1" x14ac:dyDescent="0.2">
      <c r="B470" s="193">
        <v>1</v>
      </c>
      <c r="C470" s="347" t="s">
        <v>586</v>
      </c>
      <c r="D470" s="193" t="str">
        <f t="shared" si="30"/>
        <v>CPO000439JAS</v>
      </c>
      <c r="E470" s="193" t="s">
        <v>46</v>
      </c>
      <c r="F470" s="193" t="s">
        <v>1437</v>
      </c>
      <c r="G470" s="193" t="s">
        <v>1350</v>
      </c>
      <c r="H470" s="193" t="s">
        <v>49</v>
      </c>
      <c r="I470" s="193" t="s">
        <v>41</v>
      </c>
      <c r="J470" s="193" t="str">
        <f t="shared" si="33"/>
        <v>10 Roda</v>
      </c>
      <c r="K470" s="194">
        <v>46018</v>
      </c>
      <c r="L470" s="195">
        <v>26650</v>
      </c>
      <c r="M470" s="195">
        <v>11900</v>
      </c>
      <c r="N470" s="195">
        <v>14750</v>
      </c>
      <c r="O470" s="195">
        <v>14720</v>
      </c>
      <c r="P470" s="196">
        <v>0.89375000000000004</v>
      </c>
      <c r="Q470" s="196">
        <v>0.95694444444444504</v>
      </c>
      <c r="R470" s="193" t="s">
        <v>137</v>
      </c>
      <c r="S470" s="193" t="s">
        <v>1393</v>
      </c>
      <c r="T470" s="197">
        <f t="shared" si="31"/>
        <v>68</v>
      </c>
      <c r="U470" s="193" t="s">
        <v>1922</v>
      </c>
      <c r="V470" s="193" t="str">
        <f t="shared" si="32"/>
        <v>Bone Bone</v>
      </c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8"/>
      <c r="AL470" s="18"/>
    </row>
    <row r="471" spans="2:38" ht="15" customHeight="1" x14ac:dyDescent="0.2">
      <c r="B471" s="193">
        <v>1</v>
      </c>
      <c r="C471" s="347" t="s">
        <v>587</v>
      </c>
      <c r="D471" s="193" t="str">
        <f t="shared" ref="D471:D534" si="34">I471&amp;C471&amp;_xlfn.XLOOKUP(H471,$AM$4:$AM$26,$AN$4:$AN$26,"")</f>
        <v>CPO000440JAS</v>
      </c>
      <c r="E471" s="193" t="s">
        <v>56</v>
      </c>
      <c r="F471" s="193" t="s">
        <v>1437</v>
      </c>
      <c r="G471" s="193" t="s">
        <v>1350</v>
      </c>
      <c r="H471" s="193" t="s">
        <v>49</v>
      </c>
      <c r="I471" s="193" t="s">
        <v>41</v>
      </c>
      <c r="J471" s="193" t="str">
        <f t="shared" si="33"/>
        <v>10 Roda</v>
      </c>
      <c r="K471" s="194">
        <v>46020</v>
      </c>
      <c r="L471" s="195">
        <v>24970</v>
      </c>
      <c r="M471" s="195">
        <v>10670</v>
      </c>
      <c r="N471" s="195">
        <v>14300</v>
      </c>
      <c r="O471" s="195">
        <v>14260</v>
      </c>
      <c r="P471" s="196">
        <v>0.58055555555555605</v>
      </c>
      <c r="Q471" s="196">
        <v>0.65208333333333302</v>
      </c>
      <c r="R471" s="193" t="s">
        <v>137</v>
      </c>
      <c r="S471" s="193" t="s">
        <v>1781</v>
      </c>
      <c r="T471" s="197">
        <f t="shared" ref="T471:T534" si="35">IFERROR(_xlfn.XLOOKUP(H471,$AM$4:$AM$18,$AP$4:$AP$18,""),0)</f>
        <v>68</v>
      </c>
      <c r="U471" s="193" t="s">
        <v>1922</v>
      </c>
      <c r="V471" s="193" t="str">
        <f t="shared" ref="V471:V534" si="36">IFERROR(_xlfn.XLOOKUP(H471,$AM$4:$AM$18,$AO$4:$AO$18,""),"")</f>
        <v>Bone Bone</v>
      </c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8"/>
      <c r="AL471" s="18"/>
    </row>
    <row r="472" spans="2:38" ht="15" customHeight="1" x14ac:dyDescent="0.2">
      <c r="B472" s="193">
        <v>1</v>
      </c>
      <c r="C472" s="347" t="s">
        <v>588</v>
      </c>
      <c r="D472" s="193" t="str">
        <f t="shared" si="34"/>
        <v>CPO000441JAS</v>
      </c>
      <c r="E472" s="193" t="s">
        <v>46</v>
      </c>
      <c r="F472" s="193" t="s">
        <v>1437</v>
      </c>
      <c r="G472" s="193" t="s">
        <v>1350</v>
      </c>
      <c r="H472" s="193" t="s">
        <v>49</v>
      </c>
      <c r="I472" s="193" t="s">
        <v>41</v>
      </c>
      <c r="J472" s="193" t="str">
        <f t="shared" si="33"/>
        <v>10 Roda</v>
      </c>
      <c r="K472" s="194">
        <v>46020</v>
      </c>
      <c r="L472" s="195">
        <v>26550</v>
      </c>
      <c r="M472" s="195">
        <v>11830</v>
      </c>
      <c r="N472" s="195">
        <v>14720</v>
      </c>
      <c r="O472" s="195">
        <v>14670</v>
      </c>
      <c r="P472" s="196">
        <v>0.60902777777777795</v>
      </c>
      <c r="Q472" s="196">
        <v>0.68541666666666701</v>
      </c>
      <c r="R472" s="193" t="s">
        <v>137</v>
      </c>
      <c r="S472" s="193" t="s">
        <v>1393</v>
      </c>
      <c r="T472" s="197">
        <f t="shared" si="35"/>
        <v>68</v>
      </c>
      <c r="U472" s="193" t="s">
        <v>1922</v>
      </c>
      <c r="V472" s="193" t="str">
        <f t="shared" si="36"/>
        <v>Bone Bone</v>
      </c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8"/>
      <c r="AL472" s="18"/>
    </row>
    <row r="473" spans="2:38" ht="15" customHeight="1" x14ac:dyDescent="0.2">
      <c r="B473" s="193">
        <v>1</v>
      </c>
      <c r="C473" s="347" t="s">
        <v>589</v>
      </c>
      <c r="D473" s="193" t="str">
        <f t="shared" si="34"/>
        <v>CPO000442JAS</v>
      </c>
      <c r="E473" s="193" t="s">
        <v>76</v>
      </c>
      <c r="F473" s="193" t="s">
        <v>1437</v>
      </c>
      <c r="G473" s="193" t="s">
        <v>1350</v>
      </c>
      <c r="H473" s="193" t="s">
        <v>49</v>
      </c>
      <c r="I473" s="193" t="s">
        <v>41</v>
      </c>
      <c r="J473" s="193" t="str">
        <f t="shared" si="33"/>
        <v>12 Roda</v>
      </c>
      <c r="K473" s="194">
        <v>46020</v>
      </c>
      <c r="L473" s="195">
        <v>45770</v>
      </c>
      <c r="M473" s="195">
        <v>17400</v>
      </c>
      <c r="N473" s="195">
        <v>28370</v>
      </c>
      <c r="O473" s="195">
        <v>28290</v>
      </c>
      <c r="P473" s="196">
        <v>0.64097222222222205</v>
      </c>
      <c r="Q473" s="196">
        <v>0.7</v>
      </c>
      <c r="R473" s="193" t="s">
        <v>137</v>
      </c>
      <c r="S473" s="193" t="s">
        <v>1372</v>
      </c>
      <c r="T473" s="197">
        <f t="shared" si="35"/>
        <v>68</v>
      </c>
      <c r="U473" s="193" t="s">
        <v>1922</v>
      </c>
      <c r="V473" s="193" t="str">
        <f t="shared" si="36"/>
        <v>Bone Bone</v>
      </c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8"/>
      <c r="AL473" s="18"/>
    </row>
    <row r="474" spans="2:38" ht="15" customHeight="1" x14ac:dyDescent="0.2">
      <c r="B474" s="193">
        <v>1</v>
      </c>
      <c r="C474" s="347" t="s">
        <v>590</v>
      </c>
      <c r="D474" s="193" t="str">
        <f t="shared" si="34"/>
        <v>CPO000443JAS</v>
      </c>
      <c r="E474" s="193" t="s">
        <v>84</v>
      </c>
      <c r="F474" s="193" t="s">
        <v>1437</v>
      </c>
      <c r="G474" s="193" t="s">
        <v>1350</v>
      </c>
      <c r="H474" s="193" t="s">
        <v>49</v>
      </c>
      <c r="I474" s="193" t="s">
        <v>41</v>
      </c>
      <c r="J474" s="193" t="str">
        <f t="shared" si="33"/>
        <v>10 Roda</v>
      </c>
      <c r="K474" s="194">
        <v>46020</v>
      </c>
      <c r="L474" s="195">
        <v>26630</v>
      </c>
      <c r="M474" s="195">
        <v>12220</v>
      </c>
      <c r="N474" s="195">
        <v>14410</v>
      </c>
      <c r="O474" s="195">
        <v>14370</v>
      </c>
      <c r="P474" s="196">
        <v>0.66319444444444398</v>
      </c>
      <c r="Q474" s="196">
        <v>0.71250000000000002</v>
      </c>
      <c r="R474" s="193" t="s">
        <v>137</v>
      </c>
      <c r="S474" s="193" t="s">
        <v>1782</v>
      </c>
      <c r="T474" s="197">
        <f t="shared" si="35"/>
        <v>68</v>
      </c>
      <c r="U474" s="193" t="s">
        <v>1922</v>
      </c>
      <c r="V474" s="193" t="str">
        <f t="shared" si="36"/>
        <v>Bone Bone</v>
      </c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8"/>
      <c r="AL474" s="18"/>
    </row>
    <row r="475" spans="2:38" ht="15" customHeight="1" x14ac:dyDescent="0.2">
      <c r="B475" s="193">
        <v>1</v>
      </c>
      <c r="C475" s="347" t="s">
        <v>591</v>
      </c>
      <c r="D475" s="193" t="str">
        <f t="shared" si="34"/>
        <v>CPO000444JAS</v>
      </c>
      <c r="E475" s="193" t="s">
        <v>70</v>
      </c>
      <c r="F475" s="193" t="s">
        <v>1437</v>
      </c>
      <c r="G475" s="193" t="s">
        <v>1350</v>
      </c>
      <c r="H475" s="193" t="s">
        <v>49</v>
      </c>
      <c r="I475" s="193" t="s">
        <v>41</v>
      </c>
      <c r="J475" s="193" t="str">
        <f t="shared" si="33"/>
        <v>12 Roda</v>
      </c>
      <c r="K475" s="194">
        <v>46020</v>
      </c>
      <c r="L475" s="195">
        <v>45920</v>
      </c>
      <c r="M475" s="195">
        <v>17850</v>
      </c>
      <c r="N475" s="195">
        <v>28070</v>
      </c>
      <c r="O475" s="195">
        <v>28010</v>
      </c>
      <c r="P475" s="196">
        <v>0.71041666666666703</v>
      </c>
      <c r="Q475" s="196">
        <v>0.75763888888888897</v>
      </c>
      <c r="R475" s="193" t="s">
        <v>137</v>
      </c>
      <c r="S475" s="193" t="s">
        <v>1499</v>
      </c>
      <c r="T475" s="197">
        <f t="shared" si="35"/>
        <v>68</v>
      </c>
      <c r="U475" s="193" t="s">
        <v>1922</v>
      </c>
      <c r="V475" s="193" t="str">
        <f t="shared" si="36"/>
        <v>Bone Bone</v>
      </c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8"/>
      <c r="AL475" s="18"/>
    </row>
    <row r="476" spans="2:38" ht="15" customHeight="1" x14ac:dyDescent="0.2">
      <c r="B476" s="193">
        <v>1</v>
      </c>
      <c r="C476" s="347" t="s">
        <v>598</v>
      </c>
      <c r="D476" s="193" t="str">
        <f t="shared" si="34"/>
        <v>CPO000450PN</v>
      </c>
      <c r="E476" s="193" t="s">
        <v>46</v>
      </c>
      <c r="F476" s="193" t="s">
        <v>1340</v>
      </c>
      <c r="G476" s="193" t="s">
        <v>1347</v>
      </c>
      <c r="H476" s="193" t="s">
        <v>78</v>
      </c>
      <c r="I476" s="193" t="s">
        <v>41</v>
      </c>
      <c r="J476" s="193" t="str">
        <f t="shared" si="33"/>
        <v>10 Roda</v>
      </c>
      <c r="K476" s="194">
        <v>46021</v>
      </c>
      <c r="L476" s="195">
        <v>13990</v>
      </c>
      <c r="M476" s="195">
        <v>11800</v>
      </c>
      <c r="N476" s="195">
        <v>2190</v>
      </c>
      <c r="O476" s="195">
        <v>2190</v>
      </c>
      <c r="P476" s="196">
        <v>0.82361111111111096</v>
      </c>
      <c r="Q476" s="196">
        <v>0.87638888888888899</v>
      </c>
      <c r="R476" s="193" t="s">
        <v>137</v>
      </c>
      <c r="S476" s="193" t="s">
        <v>1393</v>
      </c>
      <c r="T476" s="197">
        <f t="shared" si="35"/>
        <v>99</v>
      </c>
      <c r="U476" s="193"/>
      <c r="V476" s="193" t="str">
        <f t="shared" si="36"/>
        <v>Burau</v>
      </c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8"/>
      <c r="AL476" s="18"/>
    </row>
    <row r="477" spans="2:38" ht="15" customHeight="1" x14ac:dyDescent="0.2">
      <c r="B477" s="193">
        <v>1</v>
      </c>
      <c r="C477" s="347" t="s">
        <v>592</v>
      </c>
      <c r="D477" s="193" t="str">
        <f t="shared" si="34"/>
        <v>CPO000445JAS</v>
      </c>
      <c r="E477" s="193" t="s">
        <v>56</v>
      </c>
      <c r="F477" s="193" t="s">
        <v>1437</v>
      </c>
      <c r="G477" s="193" t="s">
        <v>1350</v>
      </c>
      <c r="H477" s="193" t="s">
        <v>49</v>
      </c>
      <c r="I477" s="193" t="s">
        <v>41</v>
      </c>
      <c r="J477" s="193" t="str">
        <f t="shared" si="33"/>
        <v>10 Roda</v>
      </c>
      <c r="K477" s="194">
        <v>46021</v>
      </c>
      <c r="L477" s="195">
        <v>25080</v>
      </c>
      <c r="M477" s="195">
        <v>10780</v>
      </c>
      <c r="N477" s="195">
        <v>14300</v>
      </c>
      <c r="O477" s="195">
        <v>14270</v>
      </c>
      <c r="P477" s="196">
        <v>0.46597222222222201</v>
      </c>
      <c r="Q477" s="196">
        <v>0.53333333333333299</v>
      </c>
      <c r="R477" s="193" t="s">
        <v>137</v>
      </c>
      <c r="S477" s="193" t="s">
        <v>1781</v>
      </c>
      <c r="T477" s="197">
        <f t="shared" si="35"/>
        <v>68</v>
      </c>
      <c r="U477" s="193" t="s">
        <v>1922</v>
      </c>
      <c r="V477" s="193" t="str">
        <f t="shared" si="36"/>
        <v>Bone Bone</v>
      </c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8"/>
      <c r="AL477" s="18"/>
    </row>
    <row r="478" spans="2:38" ht="15" customHeight="1" x14ac:dyDescent="0.2">
      <c r="B478" s="193">
        <v>1</v>
      </c>
      <c r="C478" s="347" t="s">
        <v>593</v>
      </c>
      <c r="D478" s="193" t="str">
        <f t="shared" si="34"/>
        <v>CPO000446JAS</v>
      </c>
      <c r="E478" s="193" t="s">
        <v>70</v>
      </c>
      <c r="F478" s="193" t="s">
        <v>1437</v>
      </c>
      <c r="G478" s="193" t="s">
        <v>1350</v>
      </c>
      <c r="H478" s="193" t="s">
        <v>49</v>
      </c>
      <c r="I478" s="193" t="s">
        <v>41</v>
      </c>
      <c r="J478" s="193" t="str">
        <f t="shared" si="33"/>
        <v>12 Roda</v>
      </c>
      <c r="K478" s="194">
        <v>46021</v>
      </c>
      <c r="L478" s="195">
        <v>45950</v>
      </c>
      <c r="M478" s="195">
        <v>17830</v>
      </c>
      <c r="N478" s="195">
        <v>28120</v>
      </c>
      <c r="O478" s="195">
        <v>28100</v>
      </c>
      <c r="P478" s="196">
        <v>0.50624999999999998</v>
      </c>
      <c r="Q478" s="196">
        <v>0.60069444444444398</v>
      </c>
      <c r="R478" s="193" t="s">
        <v>137</v>
      </c>
      <c r="S478" s="193" t="s">
        <v>1499</v>
      </c>
      <c r="T478" s="197">
        <f t="shared" si="35"/>
        <v>68</v>
      </c>
      <c r="U478" s="193" t="s">
        <v>1922</v>
      </c>
      <c r="V478" s="193" t="str">
        <f t="shared" si="36"/>
        <v>Bone Bone</v>
      </c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8"/>
      <c r="AL478" s="18"/>
    </row>
    <row r="479" spans="2:38" ht="15" customHeight="1" x14ac:dyDescent="0.2">
      <c r="B479" s="193">
        <v>1</v>
      </c>
      <c r="C479" s="347" t="s">
        <v>594</v>
      </c>
      <c r="D479" s="193" t="str">
        <f t="shared" si="34"/>
        <v>CPO000447JAS</v>
      </c>
      <c r="E479" s="193" t="s">
        <v>84</v>
      </c>
      <c r="F479" s="193" t="s">
        <v>1437</v>
      </c>
      <c r="G479" s="193" t="s">
        <v>1350</v>
      </c>
      <c r="H479" s="193" t="s">
        <v>49</v>
      </c>
      <c r="I479" s="193" t="s">
        <v>41</v>
      </c>
      <c r="J479" s="193" t="str">
        <f t="shared" si="33"/>
        <v>10 Roda</v>
      </c>
      <c r="K479" s="194">
        <v>46021</v>
      </c>
      <c r="L479" s="195">
        <v>26610</v>
      </c>
      <c r="M479" s="195">
        <v>12190</v>
      </c>
      <c r="N479" s="195">
        <v>14420</v>
      </c>
      <c r="O479" s="195">
        <v>14400</v>
      </c>
      <c r="P479" s="196">
        <v>0.50833333333333297</v>
      </c>
      <c r="Q479" s="196">
        <v>0.60208333333333297</v>
      </c>
      <c r="R479" s="193" t="s">
        <v>137</v>
      </c>
      <c r="S479" s="193" t="s">
        <v>1782</v>
      </c>
      <c r="T479" s="197">
        <f t="shared" si="35"/>
        <v>68</v>
      </c>
      <c r="U479" s="193" t="s">
        <v>1922</v>
      </c>
      <c r="V479" s="193" t="str">
        <f t="shared" si="36"/>
        <v>Bone Bone</v>
      </c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8"/>
      <c r="AL479" s="18"/>
    </row>
    <row r="480" spans="2:38" ht="15" customHeight="1" x14ac:dyDescent="0.2">
      <c r="B480" s="193">
        <v>1</v>
      </c>
      <c r="C480" s="347" t="s">
        <v>597</v>
      </c>
      <c r="D480" s="193" t="str">
        <f t="shared" si="34"/>
        <v>CPO000449JAS</v>
      </c>
      <c r="E480" s="193" t="s">
        <v>76</v>
      </c>
      <c r="F480" s="193" t="s">
        <v>1437</v>
      </c>
      <c r="G480" s="193" t="s">
        <v>1350</v>
      </c>
      <c r="H480" s="193" t="s">
        <v>49</v>
      </c>
      <c r="I480" s="193" t="s">
        <v>41</v>
      </c>
      <c r="J480" s="193" t="str">
        <f t="shared" si="33"/>
        <v>12 Roda</v>
      </c>
      <c r="K480" s="194">
        <v>46021</v>
      </c>
      <c r="L480" s="195">
        <v>45740</v>
      </c>
      <c r="M480" s="195">
        <v>17370</v>
      </c>
      <c r="N480" s="195">
        <v>28370</v>
      </c>
      <c r="O480" s="195">
        <v>28310</v>
      </c>
      <c r="P480" s="196">
        <v>0.54027777777777797</v>
      </c>
      <c r="Q480" s="196">
        <v>0.59930555555555598</v>
      </c>
      <c r="R480" s="193" t="s">
        <v>137</v>
      </c>
      <c r="S480" s="193" t="s">
        <v>1372</v>
      </c>
      <c r="T480" s="197">
        <f t="shared" si="35"/>
        <v>68</v>
      </c>
      <c r="U480" s="193" t="s">
        <v>1922</v>
      </c>
      <c r="V480" s="193" t="str">
        <f t="shared" si="36"/>
        <v>Bone Bone</v>
      </c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8"/>
      <c r="AL480" s="18"/>
    </row>
    <row r="481" spans="2:38" ht="15" customHeight="1" x14ac:dyDescent="0.2">
      <c r="B481" s="193">
        <v>1</v>
      </c>
      <c r="C481" s="347" t="s">
        <v>598</v>
      </c>
      <c r="D481" s="193" t="str">
        <f t="shared" si="34"/>
        <v>CPO000450JAS</v>
      </c>
      <c r="E481" s="193" t="s">
        <v>46</v>
      </c>
      <c r="F481" s="193" t="s">
        <v>1437</v>
      </c>
      <c r="G481" s="193" t="s">
        <v>1350</v>
      </c>
      <c r="H481" s="193" t="s">
        <v>49</v>
      </c>
      <c r="I481" s="193" t="s">
        <v>41</v>
      </c>
      <c r="J481" s="193" t="str">
        <f t="shared" si="33"/>
        <v>10 Roda</v>
      </c>
      <c r="K481" s="194">
        <v>46021</v>
      </c>
      <c r="L481" s="195">
        <v>24340</v>
      </c>
      <c r="M481" s="195">
        <v>11800</v>
      </c>
      <c r="N481" s="195">
        <v>12540</v>
      </c>
      <c r="O481" s="195">
        <v>12510</v>
      </c>
      <c r="P481" s="196">
        <v>0.82361111111111096</v>
      </c>
      <c r="Q481" s="196">
        <v>0.87638888888888899</v>
      </c>
      <c r="R481" s="193" t="s">
        <v>137</v>
      </c>
      <c r="S481" s="193" t="s">
        <v>1393</v>
      </c>
      <c r="T481" s="197">
        <f t="shared" si="35"/>
        <v>68</v>
      </c>
      <c r="U481" s="193" t="s">
        <v>1922</v>
      </c>
      <c r="V481" s="193" t="str">
        <f t="shared" si="36"/>
        <v>Bone Bone</v>
      </c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8"/>
      <c r="AL481" s="18"/>
    </row>
    <row r="482" spans="2:38" ht="15" customHeight="1" x14ac:dyDescent="0.2">
      <c r="B482" s="193">
        <v>1</v>
      </c>
      <c r="C482" s="347" t="s">
        <v>599</v>
      </c>
      <c r="D482" s="193" t="str">
        <f t="shared" si="34"/>
        <v>CPO000452JAS</v>
      </c>
      <c r="E482" s="193" t="s">
        <v>46</v>
      </c>
      <c r="F482" s="193" t="s">
        <v>1437</v>
      </c>
      <c r="G482" s="193" t="s">
        <v>1350</v>
      </c>
      <c r="H482" s="193" t="s">
        <v>49</v>
      </c>
      <c r="I482" s="193" t="s">
        <v>41</v>
      </c>
      <c r="J482" s="193" t="str">
        <f t="shared" si="33"/>
        <v>10 Roda</v>
      </c>
      <c r="K482" s="194">
        <v>46027</v>
      </c>
      <c r="L482" s="195">
        <v>26630</v>
      </c>
      <c r="M482" s="195">
        <v>11930</v>
      </c>
      <c r="N482" s="195">
        <v>14700</v>
      </c>
      <c r="O482" s="195">
        <v>14680</v>
      </c>
      <c r="P482" s="196">
        <v>0.531944444444444</v>
      </c>
      <c r="Q482" s="196">
        <v>0.71388888888888902</v>
      </c>
      <c r="R482" s="193" t="s">
        <v>137</v>
      </c>
      <c r="S482" s="193" t="s">
        <v>1393</v>
      </c>
      <c r="T482" s="197">
        <f t="shared" si="35"/>
        <v>68</v>
      </c>
      <c r="U482" s="193" t="s">
        <v>1922</v>
      </c>
      <c r="V482" s="193" t="str">
        <f t="shared" si="36"/>
        <v>Bone Bone</v>
      </c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8"/>
      <c r="AL482" s="18"/>
    </row>
    <row r="483" spans="2:38" ht="15" customHeight="1" x14ac:dyDescent="0.2">
      <c r="B483" s="193">
        <v>1</v>
      </c>
      <c r="C483" s="347" t="s">
        <v>600</v>
      </c>
      <c r="D483" s="193" t="str">
        <f t="shared" si="34"/>
        <v>CPO000453JAS</v>
      </c>
      <c r="E483" s="193" t="s">
        <v>56</v>
      </c>
      <c r="F483" s="193" t="s">
        <v>1437</v>
      </c>
      <c r="G483" s="193" t="s">
        <v>1350</v>
      </c>
      <c r="H483" s="193" t="s">
        <v>49</v>
      </c>
      <c r="I483" s="193" t="s">
        <v>41</v>
      </c>
      <c r="J483" s="193" t="str">
        <f t="shared" si="33"/>
        <v>10 Roda</v>
      </c>
      <c r="K483" s="194">
        <v>46027</v>
      </c>
      <c r="L483" s="195">
        <v>24980</v>
      </c>
      <c r="M483" s="195">
        <v>10710</v>
      </c>
      <c r="N483" s="195">
        <v>14270</v>
      </c>
      <c r="O483" s="195">
        <v>14230</v>
      </c>
      <c r="P483" s="196">
        <v>0.55000000000000004</v>
      </c>
      <c r="Q483" s="196">
        <v>0.71250000000000002</v>
      </c>
      <c r="R483" s="193" t="s">
        <v>137</v>
      </c>
      <c r="S483" s="193" t="s">
        <v>1781</v>
      </c>
      <c r="T483" s="197">
        <f t="shared" si="35"/>
        <v>68</v>
      </c>
      <c r="U483" s="193" t="s">
        <v>1922</v>
      </c>
      <c r="V483" s="193" t="str">
        <f t="shared" si="36"/>
        <v>Bone Bone</v>
      </c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8"/>
      <c r="AL483" s="18"/>
    </row>
    <row r="484" spans="2:38" ht="15" customHeight="1" x14ac:dyDescent="0.2">
      <c r="B484" s="193">
        <v>1</v>
      </c>
      <c r="C484" s="347" t="s">
        <v>601</v>
      </c>
      <c r="D484" s="193" t="str">
        <f t="shared" si="34"/>
        <v>CPO000454JAS</v>
      </c>
      <c r="E484" s="193" t="s">
        <v>70</v>
      </c>
      <c r="F484" s="193" t="s">
        <v>1437</v>
      </c>
      <c r="G484" s="193" t="s">
        <v>1350</v>
      </c>
      <c r="H484" s="193" t="s">
        <v>49</v>
      </c>
      <c r="I484" s="193" t="s">
        <v>41</v>
      </c>
      <c r="J484" s="193" t="str">
        <f t="shared" si="33"/>
        <v>12 Roda</v>
      </c>
      <c r="K484" s="194">
        <v>46027</v>
      </c>
      <c r="L484" s="195">
        <v>45740</v>
      </c>
      <c r="M484" s="195">
        <v>17740</v>
      </c>
      <c r="N484" s="195">
        <v>28000</v>
      </c>
      <c r="O484" s="195">
        <v>27920</v>
      </c>
      <c r="P484" s="196">
        <v>0.58541666666666703</v>
      </c>
      <c r="Q484" s="196">
        <v>0.73819444444444504</v>
      </c>
      <c r="R484" s="193" t="s">
        <v>137</v>
      </c>
      <c r="S484" s="193" t="s">
        <v>1499</v>
      </c>
      <c r="T484" s="197">
        <f t="shared" si="35"/>
        <v>68</v>
      </c>
      <c r="U484" s="193" t="s">
        <v>1922</v>
      </c>
      <c r="V484" s="193" t="str">
        <f t="shared" si="36"/>
        <v>Bone Bone</v>
      </c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8"/>
      <c r="AL484" s="18"/>
    </row>
    <row r="485" spans="2:38" ht="15" customHeight="1" x14ac:dyDescent="0.2">
      <c r="B485" s="193">
        <v>1</v>
      </c>
      <c r="C485" s="347" t="s">
        <v>602</v>
      </c>
      <c r="D485" s="193" t="str">
        <f t="shared" si="34"/>
        <v>CPO000455JAS</v>
      </c>
      <c r="E485" s="193" t="s">
        <v>76</v>
      </c>
      <c r="F485" s="193" t="s">
        <v>1437</v>
      </c>
      <c r="G485" s="193" t="s">
        <v>1350</v>
      </c>
      <c r="H485" s="193" t="s">
        <v>49</v>
      </c>
      <c r="I485" s="193" t="s">
        <v>41</v>
      </c>
      <c r="J485" s="193" t="str">
        <f t="shared" si="33"/>
        <v>12 Roda</v>
      </c>
      <c r="K485" s="194">
        <v>46027</v>
      </c>
      <c r="L485" s="195">
        <v>45890</v>
      </c>
      <c r="M485" s="195">
        <v>17550</v>
      </c>
      <c r="N485" s="195">
        <v>28340</v>
      </c>
      <c r="O485" s="195">
        <v>28260</v>
      </c>
      <c r="P485" s="196">
        <v>0.593055555555556</v>
      </c>
      <c r="Q485" s="196">
        <v>0.73472222222222205</v>
      </c>
      <c r="R485" s="193" t="s">
        <v>137</v>
      </c>
      <c r="S485" s="193" t="s">
        <v>1372</v>
      </c>
      <c r="T485" s="197">
        <f t="shared" si="35"/>
        <v>68</v>
      </c>
      <c r="U485" s="193" t="s">
        <v>1922</v>
      </c>
      <c r="V485" s="193" t="str">
        <f t="shared" si="36"/>
        <v>Bone Bone</v>
      </c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8"/>
      <c r="AL485" s="18"/>
    </row>
    <row r="486" spans="2:38" ht="15" customHeight="1" x14ac:dyDescent="0.2">
      <c r="B486" s="193">
        <v>1</v>
      </c>
      <c r="C486" s="347" t="s">
        <v>603</v>
      </c>
      <c r="D486" s="193" t="str">
        <f t="shared" si="34"/>
        <v>CPO000456JAS</v>
      </c>
      <c r="E486" s="193" t="s">
        <v>84</v>
      </c>
      <c r="F486" s="193" t="s">
        <v>1437</v>
      </c>
      <c r="G486" s="193" t="s">
        <v>1350</v>
      </c>
      <c r="H486" s="193" t="s">
        <v>49</v>
      </c>
      <c r="I486" s="193" t="s">
        <v>41</v>
      </c>
      <c r="J486" s="193" t="str">
        <f t="shared" si="33"/>
        <v>10 Roda</v>
      </c>
      <c r="K486" s="194">
        <v>46027</v>
      </c>
      <c r="L486" s="195">
        <v>26660</v>
      </c>
      <c r="M486" s="195">
        <v>12290</v>
      </c>
      <c r="N486" s="195">
        <v>14370</v>
      </c>
      <c r="O486" s="195">
        <v>14350</v>
      </c>
      <c r="P486" s="196">
        <v>0.65486111111111101</v>
      </c>
      <c r="Q486" s="196">
        <v>0.74305555555555602</v>
      </c>
      <c r="R486" s="193" t="s">
        <v>137</v>
      </c>
      <c r="S486" s="193" t="s">
        <v>1782</v>
      </c>
      <c r="T486" s="197">
        <f t="shared" si="35"/>
        <v>68</v>
      </c>
      <c r="U486" s="193" t="s">
        <v>1922</v>
      </c>
      <c r="V486" s="193" t="str">
        <f t="shared" si="36"/>
        <v>Bone Bone</v>
      </c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8"/>
      <c r="AL486" s="18"/>
    </row>
    <row r="487" spans="2:38" ht="15" customHeight="1" x14ac:dyDescent="0.2">
      <c r="B487" s="193">
        <v>1</v>
      </c>
      <c r="C487" s="347" t="s">
        <v>604</v>
      </c>
      <c r="D487" s="193" t="str">
        <f t="shared" si="34"/>
        <v>CPO000457JAS</v>
      </c>
      <c r="E487" s="193" t="s">
        <v>76</v>
      </c>
      <c r="F487" s="193" t="s">
        <v>1437</v>
      </c>
      <c r="G487" s="193" t="s">
        <v>1350</v>
      </c>
      <c r="H487" s="193" t="s">
        <v>49</v>
      </c>
      <c r="I487" s="193" t="s">
        <v>41</v>
      </c>
      <c r="J487" s="193" t="str">
        <f t="shared" si="33"/>
        <v>12 Roda</v>
      </c>
      <c r="K487" s="194">
        <v>46028</v>
      </c>
      <c r="L487" s="195">
        <v>45860</v>
      </c>
      <c r="M487" s="195">
        <v>17470</v>
      </c>
      <c r="N487" s="195">
        <v>28390</v>
      </c>
      <c r="O487" s="195">
        <v>28320</v>
      </c>
      <c r="P487" s="196">
        <v>0.57430555555555596</v>
      </c>
      <c r="Q487" s="196">
        <v>0.64861111111111103</v>
      </c>
      <c r="R487" s="193" t="s">
        <v>137</v>
      </c>
      <c r="S487" s="193" t="s">
        <v>1372</v>
      </c>
      <c r="T487" s="197">
        <f t="shared" si="35"/>
        <v>68</v>
      </c>
      <c r="U487" s="193" t="s">
        <v>1922</v>
      </c>
      <c r="V487" s="193" t="str">
        <f t="shared" si="36"/>
        <v>Bone Bone</v>
      </c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8"/>
      <c r="AL487" s="18"/>
    </row>
    <row r="488" spans="2:38" ht="15" customHeight="1" x14ac:dyDescent="0.2">
      <c r="B488" s="193">
        <v>1</v>
      </c>
      <c r="C488" s="347" t="s">
        <v>605</v>
      </c>
      <c r="D488" s="193" t="str">
        <f t="shared" si="34"/>
        <v>CPO000458JAS</v>
      </c>
      <c r="E488" s="193" t="s">
        <v>70</v>
      </c>
      <c r="F488" s="193" t="s">
        <v>1437</v>
      </c>
      <c r="G488" s="193" t="s">
        <v>1350</v>
      </c>
      <c r="H488" s="193" t="s">
        <v>49</v>
      </c>
      <c r="I488" s="193" t="s">
        <v>41</v>
      </c>
      <c r="J488" s="193" t="str">
        <f t="shared" si="33"/>
        <v>12 Roda</v>
      </c>
      <c r="K488" s="194">
        <v>46028</v>
      </c>
      <c r="L488" s="195">
        <v>45760</v>
      </c>
      <c r="M488" s="195">
        <v>17680</v>
      </c>
      <c r="N488" s="195">
        <v>28080</v>
      </c>
      <c r="O488" s="195">
        <v>28010</v>
      </c>
      <c r="P488" s="196">
        <v>0.60902777777777795</v>
      </c>
      <c r="Q488" s="196">
        <v>0.65625</v>
      </c>
      <c r="R488" s="193" t="s">
        <v>137</v>
      </c>
      <c r="S488" s="193" t="s">
        <v>1499</v>
      </c>
      <c r="T488" s="197">
        <f t="shared" si="35"/>
        <v>68</v>
      </c>
      <c r="U488" s="193" t="s">
        <v>1922</v>
      </c>
      <c r="V488" s="193" t="str">
        <f t="shared" si="36"/>
        <v>Bone Bone</v>
      </c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8"/>
      <c r="AL488" s="18"/>
    </row>
    <row r="489" spans="2:38" ht="15" customHeight="1" x14ac:dyDescent="0.2">
      <c r="B489" s="193">
        <v>1</v>
      </c>
      <c r="C489" s="347" t="s">
        <v>608</v>
      </c>
      <c r="D489" s="193" t="str">
        <f t="shared" si="34"/>
        <v>CPO000461JAS</v>
      </c>
      <c r="E489" s="193" t="s">
        <v>56</v>
      </c>
      <c r="F489" s="193" t="s">
        <v>1439</v>
      </c>
      <c r="G489" s="193" t="s">
        <v>1351</v>
      </c>
      <c r="H489" s="193" t="s">
        <v>49</v>
      </c>
      <c r="I489" s="193" t="s">
        <v>41</v>
      </c>
      <c r="J489" s="193" t="str">
        <f t="shared" si="33"/>
        <v>10 Roda</v>
      </c>
      <c r="K489" s="194">
        <v>46035</v>
      </c>
      <c r="L489" s="195">
        <v>25070</v>
      </c>
      <c r="M489" s="195">
        <v>10820</v>
      </c>
      <c r="N489" s="195">
        <v>14250</v>
      </c>
      <c r="O489" s="195">
        <v>14220</v>
      </c>
      <c r="P489" s="196">
        <v>0.47430555555555598</v>
      </c>
      <c r="Q489" s="196">
        <v>0.52847222222222201</v>
      </c>
      <c r="R489" s="193" t="s">
        <v>137</v>
      </c>
      <c r="S489" s="193" t="s">
        <v>1781</v>
      </c>
      <c r="T489" s="197">
        <f t="shared" si="35"/>
        <v>68</v>
      </c>
      <c r="U489" s="193" t="s">
        <v>1922</v>
      </c>
      <c r="V489" s="193" t="str">
        <f t="shared" si="36"/>
        <v>Bone Bone</v>
      </c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8"/>
      <c r="AL489" s="18"/>
    </row>
    <row r="490" spans="2:38" ht="15" customHeight="1" x14ac:dyDescent="0.2">
      <c r="B490" s="193">
        <v>1</v>
      </c>
      <c r="C490" s="347" t="s">
        <v>609</v>
      </c>
      <c r="D490" s="193" t="str">
        <f t="shared" si="34"/>
        <v>CPO000462JAS</v>
      </c>
      <c r="E490" s="193" t="s">
        <v>84</v>
      </c>
      <c r="F490" s="193" t="s">
        <v>1439</v>
      </c>
      <c r="G490" s="193" t="s">
        <v>1351</v>
      </c>
      <c r="H490" s="193" t="s">
        <v>49</v>
      </c>
      <c r="I490" s="193" t="s">
        <v>41</v>
      </c>
      <c r="J490" s="193" t="str">
        <f t="shared" si="33"/>
        <v>10 Roda</v>
      </c>
      <c r="K490" s="194">
        <v>46035</v>
      </c>
      <c r="L490" s="195">
        <v>26600</v>
      </c>
      <c r="M490" s="195">
        <v>12220</v>
      </c>
      <c r="N490" s="195">
        <v>14380</v>
      </c>
      <c r="O490" s="195">
        <v>14310</v>
      </c>
      <c r="P490" s="196">
        <v>0.49027777777777798</v>
      </c>
      <c r="Q490" s="196">
        <v>0.54791666666666705</v>
      </c>
      <c r="R490" s="193" t="s">
        <v>137</v>
      </c>
      <c r="S490" s="193" t="s">
        <v>1782</v>
      </c>
      <c r="T490" s="197">
        <f t="shared" si="35"/>
        <v>68</v>
      </c>
      <c r="U490" s="193" t="s">
        <v>1922</v>
      </c>
      <c r="V490" s="193" t="str">
        <f t="shared" si="36"/>
        <v>Bone Bone</v>
      </c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8"/>
      <c r="AL490" s="18"/>
    </row>
    <row r="491" spans="2:38" ht="15" customHeight="1" x14ac:dyDescent="0.2">
      <c r="B491" s="193">
        <v>1</v>
      </c>
      <c r="C491" s="347" t="s">
        <v>610</v>
      </c>
      <c r="D491" s="193" t="str">
        <f t="shared" si="34"/>
        <v>CPO000463JAS</v>
      </c>
      <c r="E491" s="193" t="s">
        <v>76</v>
      </c>
      <c r="F491" s="193" t="s">
        <v>1439</v>
      </c>
      <c r="G491" s="193" t="s">
        <v>1351</v>
      </c>
      <c r="H491" s="193" t="s">
        <v>49</v>
      </c>
      <c r="I491" s="193" t="s">
        <v>41</v>
      </c>
      <c r="J491" s="193" t="str">
        <f t="shared" si="33"/>
        <v>12 Roda</v>
      </c>
      <c r="K491" s="194">
        <v>46035</v>
      </c>
      <c r="L491" s="195">
        <v>45660</v>
      </c>
      <c r="M491" s="195">
        <v>17380</v>
      </c>
      <c r="N491" s="195">
        <v>28280</v>
      </c>
      <c r="O491" s="195">
        <v>28180</v>
      </c>
      <c r="P491" s="196">
        <v>0.52291666666666703</v>
      </c>
      <c r="Q491" s="196">
        <v>0.58194444444444504</v>
      </c>
      <c r="R491" s="193" t="s">
        <v>137</v>
      </c>
      <c r="S491" s="193" t="s">
        <v>1372</v>
      </c>
      <c r="T491" s="197">
        <f t="shared" si="35"/>
        <v>68</v>
      </c>
      <c r="U491" s="193" t="s">
        <v>1922</v>
      </c>
      <c r="V491" s="193" t="str">
        <f t="shared" si="36"/>
        <v>Bone Bone</v>
      </c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8"/>
      <c r="AL491" s="18"/>
    </row>
    <row r="492" spans="2:38" ht="15" customHeight="1" x14ac:dyDescent="0.2">
      <c r="B492" s="193">
        <v>1</v>
      </c>
      <c r="C492" s="347" t="s">
        <v>611</v>
      </c>
      <c r="D492" s="193" t="str">
        <f t="shared" si="34"/>
        <v>CPO000464JAS</v>
      </c>
      <c r="E492" s="193" t="s">
        <v>70</v>
      </c>
      <c r="F492" s="193" t="s">
        <v>1439</v>
      </c>
      <c r="G492" s="193" t="s">
        <v>1351</v>
      </c>
      <c r="H492" s="193" t="s">
        <v>49</v>
      </c>
      <c r="I492" s="193" t="s">
        <v>41</v>
      </c>
      <c r="J492" s="193" t="str">
        <f t="shared" si="33"/>
        <v>12 Roda</v>
      </c>
      <c r="K492" s="194">
        <v>46035</v>
      </c>
      <c r="L492" s="195">
        <v>45770</v>
      </c>
      <c r="M492" s="195">
        <v>17800</v>
      </c>
      <c r="N492" s="195">
        <v>27970</v>
      </c>
      <c r="O492" s="195">
        <v>27880</v>
      </c>
      <c r="P492" s="196">
        <v>0.59583333333333299</v>
      </c>
      <c r="Q492" s="196">
        <v>0.64722222222222203</v>
      </c>
      <c r="R492" s="193" t="s">
        <v>137</v>
      </c>
      <c r="S492" s="193" t="s">
        <v>1499</v>
      </c>
      <c r="T492" s="197">
        <f t="shared" si="35"/>
        <v>68</v>
      </c>
      <c r="U492" s="193" t="s">
        <v>1922</v>
      </c>
      <c r="V492" s="193" t="str">
        <f t="shared" si="36"/>
        <v>Bone Bone</v>
      </c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8"/>
      <c r="AL492" s="18"/>
    </row>
    <row r="493" spans="2:38" ht="15" customHeight="1" x14ac:dyDescent="0.2">
      <c r="B493" s="193">
        <v>1</v>
      </c>
      <c r="C493" s="347" t="s">
        <v>612</v>
      </c>
      <c r="D493" s="193" t="str">
        <f t="shared" si="34"/>
        <v>CPO000465JAS</v>
      </c>
      <c r="E493" s="193" t="s">
        <v>46</v>
      </c>
      <c r="F493" s="193" t="s">
        <v>1439</v>
      </c>
      <c r="G493" s="193" t="s">
        <v>1351</v>
      </c>
      <c r="H493" s="193" t="s">
        <v>49</v>
      </c>
      <c r="I493" s="193" t="s">
        <v>41</v>
      </c>
      <c r="J493" s="193" t="str">
        <f t="shared" si="33"/>
        <v>10 Roda</v>
      </c>
      <c r="K493" s="194">
        <v>46035</v>
      </c>
      <c r="L493" s="195">
        <v>26490</v>
      </c>
      <c r="M493" s="195">
        <v>11800</v>
      </c>
      <c r="N493" s="195">
        <v>14690</v>
      </c>
      <c r="O493" s="195">
        <v>14640</v>
      </c>
      <c r="P493" s="196">
        <v>0.59722222222222199</v>
      </c>
      <c r="Q493" s="196">
        <v>0.64305555555555605</v>
      </c>
      <c r="R493" s="193" t="s">
        <v>137</v>
      </c>
      <c r="S493" s="193" t="s">
        <v>1393</v>
      </c>
      <c r="T493" s="197">
        <f t="shared" si="35"/>
        <v>68</v>
      </c>
      <c r="U493" s="193" t="s">
        <v>1922</v>
      </c>
      <c r="V493" s="193" t="str">
        <f t="shared" si="36"/>
        <v>Bone Bone</v>
      </c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8"/>
      <c r="AL493" s="18"/>
    </row>
    <row r="494" spans="2:38" ht="15" customHeight="1" x14ac:dyDescent="0.2">
      <c r="B494" s="193">
        <v>1</v>
      </c>
      <c r="C494" s="347" t="s">
        <v>613</v>
      </c>
      <c r="D494" s="193" t="str">
        <f t="shared" si="34"/>
        <v>CPO000466JAS</v>
      </c>
      <c r="E494" s="193" t="s">
        <v>56</v>
      </c>
      <c r="F494" s="193" t="s">
        <v>1439</v>
      </c>
      <c r="G494" s="193" t="s">
        <v>1351</v>
      </c>
      <c r="H494" s="193" t="s">
        <v>49</v>
      </c>
      <c r="I494" s="193" t="s">
        <v>41</v>
      </c>
      <c r="J494" s="193" t="str">
        <f t="shared" si="33"/>
        <v>10 Roda</v>
      </c>
      <c r="K494" s="194">
        <v>46035</v>
      </c>
      <c r="L494" s="195">
        <v>25010</v>
      </c>
      <c r="M494" s="195">
        <v>10750</v>
      </c>
      <c r="N494" s="195">
        <v>14260</v>
      </c>
      <c r="O494" s="195">
        <v>14210</v>
      </c>
      <c r="P494" s="196">
        <v>0.73333333333333295</v>
      </c>
      <c r="Q494" s="196">
        <v>0.76249999999999996</v>
      </c>
      <c r="R494" s="193" t="s">
        <v>42</v>
      </c>
      <c r="S494" s="193" t="s">
        <v>1781</v>
      </c>
      <c r="T494" s="197">
        <f t="shared" si="35"/>
        <v>68</v>
      </c>
      <c r="U494" s="193" t="s">
        <v>1922</v>
      </c>
      <c r="V494" s="193" t="str">
        <f t="shared" si="36"/>
        <v>Bone Bone</v>
      </c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8"/>
      <c r="AL494" s="18"/>
    </row>
    <row r="495" spans="2:38" ht="15" customHeight="1" x14ac:dyDescent="0.2">
      <c r="B495" s="193">
        <v>1</v>
      </c>
      <c r="C495" s="347" t="s">
        <v>614</v>
      </c>
      <c r="D495" s="193" t="str">
        <f t="shared" si="34"/>
        <v>CPO000467JAS</v>
      </c>
      <c r="E495" s="193" t="s">
        <v>84</v>
      </c>
      <c r="F495" s="193" t="s">
        <v>1439</v>
      </c>
      <c r="G495" s="193" t="s">
        <v>1351</v>
      </c>
      <c r="H495" s="193" t="s">
        <v>49</v>
      </c>
      <c r="I495" s="193" t="s">
        <v>41</v>
      </c>
      <c r="J495" s="193" t="str">
        <f t="shared" si="33"/>
        <v>10 Roda</v>
      </c>
      <c r="K495" s="194">
        <v>46035</v>
      </c>
      <c r="L495" s="195">
        <v>26540</v>
      </c>
      <c r="M495" s="195">
        <v>12160</v>
      </c>
      <c r="N495" s="195">
        <v>14380</v>
      </c>
      <c r="O495" s="195">
        <v>14320</v>
      </c>
      <c r="P495" s="196">
        <v>0.75624999999999998</v>
      </c>
      <c r="Q495" s="196">
        <v>0.80416666666666703</v>
      </c>
      <c r="R495" s="193" t="s">
        <v>42</v>
      </c>
      <c r="S495" s="193" t="s">
        <v>1782</v>
      </c>
      <c r="T495" s="197">
        <f t="shared" si="35"/>
        <v>68</v>
      </c>
      <c r="U495" s="193" t="s">
        <v>1922</v>
      </c>
      <c r="V495" s="193" t="str">
        <f t="shared" si="36"/>
        <v>Bone Bone</v>
      </c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8"/>
      <c r="AL495" s="18"/>
    </row>
    <row r="496" spans="2:38" ht="15" customHeight="1" x14ac:dyDescent="0.2">
      <c r="B496" s="193">
        <v>1</v>
      </c>
      <c r="C496" s="347" t="s">
        <v>615</v>
      </c>
      <c r="D496" s="193" t="str">
        <f t="shared" si="34"/>
        <v>CPO000468JAS</v>
      </c>
      <c r="E496" s="193" t="s">
        <v>76</v>
      </c>
      <c r="F496" s="193" t="s">
        <v>1439</v>
      </c>
      <c r="G496" s="193" t="s">
        <v>1351</v>
      </c>
      <c r="H496" s="193" t="s">
        <v>49</v>
      </c>
      <c r="I496" s="193" t="s">
        <v>41</v>
      </c>
      <c r="J496" s="193" t="str">
        <f t="shared" si="33"/>
        <v>12 Roda</v>
      </c>
      <c r="K496" s="194">
        <v>46035</v>
      </c>
      <c r="L496" s="195">
        <v>44800</v>
      </c>
      <c r="M496" s="195">
        <v>17320</v>
      </c>
      <c r="N496" s="195">
        <v>27480</v>
      </c>
      <c r="O496" s="195">
        <v>27410</v>
      </c>
      <c r="P496" s="196">
        <v>0.80208333333333304</v>
      </c>
      <c r="Q496" s="196">
        <v>0.82986111111111105</v>
      </c>
      <c r="R496" s="193" t="s">
        <v>42</v>
      </c>
      <c r="S496" s="193" t="s">
        <v>1372</v>
      </c>
      <c r="T496" s="197">
        <f t="shared" si="35"/>
        <v>68</v>
      </c>
      <c r="U496" s="193" t="s">
        <v>1922</v>
      </c>
      <c r="V496" s="193" t="str">
        <f t="shared" si="36"/>
        <v>Bone Bone</v>
      </c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8"/>
      <c r="AL496" s="18"/>
    </row>
    <row r="497" spans="2:38" ht="15" customHeight="1" x14ac:dyDescent="0.2">
      <c r="B497" s="193">
        <v>1</v>
      </c>
      <c r="C497" s="347" t="s">
        <v>616</v>
      </c>
      <c r="D497" s="193" t="str">
        <f t="shared" si="34"/>
        <v>CPO000470JAS</v>
      </c>
      <c r="E497" s="193" t="s">
        <v>46</v>
      </c>
      <c r="F497" s="193" t="s">
        <v>1439</v>
      </c>
      <c r="G497" s="193" t="s">
        <v>1351</v>
      </c>
      <c r="H497" s="193" t="s">
        <v>49</v>
      </c>
      <c r="I497" s="193" t="s">
        <v>41</v>
      </c>
      <c r="J497" s="193" t="str">
        <f t="shared" si="33"/>
        <v>10 Roda</v>
      </c>
      <c r="K497" s="194">
        <v>46035</v>
      </c>
      <c r="L497" s="195">
        <v>26410</v>
      </c>
      <c r="M497" s="195">
        <v>11780</v>
      </c>
      <c r="N497" s="195">
        <v>14630</v>
      </c>
      <c r="O497" s="195">
        <v>14620</v>
      </c>
      <c r="P497" s="196">
        <v>0.844444444444444</v>
      </c>
      <c r="Q497" s="196">
        <v>0.91180555555555598</v>
      </c>
      <c r="R497" s="193" t="s">
        <v>42</v>
      </c>
      <c r="S497" s="193" t="s">
        <v>1393</v>
      </c>
      <c r="T497" s="197">
        <f t="shared" si="35"/>
        <v>68</v>
      </c>
      <c r="U497" s="193" t="s">
        <v>1922</v>
      </c>
      <c r="V497" s="193" t="str">
        <f t="shared" si="36"/>
        <v>Bone Bone</v>
      </c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8"/>
      <c r="AL497" s="18"/>
    </row>
    <row r="498" spans="2:38" ht="15" customHeight="1" x14ac:dyDescent="0.2">
      <c r="B498" s="193">
        <v>1</v>
      </c>
      <c r="C498" s="347" t="s">
        <v>617</v>
      </c>
      <c r="D498" s="193" t="str">
        <f t="shared" si="34"/>
        <v>CPO000471JAS</v>
      </c>
      <c r="E498" s="193" t="s">
        <v>70</v>
      </c>
      <c r="F498" s="193" t="s">
        <v>1439</v>
      </c>
      <c r="G498" s="193" t="s">
        <v>1351</v>
      </c>
      <c r="H498" s="193" t="s">
        <v>49</v>
      </c>
      <c r="I498" s="193" t="s">
        <v>41</v>
      </c>
      <c r="J498" s="193" t="str">
        <f t="shared" si="33"/>
        <v>12 Roda</v>
      </c>
      <c r="K498" s="194">
        <v>46035</v>
      </c>
      <c r="L498" s="195">
        <v>45740</v>
      </c>
      <c r="M498" s="195">
        <v>17740</v>
      </c>
      <c r="N498" s="195">
        <v>28000</v>
      </c>
      <c r="O498" s="195">
        <v>27920</v>
      </c>
      <c r="P498" s="196">
        <v>0.88055555555555598</v>
      </c>
      <c r="Q498" s="196">
        <v>0.91597222222222197</v>
      </c>
      <c r="R498" s="193" t="s">
        <v>42</v>
      </c>
      <c r="S498" s="193" t="s">
        <v>1499</v>
      </c>
      <c r="T498" s="197">
        <f t="shared" si="35"/>
        <v>68</v>
      </c>
      <c r="U498" s="193" t="s">
        <v>1922</v>
      </c>
      <c r="V498" s="193" t="str">
        <f t="shared" si="36"/>
        <v>Bone Bone</v>
      </c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8"/>
      <c r="AL498" s="18"/>
    </row>
    <row r="499" spans="2:38" ht="15" customHeight="1" x14ac:dyDescent="0.2">
      <c r="B499" s="193">
        <v>1</v>
      </c>
      <c r="C499" s="347" t="s">
        <v>618</v>
      </c>
      <c r="D499" s="193" t="str">
        <f t="shared" si="34"/>
        <v>CPO000472JAS</v>
      </c>
      <c r="E499" s="193" t="s">
        <v>56</v>
      </c>
      <c r="F499" s="193" t="s">
        <v>1439</v>
      </c>
      <c r="G499" s="193" t="s">
        <v>1351</v>
      </c>
      <c r="H499" s="193" t="s">
        <v>49</v>
      </c>
      <c r="I499" s="193" t="s">
        <v>41</v>
      </c>
      <c r="J499" s="193" t="str">
        <f t="shared" si="33"/>
        <v>10 Roda</v>
      </c>
      <c r="K499" s="194">
        <v>46036</v>
      </c>
      <c r="L499" s="195">
        <v>25010</v>
      </c>
      <c r="M499" s="195">
        <v>10710</v>
      </c>
      <c r="N499" s="195">
        <v>14300</v>
      </c>
      <c r="O499" s="195">
        <v>14250</v>
      </c>
      <c r="P499" s="196">
        <v>0.45833333333333298</v>
      </c>
      <c r="Q499" s="196">
        <v>0.49513888888888902</v>
      </c>
      <c r="R499" s="193" t="s">
        <v>137</v>
      </c>
      <c r="S499" s="193" t="s">
        <v>1781</v>
      </c>
      <c r="T499" s="197">
        <f t="shared" si="35"/>
        <v>68</v>
      </c>
      <c r="U499" s="193" t="s">
        <v>1922</v>
      </c>
      <c r="V499" s="193" t="str">
        <f t="shared" si="36"/>
        <v>Bone Bone</v>
      </c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8"/>
      <c r="AL499" s="18"/>
    </row>
    <row r="500" spans="2:38" ht="15" customHeight="1" x14ac:dyDescent="0.2">
      <c r="B500" s="193">
        <v>1</v>
      </c>
      <c r="C500" s="347" t="s">
        <v>619</v>
      </c>
      <c r="D500" s="193" t="str">
        <f t="shared" si="34"/>
        <v>CPO000473JAS</v>
      </c>
      <c r="E500" s="193" t="s">
        <v>46</v>
      </c>
      <c r="F500" s="193" t="s">
        <v>1439</v>
      </c>
      <c r="G500" s="193" t="s">
        <v>1351</v>
      </c>
      <c r="H500" s="193" t="s">
        <v>49</v>
      </c>
      <c r="I500" s="193" t="s">
        <v>41</v>
      </c>
      <c r="J500" s="193" t="str">
        <f t="shared" si="33"/>
        <v>10 Roda</v>
      </c>
      <c r="K500" s="194">
        <v>46036</v>
      </c>
      <c r="L500" s="195">
        <v>26230</v>
      </c>
      <c r="M500" s="195">
        <v>11730</v>
      </c>
      <c r="N500" s="195">
        <v>14500</v>
      </c>
      <c r="O500" s="195">
        <v>14470</v>
      </c>
      <c r="P500" s="196">
        <v>0.48749999999999999</v>
      </c>
      <c r="Q500" s="196">
        <v>0.55277777777777803</v>
      </c>
      <c r="R500" s="193" t="s">
        <v>137</v>
      </c>
      <c r="S500" s="193" t="s">
        <v>1393</v>
      </c>
      <c r="T500" s="197">
        <f t="shared" si="35"/>
        <v>68</v>
      </c>
      <c r="U500" s="193" t="s">
        <v>1922</v>
      </c>
      <c r="V500" s="193" t="str">
        <f t="shared" si="36"/>
        <v>Bone Bone</v>
      </c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8"/>
      <c r="AL500" s="18"/>
    </row>
    <row r="501" spans="2:38" ht="15" customHeight="1" x14ac:dyDescent="0.2">
      <c r="B501" s="193">
        <v>1</v>
      </c>
      <c r="C501" s="347" t="s">
        <v>620</v>
      </c>
      <c r="D501" s="193" t="str">
        <f t="shared" si="34"/>
        <v>CPO000474JAS</v>
      </c>
      <c r="E501" s="193" t="s">
        <v>70</v>
      </c>
      <c r="F501" s="193" t="s">
        <v>1439</v>
      </c>
      <c r="G501" s="193" t="s">
        <v>1351</v>
      </c>
      <c r="H501" s="193" t="s">
        <v>49</v>
      </c>
      <c r="I501" s="193" t="s">
        <v>41</v>
      </c>
      <c r="J501" s="193" t="str">
        <f t="shared" si="33"/>
        <v>12 Roda</v>
      </c>
      <c r="K501" s="194">
        <v>46036</v>
      </c>
      <c r="L501" s="195">
        <v>45640</v>
      </c>
      <c r="M501" s="195">
        <v>17690</v>
      </c>
      <c r="N501" s="195">
        <v>27950</v>
      </c>
      <c r="O501" s="195">
        <v>27900</v>
      </c>
      <c r="P501" s="196">
        <v>0.530555555555556</v>
      </c>
      <c r="Q501" s="196">
        <v>0.58402777777777803</v>
      </c>
      <c r="R501" s="193" t="s">
        <v>137</v>
      </c>
      <c r="S501" s="193" t="s">
        <v>1499</v>
      </c>
      <c r="T501" s="197">
        <f t="shared" si="35"/>
        <v>68</v>
      </c>
      <c r="U501" s="193" t="s">
        <v>1922</v>
      </c>
      <c r="V501" s="193" t="str">
        <f t="shared" si="36"/>
        <v>Bone Bone</v>
      </c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8"/>
      <c r="AL501" s="18"/>
    </row>
    <row r="502" spans="2:38" ht="15" customHeight="1" x14ac:dyDescent="0.2">
      <c r="B502" s="193">
        <v>1</v>
      </c>
      <c r="C502" s="347" t="s">
        <v>621</v>
      </c>
      <c r="D502" s="193" t="str">
        <f t="shared" si="34"/>
        <v>CPO000475JAS</v>
      </c>
      <c r="E502" s="193" t="s">
        <v>84</v>
      </c>
      <c r="F502" s="193" t="s">
        <v>1439</v>
      </c>
      <c r="G502" s="193" t="s">
        <v>1351</v>
      </c>
      <c r="H502" s="193" t="s">
        <v>49</v>
      </c>
      <c r="I502" s="193" t="s">
        <v>41</v>
      </c>
      <c r="J502" s="193" t="str">
        <f t="shared" si="33"/>
        <v>10 Roda</v>
      </c>
      <c r="K502" s="194">
        <v>46036</v>
      </c>
      <c r="L502" s="195">
        <v>26520</v>
      </c>
      <c r="M502" s="195">
        <v>12130</v>
      </c>
      <c r="N502" s="195">
        <v>14390</v>
      </c>
      <c r="O502" s="195">
        <v>14360</v>
      </c>
      <c r="P502" s="196">
        <v>0.59027777777777801</v>
      </c>
      <c r="Q502" s="196">
        <v>0.61875000000000002</v>
      </c>
      <c r="R502" s="193" t="s">
        <v>137</v>
      </c>
      <c r="S502" s="193" t="s">
        <v>1782</v>
      </c>
      <c r="T502" s="197">
        <f t="shared" si="35"/>
        <v>68</v>
      </c>
      <c r="U502" s="193" t="s">
        <v>1922</v>
      </c>
      <c r="V502" s="193" t="str">
        <f t="shared" si="36"/>
        <v>Bone Bone</v>
      </c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8"/>
      <c r="AL502" s="18"/>
    </row>
    <row r="503" spans="2:38" ht="15" customHeight="1" x14ac:dyDescent="0.2">
      <c r="B503" s="193">
        <v>1</v>
      </c>
      <c r="C503" s="347" t="s">
        <v>622</v>
      </c>
      <c r="D503" s="193" t="str">
        <f t="shared" si="34"/>
        <v>CPO000476JAS</v>
      </c>
      <c r="E503" s="193" t="s">
        <v>76</v>
      </c>
      <c r="F503" s="193" t="s">
        <v>1439</v>
      </c>
      <c r="G503" s="193" t="s">
        <v>1351</v>
      </c>
      <c r="H503" s="193" t="s">
        <v>49</v>
      </c>
      <c r="I503" s="193" t="s">
        <v>41</v>
      </c>
      <c r="J503" s="193" t="str">
        <f t="shared" si="33"/>
        <v>12 Roda</v>
      </c>
      <c r="K503" s="194">
        <v>46036</v>
      </c>
      <c r="L503" s="195">
        <v>45910</v>
      </c>
      <c r="M503" s="195">
        <v>17520</v>
      </c>
      <c r="N503" s="195">
        <v>28390</v>
      </c>
      <c r="O503" s="195">
        <v>28330</v>
      </c>
      <c r="P503" s="196">
        <v>0.6</v>
      </c>
      <c r="Q503" s="196">
        <v>0.63402777777777797</v>
      </c>
      <c r="R503" s="193" t="s">
        <v>137</v>
      </c>
      <c r="S503" s="193" t="s">
        <v>1372</v>
      </c>
      <c r="T503" s="197">
        <f t="shared" si="35"/>
        <v>68</v>
      </c>
      <c r="U503" s="193" t="s">
        <v>1922</v>
      </c>
      <c r="V503" s="193" t="str">
        <f t="shared" si="36"/>
        <v>Bone Bone</v>
      </c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8"/>
      <c r="AL503" s="18"/>
    </row>
    <row r="504" spans="2:38" ht="15" customHeight="1" x14ac:dyDescent="0.2">
      <c r="B504" s="193">
        <v>1</v>
      </c>
      <c r="C504" s="347" t="s">
        <v>623</v>
      </c>
      <c r="D504" s="193" t="str">
        <f t="shared" si="34"/>
        <v>CPO000477JAS</v>
      </c>
      <c r="E504" s="193" t="s">
        <v>56</v>
      </c>
      <c r="F504" s="193" t="s">
        <v>1439</v>
      </c>
      <c r="G504" s="193" t="s">
        <v>1351</v>
      </c>
      <c r="H504" s="193" t="s">
        <v>49</v>
      </c>
      <c r="I504" s="193" t="s">
        <v>41</v>
      </c>
      <c r="J504" s="193" t="str">
        <f t="shared" si="33"/>
        <v>10 Roda</v>
      </c>
      <c r="K504" s="194">
        <v>46036</v>
      </c>
      <c r="L504" s="195">
        <v>25070</v>
      </c>
      <c r="M504" s="195">
        <v>10810</v>
      </c>
      <c r="N504" s="195">
        <v>14260</v>
      </c>
      <c r="O504" s="195">
        <v>14240</v>
      </c>
      <c r="P504" s="196">
        <v>0.69097222222222199</v>
      </c>
      <c r="Q504" s="196">
        <v>0.72430555555555598</v>
      </c>
      <c r="R504" s="193" t="s">
        <v>42</v>
      </c>
      <c r="S504" s="193" t="s">
        <v>1781</v>
      </c>
      <c r="T504" s="197">
        <f t="shared" si="35"/>
        <v>68</v>
      </c>
      <c r="U504" s="193" t="s">
        <v>1922</v>
      </c>
      <c r="V504" s="193" t="str">
        <f t="shared" si="36"/>
        <v>Bone Bone</v>
      </c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8"/>
      <c r="AL504" s="18"/>
    </row>
    <row r="505" spans="2:38" ht="15" customHeight="1" x14ac:dyDescent="0.2">
      <c r="B505" s="193">
        <v>1</v>
      </c>
      <c r="C505" s="347" t="s">
        <v>624</v>
      </c>
      <c r="D505" s="193" t="str">
        <f t="shared" si="34"/>
        <v>CPO000478JAS</v>
      </c>
      <c r="E505" s="193" t="s">
        <v>46</v>
      </c>
      <c r="F505" s="193" t="s">
        <v>1439</v>
      </c>
      <c r="G505" s="193" t="s">
        <v>1351</v>
      </c>
      <c r="H505" s="193" t="s">
        <v>49</v>
      </c>
      <c r="I505" s="193" t="s">
        <v>41</v>
      </c>
      <c r="J505" s="193" t="str">
        <f t="shared" si="33"/>
        <v>10 Roda</v>
      </c>
      <c r="K505" s="194">
        <v>46036</v>
      </c>
      <c r="L505" s="195">
        <v>26680</v>
      </c>
      <c r="M505" s="195">
        <v>11880</v>
      </c>
      <c r="N505" s="195">
        <v>14800</v>
      </c>
      <c r="O505" s="195">
        <v>14700</v>
      </c>
      <c r="P505" s="196">
        <v>0.78333333333333299</v>
      </c>
      <c r="Q505" s="196">
        <v>0.89652777777777803</v>
      </c>
      <c r="R505" s="193" t="s">
        <v>42</v>
      </c>
      <c r="S505" s="193" t="s">
        <v>1393</v>
      </c>
      <c r="T505" s="197">
        <f t="shared" si="35"/>
        <v>68</v>
      </c>
      <c r="U505" s="193" t="s">
        <v>1922</v>
      </c>
      <c r="V505" s="193" t="str">
        <f t="shared" si="36"/>
        <v>Bone Bone</v>
      </c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8"/>
      <c r="AL505" s="18"/>
    </row>
    <row r="506" spans="2:38" ht="15" customHeight="1" x14ac:dyDescent="0.2">
      <c r="B506" s="193">
        <v>1</v>
      </c>
      <c r="C506" s="347" t="s">
        <v>625</v>
      </c>
      <c r="D506" s="193" t="str">
        <f t="shared" si="34"/>
        <v>CPO000479JAS</v>
      </c>
      <c r="E506" s="193" t="s">
        <v>70</v>
      </c>
      <c r="F506" s="193" t="s">
        <v>1439</v>
      </c>
      <c r="G506" s="193" t="s">
        <v>1351</v>
      </c>
      <c r="H506" s="193" t="s">
        <v>49</v>
      </c>
      <c r="I506" s="193" t="s">
        <v>41</v>
      </c>
      <c r="J506" s="193" t="str">
        <f t="shared" si="33"/>
        <v>12 Roda</v>
      </c>
      <c r="K506" s="194">
        <v>46036</v>
      </c>
      <c r="L506" s="195">
        <v>45680</v>
      </c>
      <c r="M506" s="195">
        <v>17640</v>
      </c>
      <c r="N506" s="195">
        <v>28040</v>
      </c>
      <c r="O506" s="195">
        <v>27980</v>
      </c>
      <c r="P506" s="196">
        <v>0.81041666666666701</v>
      </c>
      <c r="Q506" s="196">
        <v>0.85763888888888895</v>
      </c>
      <c r="R506" s="193" t="s">
        <v>42</v>
      </c>
      <c r="S506" s="193" t="s">
        <v>1499</v>
      </c>
      <c r="T506" s="197">
        <f t="shared" si="35"/>
        <v>68</v>
      </c>
      <c r="U506" s="193" t="s">
        <v>1922</v>
      </c>
      <c r="V506" s="193" t="str">
        <f t="shared" si="36"/>
        <v>Bone Bone</v>
      </c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8"/>
      <c r="AL506" s="18"/>
    </row>
    <row r="507" spans="2:38" ht="15" customHeight="1" x14ac:dyDescent="0.2">
      <c r="B507" s="193">
        <v>1</v>
      </c>
      <c r="C507" s="347" t="s">
        <v>626</v>
      </c>
      <c r="D507" s="193" t="str">
        <f t="shared" si="34"/>
        <v>CPO000480JAS</v>
      </c>
      <c r="E507" s="193" t="s">
        <v>84</v>
      </c>
      <c r="F507" s="193" t="s">
        <v>1439</v>
      </c>
      <c r="G507" s="193" t="s">
        <v>1351</v>
      </c>
      <c r="H507" s="193" t="s">
        <v>49</v>
      </c>
      <c r="I507" s="193" t="s">
        <v>41</v>
      </c>
      <c r="J507" s="193" t="str">
        <f t="shared" si="33"/>
        <v>10 Roda</v>
      </c>
      <c r="K507" s="194">
        <v>46036</v>
      </c>
      <c r="L507" s="195">
        <v>26650</v>
      </c>
      <c r="M507" s="195">
        <v>12240</v>
      </c>
      <c r="N507" s="195">
        <v>14410</v>
      </c>
      <c r="O507" s="195">
        <v>14370</v>
      </c>
      <c r="P507" s="196">
        <v>0.82430555555555596</v>
      </c>
      <c r="Q507" s="196">
        <v>0.86388888888888904</v>
      </c>
      <c r="R507" s="193" t="s">
        <v>42</v>
      </c>
      <c r="S507" s="193" t="s">
        <v>1782</v>
      </c>
      <c r="T507" s="197">
        <f t="shared" si="35"/>
        <v>68</v>
      </c>
      <c r="U507" s="193" t="s">
        <v>1922</v>
      </c>
      <c r="V507" s="193" t="str">
        <f t="shared" si="36"/>
        <v>Bone Bone</v>
      </c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8"/>
      <c r="AL507" s="18"/>
    </row>
    <row r="508" spans="2:38" ht="15" customHeight="1" x14ac:dyDescent="0.2">
      <c r="B508" s="193">
        <v>1</v>
      </c>
      <c r="C508" s="347" t="s">
        <v>787</v>
      </c>
      <c r="D508" s="193" t="str">
        <f t="shared" si="34"/>
        <v>CPO000625KMP</v>
      </c>
      <c r="E508" s="193" t="s">
        <v>76</v>
      </c>
      <c r="F508" s="193" t="s">
        <v>1455</v>
      </c>
      <c r="G508" s="193" t="s">
        <v>1359</v>
      </c>
      <c r="H508" s="193" t="s">
        <v>59</v>
      </c>
      <c r="I508" s="193" t="s">
        <v>41</v>
      </c>
      <c r="J508" s="193" t="str">
        <f t="shared" si="33"/>
        <v>12 Roda</v>
      </c>
      <c r="K508" s="194">
        <v>46058</v>
      </c>
      <c r="L508" s="195">
        <v>45790</v>
      </c>
      <c r="M508" s="195">
        <v>17490</v>
      </c>
      <c r="N508" s="195">
        <v>28300</v>
      </c>
      <c r="O508" s="195">
        <v>28320</v>
      </c>
      <c r="P508" s="196">
        <v>0.53888888888888897</v>
      </c>
      <c r="Q508" s="196">
        <v>0.57499999999999996</v>
      </c>
      <c r="R508" s="193" t="s">
        <v>137</v>
      </c>
      <c r="S508" s="193" t="s">
        <v>1372</v>
      </c>
      <c r="T508" s="197">
        <f t="shared" si="35"/>
        <v>53</v>
      </c>
      <c r="U508" s="193" t="s">
        <v>1922</v>
      </c>
      <c r="V508" s="193" t="str">
        <f t="shared" si="36"/>
        <v>Masamba</v>
      </c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8"/>
      <c r="AL508" s="18"/>
    </row>
    <row r="509" spans="2:38" ht="15" customHeight="1" x14ac:dyDescent="0.2">
      <c r="B509" s="193">
        <v>1</v>
      </c>
      <c r="C509" s="347" t="s">
        <v>628</v>
      </c>
      <c r="D509" s="193" t="str">
        <f t="shared" si="34"/>
        <v>CPO000482JAS</v>
      </c>
      <c r="E509" s="193" t="s">
        <v>56</v>
      </c>
      <c r="F509" s="193" t="s">
        <v>1439</v>
      </c>
      <c r="G509" s="193" t="s">
        <v>1351</v>
      </c>
      <c r="H509" s="193" t="s">
        <v>49</v>
      </c>
      <c r="I509" s="193" t="s">
        <v>41</v>
      </c>
      <c r="J509" s="193" t="str">
        <f t="shared" si="33"/>
        <v>10 Roda</v>
      </c>
      <c r="K509" s="194">
        <v>46037</v>
      </c>
      <c r="L509" s="195">
        <v>24980</v>
      </c>
      <c r="M509" s="195">
        <v>10760</v>
      </c>
      <c r="N509" s="195">
        <v>14220</v>
      </c>
      <c r="O509" s="195">
        <v>14200</v>
      </c>
      <c r="P509" s="196">
        <v>0.49791666666666701</v>
      </c>
      <c r="Q509" s="196">
        <v>0.54930555555555605</v>
      </c>
      <c r="R509" s="193" t="s">
        <v>137</v>
      </c>
      <c r="S509" s="193" t="s">
        <v>1781</v>
      </c>
      <c r="T509" s="197">
        <f t="shared" si="35"/>
        <v>68</v>
      </c>
      <c r="U509" s="193" t="s">
        <v>1922</v>
      </c>
      <c r="V509" s="193" t="str">
        <f t="shared" si="36"/>
        <v>Bone Bone</v>
      </c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8"/>
      <c r="AL509" s="18"/>
    </row>
    <row r="510" spans="2:38" ht="15" customHeight="1" x14ac:dyDescent="0.2">
      <c r="B510" s="193">
        <v>1</v>
      </c>
      <c r="C510" s="347" t="s">
        <v>629</v>
      </c>
      <c r="D510" s="193" t="str">
        <f t="shared" si="34"/>
        <v>CPO000483JAS</v>
      </c>
      <c r="E510" s="193" t="s">
        <v>70</v>
      </c>
      <c r="F510" s="193" t="s">
        <v>1439</v>
      </c>
      <c r="G510" s="193" t="s">
        <v>1351</v>
      </c>
      <c r="H510" s="193" t="s">
        <v>49</v>
      </c>
      <c r="I510" s="193" t="s">
        <v>41</v>
      </c>
      <c r="J510" s="193" t="str">
        <f t="shared" si="33"/>
        <v>12 Roda</v>
      </c>
      <c r="K510" s="194">
        <v>46037</v>
      </c>
      <c r="L510" s="195">
        <v>45590</v>
      </c>
      <c r="M510" s="195">
        <v>17700</v>
      </c>
      <c r="N510" s="195">
        <v>27890</v>
      </c>
      <c r="O510" s="195">
        <v>27950</v>
      </c>
      <c r="P510" s="196">
        <v>0.55069444444444504</v>
      </c>
      <c r="Q510" s="196">
        <v>0.60694444444444395</v>
      </c>
      <c r="R510" s="193" t="s">
        <v>137</v>
      </c>
      <c r="S510" s="193" t="s">
        <v>1499</v>
      </c>
      <c r="T510" s="197">
        <f t="shared" si="35"/>
        <v>68</v>
      </c>
      <c r="U510" s="193" t="s">
        <v>1922</v>
      </c>
      <c r="V510" s="193" t="str">
        <f t="shared" si="36"/>
        <v>Bone Bone</v>
      </c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8"/>
      <c r="AL510" s="18"/>
    </row>
    <row r="511" spans="2:38" ht="15" customHeight="1" x14ac:dyDescent="0.2">
      <c r="B511" s="193">
        <v>1</v>
      </c>
      <c r="C511" s="347" t="s">
        <v>630</v>
      </c>
      <c r="D511" s="193" t="str">
        <f t="shared" si="34"/>
        <v>CPO000484JAS</v>
      </c>
      <c r="E511" s="193" t="s">
        <v>76</v>
      </c>
      <c r="F511" s="193" t="s">
        <v>1439</v>
      </c>
      <c r="G511" s="193" t="s">
        <v>1351</v>
      </c>
      <c r="H511" s="193" t="s">
        <v>49</v>
      </c>
      <c r="I511" s="193" t="s">
        <v>41</v>
      </c>
      <c r="J511" s="193" t="str">
        <f t="shared" si="33"/>
        <v>12 Roda</v>
      </c>
      <c r="K511" s="194">
        <v>46037</v>
      </c>
      <c r="L511" s="195">
        <v>45540</v>
      </c>
      <c r="M511" s="195">
        <v>17410</v>
      </c>
      <c r="N511" s="195">
        <v>28130</v>
      </c>
      <c r="O511" s="195">
        <v>28110</v>
      </c>
      <c r="P511" s="196">
        <v>0.60069444444444398</v>
      </c>
      <c r="Q511" s="196">
        <v>0.64027777777777795</v>
      </c>
      <c r="R511" s="193" t="s">
        <v>137</v>
      </c>
      <c r="S511" s="193" t="s">
        <v>1372</v>
      </c>
      <c r="T511" s="197">
        <f t="shared" si="35"/>
        <v>68</v>
      </c>
      <c r="U511" s="193" t="s">
        <v>1922</v>
      </c>
      <c r="V511" s="193" t="str">
        <f t="shared" si="36"/>
        <v>Bone Bone</v>
      </c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8"/>
      <c r="AL511" s="18"/>
    </row>
    <row r="512" spans="2:38" ht="15" customHeight="1" x14ac:dyDescent="0.2">
      <c r="B512" s="193">
        <v>1</v>
      </c>
      <c r="C512" s="347" t="s">
        <v>631</v>
      </c>
      <c r="D512" s="193" t="str">
        <f t="shared" si="34"/>
        <v>CPO000485JAS</v>
      </c>
      <c r="E512" s="193" t="s">
        <v>46</v>
      </c>
      <c r="F512" s="193" t="s">
        <v>1439</v>
      </c>
      <c r="G512" s="193" t="s">
        <v>1351</v>
      </c>
      <c r="H512" s="193" t="s">
        <v>49</v>
      </c>
      <c r="I512" s="193" t="s">
        <v>41</v>
      </c>
      <c r="J512" s="193" t="str">
        <f t="shared" ref="J512:J575" si="37">IF(MIN(L512,M512)&lt;=5000,"6 Roda",IF(MIN(L512,M512)&lt;=13800,"10 Roda","12 Roda"))</f>
        <v>10 Roda</v>
      </c>
      <c r="K512" s="194">
        <v>46037</v>
      </c>
      <c r="L512" s="195">
        <v>26600</v>
      </c>
      <c r="M512" s="195">
        <v>11860</v>
      </c>
      <c r="N512" s="195">
        <v>14740</v>
      </c>
      <c r="O512" s="195">
        <v>14770</v>
      </c>
      <c r="P512" s="196">
        <v>0.655555555555556</v>
      </c>
      <c r="Q512" s="196">
        <v>0.71666666666666701</v>
      </c>
      <c r="R512" s="193" t="s">
        <v>42</v>
      </c>
      <c r="S512" s="193" t="s">
        <v>1393</v>
      </c>
      <c r="T512" s="197">
        <f t="shared" si="35"/>
        <v>68</v>
      </c>
      <c r="U512" s="193" t="s">
        <v>1922</v>
      </c>
      <c r="V512" s="193" t="str">
        <f t="shared" si="36"/>
        <v>Bone Bone</v>
      </c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8"/>
      <c r="AL512" s="18"/>
    </row>
    <row r="513" spans="2:38" ht="15" customHeight="1" x14ac:dyDescent="0.2">
      <c r="B513" s="193">
        <v>1</v>
      </c>
      <c r="C513" s="347" t="s">
        <v>632</v>
      </c>
      <c r="D513" s="193" t="str">
        <f t="shared" si="34"/>
        <v>CPO000486JAS</v>
      </c>
      <c r="E513" s="193" t="s">
        <v>84</v>
      </c>
      <c r="F513" s="193" t="s">
        <v>1439</v>
      </c>
      <c r="G513" s="193" t="s">
        <v>1351</v>
      </c>
      <c r="H513" s="193" t="s">
        <v>49</v>
      </c>
      <c r="I513" s="193" t="s">
        <v>41</v>
      </c>
      <c r="J513" s="193" t="str">
        <f t="shared" si="37"/>
        <v>10 Roda</v>
      </c>
      <c r="K513" s="194">
        <v>46037</v>
      </c>
      <c r="L513" s="195">
        <v>26760</v>
      </c>
      <c r="M513" s="195">
        <v>12270</v>
      </c>
      <c r="N513" s="195">
        <v>14490</v>
      </c>
      <c r="O513" s="195">
        <v>14470</v>
      </c>
      <c r="P513" s="196">
        <v>0.656944444444444</v>
      </c>
      <c r="Q513" s="196">
        <v>0.70208333333333295</v>
      </c>
      <c r="R513" s="193" t="s">
        <v>42</v>
      </c>
      <c r="S513" s="193" t="s">
        <v>1782</v>
      </c>
      <c r="T513" s="197">
        <f t="shared" si="35"/>
        <v>68</v>
      </c>
      <c r="U513" s="193" t="s">
        <v>1922</v>
      </c>
      <c r="V513" s="193" t="str">
        <f t="shared" si="36"/>
        <v>Bone Bone</v>
      </c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8"/>
      <c r="AL513" s="18"/>
    </row>
    <row r="514" spans="2:38" ht="15" customHeight="1" x14ac:dyDescent="0.2">
      <c r="B514" s="193">
        <v>1</v>
      </c>
      <c r="C514" s="347" t="s">
        <v>633</v>
      </c>
      <c r="D514" s="193" t="str">
        <f t="shared" si="34"/>
        <v>CPO000487JAS</v>
      </c>
      <c r="E514" s="193" t="s">
        <v>56</v>
      </c>
      <c r="F514" s="193" t="s">
        <v>1439</v>
      </c>
      <c r="G514" s="193" t="s">
        <v>1351</v>
      </c>
      <c r="H514" s="193" t="s">
        <v>49</v>
      </c>
      <c r="I514" s="193" t="s">
        <v>41</v>
      </c>
      <c r="J514" s="193" t="str">
        <f t="shared" si="37"/>
        <v>10 Roda</v>
      </c>
      <c r="K514" s="194">
        <v>46037</v>
      </c>
      <c r="L514" s="195">
        <v>24930</v>
      </c>
      <c r="M514" s="195">
        <v>10710</v>
      </c>
      <c r="N514" s="195">
        <v>14220</v>
      </c>
      <c r="O514" s="195">
        <v>14190</v>
      </c>
      <c r="P514" s="196">
        <v>0.79444444444444395</v>
      </c>
      <c r="Q514" s="196">
        <v>0.82499999999999996</v>
      </c>
      <c r="R514" s="193" t="s">
        <v>42</v>
      </c>
      <c r="S514" s="193" t="s">
        <v>1781</v>
      </c>
      <c r="T514" s="197">
        <f t="shared" si="35"/>
        <v>68</v>
      </c>
      <c r="U514" s="193" t="s">
        <v>1922</v>
      </c>
      <c r="V514" s="193" t="str">
        <f t="shared" si="36"/>
        <v>Bone Bone</v>
      </c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8"/>
      <c r="AL514" s="18"/>
    </row>
    <row r="515" spans="2:38" ht="15" customHeight="1" x14ac:dyDescent="0.2">
      <c r="B515" s="193">
        <v>1</v>
      </c>
      <c r="C515" s="347" t="s">
        <v>638</v>
      </c>
      <c r="D515" s="193" t="str">
        <f t="shared" si="34"/>
        <v>CPO000490KMP</v>
      </c>
      <c r="E515" s="193" t="s">
        <v>70</v>
      </c>
      <c r="F515" s="193" t="s">
        <v>1454</v>
      </c>
      <c r="G515" s="348" t="s">
        <v>1352</v>
      </c>
      <c r="H515" s="193" t="s">
        <v>59</v>
      </c>
      <c r="I515" s="193" t="s">
        <v>41</v>
      </c>
      <c r="J515" s="193" t="str">
        <f t="shared" si="37"/>
        <v>12 Roda</v>
      </c>
      <c r="K515" s="194">
        <v>46039</v>
      </c>
      <c r="L515" s="195">
        <v>45890</v>
      </c>
      <c r="M515" s="195">
        <v>17500</v>
      </c>
      <c r="N515" s="195">
        <v>28390</v>
      </c>
      <c r="O515" s="195">
        <v>28480</v>
      </c>
      <c r="P515" s="196">
        <v>0.42916666666666697</v>
      </c>
      <c r="Q515" s="196">
        <v>0.49236111111111103</v>
      </c>
      <c r="R515" s="193" t="s">
        <v>137</v>
      </c>
      <c r="S515" s="193" t="s">
        <v>1499</v>
      </c>
      <c r="T515" s="197">
        <f t="shared" si="35"/>
        <v>53</v>
      </c>
      <c r="U515" s="193" t="s">
        <v>1922</v>
      </c>
      <c r="V515" s="193" t="str">
        <f t="shared" si="36"/>
        <v>Masamba</v>
      </c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8"/>
      <c r="AL515" s="18"/>
    </row>
    <row r="516" spans="2:38" ht="15" customHeight="1" x14ac:dyDescent="0.2">
      <c r="B516" s="193">
        <v>1</v>
      </c>
      <c r="C516" s="347" t="s">
        <v>639</v>
      </c>
      <c r="D516" s="193" t="str">
        <f t="shared" si="34"/>
        <v>CPO000491KMP</v>
      </c>
      <c r="E516" s="193" t="s">
        <v>56</v>
      </c>
      <c r="F516" s="193" t="s">
        <v>1454</v>
      </c>
      <c r="G516" s="193" t="s">
        <v>1352</v>
      </c>
      <c r="H516" s="193" t="s">
        <v>59</v>
      </c>
      <c r="I516" s="193" t="s">
        <v>41</v>
      </c>
      <c r="J516" s="193" t="str">
        <f t="shared" si="37"/>
        <v>10 Roda</v>
      </c>
      <c r="K516" s="194">
        <v>46039</v>
      </c>
      <c r="L516" s="195">
        <v>25080</v>
      </c>
      <c r="M516" s="195">
        <v>10750</v>
      </c>
      <c r="N516" s="195">
        <v>14330</v>
      </c>
      <c r="O516" s="195">
        <v>14340</v>
      </c>
      <c r="P516" s="196">
        <v>0.43055555555555602</v>
      </c>
      <c r="Q516" s="196">
        <v>0.48125000000000001</v>
      </c>
      <c r="R516" s="193" t="s">
        <v>137</v>
      </c>
      <c r="S516" s="193" t="s">
        <v>1781</v>
      </c>
      <c r="T516" s="197">
        <f t="shared" si="35"/>
        <v>53</v>
      </c>
      <c r="U516" s="193" t="s">
        <v>1922</v>
      </c>
      <c r="V516" s="193" t="str">
        <f t="shared" si="36"/>
        <v>Masamba</v>
      </c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8"/>
      <c r="AL516" s="18"/>
    </row>
    <row r="517" spans="2:38" ht="15" customHeight="1" x14ac:dyDescent="0.2">
      <c r="B517" s="193">
        <v>1</v>
      </c>
      <c r="C517" s="347" t="s">
        <v>640</v>
      </c>
      <c r="D517" s="193" t="str">
        <f t="shared" si="34"/>
        <v>CPO000492KMP</v>
      </c>
      <c r="E517" s="193" t="s">
        <v>46</v>
      </c>
      <c r="F517" s="193" t="s">
        <v>1454</v>
      </c>
      <c r="G517" s="193" t="s">
        <v>1352</v>
      </c>
      <c r="H517" s="193" t="s">
        <v>59</v>
      </c>
      <c r="I517" s="193" t="s">
        <v>41</v>
      </c>
      <c r="J517" s="193" t="str">
        <f t="shared" si="37"/>
        <v>10 Roda</v>
      </c>
      <c r="K517" s="194">
        <v>46039</v>
      </c>
      <c r="L517" s="195">
        <v>26670</v>
      </c>
      <c r="M517" s="195">
        <v>11830</v>
      </c>
      <c r="N517" s="195">
        <v>14840</v>
      </c>
      <c r="O517" s="195">
        <v>14880</v>
      </c>
      <c r="P517" s="196">
        <v>0.45</v>
      </c>
      <c r="Q517" s="196">
        <v>0.49722222222222201</v>
      </c>
      <c r="R517" s="193" t="s">
        <v>137</v>
      </c>
      <c r="S517" s="193" t="s">
        <v>1393</v>
      </c>
      <c r="T517" s="197">
        <f t="shared" si="35"/>
        <v>53</v>
      </c>
      <c r="U517" s="193" t="s">
        <v>1922</v>
      </c>
      <c r="V517" s="193" t="str">
        <f t="shared" si="36"/>
        <v>Masamba</v>
      </c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8"/>
      <c r="AL517" s="18"/>
    </row>
    <row r="518" spans="2:38" ht="15" customHeight="1" x14ac:dyDescent="0.2">
      <c r="B518" s="193">
        <v>1</v>
      </c>
      <c r="C518" s="347" t="s">
        <v>641</v>
      </c>
      <c r="D518" s="193" t="str">
        <f t="shared" si="34"/>
        <v>CPO000493KMP</v>
      </c>
      <c r="E518" s="193" t="s">
        <v>56</v>
      </c>
      <c r="F518" s="193" t="s">
        <v>1454</v>
      </c>
      <c r="G518" s="193" t="s">
        <v>1352</v>
      </c>
      <c r="H518" s="193" t="s">
        <v>59</v>
      </c>
      <c r="I518" s="193" t="s">
        <v>41</v>
      </c>
      <c r="J518" s="193" t="str">
        <f t="shared" si="37"/>
        <v>10 Roda</v>
      </c>
      <c r="K518" s="194">
        <v>46039</v>
      </c>
      <c r="L518" s="195">
        <v>25030</v>
      </c>
      <c r="M518" s="195">
        <v>10740</v>
      </c>
      <c r="N518" s="195">
        <v>14290</v>
      </c>
      <c r="O518" s="195">
        <v>14340</v>
      </c>
      <c r="P518" s="196">
        <v>0.63472222222222197</v>
      </c>
      <c r="Q518" s="196">
        <v>0.67847222222222203</v>
      </c>
      <c r="R518" s="193" t="s">
        <v>137</v>
      </c>
      <c r="S518" s="193" t="s">
        <v>1781</v>
      </c>
      <c r="T518" s="197">
        <f t="shared" si="35"/>
        <v>53</v>
      </c>
      <c r="U518" s="193" t="s">
        <v>1922</v>
      </c>
      <c r="V518" s="193" t="str">
        <f t="shared" si="36"/>
        <v>Masamba</v>
      </c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8"/>
      <c r="AL518" s="18"/>
    </row>
    <row r="519" spans="2:38" ht="15" customHeight="1" x14ac:dyDescent="0.2">
      <c r="B519" s="193">
        <v>1</v>
      </c>
      <c r="C519" s="347" t="s">
        <v>642</v>
      </c>
      <c r="D519" s="193" t="str">
        <f t="shared" si="34"/>
        <v>CPO000494KMP</v>
      </c>
      <c r="E519" s="193" t="s">
        <v>46</v>
      </c>
      <c r="F519" s="193" t="s">
        <v>1454</v>
      </c>
      <c r="G519" s="193" t="s">
        <v>1352</v>
      </c>
      <c r="H519" s="193" t="s">
        <v>59</v>
      </c>
      <c r="I519" s="193" t="s">
        <v>41</v>
      </c>
      <c r="J519" s="193" t="str">
        <f t="shared" si="37"/>
        <v>10 Roda</v>
      </c>
      <c r="K519" s="194">
        <v>46039</v>
      </c>
      <c r="L519" s="195">
        <v>26580</v>
      </c>
      <c r="M519" s="195">
        <v>11790</v>
      </c>
      <c r="N519" s="195">
        <v>14790</v>
      </c>
      <c r="O519" s="195">
        <v>14800</v>
      </c>
      <c r="P519" s="196">
        <v>0.72013888888888899</v>
      </c>
      <c r="Q519" s="196">
        <v>0.75694444444444398</v>
      </c>
      <c r="R519" s="193" t="s">
        <v>42</v>
      </c>
      <c r="S519" s="193" t="s">
        <v>1393</v>
      </c>
      <c r="T519" s="197">
        <f t="shared" si="35"/>
        <v>53</v>
      </c>
      <c r="U519" s="193" t="s">
        <v>1922</v>
      </c>
      <c r="V519" s="193" t="str">
        <f t="shared" si="36"/>
        <v>Masamba</v>
      </c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8"/>
      <c r="AL519" s="18"/>
    </row>
    <row r="520" spans="2:38" ht="15" customHeight="1" x14ac:dyDescent="0.2">
      <c r="B520" s="193">
        <v>1</v>
      </c>
      <c r="C520" s="347" t="s">
        <v>643</v>
      </c>
      <c r="D520" s="193" t="str">
        <f t="shared" si="34"/>
        <v>CPO000495KMP</v>
      </c>
      <c r="E520" s="193" t="s">
        <v>70</v>
      </c>
      <c r="F520" s="193" t="s">
        <v>1454</v>
      </c>
      <c r="G520" s="193" t="s">
        <v>1352</v>
      </c>
      <c r="H520" s="193" t="s">
        <v>59</v>
      </c>
      <c r="I520" s="193" t="s">
        <v>41</v>
      </c>
      <c r="J520" s="193" t="str">
        <f t="shared" si="37"/>
        <v>12 Roda</v>
      </c>
      <c r="K520" s="194">
        <v>46039</v>
      </c>
      <c r="L520" s="195">
        <v>45800</v>
      </c>
      <c r="M520" s="195">
        <v>17410</v>
      </c>
      <c r="N520" s="195">
        <v>28390</v>
      </c>
      <c r="O520" s="195">
        <v>28420</v>
      </c>
      <c r="P520" s="196">
        <v>0.73333333333333295</v>
      </c>
      <c r="Q520" s="196">
        <v>0.77638888888888902</v>
      </c>
      <c r="R520" s="193" t="s">
        <v>42</v>
      </c>
      <c r="S520" s="193" t="s">
        <v>1499</v>
      </c>
      <c r="T520" s="197">
        <f t="shared" si="35"/>
        <v>53</v>
      </c>
      <c r="U520" s="193" t="s">
        <v>1922</v>
      </c>
      <c r="V520" s="193" t="str">
        <f t="shared" si="36"/>
        <v>Masamba</v>
      </c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8"/>
      <c r="AL520" s="18"/>
    </row>
    <row r="521" spans="2:38" ht="15" customHeight="1" x14ac:dyDescent="0.2">
      <c r="B521" s="193">
        <v>1</v>
      </c>
      <c r="C521" s="347" t="s">
        <v>644</v>
      </c>
      <c r="D521" s="193" t="str">
        <f t="shared" si="34"/>
        <v>CPO000496KMP</v>
      </c>
      <c r="E521" s="193" t="s">
        <v>56</v>
      </c>
      <c r="F521" s="193" t="s">
        <v>1454</v>
      </c>
      <c r="G521" s="193" t="s">
        <v>1352</v>
      </c>
      <c r="H521" s="193" t="s">
        <v>59</v>
      </c>
      <c r="I521" s="193" t="s">
        <v>41</v>
      </c>
      <c r="J521" s="193" t="str">
        <f t="shared" si="37"/>
        <v>10 Roda</v>
      </c>
      <c r="K521" s="194">
        <v>46041</v>
      </c>
      <c r="L521" s="195">
        <v>25080</v>
      </c>
      <c r="M521" s="195">
        <v>10740</v>
      </c>
      <c r="N521" s="195">
        <v>14340</v>
      </c>
      <c r="O521" s="195">
        <v>14360</v>
      </c>
      <c r="P521" s="196">
        <v>0.45833333333333298</v>
      </c>
      <c r="Q521" s="196">
        <v>0.54930555555555605</v>
      </c>
      <c r="R521" s="193" t="s">
        <v>137</v>
      </c>
      <c r="S521" s="193" t="s">
        <v>1781</v>
      </c>
      <c r="T521" s="197">
        <f t="shared" si="35"/>
        <v>53</v>
      </c>
      <c r="U521" s="193" t="s">
        <v>1922</v>
      </c>
      <c r="V521" s="193" t="str">
        <f t="shared" si="36"/>
        <v>Masamba</v>
      </c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8"/>
      <c r="AL521" s="18"/>
    </row>
    <row r="522" spans="2:38" ht="15" customHeight="1" x14ac:dyDescent="0.2">
      <c r="B522" s="193">
        <v>1</v>
      </c>
      <c r="C522" s="347" t="s">
        <v>645</v>
      </c>
      <c r="D522" s="193" t="str">
        <f t="shared" si="34"/>
        <v>CPO000497KMP</v>
      </c>
      <c r="E522" s="193" t="s">
        <v>46</v>
      </c>
      <c r="F522" s="193" t="s">
        <v>1454</v>
      </c>
      <c r="G522" s="193" t="s">
        <v>1352</v>
      </c>
      <c r="H522" s="193" t="s">
        <v>59</v>
      </c>
      <c r="I522" s="193" t="s">
        <v>41</v>
      </c>
      <c r="J522" s="193" t="str">
        <f t="shared" si="37"/>
        <v>10 Roda</v>
      </c>
      <c r="K522" s="194">
        <v>46041</v>
      </c>
      <c r="L522" s="195">
        <v>26760</v>
      </c>
      <c r="M522" s="195">
        <v>11890</v>
      </c>
      <c r="N522" s="195">
        <v>14870</v>
      </c>
      <c r="O522" s="195">
        <v>14900</v>
      </c>
      <c r="P522" s="196">
        <v>0.47152777777777799</v>
      </c>
      <c r="Q522" s="196">
        <v>0.55000000000000004</v>
      </c>
      <c r="R522" s="193" t="s">
        <v>137</v>
      </c>
      <c r="S522" s="193" t="s">
        <v>1393</v>
      </c>
      <c r="T522" s="197">
        <f t="shared" si="35"/>
        <v>53</v>
      </c>
      <c r="U522" s="193" t="s">
        <v>1922</v>
      </c>
      <c r="V522" s="193" t="str">
        <f t="shared" si="36"/>
        <v>Masamba</v>
      </c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8"/>
      <c r="AL522" s="18"/>
    </row>
    <row r="523" spans="2:38" ht="15" customHeight="1" x14ac:dyDescent="0.2">
      <c r="B523" s="193">
        <v>1</v>
      </c>
      <c r="C523" s="347" t="s">
        <v>646</v>
      </c>
      <c r="D523" s="193" t="str">
        <f t="shared" si="34"/>
        <v>CPO000498KMP</v>
      </c>
      <c r="E523" s="193" t="s">
        <v>70</v>
      </c>
      <c r="F523" s="193" t="s">
        <v>1454</v>
      </c>
      <c r="G523" s="193" t="s">
        <v>1352</v>
      </c>
      <c r="H523" s="193" t="s">
        <v>59</v>
      </c>
      <c r="I523" s="193" t="s">
        <v>41</v>
      </c>
      <c r="J523" s="193" t="str">
        <f t="shared" si="37"/>
        <v>12 Roda</v>
      </c>
      <c r="K523" s="194">
        <v>46041</v>
      </c>
      <c r="L523" s="195">
        <v>45830</v>
      </c>
      <c r="M523" s="195">
        <v>17420</v>
      </c>
      <c r="N523" s="195">
        <v>28410</v>
      </c>
      <c r="O523" s="195">
        <v>28520</v>
      </c>
      <c r="P523" s="196">
        <v>0.48055555555555601</v>
      </c>
      <c r="Q523" s="196">
        <v>0.55208333333333304</v>
      </c>
      <c r="R523" s="193" t="s">
        <v>137</v>
      </c>
      <c r="S523" s="193" t="s">
        <v>1499</v>
      </c>
      <c r="T523" s="197">
        <f t="shared" si="35"/>
        <v>53</v>
      </c>
      <c r="U523" s="193" t="s">
        <v>1922</v>
      </c>
      <c r="V523" s="193" t="str">
        <f t="shared" si="36"/>
        <v>Masamba</v>
      </c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8"/>
      <c r="AL523" s="18"/>
    </row>
    <row r="524" spans="2:38" ht="15" customHeight="1" x14ac:dyDescent="0.2">
      <c r="B524" s="193">
        <v>1</v>
      </c>
      <c r="C524" s="347" t="s">
        <v>647</v>
      </c>
      <c r="D524" s="193" t="str">
        <f t="shared" si="34"/>
        <v>CPO000499KMP</v>
      </c>
      <c r="E524" s="193" t="s">
        <v>56</v>
      </c>
      <c r="F524" s="193" t="s">
        <v>1454</v>
      </c>
      <c r="G524" s="193" t="s">
        <v>1352</v>
      </c>
      <c r="H524" s="193" t="s">
        <v>59</v>
      </c>
      <c r="I524" s="193" t="s">
        <v>41</v>
      </c>
      <c r="J524" s="193" t="str">
        <f t="shared" si="37"/>
        <v>10 Roda</v>
      </c>
      <c r="K524" s="194">
        <v>46041</v>
      </c>
      <c r="L524" s="195">
        <v>24990</v>
      </c>
      <c r="M524" s="195">
        <v>10660</v>
      </c>
      <c r="N524" s="195">
        <v>14330</v>
      </c>
      <c r="O524" s="195">
        <v>14340</v>
      </c>
      <c r="P524" s="196">
        <v>0.71458333333333302</v>
      </c>
      <c r="Q524" s="196">
        <v>0.75347222222222199</v>
      </c>
      <c r="R524" s="193" t="s">
        <v>42</v>
      </c>
      <c r="S524" s="193" t="s">
        <v>1781</v>
      </c>
      <c r="T524" s="197">
        <f t="shared" si="35"/>
        <v>53</v>
      </c>
      <c r="U524" s="193" t="s">
        <v>1922</v>
      </c>
      <c r="V524" s="193" t="str">
        <f t="shared" si="36"/>
        <v>Masamba</v>
      </c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8"/>
      <c r="AL524" s="18"/>
    </row>
    <row r="525" spans="2:38" ht="15" customHeight="1" x14ac:dyDescent="0.2">
      <c r="B525" s="193">
        <v>1</v>
      </c>
      <c r="C525" s="347" t="s">
        <v>648</v>
      </c>
      <c r="D525" s="193" t="str">
        <f t="shared" si="34"/>
        <v>CPO000500KMP</v>
      </c>
      <c r="E525" s="193" t="s">
        <v>46</v>
      </c>
      <c r="F525" s="193" t="s">
        <v>1454</v>
      </c>
      <c r="G525" s="193" t="s">
        <v>1352</v>
      </c>
      <c r="H525" s="193" t="s">
        <v>59</v>
      </c>
      <c r="I525" s="193" t="s">
        <v>41</v>
      </c>
      <c r="J525" s="193" t="str">
        <f t="shared" si="37"/>
        <v>10 Roda</v>
      </c>
      <c r="K525" s="194">
        <v>46041</v>
      </c>
      <c r="L525" s="195">
        <v>26680</v>
      </c>
      <c r="M525" s="195">
        <v>11840</v>
      </c>
      <c r="N525" s="195">
        <v>14840</v>
      </c>
      <c r="O525" s="195">
        <v>14880</v>
      </c>
      <c r="P525" s="196">
        <v>0.83125000000000004</v>
      </c>
      <c r="Q525" s="196">
        <v>0.92013888888888895</v>
      </c>
      <c r="R525" s="193" t="s">
        <v>42</v>
      </c>
      <c r="S525" s="193" t="s">
        <v>1393</v>
      </c>
      <c r="T525" s="197">
        <f t="shared" si="35"/>
        <v>53</v>
      </c>
      <c r="U525" s="193" t="s">
        <v>1922</v>
      </c>
      <c r="V525" s="193" t="str">
        <f t="shared" si="36"/>
        <v>Masamba</v>
      </c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8"/>
      <c r="AL525" s="18"/>
    </row>
    <row r="526" spans="2:38" ht="15" customHeight="1" x14ac:dyDescent="0.2">
      <c r="B526" s="193">
        <v>1</v>
      </c>
      <c r="C526" s="347" t="s">
        <v>811</v>
      </c>
      <c r="D526" s="193" t="str">
        <f t="shared" si="34"/>
        <v>CPO000649KMP</v>
      </c>
      <c r="E526" s="193" t="s">
        <v>70</v>
      </c>
      <c r="F526" s="193"/>
      <c r="G526" s="193" t="s">
        <v>1362</v>
      </c>
      <c r="H526" s="193" t="s">
        <v>59</v>
      </c>
      <c r="I526" s="193" t="s">
        <v>41</v>
      </c>
      <c r="J526" s="193" t="str">
        <f t="shared" si="37"/>
        <v>12 Roda</v>
      </c>
      <c r="K526" s="194">
        <v>46060</v>
      </c>
      <c r="L526" s="195">
        <v>45790</v>
      </c>
      <c r="M526" s="195">
        <v>17490</v>
      </c>
      <c r="N526" s="195">
        <v>28300</v>
      </c>
      <c r="O526" s="195">
        <v>28420</v>
      </c>
      <c r="P526" s="196">
        <v>0.39652777777777798</v>
      </c>
      <c r="Q526" s="196">
        <v>0.452777777777778</v>
      </c>
      <c r="R526" s="193" t="s">
        <v>137</v>
      </c>
      <c r="S526" s="193" t="s">
        <v>1499</v>
      </c>
      <c r="T526" s="197">
        <f t="shared" si="35"/>
        <v>53</v>
      </c>
      <c r="U526" s="193" t="s">
        <v>1922</v>
      </c>
      <c r="V526" s="193" t="str">
        <f t="shared" si="36"/>
        <v>Masamba</v>
      </c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8"/>
      <c r="AL526" s="18"/>
    </row>
    <row r="527" spans="2:38" ht="15" customHeight="1" x14ac:dyDescent="0.2">
      <c r="B527" s="193">
        <v>1</v>
      </c>
      <c r="C527" s="347" t="s">
        <v>650</v>
      </c>
      <c r="D527" s="193" t="str">
        <f t="shared" si="34"/>
        <v>CPO000502KMP</v>
      </c>
      <c r="E527" s="193" t="s">
        <v>46</v>
      </c>
      <c r="F527" s="193" t="s">
        <v>1454</v>
      </c>
      <c r="G527" s="193" t="s">
        <v>1352</v>
      </c>
      <c r="H527" s="193" t="s">
        <v>59</v>
      </c>
      <c r="I527" s="193" t="s">
        <v>41</v>
      </c>
      <c r="J527" s="193" t="str">
        <f t="shared" si="37"/>
        <v>10 Roda</v>
      </c>
      <c r="K527" s="194">
        <v>46042</v>
      </c>
      <c r="L527" s="195">
        <v>26700</v>
      </c>
      <c r="M527" s="195">
        <v>11830</v>
      </c>
      <c r="N527" s="195">
        <v>14870</v>
      </c>
      <c r="O527" s="195">
        <v>14900</v>
      </c>
      <c r="P527" s="196">
        <v>0.47638888888888897</v>
      </c>
      <c r="Q527" s="196">
        <v>0.56527777777777799</v>
      </c>
      <c r="R527" s="193" t="s">
        <v>137</v>
      </c>
      <c r="S527" s="193" t="s">
        <v>1393</v>
      </c>
      <c r="T527" s="197">
        <f t="shared" si="35"/>
        <v>53</v>
      </c>
      <c r="U527" s="193" t="s">
        <v>1922</v>
      </c>
      <c r="V527" s="193" t="str">
        <f t="shared" si="36"/>
        <v>Masamba</v>
      </c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8"/>
      <c r="AL527" s="18"/>
    </row>
    <row r="528" spans="2:38" ht="15" customHeight="1" x14ac:dyDescent="0.2">
      <c r="B528" s="193">
        <v>1</v>
      </c>
      <c r="C528" s="347" t="s">
        <v>651</v>
      </c>
      <c r="D528" s="193" t="str">
        <f t="shared" si="34"/>
        <v>CPO000503KMP</v>
      </c>
      <c r="E528" s="193" t="s">
        <v>56</v>
      </c>
      <c r="F528" s="193" t="s">
        <v>1454</v>
      </c>
      <c r="G528" s="193" t="s">
        <v>1352</v>
      </c>
      <c r="H528" s="193" t="s">
        <v>59</v>
      </c>
      <c r="I528" s="193" t="s">
        <v>41</v>
      </c>
      <c r="J528" s="193" t="str">
        <f t="shared" si="37"/>
        <v>10 Roda</v>
      </c>
      <c r="K528" s="194">
        <v>46042</v>
      </c>
      <c r="L528" s="195">
        <v>25100</v>
      </c>
      <c r="M528" s="195">
        <v>10770</v>
      </c>
      <c r="N528" s="195">
        <v>14330</v>
      </c>
      <c r="O528" s="195">
        <v>14380</v>
      </c>
      <c r="P528" s="196">
        <v>0.483333333333333</v>
      </c>
      <c r="Q528" s="196">
        <v>0.55555555555555602</v>
      </c>
      <c r="R528" s="193" t="s">
        <v>137</v>
      </c>
      <c r="S528" s="193" t="s">
        <v>1781</v>
      </c>
      <c r="T528" s="197">
        <f t="shared" si="35"/>
        <v>53</v>
      </c>
      <c r="U528" s="193" t="s">
        <v>1922</v>
      </c>
      <c r="V528" s="193" t="str">
        <f t="shared" si="36"/>
        <v>Masamba</v>
      </c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8"/>
      <c r="AL528" s="18"/>
    </row>
    <row r="529" spans="2:38" ht="15" customHeight="1" x14ac:dyDescent="0.2">
      <c r="B529" s="193">
        <v>1</v>
      </c>
      <c r="C529" s="347" t="s">
        <v>162</v>
      </c>
      <c r="D529" s="193" t="str">
        <f t="shared" si="34"/>
        <v>CPO000047KMP</v>
      </c>
      <c r="E529" s="193" t="s">
        <v>70</v>
      </c>
      <c r="F529" s="193"/>
      <c r="G529" s="193" t="s">
        <v>1362</v>
      </c>
      <c r="H529" s="193" t="s">
        <v>59</v>
      </c>
      <c r="I529" s="193" t="s">
        <v>41</v>
      </c>
      <c r="J529" s="193" t="str">
        <f t="shared" si="37"/>
        <v>12 Roda</v>
      </c>
      <c r="K529" s="194">
        <v>46062</v>
      </c>
      <c r="L529" s="195">
        <v>45900</v>
      </c>
      <c r="M529" s="195">
        <v>17600</v>
      </c>
      <c r="N529" s="195">
        <v>28300</v>
      </c>
      <c r="O529" s="195">
        <v>28360</v>
      </c>
      <c r="P529" s="196">
        <v>0.57013888888888897</v>
      </c>
      <c r="Q529" s="196">
        <v>0.63888888888888895</v>
      </c>
      <c r="R529" s="193" t="s">
        <v>42</v>
      </c>
      <c r="S529" s="193" t="s">
        <v>1499</v>
      </c>
      <c r="T529" s="197">
        <f t="shared" si="35"/>
        <v>53</v>
      </c>
      <c r="U529" s="193" t="s">
        <v>1922</v>
      </c>
      <c r="V529" s="193" t="str">
        <f t="shared" si="36"/>
        <v>Masamba</v>
      </c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8"/>
      <c r="AL529" s="18"/>
    </row>
    <row r="530" spans="2:38" ht="15" customHeight="1" x14ac:dyDescent="0.2">
      <c r="B530" s="193">
        <v>1</v>
      </c>
      <c r="C530" s="347" t="s">
        <v>653</v>
      </c>
      <c r="D530" s="193" t="str">
        <f t="shared" si="34"/>
        <v>CPO000505KMP</v>
      </c>
      <c r="E530" s="193" t="s">
        <v>56</v>
      </c>
      <c r="F530" s="193" t="s">
        <v>1454</v>
      </c>
      <c r="G530" s="193" t="s">
        <v>1352</v>
      </c>
      <c r="H530" s="193" t="s">
        <v>59</v>
      </c>
      <c r="I530" s="193" t="s">
        <v>41</v>
      </c>
      <c r="J530" s="193" t="str">
        <f t="shared" si="37"/>
        <v>10 Roda</v>
      </c>
      <c r="K530" s="194">
        <v>46042</v>
      </c>
      <c r="L530" s="195">
        <v>25080</v>
      </c>
      <c r="M530" s="195">
        <v>10730</v>
      </c>
      <c r="N530" s="195">
        <v>14350</v>
      </c>
      <c r="O530" s="195">
        <v>14340</v>
      </c>
      <c r="P530" s="196">
        <v>0.718055555555556</v>
      </c>
      <c r="Q530" s="196">
        <v>0.76249999999999996</v>
      </c>
      <c r="R530" s="193" t="s">
        <v>42</v>
      </c>
      <c r="S530" s="193" t="s">
        <v>1781</v>
      </c>
      <c r="T530" s="197">
        <f t="shared" si="35"/>
        <v>53</v>
      </c>
      <c r="U530" s="193" t="s">
        <v>1922</v>
      </c>
      <c r="V530" s="193" t="str">
        <f t="shared" si="36"/>
        <v>Masamba</v>
      </c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8"/>
      <c r="AL530" s="18"/>
    </row>
    <row r="531" spans="2:38" ht="15" customHeight="1" x14ac:dyDescent="0.2">
      <c r="B531" s="193">
        <v>1</v>
      </c>
      <c r="C531" s="347" t="s">
        <v>654</v>
      </c>
      <c r="D531" s="193" t="str">
        <f t="shared" si="34"/>
        <v>CPO000506KMP</v>
      </c>
      <c r="E531" s="193" t="s">
        <v>46</v>
      </c>
      <c r="F531" s="193" t="s">
        <v>1454</v>
      </c>
      <c r="G531" s="193" t="s">
        <v>1352</v>
      </c>
      <c r="H531" s="193" t="s">
        <v>59</v>
      </c>
      <c r="I531" s="193" t="s">
        <v>41</v>
      </c>
      <c r="J531" s="193" t="str">
        <f t="shared" si="37"/>
        <v>10 Roda</v>
      </c>
      <c r="K531" s="194">
        <v>46042</v>
      </c>
      <c r="L531" s="195">
        <v>26660</v>
      </c>
      <c r="M531" s="195">
        <v>11780</v>
      </c>
      <c r="N531" s="195">
        <v>14880</v>
      </c>
      <c r="O531" s="195">
        <v>14880</v>
      </c>
      <c r="P531" s="196">
        <v>0.72430555555555598</v>
      </c>
      <c r="Q531" s="196">
        <v>0.76458333333333295</v>
      </c>
      <c r="R531" s="193" t="s">
        <v>42</v>
      </c>
      <c r="S531" s="193" t="s">
        <v>1393</v>
      </c>
      <c r="T531" s="197">
        <f t="shared" si="35"/>
        <v>53</v>
      </c>
      <c r="U531" s="193" t="s">
        <v>1922</v>
      </c>
      <c r="V531" s="193" t="str">
        <f t="shared" si="36"/>
        <v>Masamba</v>
      </c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8"/>
      <c r="AL531" s="18"/>
    </row>
    <row r="532" spans="2:38" ht="15" customHeight="1" x14ac:dyDescent="0.2">
      <c r="B532" s="193">
        <v>1</v>
      </c>
      <c r="C532" s="347" t="s">
        <v>863</v>
      </c>
      <c r="D532" s="193" t="str">
        <f t="shared" si="34"/>
        <v>CPO000696JAS</v>
      </c>
      <c r="E532" s="193" t="s">
        <v>70</v>
      </c>
      <c r="F532" s="193" t="s">
        <v>1443</v>
      </c>
      <c r="G532" s="193" t="s">
        <v>1364</v>
      </c>
      <c r="H532" s="193" t="s">
        <v>49</v>
      </c>
      <c r="I532" s="193" t="s">
        <v>41</v>
      </c>
      <c r="J532" s="193" t="str">
        <f t="shared" si="37"/>
        <v>12 Roda</v>
      </c>
      <c r="K532" s="194">
        <v>46071</v>
      </c>
      <c r="L532" s="195">
        <v>45810</v>
      </c>
      <c r="M532" s="195">
        <v>17510</v>
      </c>
      <c r="N532" s="195">
        <v>28300</v>
      </c>
      <c r="O532" s="195">
        <v>28230</v>
      </c>
      <c r="P532" s="196">
        <v>0.625</v>
      </c>
      <c r="Q532" s="196">
        <v>0.65416666666666701</v>
      </c>
      <c r="R532" s="193" t="s">
        <v>137</v>
      </c>
      <c r="S532" s="193" t="s">
        <v>1499</v>
      </c>
      <c r="T532" s="197">
        <f t="shared" si="35"/>
        <v>68</v>
      </c>
      <c r="U532" s="193" t="s">
        <v>1922</v>
      </c>
      <c r="V532" s="193" t="str">
        <f t="shared" si="36"/>
        <v>Bone Bone</v>
      </c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8"/>
      <c r="AL532" s="18"/>
    </row>
    <row r="533" spans="2:38" ht="15" customHeight="1" x14ac:dyDescent="0.2">
      <c r="B533" s="193">
        <v>1</v>
      </c>
      <c r="C533" s="347" t="s">
        <v>910</v>
      </c>
      <c r="D533" s="193" t="str">
        <f t="shared" si="34"/>
        <v>CPO000743PN</v>
      </c>
      <c r="E533" s="193" t="s">
        <v>70</v>
      </c>
      <c r="F533" s="193" t="s">
        <v>1358</v>
      </c>
      <c r="G533" s="193" t="s">
        <v>1357</v>
      </c>
      <c r="H533" s="193" t="s">
        <v>78</v>
      </c>
      <c r="I533" s="193" t="s">
        <v>41</v>
      </c>
      <c r="J533" s="193" t="str">
        <f t="shared" si="37"/>
        <v>12 Roda</v>
      </c>
      <c r="K533" s="194">
        <v>46084</v>
      </c>
      <c r="L533" s="195">
        <v>45750</v>
      </c>
      <c r="M533" s="195">
        <v>17450</v>
      </c>
      <c r="N533" s="195">
        <v>28300</v>
      </c>
      <c r="O533" s="195">
        <v>28300</v>
      </c>
      <c r="P533" s="196">
        <v>0.625694444444444</v>
      </c>
      <c r="Q533" s="196">
        <v>0.71666666666666701</v>
      </c>
      <c r="R533" s="193" t="s">
        <v>42</v>
      </c>
      <c r="S533" s="193" t="s">
        <v>1499</v>
      </c>
      <c r="T533" s="197">
        <f t="shared" si="35"/>
        <v>99</v>
      </c>
      <c r="U533" s="193"/>
      <c r="V533" s="193" t="str">
        <f t="shared" si="36"/>
        <v>Burau</v>
      </c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8"/>
      <c r="AL533" s="18"/>
    </row>
    <row r="534" spans="2:38" ht="15" customHeight="1" x14ac:dyDescent="0.2">
      <c r="B534" s="193">
        <v>1</v>
      </c>
      <c r="C534" s="347" t="s">
        <v>660</v>
      </c>
      <c r="D534" s="193" t="str">
        <f t="shared" si="34"/>
        <v>CPO000511KMP</v>
      </c>
      <c r="E534" s="193" t="s">
        <v>84</v>
      </c>
      <c r="F534" s="193" t="s">
        <v>1454</v>
      </c>
      <c r="G534" s="193" t="s">
        <v>1352</v>
      </c>
      <c r="H534" s="193" t="s">
        <v>59</v>
      </c>
      <c r="I534" s="193" t="s">
        <v>41</v>
      </c>
      <c r="J534" s="193" t="str">
        <f t="shared" si="37"/>
        <v>10 Roda</v>
      </c>
      <c r="K534" s="194">
        <v>46043</v>
      </c>
      <c r="L534" s="195">
        <v>26760</v>
      </c>
      <c r="M534" s="195">
        <v>11890</v>
      </c>
      <c r="N534" s="195">
        <v>14870</v>
      </c>
      <c r="O534" s="195">
        <v>14900</v>
      </c>
      <c r="P534" s="196">
        <v>0.48194444444444501</v>
      </c>
      <c r="Q534" s="196">
        <v>0.55347222222222203</v>
      </c>
      <c r="R534" s="193" t="s">
        <v>137</v>
      </c>
      <c r="S534" s="193" t="s">
        <v>1782</v>
      </c>
      <c r="T534" s="197">
        <f t="shared" si="35"/>
        <v>53</v>
      </c>
      <c r="U534" s="193" t="s">
        <v>1922</v>
      </c>
      <c r="V534" s="193" t="str">
        <f t="shared" si="36"/>
        <v>Masamba</v>
      </c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8"/>
      <c r="AL534" s="18"/>
    </row>
    <row r="535" spans="2:38" ht="15" customHeight="1" x14ac:dyDescent="0.2">
      <c r="B535" s="193">
        <v>1</v>
      </c>
      <c r="C535" s="347" t="s">
        <v>916</v>
      </c>
      <c r="D535" s="193" t="str">
        <f t="shared" ref="D535:D598" si="38">I535&amp;C535&amp;_xlfn.XLOOKUP(H535,$AM$4:$AM$26,$AN$4:$AN$26,"")</f>
        <v>CPO000749PN</v>
      </c>
      <c r="E535" s="193" t="s">
        <v>76</v>
      </c>
      <c r="F535" s="193" t="s">
        <v>1358</v>
      </c>
      <c r="G535" s="193" t="s">
        <v>1357</v>
      </c>
      <c r="H535" s="193" t="s">
        <v>78</v>
      </c>
      <c r="I535" s="193" t="s">
        <v>41</v>
      </c>
      <c r="J535" s="193" t="str">
        <f t="shared" si="37"/>
        <v>12 Roda</v>
      </c>
      <c r="K535" s="194">
        <v>46085</v>
      </c>
      <c r="L535" s="195">
        <v>45910</v>
      </c>
      <c r="M535" s="195">
        <v>17610</v>
      </c>
      <c r="N535" s="195">
        <v>28300</v>
      </c>
      <c r="O535" s="195">
        <v>28290</v>
      </c>
      <c r="P535" s="196">
        <v>0.57708333333333295</v>
      </c>
      <c r="Q535" s="196">
        <v>0.64652777777777803</v>
      </c>
      <c r="R535" s="193" t="s">
        <v>137</v>
      </c>
      <c r="S535" s="193" t="s">
        <v>1372</v>
      </c>
      <c r="T535" s="197">
        <f t="shared" ref="T535:T598" si="39">IFERROR(_xlfn.XLOOKUP(H535,$AM$4:$AM$18,$AP$4:$AP$18,""),0)</f>
        <v>99</v>
      </c>
      <c r="U535" s="193"/>
      <c r="V535" s="193" t="str">
        <f t="shared" ref="V535:V598" si="40">IFERROR(_xlfn.XLOOKUP(H535,$AM$4:$AM$18,$AO$4:$AO$18,""),"")</f>
        <v>Burau</v>
      </c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8"/>
      <c r="AL535" s="18"/>
    </row>
    <row r="536" spans="2:38" ht="15" customHeight="1" x14ac:dyDescent="0.2">
      <c r="B536" s="193">
        <v>1</v>
      </c>
      <c r="C536" s="347" t="s">
        <v>662</v>
      </c>
      <c r="D536" s="193" t="str">
        <f t="shared" si="38"/>
        <v>CPO000513KMP</v>
      </c>
      <c r="E536" s="193" t="s">
        <v>70</v>
      </c>
      <c r="F536" s="193" t="s">
        <v>1454</v>
      </c>
      <c r="G536" s="193" t="s">
        <v>1352</v>
      </c>
      <c r="H536" s="193" t="s">
        <v>59</v>
      </c>
      <c r="I536" s="193" t="s">
        <v>41</v>
      </c>
      <c r="J536" s="193" t="str">
        <f t="shared" si="37"/>
        <v>12 Roda</v>
      </c>
      <c r="K536" s="194">
        <v>46043</v>
      </c>
      <c r="L536" s="195">
        <v>45910</v>
      </c>
      <c r="M536" s="195">
        <v>17520</v>
      </c>
      <c r="N536" s="195">
        <v>28390</v>
      </c>
      <c r="O536" s="195">
        <v>28440</v>
      </c>
      <c r="P536" s="196">
        <v>0.50624999999999998</v>
      </c>
      <c r="Q536" s="196">
        <v>0.56597222222222199</v>
      </c>
      <c r="R536" s="193" t="s">
        <v>137</v>
      </c>
      <c r="S536" s="193" t="s">
        <v>1499</v>
      </c>
      <c r="T536" s="197">
        <f t="shared" si="39"/>
        <v>53</v>
      </c>
      <c r="U536" s="193" t="s">
        <v>1922</v>
      </c>
      <c r="V536" s="193" t="str">
        <f t="shared" si="40"/>
        <v>Masamba</v>
      </c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8"/>
      <c r="AL536" s="18"/>
    </row>
    <row r="537" spans="2:38" ht="15" customHeight="1" x14ac:dyDescent="0.2">
      <c r="B537" s="193">
        <v>1</v>
      </c>
      <c r="C537" s="347" t="s">
        <v>663</v>
      </c>
      <c r="D537" s="193" t="str">
        <f t="shared" si="38"/>
        <v>CPO000514KMP</v>
      </c>
      <c r="E537" s="193" t="s">
        <v>56</v>
      </c>
      <c r="F537" s="193" t="s">
        <v>1454</v>
      </c>
      <c r="G537" s="193" t="s">
        <v>1352</v>
      </c>
      <c r="H537" s="193" t="s">
        <v>59</v>
      </c>
      <c r="I537" s="193" t="s">
        <v>41</v>
      </c>
      <c r="J537" s="193" t="str">
        <f t="shared" si="37"/>
        <v>10 Roda</v>
      </c>
      <c r="K537" s="194">
        <v>46043</v>
      </c>
      <c r="L537" s="195">
        <v>25010</v>
      </c>
      <c r="M537" s="195">
        <v>10690</v>
      </c>
      <c r="N537" s="195">
        <v>14320</v>
      </c>
      <c r="O537" s="195">
        <v>14320</v>
      </c>
      <c r="P537" s="196">
        <v>0.51180555555555596</v>
      </c>
      <c r="Q537" s="196">
        <v>0.56805555555555598</v>
      </c>
      <c r="R537" s="193" t="s">
        <v>137</v>
      </c>
      <c r="S537" s="193" t="s">
        <v>1781</v>
      </c>
      <c r="T537" s="197">
        <f t="shared" si="39"/>
        <v>53</v>
      </c>
      <c r="U537" s="193" t="s">
        <v>1922</v>
      </c>
      <c r="V537" s="193" t="str">
        <f t="shared" si="40"/>
        <v>Masamba</v>
      </c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8"/>
      <c r="AL537" s="18"/>
    </row>
    <row r="538" spans="2:38" ht="15" customHeight="1" x14ac:dyDescent="0.2">
      <c r="B538" s="193">
        <v>1</v>
      </c>
      <c r="C538" s="347" t="s">
        <v>561</v>
      </c>
      <c r="D538" s="193" t="str">
        <f t="shared" si="38"/>
        <v>CPO000417JAS</v>
      </c>
      <c r="E538" s="193" t="s">
        <v>76</v>
      </c>
      <c r="F538" s="193" t="s">
        <v>1435</v>
      </c>
      <c r="G538" s="193" t="s">
        <v>1349</v>
      </c>
      <c r="H538" s="193" t="s">
        <v>49</v>
      </c>
      <c r="I538" s="193" t="s">
        <v>41</v>
      </c>
      <c r="J538" s="193" t="str">
        <f t="shared" si="37"/>
        <v>12 Roda</v>
      </c>
      <c r="K538" s="194">
        <v>46013</v>
      </c>
      <c r="L538" s="195">
        <v>45660</v>
      </c>
      <c r="M538" s="195">
        <v>17340</v>
      </c>
      <c r="N538" s="195">
        <v>28320</v>
      </c>
      <c r="O538" s="195">
        <v>28240</v>
      </c>
      <c r="P538" s="196">
        <v>0.79791666666666705</v>
      </c>
      <c r="Q538" s="196">
        <v>0.84027777777777801</v>
      </c>
      <c r="R538" s="193" t="s">
        <v>42</v>
      </c>
      <c r="S538" s="193" t="s">
        <v>1372</v>
      </c>
      <c r="T538" s="197">
        <f t="shared" si="39"/>
        <v>68</v>
      </c>
      <c r="U538" s="193" t="s">
        <v>1922</v>
      </c>
      <c r="V538" s="193" t="str">
        <f t="shared" si="40"/>
        <v>Bone Bone</v>
      </c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8"/>
      <c r="AL538" s="18"/>
    </row>
    <row r="539" spans="2:38" ht="15" customHeight="1" x14ac:dyDescent="0.2">
      <c r="B539" s="193">
        <v>1</v>
      </c>
      <c r="C539" s="347" t="s">
        <v>665</v>
      </c>
      <c r="D539" s="193" t="str">
        <f t="shared" si="38"/>
        <v>CPO000516KMP</v>
      </c>
      <c r="E539" s="193" t="s">
        <v>56</v>
      </c>
      <c r="F539" s="193" t="s">
        <v>1454</v>
      </c>
      <c r="G539" s="193" t="s">
        <v>1352</v>
      </c>
      <c r="H539" s="193" t="s">
        <v>59</v>
      </c>
      <c r="I539" s="193" t="s">
        <v>41</v>
      </c>
      <c r="J539" s="193" t="str">
        <f t="shared" si="37"/>
        <v>10 Roda</v>
      </c>
      <c r="K539" s="194">
        <v>46043</v>
      </c>
      <c r="L539" s="195">
        <v>24980</v>
      </c>
      <c r="M539" s="195">
        <v>10650</v>
      </c>
      <c r="N539" s="195">
        <v>14330</v>
      </c>
      <c r="O539" s="195">
        <v>14340</v>
      </c>
      <c r="P539" s="196">
        <v>0.72916666666666696</v>
      </c>
      <c r="Q539" s="196">
        <v>0.76249999999999996</v>
      </c>
      <c r="R539" s="193" t="s">
        <v>42</v>
      </c>
      <c r="S539" s="193" t="s">
        <v>1781</v>
      </c>
      <c r="T539" s="197">
        <f t="shared" si="39"/>
        <v>53</v>
      </c>
      <c r="U539" s="193" t="s">
        <v>1922</v>
      </c>
      <c r="V539" s="193" t="str">
        <f t="shared" si="40"/>
        <v>Masamba</v>
      </c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8"/>
      <c r="AL539" s="18"/>
    </row>
    <row r="540" spans="2:38" ht="15" customHeight="1" x14ac:dyDescent="0.2">
      <c r="B540" s="193">
        <v>1</v>
      </c>
      <c r="C540" s="347" t="s">
        <v>666</v>
      </c>
      <c r="D540" s="193" t="str">
        <f t="shared" si="38"/>
        <v>CPO000517KMP</v>
      </c>
      <c r="E540" s="193" t="s">
        <v>70</v>
      </c>
      <c r="F540" s="193" t="s">
        <v>1454</v>
      </c>
      <c r="G540" s="193" t="s">
        <v>1352</v>
      </c>
      <c r="H540" s="193" t="s">
        <v>59</v>
      </c>
      <c r="I540" s="193" t="s">
        <v>41</v>
      </c>
      <c r="J540" s="193" t="str">
        <f t="shared" si="37"/>
        <v>12 Roda</v>
      </c>
      <c r="K540" s="194">
        <v>46043</v>
      </c>
      <c r="L540" s="195">
        <v>45840</v>
      </c>
      <c r="M540" s="195">
        <v>17480</v>
      </c>
      <c r="N540" s="195">
        <v>28360</v>
      </c>
      <c r="O540" s="195">
        <v>28420</v>
      </c>
      <c r="P540" s="196">
        <v>0.74236111111111103</v>
      </c>
      <c r="Q540" s="196">
        <v>0.8</v>
      </c>
      <c r="R540" s="193" t="s">
        <v>42</v>
      </c>
      <c r="S540" s="193" t="s">
        <v>1499</v>
      </c>
      <c r="T540" s="197">
        <f t="shared" si="39"/>
        <v>53</v>
      </c>
      <c r="U540" s="193" t="s">
        <v>1922</v>
      </c>
      <c r="V540" s="193" t="str">
        <f t="shared" si="40"/>
        <v>Masamba</v>
      </c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8"/>
      <c r="AL540" s="18"/>
    </row>
    <row r="541" spans="2:38" ht="15" customHeight="1" x14ac:dyDescent="0.2">
      <c r="B541" s="193">
        <v>1</v>
      </c>
      <c r="C541" s="347" t="s">
        <v>667</v>
      </c>
      <c r="D541" s="193" t="str">
        <f t="shared" si="38"/>
        <v>CPO000518KMP</v>
      </c>
      <c r="E541" s="193" t="s">
        <v>46</v>
      </c>
      <c r="F541" s="193" t="s">
        <v>1454</v>
      </c>
      <c r="G541" s="193" t="s">
        <v>1352</v>
      </c>
      <c r="H541" s="193" t="s">
        <v>59</v>
      </c>
      <c r="I541" s="193" t="s">
        <v>41</v>
      </c>
      <c r="J541" s="193" t="str">
        <f t="shared" si="37"/>
        <v>10 Roda</v>
      </c>
      <c r="K541" s="194">
        <v>46043</v>
      </c>
      <c r="L541" s="195">
        <v>26710</v>
      </c>
      <c r="M541" s="195">
        <v>11870</v>
      </c>
      <c r="N541" s="195">
        <v>14840</v>
      </c>
      <c r="O541" s="195">
        <v>14860</v>
      </c>
      <c r="P541" s="196">
        <v>0.79791666666666705</v>
      </c>
      <c r="Q541" s="196">
        <v>0.83680555555555602</v>
      </c>
      <c r="R541" s="193" t="s">
        <v>42</v>
      </c>
      <c r="S541" s="193" t="s">
        <v>1393</v>
      </c>
      <c r="T541" s="197">
        <f t="shared" si="39"/>
        <v>53</v>
      </c>
      <c r="U541" s="193" t="s">
        <v>1922</v>
      </c>
      <c r="V541" s="193" t="str">
        <f t="shared" si="40"/>
        <v>Masamba</v>
      </c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8"/>
      <c r="AL541" s="18"/>
    </row>
    <row r="542" spans="2:38" ht="15" customHeight="1" x14ac:dyDescent="0.2">
      <c r="B542" s="193">
        <v>1</v>
      </c>
      <c r="C542" s="347" t="s">
        <v>668</v>
      </c>
      <c r="D542" s="193" t="str">
        <f t="shared" si="38"/>
        <v>CPO000519KMP</v>
      </c>
      <c r="E542" s="193" t="s">
        <v>70</v>
      </c>
      <c r="F542" s="193" t="s">
        <v>1454</v>
      </c>
      <c r="G542" s="193" t="s">
        <v>1352</v>
      </c>
      <c r="H542" s="193" t="s">
        <v>59</v>
      </c>
      <c r="I542" s="193" t="s">
        <v>41</v>
      </c>
      <c r="J542" s="193" t="str">
        <f t="shared" si="37"/>
        <v>12 Roda</v>
      </c>
      <c r="K542" s="194">
        <v>46044</v>
      </c>
      <c r="L542" s="195">
        <v>45780</v>
      </c>
      <c r="M542" s="195">
        <v>17460</v>
      </c>
      <c r="N542" s="195">
        <v>28320</v>
      </c>
      <c r="O542" s="195">
        <v>28400</v>
      </c>
      <c r="P542" s="196">
        <v>0.43958333333333299</v>
      </c>
      <c r="Q542" s="196">
        <v>0.54583333333333295</v>
      </c>
      <c r="R542" s="193" t="s">
        <v>137</v>
      </c>
      <c r="S542" s="193" t="s">
        <v>1499</v>
      </c>
      <c r="T542" s="197">
        <f t="shared" si="39"/>
        <v>53</v>
      </c>
      <c r="U542" s="193" t="s">
        <v>1922</v>
      </c>
      <c r="V542" s="193" t="str">
        <f t="shared" si="40"/>
        <v>Masamba</v>
      </c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8"/>
      <c r="AL542" s="18"/>
    </row>
    <row r="543" spans="2:38" ht="15" customHeight="1" x14ac:dyDescent="0.2">
      <c r="B543" s="193">
        <v>1</v>
      </c>
      <c r="C543" s="347" t="s">
        <v>669</v>
      </c>
      <c r="D543" s="193" t="str">
        <f t="shared" si="38"/>
        <v>CPO000520KMP</v>
      </c>
      <c r="E543" s="193" t="s">
        <v>46</v>
      </c>
      <c r="F543" s="193" t="s">
        <v>1454</v>
      </c>
      <c r="G543" s="193" t="s">
        <v>1352</v>
      </c>
      <c r="H543" s="193" t="s">
        <v>59</v>
      </c>
      <c r="I543" s="193" t="s">
        <v>41</v>
      </c>
      <c r="J543" s="193" t="str">
        <f t="shared" si="37"/>
        <v>10 Roda</v>
      </c>
      <c r="K543" s="194">
        <v>46044</v>
      </c>
      <c r="L543" s="195">
        <v>26630</v>
      </c>
      <c r="M543" s="195">
        <v>11820</v>
      </c>
      <c r="N543" s="195">
        <v>14810</v>
      </c>
      <c r="O543" s="195">
        <v>14840</v>
      </c>
      <c r="P543" s="196">
        <v>0.44583333333333303</v>
      </c>
      <c r="Q543" s="196">
        <v>0.48680555555555599</v>
      </c>
      <c r="R543" s="193" t="s">
        <v>137</v>
      </c>
      <c r="S543" s="193" t="s">
        <v>1393</v>
      </c>
      <c r="T543" s="197">
        <f t="shared" si="39"/>
        <v>53</v>
      </c>
      <c r="U543" s="193" t="s">
        <v>1922</v>
      </c>
      <c r="V543" s="193" t="str">
        <f t="shared" si="40"/>
        <v>Masamba</v>
      </c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8"/>
      <c r="AL543" s="18"/>
    </row>
    <row r="544" spans="2:38" ht="15" customHeight="1" x14ac:dyDescent="0.2">
      <c r="B544" s="193">
        <v>1</v>
      </c>
      <c r="C544" s="347" t="s">
        <v>679</v>
      </c>
      <c r="D544" s="193" t="str">
        <f t="shared" si="38"/>
        <v>CPO000528KMP</v>
      </c>
      <c r="E544" s="193" t="s">
        <v>70</v>
      </c>
      <c r="F544" s="193" t="s">
        <v>1454</v>
      </c>
      <c r="G544" s="193" t="s">
        <v>1352</v>
      </c>
      <c r="H544" s="193" t="s">
        <v>59</v>
      </c>
      <c r="I544" s="193" t="s">
        <v>41</v>
      </c>
      <c r="J544" s="193" t="str">
        <f t="shared" si="37"/>
        <v>12 Roda</v>
      </c>
      <c r="K544" s="194">
        <v>46044</v>
      </c>
      <c r="L544" s="195">
        <v>45720</v>
      </c>
      <c r="M544" s="195">
        <v>17400</v>
      </c>
      <c r="N544" s="195">
        <v>28320</v>
      </c>
      <c r="O544" s="195">
        <v>28340</v>
      </c>
      <c r="P544" s="196">
        <v>0.70486111111111105</v>
      </c>
      <c r="Q544" s="196">
        <v>0.74722222222222201</v>
      </c>
      <c r="R544" s="193" t="s">
        <v>137</v>
      </c>
      <c r="S544" s="193" t="s">
        <v>1499</v>
      </c>
      <c r="T544" s="197">
        <f t="shared" si="39"/>
        <v>53</v>
      </c>
      <c r="U544" s="193" t="s">
        <v>1922</v>
      </c>
      <c r="V544" s="193" t="str">
        <f t="shared" si="40"/>
        <v>Masamba</v>
      </c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8"/>
      <c r="AL544" s="18"/>
    </row>
    <row r="545" spans="2:38" ht="15" customHeight="1" x14ac:dyDescent="0.2">
      <c r="B545" s="193">
        <v>1</v>
      </c>
      <c r="C545" s="347" t="s">
        <v>671</v>
      </c>
      <c r="D545" s="193" t="str">
        <f t="shared" si="38"/>
        <v>CPO000522KMP</v>
      </c>
      <c r="E545" s="193" t="s">
        <v>56</v>
      </c>
      <c r="F545" s="193" t="s">
        <v>1454</v>
      </c>
      <c r="G545" s="193" t="s">
        <v>1352</v>
      </c>
      <c r="H545" s="193" t="s">
        <v>59</v>
      </c>
      <c r="I545" s="193" t="s">
        <v>41</v>
      </c>
      <c r="J545" s="193" t="str">
        <f t="shared" si="37"/>
        <v>10 Roda</v>
      </c>
      <c r="K545" s="194">
        <v>46044</v>
      </c>
      <c r="L545" s="195">
        <v>25020</v>
      </c>
      <c r="M545" s="195">
        <v>10760</v>
      </c>
      <c r="N545" s="195">
        <v>14260</v>
      </c>
      <c r="O545" s="195">
        <v>14300</v>
      </c>
      <c r="P545" s="196">
        <v>0.47152777777777799</v>
      </c>
      <c r="Q545" s="196">
        <v>0.53611111111111098</v>
      </c>
      <c r="R545" s="193" t="s">
        <v>137</v>
      </c>
      <c r="S545" s="193" t="s">
        <v>1781</v>
      </c>
      <c r="T545" s="197">
        <f t="shared" si="39"/>
        <v>53</v>
      </c>
      <c r="U545" s="193" t="s">
        <v>1922</v>
      </c>
      <c r="V545" s="193" t="str">
        <f t="shared" si="40"/>
        <v>Masamba</v>
      </c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8"/>
      <c r="AL545" s="18"/>
    </row>
    <row r="546" spans="2:38" ht="15" customHeight="1" x14ac:dyDescent="0.2">
      <c r="B546" s="193">
        <v>1</v>
      </c>
      <c r="C546" s="347" t="s">
        <v>676</v>
      </c>
      <c r="D546" s="193" t="str">
        <f t="shared" si="38"/>
        <v>CPO000525KMP</v>
      </c>
      <c r="E546" s="193" t="s">
        <v>84</v>
      </c>
      <c r="F546" s="193" t="s">
        <v>1454</v>
      </c>
      <c r="G546" s="193" t="s">
        <v>1352</v>
      </c>
      <c r="H546" s="193" t="s">
        <v>59</v>
      </c>
      <c r="I546" s="193" t="s">
        <v>41</v>
      </c>
      <c r="J546" s="193" t="str">
        <f t="shared" si="37"/>
        <v>10 Roda</v>
      </c>
      <c r="K546" s="194">
        <v>46044</v>
      </c>
      <c r="L546" s="195">
        <v>26670</v>
      </c>
      <c r="M546" s="195">
        <v>12150</v>
      </c>
      <c r="N546" s="195">
        <v>14520</v>
      </c>
      <c r="O546" s="195">
        <v>14540</v>
      </c>
      <c r="P546" s="196">
        <v>0.64027777777777795</v>
      </c>
      <c r="Q546" s="196">
        <v>0.69027777777777799</v>
      </c>
      <c r="R546" s="193" t="s">
        <v>137</v>
      </c>
      <c r="S546" s="193" t="s">
        <v>1782</v>
      </c>
      <c r="T546" s="197">
        <f t="shared" si="39"/>
        <v>53</v>
      </c>
      <c r="U546" s="193" t="s">
        <v>1922</v>
      </c>
      <c r="V546" s="193" t="str">
        <f t="shared" si="40"/>
        <v>Masamba</v>
      </c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8"/>
      <c r="AL546" s="18"/>
    </row>
    <row r="547" spans="2:38" ht="15" customHeight="1" x14ac:dyDescent="0.2">
      <c r="B547" s="193">
        <v>1</v>
      </c>
      <c r="C547" s="347" t="s">
        <v>677</v>
      </c>
      <c r="D547" s="193" t="str">
        <f t="shared" si="38"/>
        <v>CPO000526KMP</v>
      </c>
      <c r="E547" s="193" t="s">
        <v>76</v>
      </c>
      <c r="F547" s="193" t="s">
        <v>1454</v>
      </c>
      <c r="G547" s="193" t="s">
        <v>1352</v>
      </c>
      <c r="H547" s="193" t="s">
        <v>59</v>
      </c>
      <c r="I547" s="193" t="s">
        <v>41</v>
      </c>
      <c r="J547" s="193" t="str">
        <f t="shared" si="37"/>
        <v>12 Roda</v>
      </c>
      <c r="K547" s="194">
        <v>46044</v>
      </c>
      <c r="L547" s="195">
        <v>45650</v>
      </c>
      <c r="M547" s="195">
        <v>17360</v>
      </c>
      <c r="N547" s="195">
        <v>28290</v>
      </c>
      <c r="O547" s="195">
        <v>28360</v>
      </c>
      <c r="P547" s="196">
        <v>0.65972222222222199</v>
      </c>
      <c r="Q547" s="196">
        <v>0.72430555555555598</v>
      </c>
      <c r="R547" s="193" t="s">
        <v>137</v>
      </c>
      <c r="S547" s="193" t="s">
        <v>1372</v>
      </c>
      <c r="T547" s="197">
        <f t="shared" si="39"/>
        <v>53</v>
      </c>
      <c r="U547" s="193" t="s">
        <v>1922</v>
      </c>
      <c r="V547" s="193" t="str">
        <f t="shared" si="40"/>
        <v>Masamba</v>
      </c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8"/>
      <c r="AL547" s="18"/>
    </row>
    <row r="548" spans="2:38" ht="15" customHeight="1" x14ac:dyDescent="0.2">
      <c r="B548" s="193">
        <v>1</v>
      </c>
      <c r="C548" s="347" t="s">
        <v>678</v>
      </c>
      <c r="D548" s="193" t="str">
        <f t="shared" si="38"/>
        <v>CPO000527KMP</v>
      </c>
      <c r="E548" s="193" t="s">
        <v>56</v>
      </c>
      <c r="F548" s="193" t="s">
        <v>1454</v>
      </c>
      <c r="G548" s="193" t="s">
        <v>1352</v>
      </c>
      <c r="H548" s="193" t="s">
        <v>59</v>
      </c>
      <c r="I548" s="193" t="s">
        <v>41</v>
      </c>
      <c r="J548" s="193" t="str">
        <f t="shared" si="37"/>
        <v>10 Roda</v>
      </c>
      <c r="K548" s="194">
        <v>46044</v>
      </c>
      <c r="L548" s="195">
        <v>25000</v>
      </c>
      <c r="M548" s="195">
        <v>10720</v>
      </c>
      <c r="N548" s="195">
        <v>14280</v>
      </c>
      <c r="O548" s="195">
        <v>14280</v>
      </c>
      <c r="P548" s="196">
        <v>0.67013888888888895</v>
      </c>
      <c r="Q548" s="196">
        <v>0.72083333333333299</v>
      </c>
      <c r="R548" s="193" t="s">
        <v>137</v>
      </c>
      <c r="S548" s="193" t="s">
        <v>1781</v>
      </c>
      <c r="T548" s="197">
        <f t="shared" si="39"/>
        <v>53</v>
      </c>
      <c r="U548" s="193" t="s">
        <v>1922</v>
      </c>
      <c r="V548" s="193" t="str">
        <f t="shared" si="40"/>
        <v>Masamba</v>
      </c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8"/>
      <c r="AL548" s="18"/>
    </row>
    <row r="549" spans="2:38" ht="15" customHeight="1" x14ac:dyDescent="0.2">
      <c r="B549" s="193">
        <v>1</v>
      </c>
      <c r="C549" s="347" t="s">
        <v>905</v>
      </c>
      <c r="D549" s="193" t="str">
        <f t="shared" si="38"/>
        <v>CPO000738PN</v>
      </c>
      <c r="E549" s="193" t="s">
        <v>76</v>
      </c>
      <c r="F549" s="193" t="s">
        <v>1358</v>
      </c>
      <c r="G549" s="193" t="s">
        <v>1357</v>
      </c>
      <c r="H549" s="193" t="s">
        <v>78</v>
      </c>
      <c r="I549" s="193" t="s">
        <v>41</v>
      </c>
      <c r="J549" s="193" t="str">
        <f t="shared" si="37"/>
        <v>12 Roda</v>
      </c>
      <c r="K549" s="194">
        <v>46056</v>
      </c>
      <c r="L549" s="195">
        <v>45840</v>
      </c>
      <c r="M549" s="195">
        <v>17520</v>
      </c>
      <c r="N549" s="195">
        <v>28320</v>
      </c>
      <c r="O549" s="195">
        <v>28370</v>
      </c>
      <c r="P549" s="196">
        <v>0.625694444444444</v>
      </c>
      <c r="Q549" s="196">
        <v>0.69722222222222197</v>
      </c>
      <c r="R549" s="193" t="s">
        <v>42</v>
      </c>
      <c r="S549" s="193" t="s">
        <v>1372</v>
      </c>
      <c r="T549" s="197">
        <f t="shared" si="39"/>
        <v>99</v>
      </c>
      <c r="U549" s="193"/>
      <c r="V549" s="193" t="str">
        <f t="shared" si="40"/>
        <v>Burau</v>
      </c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8"/>
      <c r="AL549" s="18"/>
    </row>
    <row r="550" spans="2:38" ht="15" customHeight="1" x14ac:dyDescent="0.2">
      <c r="B550" s="193">
        <v>1</v>
      </c>
      <c r="C550" s="347" t="s">
        <v>680</v>
      </c>
      <c r="D550" s="193" t="str">
        <f t="shared" si="38"/>
        <v>CPO000529KMP</v>
      </c>
      <c r="E550" s="193" t="s">
        <v>76</v>
      </c>
      <c r="F550" s="193" t="s">
        <v>1454</v>
      </c>
      <c r="G550" s="193" t="s">
        <v>1352</v>
      </c>
      <c r="H550" s="193" t="s">
        <v>59</v>
      </c>
      <c r="I550" s="193" t="s">
        <v>41</v>
      </c>
      <c r="J550" s="193" t="str">
        <f t="shared" si="37"/>
        <v>12 Roda</v>
      </c>
      <c r="K550" s="194">
        <v>46044</v>
      </c>
      <c r="L550" s="195">
        <v>45680</v>
      </c>
      <c r="M550" s="195">
        <v>17340</v>
      </c>
      <c r="N550" s="195">
        <v>28340</v>
      </c>
      <c r="O550" s="195">
        <v>28420</v>
      </c>
      <c r="P550" s="196">
        <v>0.89513888888888904</v>
      </c>
      <c r="Q550" s="196">
        <v>0.9375</v>
      </c>
      <c r="R550" s="193" t="s">
        <v>42</v>
      </c>
      <c r="S550" s="193" t="s">
        <v>1372</v>
      </c>
      <c r="T550" s="197">
        <f t="shared" si="39"/>
        <v>53</v>
      </c>
      <c r="U550" s="193" t="s">
        <v>1922</v>
      </c>
      <c r="V550" s="193" t="str">
        <f t="shared" si="40"/>
        <v>Masamba</v>
      </c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8"/>
      <c r="AL550" s="18"/>
    </row>
    <row r="551" spans="2:38" ht="15" customHeight="1" x14ac:dyDescent="0.2">
      <c r="B551" s="193">
        <v>1</v>
      </c>
      <c r="C551" s="347" t="s">
        <v>672</v>
      </c>
      <c r="D551" s="193" t="str">
        <f t="shared" si="38"/>
        <v>BE000523MLR</v>
      </c>
      <c r="E551" s="193" t="s">
        <v>673</v>
      </c>
      <c r="F551" s="193"/>
      <c r="G551" s="193" t="s">
        <v>1353</v>
      </c>
      <c r="H551" s="193" t="s">
        <v>98</v>
      </c>
      <c r="I551" s="193" t="s">
        <v>58</v>
      </c>
      <c r="J551" s="193" t="str">
        <f t="shared" si="37"/>
        <v>10 Roda</v>
      </c>
      <c r="K551" s="194">
        <v>46044</v>
      </c>
      <c r="L551" s="195">
        <v>30970</v>
      </c>
      <c r="M551" s="195">
        <v>10560</v>
      </c>
      <c r="N551" s="195">
        <v>20410</v>
      </c>
      <c r="O551" s="195"/>
      <c r="P551" s="196">
        <v>0.50416666666666698</v>
      </c>
      <c r="Q551" s="196">
        <v>0.64444444444444504</v>
      </c>
      <c r="R551" s="193" t="s">
        <v>137</v>
      </c>
      <c r="S551" s="193"/>
      <c r="T551" s="197">
        <f t="shared" si="39"/>
        <v>0</v>
      </c>
      <c r="U551" s="193"/>
      <c r="V551" s="193">
        <f t="shared" si="40"/>
        <v>0</v>
      </c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8"/>
      <c r="AL551" s="18"/>
    </row>
    <row r="552" spans="2:38" ht="15" customHeight="1" x14ac:dyDescent="0.2">
      <c r="B552" s="193">
        <v>1</v>
      </c>
      <c r="C552" s="347" t="s">
        <v>674</v>
      </c>
      <c r="D552" s="193" t="str">
        <f t="shared" si="38"/>
        <v>BE000524MLR</v>
      </c>
      <c r="E552" s="193" t="s">
        <v>675</v>
      </c>
      <c r="F552" s="193"/>
      <c r="G552" s="193" t="s">
        <v>1353</v>
      </c>
      <c r="H552" s="193" t="s">
        <v>98</v>
      </c>
      <c r="I552" s="193" t="s">
        <v>58</v>
      </c>
      <c r="J552" s="193" t="str">
        <f t="shared" si="37"/>
        <v>10 Roda</v>
      </c>
      <c r="K552" s="194">
        <v>46044</v>
      </c>
      <c r="L552" s="195">
        <v>31910</v>
      </c>
      <c r="M552" s="195">
        <v>11560</v>
      </c>
      <c r="N552" s="195">
        <v>20350</v>
      </c>
      <c r="O552" s="195"/>
      <c r="P552" s="196">
        <v>0.54444444444444395</v>
      </c>
      <c r="Q552" s="196">
        <v>0.64652777777777803</v>
      </c>
      <c r="R552" s="193" t="s">
        <v>137</v>
      </c>
      <c r="S552" s="193"/>
      <c r="T552" s="197">
        <f t="shared" si="39"/>
        <v>0</v>
      </c>
      <c r="U552" s="193"/>
      <c r="V552" s="193">
        <f t="shared" si="40"/>
        <v>0</v>
      </c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8"/>
      <c r="AL552" s="18"/>
    </row>
    <row r="553" spans="2:38" ht="15" customHeight="1" x14ac:dyDescent="0.2">
      <c r="B553" s="193">
        <v>1</v>
      </c>
      <c r="C553" s="347" t="s">
        <v>681</v>
      </c>
      <c r="D553" s="193" t="str">
        <f t="shared" si="38"/>
        <v>BE000530MLR</v>
      </c>
      <c r="E553" s="193" t="s">
        <v>682</v>
      </c>
      <c r="F553" s="193"/>
      <c r="G553" s="193" t="s">
        <v>1353</v>
      </c>
      <c r="H553" s="193" t="s">
        <v>98</v>
      </c>
      <c r="I553" s="193" t="s">
        <v>58</v>
      </c>
      <c r="J553" s="193" t="str">
        <f t="shared" si="37"/>
        <v>10 Roda</v>
      </c>
      <c r="K553" s="194">
        <v>46045</v>
      </c>
      <c r="L553" s="195">
        <v>32380</v>
      </c>
      <c r="M553" s="195">
        <v>12180</v>
      </c>
      <c r="N553" s="195">
        <v>20200</v>
      </c>
      <c r="O553" s="195"/>
      <c r="P553" s="196">
        <v>0.34861111111111098</v>
      </c>
      <c r="Q553" s="196">
        <v>0.42916666666666697</v>
      </c>
      <c r="R553" s="193" t="s">
        <v>42</v>
      </c>
      <c r="S553" s="193"/>
      <c r="T553" s="197">
        <f t="shared" si="39"/>
        <v>0</v>
      </c>
      <c r="U553" s="193"/>
      <c r="V553" s="193">
        <f t="shared" si="40"/>
        <v>0</v>
      </c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8"/>
      <c r="AL553" s="18"/>
    </row>
    <row r="554" spans="2:38" ht="15" customHeight="1" x14ac:dyDescent="0.2">
      <c r="B554" s="193">
        <v>1</v>
      </c>
      <c r="C554" s="347" t="s">
        <v>683</v>
      </c>
      <c r="D554" s="193" t="str">
        <f t="shared" si="38"/>
        <v>BE000531MLR</v>
      </c>
      <c r="E554" s="193" t="s">
        <v>684</v>
      </c>
      <c r="F554" s="193"/>
      <c r="G554" s="193" t="s">
        <v>1353</v>
      </c>
      <c r="H554" s="193" t="s">
        <v>98</v>
      </c>
      <c r="I554" s="193" t="s">
        <v>58</v>
      </c>
      <c r="J554" s="193" t="str">
        <f t="shared" si="37"/>
        <v>10 Roda</v>
      </c>
      <c r="K554" s="194">
        <v>46045</v>
      </c>
      <c r="L554" s="195">
        <v>30530</v>
      </c>
      <c r="M554" s="195">
        <v>10330</v>
      </c>
      <c r="N554" s="195">
        <v>20200</v>
      </c>
      <c r="O554" s="195"/>
      <c r="P554" s="196">
        <v>0.35069444444444398</v>
      </c>
      <c r="Q554" s="196">
        <v>0.43263888888888902</v>
      </c>
      <c r="R554" s="193" t="s">
        <v>42</v>
      </c>
      <c r="S554" s="193"/>
      <c r="T554" s="197">
        <f t="shared" si="39"/>
        <v>0</v>
      </c>
      <c r="U554" s="193"/>
      <c r="V554" s="193">
        <f t="shared" si="40"/>
        <v>0</v>
      </c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8"/>
      <c r="AL554" s="18"/>
    </row>
    <row r="555" spans="2:38" ht="15" customHeight="1" x14ac:dyDescent="0.2">
      <c r="B555" s="193">
        <v>1</v>
      </c>
      <c r="C555" s="347" t="s">
        <v>685</v>
      </c>
      <c r="D555" s="193" t="str">
        <f t="shared" si="38"/>
        <v>BE000532MLR</v>
      </c>
      <c r="E555" s="193" t="s">
        <v>686</v>
      </c>
      <c r="F555" s="193"/>
      <c r="G555" s="193" t="s">
        <v>1353</v>
      </c>
      <c r="H555" s="193" t="s">
        <v>98</v>
      </c>
      <c r="I555" s="193" t="s">
        <v>58</v>
      </c>
      <c r="J555" s="193" t="str">
        <f t="shared" si="37"/>
        <v>10 Roda</v>
      </c>
      <c r="K555" s="194">
        <v>46046</v>
      </c>
      <c r="L555" s="195">
        <v>30410</v>
      </c>
      <c r="M555" s="195">
        <v>10070</v>
      </c>
      <c r="N555" s="195">
        <v>20340</v>
      </c>
      <c r="O555" s="195"/>
      <c r="P555" s="196">
        <v>0.33194444444444399</v>
      </c>
      <c r="Q555" s="196">
        <v>0.36666666666666697</v>
      </c>
      <c r="R555" s="193" t="s">
        <v>137</v>
      </c>
      <c r="S555" s="193"/>
      <c r="T555" s="197">
        <f t="shared" si="39"/>
        <v>0</v>
      </c>
      <c r="U555" s="193"/>
      <c r="V555" s="193">
        <f t="shared" si="40"/>
        <v>0</v>
      </c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8"/>
      <c r="AL555" s="18"/>
    </row>
    <row r="556" spans="2:38" ht="15" customHeight="1" x14ac:dyDescent="0.2">
      <c r="B556" s="193">
        <v>1</v>
      </c>
      <c r="C556" s="347" t="s">
        <v>691</v>
      </c>
      <c r="D556" s="193" t="str">
        <f t="shared" si="38"/>
        <v>CPO000537JAS</v>
      </c>
      <c r="E556" s="193" t="s">
        <v>46</v>
      </c>
      <c r="F556" s="193" t="s">
        <v>1441</v>
      </c>
      <c r="G556" s="193" t="s">
        <v>1354</v>
      </c>
      <c r="H556" s="193" t="s">
        <v>49</v>
      </c>
      <c r="I556" s="193" t="s">
        <v>41</v>
      </c>
      <c r="J556" s="193" t="str">
        <f t="shared" si="37"/>
        <v>10 Roda</v>
      </c>
      <c r="K556" s="194">
        <v>46050</v>
      </c>
      <c r="L556" s="195">
        <v>26680</v>
      </c>
      <c r="M556" s="195">
        <v>11790</v>
      </c>
      <c r="N556" s="195">
        <v>14890</v>
      </c>
      <c r="O556" s="195">
        <v>14850</v>
      </c>
      <c r="P556" s="196">
        <v>0.563194444444444</v>
      </c>
      <c r="Q556" s="196">
        <v>0.59652777777777799</v>
      </c>
      <c r="R556" s="193" t="s">
        <v>42</v>
      </c>
      <c r="S556" s="193" t="s">
        <v>1393</v>
      </c>
      <c r="T556" s="197">
        <f t="shared" si="39"/>
        <v>68</v>
      </c>
      <c r="U556" s="193" t="s">
        <v>1922</v>
      </c>
      <c r="V556" s="193" t="str">
        <f t="shared" si="40"/>
        <v>Bone Bone</v>
      </c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8"/>
      <c r="AL556" s="18"/>
    </row>
    <row r="557" spans="2:38" ht="15" customHeight="1" x14ac:dyDescent="0.2">
      <c r="B557" s="193">
        <v>1</v>
      </c>
      <c r="C557" s="347" t="s">
        <v>692</v>
      </c>
      <c r="D557" s="193" t="str">
        <f t="shared" si="38"/>
        <v>CPO000538JAS</v>
      </c>
      <c r="E557" s="193" t="s">
        <v>84</v>
      </c>
      <c r="F557" s="193" t="s">
        <v>1441</v>
      </c>
      <c r="G557" s="193" t="s">
        <v>1354</v>
      </c>
      <c r="H557" s="193" t="s">
        <v>49</v>
      </c>
      <c r="I557" s="193" t="s">
        <v>41</v>
      </c>
      <c r="J557" s="193" t="str">
        <f t="shared" si="37"/>
        <v>10 Roda</v>
      </c>
      <c r="K557" s="194">
        <v>46050</v>
      </c>
      <c r="L557" s="195">
        <v>26680</v>
      </c>
      <c r="M557" s="195">
        <v>12120</v>
      </c>
      <c r="N557" s="195">
        <v>14560</v>
      </c>
      <c r="O557" s="195">
        <v>14530</v>
      </c>
      <c r="P557" s="196">
        <v>0.57638888888888895</v>
      </c>
      <c r="Q557" s="196">
        <v>0.60347222222222197</v>
      </c>
      <c r="R557" s="193" t="s">
        <v>42</v>
      </c>
      <c r="S557" s="193" t="s">
        <v>1782</v>
      </c>
      <c r="T557" s="197">
        <f t="shared" si="39"/>
        <v>68</v>
      </c>
      <c r="U557" s="193" t="s">
        <v>1922</v>
      </c>
      <c r="V557" s="193" t="str">
        <f t="shared" si="40"/>
        <v>Bone Bone</v>
      </c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8"/>
      <c r="AL557" s="18"/>
    </row>
    <row r="558" spans="2:38" ht="15" customHeight="1" x14ac:dyDescent="0.2">
      <c r="B558" s="193">
        <v>1</v>
      </c>
      <c r="C558" s="347" t="s">
        <v>693</v>
      </c>
      <c r="D558" s="193" t="str">
        <f t="shared" si="38"/>
        <v>CPO000539JAS</v>
      </c>
      <c r="E558" s="193" t="s">
        <v>56</v>
      </c>
      <c r="F558" s="193" t="s">
        <v>1441</v>
      </c>
      <c r="G558" s="193" t="s">
        <v>1354</v>
      </c>
      <c r="H558" s="193" t="s">
        <v>49</v>
      </c>
      <c r="I558" s="193" t="s">
        <v>41</v>
      </c>
      <c r="J558" s="193" t="str">
        <f t="shared" si="37"/>
        <v>10 Roda</v>
      </c>
      <c r="K558" s="194">
        <v>46050</v>
      </c>
      <c r="L558" s="195">
        <v>25020</v>
      </c>
      <c r="M558" s="195">
        <v>10680</v>
      </c>
      <c r="N558" s="195">
        <v>14340</v>
      </c>
      <c r="O558" s="195">
        <v>14310</v>
      </c>
      <c r="P558" s="196">
        <v>0.57708333333333295</v>
      </c>
      <c r="Q558" s="196">
        <v>0.60972222222222205</v>
      </c>
      <c r="R558" s="193" t="s">
        <v>42</v>
      </c>
      <c r="S558" s="193" t="s">
        <v>1781</v>
      </c>
      <c r="T558" s="197">
        <f t="shared" si="39"/>
        <v>68</v>
      </c>
      <c r="U558" s="193" t="s">
        <v>1922</v>
      </c>
      <c r="V558" s="193" t="str">
        <f t="shared" si="40"/>
        <v>Bone Bone</v>
      </c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8"/>
      <c r="AL558" s="18"/>
    </row>
    <row r="559" spans="2:38" ht="15" customHeight="1" x14ac:dyDescent="0.2">
      <c r="B559" s="193">
        <v>1</v>
      </c>
      <c r="C559" s="347" t="s">
        <v>813</v>
      </c>
      <c r="D559" s="193" t="str">
        <f t="shared" si="38"/>
        <v>CPO000651KMP</v>
      </c>
      <c r="E559" s="193" t="s">
        <v>76</v>
      </c>
      <c r="F559" s="193"/>
      <c r="G559" s="193" t="s">
        <v>1362</v>
      </c>
      <c r="H559" s="193" t="s">
        <v>59</v>
      </c>
      <c r="I559" s="193" t="s">
        <v>41</v>
      </c>
      <c r="J559" s="193" t="str">
        <f t="shared" si="37"/>
        <v>12 Roda</v>
      </c>
      <c r="K559" s="194">
        <v>46060</v>
      </c>
      <c r="L559" s="195">
        <v>45990</v>
      </c>
      <c r="M559" s="195">
        <v>17670</v>
      </c>
      <c r="N559" s="195">
        <v>28320</v>
      </c>
      <c r="O559" s="195">
        <v>28420</v>
      </c>
      <c r="P559" s="196">
        <v>0.41736111111111102</v>
      </c>
      <c r="Q559" s="196">
        <v>0.48194444444444501</v>
      </c>
      <c r="R559" s="193" t="s">
        <v>137</v>
      </c>
      <c r="S559" s="193" t="s">
        <v>1372</v>
      </c>
      <c r="T559" s="197">
        <f t="shared" si="39"/>
        <v>53</v>
      </c>
      <c r="U559" s="193" t="s">
        <v>1922</v>
      </c>
      <c r="V559" s="193" t="str">
        <f t="shared" si="40"/>
        <v>Masamba</v>
      </c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8"/>
      <c r="AL559" s="18"/>
    </row>
    <row r="560" spans="2:38" ht="15" customHeight="1" x14ac:dyDescent="0.2">
      <c r="B560" s="193">
        <v>1</v>
      </c>
      <c r="C560" s="347" t="s">
        <v>199</v>
      </c>
      <c r="D560" s="193" t="str">
        <f t="shared" si="38"/>
        <v>CPO000068PN</v>
      </c>
      <c r="E560" s="193" t="s">
        <v>70</v>
      </c>
      <c r="F560" s="193" t="s">
        <v>1358</v>
      </c>
      <c r="G560" s="193" t="s">
        <v>1357</v>
      </c>
      <c r="H560" s="193" t="s">
        <v>78</v>
      </c>
      <c r="I560" s="193" t="s">
        <v>41</v>
      </c>
      <c r="J560" s="193" t="str">
        <f t="shared" si="37"/>
        <v>12 Roda</v>
      </c>
      <c r="K560" s="194">
        <v>46064</v>
      </c>
      <c r="L560" s="195">
        <v>45640</v>
      </c>
      <c r="M560" s="195">
        <v>17320</v>
      </c>
      <c r="N560" s="195">
        <v>28320</v>
      </c>
      <c r="O560" s="195">
        <v>28380</v>
      </c>
      <c r="P560" s="196">
        <v>0.82083333333333297</v>
      </c>
      <c r="Q560" s="196">
        <v>0.86458333333333304</v>
      </c>
      <c r="R560" s="193" t="s">
        <v>137</v>
      </c>
      <c r="S560" s="193" t="s">
        <v>1499</v>
      </c>
      <c r="T560" s="197">
        <f t="shared" si="39"/>
        <v>99</v>
      </c>
      <c r="U560" s="193"/>
      <c r="V560" s="193" t="str">
        <f t="shared" si="40"/>
        <v>Burau</v>
      </c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8"/>
      <c r="AL560" s="18"/>
    </row>
    <row r="561" spans="2:38" ht="15" customHeight="1" x14ac:dyDescent="0.2">
      <c r="B561" s="193">
        <v>1</v>
      </c>
      <c r="C561" s="347" t="s">
        <v>696</v>
      </c>
      <c r="D561" s="193" t="str">
        <f t="shared" si="38"/>
        <v>CPO000542JAS</v>
      </c>
      <c r="E561" s="193" t="s">
        <v>46</v>
      </c>
      <c r="F561" s="193" t="s">
        <v>1441</v>
      </c>
      <c r="G561" s="193" t="s">
        <v>1354</v>
      </c>
      <c r="H561" s="193" t="s">
        <v>49</v>
      </c>
      <c r="I561" s="193" t="s">
        <v>41</v>
      </c>
      <c r="J561" s="193" t="str">
        <f t="shared" si="37"/>
        <v>10 Roda</v>
      </c>
      <c r="K561" s="194">
        <v>46050</v>
      </c>
      <c r="L561" s="195">
        <v>26670</v>
      </c>
      <c r="M561" s="195">
        <v>11950</v>
      </c>
      <c r="N561" s="195">
        <v>14720</v>
      </c>
      <c r="O561" s="195">
        <v>14710</v>
      </c>
      <c r="P561" s="196">
        <v>0.781944444444444</v>
      </c>
      <c r="Q561" s="196">
        <v>0.813194444444444</v>
      </c>
      <c r="R561" s="193" t="s">
        <v>137</v>
      </c>
      <c r="S561" s="193" t="s">
        <v>1393</v>
      </c>
      <c r="T561" s="197">
        <f t="shared" si="39"/>
        <v>68</v>
      </c>
      <c r="U561" s="193" t="s">
        <v>1922</v>
      </c>
      <c r="V561" s="193" t="str">
        <f t="shared" si="40"/>
        <v>Bone Bone</v>
      </c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8"/>
      <c r="AL561" s="18"/>
    </row>
    <row r="562" spans="2:38" ht="15" customHeight="1" x14ac:dyDescent="0.2">
      <c r="B562" s="193">
        <v>1</v>
      </c>
      <c r="C562" s="347" t="s">
        <v>697</v>
      </c>
      <c r="D562" s="193" t="str">
        <f t="shared" si="38"/>
        <v>CPO000543JAS</v>
      </c>
      <c r="E562" s="193" t="s">
        <v>56</v>
      </c>
      <c r="F562" s="193" t="s">
        <v>1441</v>
      </c>
      <c r="G562" s="193" t="s">
        <v>1354</v>
      </c>
      <c r="H562" s="193" t="s">
        <v>49</v>
      </c>
      <c r="I562" s="193" t="s">
        <v>41</v>
      </c>
      <c r="J562" s="193" t="str">
        <f t="shared" si="37"/>
        <v>10 Roda</v>
      </c>
      <c r="K562" s="194">
        <v>46050</v>
      </c>
      <c r="L562" s="195">
        <v>25080</v>
      </c>
      <c r="M562" s="195">
        <v>10780</v>
      </c>
      <c r="N562" s="195">
        <v>14300</v>
      </c>
      <c r="O562" s="195">
        <v>14250</v>
      </c>
      <c r="P562" s="196">
        <v>0.79930555555555605</v>
      </c>
      <c r="Q562" s="196">
        <v>0.83194444444444504</v>
      </c>
      <c r="R562" s="193" t="s">
        <v>137</v>
      </c>
      <c r="S562" s="193" t="s">
        <v>1781</v>
      </c>
      <c r="T562" s="197">
        <f t="shared" si="39"/>
        <v>68</v>
      </c>
      <c r="U562" s="193" t="s">
        <v>1922</v>
      </c>
      <c r="V562" s="193" t="str">
        <f t="shared" si="40"/>
        <v>Bone Bone</v>
      </c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8"/>
      <c r="AL562" s="18"/>
    </row>
    <row r="563" spans="2:38" ht="15" customHeight="1" x14ac:dyDescent="0.2">
      <c r="B563" s="193">
        <v>1</v>
      </c>
      <c r="C563" s="347" t="s">
        <v>698</v>
      </c>
      <c r="D563" s="193" t="str">
        <f t="shared" si="38"/>
        <v>CPO000544JAS</v>
      </c>
      <c r="E563" s="193" t="s">
        <v>84</v>
      </c>
      <c r="F563" s="193" t="s">
        <v>1441</v>
      </c>
      <c r="G563" s="193" t="s">
        <v>1354</v>
      </c>
      <c r="H563" s="193" t="s">
        <v>49</v>
      </c>
      <c r="I563" s="193" t="s">
        <v>41</v>
      </c>
      <c r="J563" s="193" t="str">
        <f t="shared" si="37"/>
        <v>10 Roda</v>
      </c>
      <c r="K563" s="194">
        <v>46050</v>
      </c>
      <c r="L563" s="195">
        <v>26780</v>
      </c>
      <c r="M563" s="195">
        <v>12260</v>
      </c>
      <c r="N563" s="195">
        <v>14520</v>
      </c>
      <c r="O563" s="195">
        <v>14480</v>
      </c>
      <c r="P563" s="196">
        <v>0.82361111111111096</v>
      </c>
      <c r="Q563" s="196">
        <v>0.86458333333333304</v>
      </c>
      <c r="R563" s="193" t="s">
        <v>137</v>
      </c>
      <c r="S563" s="193" t="s">
        <v>1782</v>
      </c>
      <c r="T563" s="197">
        <f t="shared" si="39"/>
        <v>68</v>
      </c>
      <c r="U563" s="193" t="s">
        <v>1922</v>
      </c>
      <c r="V563" s="193" t="str">
        <f t="shared" si="40"/>
        <v>Bone Bone</v>
      </c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8"/>
      <c r="AL563" s="18"/>
    </row>
    <row r="564" spans="2:38" ht="15" customHeight="1" x14ac:dyDescent="0.2">
      <c r="B564" s="193">
        <v>1</v>
      </c>
      <c r="C564" s="347" t="s">
        <v>699</v>
      </c>
      <c r="D564" s="193" t="str">
        <f t="shared" si="38"/>
        <v>CPO000545JAS</v>
      </c>
      <c r="E564" s="193" t="s">
        <v>76</v>
      </c>
      <c r="F564" s="193" t="s">
        <v>1441</v>
      </c>
      <c r="G564" s="193" t="s">
        <v>1354</v>
      </c>
      <c r="H564" s="193" t="s">
        <v>49</v>
      </c>
      <c r="I564" s="193" t="s">
        <v>41</v>
      </c>
      <c r="J564" s="193" t="str">
        <f t="shared" si="37"/>
        <v>12 Roda</v>
      </c>
      <c r="K564" s="194">
        <v>46050</v>
      </c>
      <c r="L564" s="195">
        <v>45840</v>
      </c>
      <c r="M564" s="195">
        <v>17560</v>
      </c>
      <c r="N564" s="195">
        <v>28280</v>
      </c>
      <c r="O564" s="195">
        <v>28210</v>
      </c>
      <c r="P564" s="196">
        <v>0.84791666666666698</v>
      </c>
      <c r="Q564" s="196">
        <v>0.88402777777777797</v>
      </c>
      <c r="R564" s="193" t="s">
        <v>137</v>
      </c>
      <c r="S564" s="193" t="s">
        <v>1372</v>
      </c>
      <c r="T564" s="197">
        <f t="shared" si="39"/>
        <v>68</v>
      </c>
      <c r="U564" s="193" t="s">
        <v>1922</v>
      </c>
      <c r="V564" s="193" t="str">
        <f t="shared" si="40"/>
        <v>Bone Bone</v>
      </c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8"/>
      <c r="AL564" s="18"/>
    </row>
    <row r="565" spans="2:38" ht="15" customHeight="1" x14ac:dyDescent="0.2">
      <c r="B565" s="193">
        <v>1</v>
      </c>
      <c r="C565" s="347" t="s">
        <v>700</v>
      </c>
      <c r="D565" s="193" t="str">
        <f t="shared" si="38"/>
        <v>CPO000546MIS</v>
      </c>
      <c r="E565" s="193" t="s">
        <v>171</v>
      </c>
      <c r="F565" s="193" t="s">
        <v>1356</v>
      </c>
      <c r="G565" s="193" t="s">
        <v>1355</v>
      </c>
      <c r="H565" s="193" t="s">
        <v>40</v>
      </c>
      <c r="I565" s="193" t="s">
        <v>41</v>
      </c>
      <c r="J565" s="193" t="str">
        <f t="shared" si="37"/>
        <v>6 Roda</v>
      </c>
      <c r="K565" s="194">
        <v>46051</v>
      </c>
      <c r="L565" s="195">
        <v>13260</v>
      </c>
      <c r="M565" s="195">
        <v>3640</v>
      </c>
      <c r="N565" s="195">
        <v>9620</v>
      </c>
      <c r="O565" s="195">
        <v>9600</v>
      </c>
      <c r="P565" s="196">
        <v>0.35347222222222202</v>
      </c>
      <c r="Q565" s="196">
        <v>0.38750000000000001</v>
      </c>
      <c r="R565" s="193" t="s">
        <v>42</v>
      </c>
      <c r="S565" s="193"/>
      <c r="T565" s="197">
        <f t="shared" si="39"/>
        <v>494</v>
      </c>
      <c r="U565" s="193"/>
      <c r="V565" s="193" t="str">
        <f t="shared" si="40"/>
        <v>Pomala</v>
      </c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8"/>
      <c r="AL565" s="18"/>
    </row>
    <row r="566" spans="2:38" ht="15" customHeight="1" x14ac:dyDescent="0.2">
      <c r="B566" s="193">
        <v>1</v>
      </c>
      <c r="C566" s="347" t="s">
        <v>701</v>
      </c>
      <c r="D566" s="193" t="str">
        <f t="shared" si="38"/>
        <v>CPO000547MIS</v>
      </c>
      <c r="E566" s="193" t="s">
        <v>214</v>
      </c>
      <c r="F566" s="193" t="s">
        <v>1356</v>
      </c>
      <c r="G566" s="193" t="s">
        <v>1355</v>
      </c>
      <c r="H566" s="193" t="s">
        <v>40</v>
      </c>
      <c r="I566" s="193" t="s">
        <v>41</v>
      </c>
      <c r="J566" s="193" t="str">
        <f t="shared" si="37"/>
        <v>6 Roda</v>
      </c>
      <c r="K566" s="194">
        <v>46051</v>
      </c>
      <c r="L566" s="195">
        <v>13500</v>
      </c>
      <c r="M566" s="195">
        <v>3670</v>
      </c>
      <c r="N566" s="195">
        <v>9830</v>
      </c>
      <c r="O566" s="195">
        <v>9800</v>
      </c>
      <c r="P566" s="196">
        <v>0.35416666666666702</v>
      </c>
      <c r="Q566" s="196">
        <v>0.39236111111111099</v>
      </c>
      <c r="R566" s="193" t="s">
        <v>42</v>
      </c>
      <c r="S566" s="193"/>
      <c r="T566" s="197">
        <f t="shared" si="39"/>
        <v>494</v>
      </c>
      <c r="U566" s="193"/>
      <c r="V566" s="193" t="str">
        <f t="shared" si="40"/>
        <v>Pomala</v>
      </c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8"/>
      <c r="AL566" s="18"/>
    </row>
    <row r="567" spans="2:38" ht="15" customHeight="1" x14ac:dyDescent="0.2">
      <c r="B567" s="193">
        <v>1</v>
      </c>
      <c r="C567" s="347" t="s">
        <v>712</v>
      </c>
      <c r="D567" s="193" t="str">
        <f t="shared" si="38"/>
        <v>CPO000558MIS</v>
      </c>
      <c r="E567" s="193" t="s">
        <v>713</v>
      </c>
      <c r="F567" s="193" t="s">
        <v>1356</v>
      </c>
      <c r="G567" s="193" t="s">
        <v>1355</v>
      </c>
      <c r="H567" s="193" t="s">
        <v>40</v>
      </c>
      <c r="I567" s="193" t="s">
        <v>41</v>
      </c>
      <c r="J567" s="193" t="str">
        <f t="shared" si="37"/>
        <v>6 Roda</v>
      </c>
      <c r="K567" s="194">
        <v>46051</v>
      </c>
      <c r="L567" s="195">
        <v>14180</v>
      </c>
      <c r="M567" s="195">
        <v>4230</v>
      </c>
      <c r="N567" s="195">
        <v>9950</v>
      </c>
      <c r="O567" s="195">
        <v>9970</v>
      </c>
      <c r="P567" s="196">
        <v>0.81805555555555598</v>
      </c>
      <c r="Q567" s="196">
        <v>0.84861111111111098</v>
      </c>
      <c r="R567" s="193" t="s">
        <v>137</v>
      </c>
      <c r="S567" s="193"/>
      <c r="T567" s="197">
        <f t="shared" si="39"/>
        <v>494</v>
      </c>
      <c r="U567" s="193"/>
      <c r="V567" s="193" t="str">
        <f t="shared" si="40"/>
        <v>Pomala</v>
      </c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8"/>
      <c r="AL567" s="18"/>
    </row>
    <row r="568" spans="2:38" ht="15" customHeight="1" x14ac:dyDescent="0.2">
      <c r="B568" s="193">
        <v>1</v>
      </c>
      <c r="C568" s="347" t="s">
        <v>714</v>
      </c>
      <c r="D568" s="193" t="str">
        <f t="shared" si="38"/>
        <v>CPO000559MIS</v>
      </c>
      <c r="E568" s="193" t="s">
        <v>169</v>
      </c>
      <c r="F568" s="193" t="s">
        <v>1356</v>
      </c>
      <c r="G568" s="193" t="s">
        <v>1355</v>
      </c>
      <c r="H568" s="193" t="s">
        <v>40</v>
      </c>
      <c r="I568" s="193" t="s">
        <v>41</v>
      </c>
      <c r="J568" s="193" t="str">
        <f t="shared" si="37"/>
        <v>6 Roda</v>
      </c>
      <c r="K568" s="194">
        <v>46051</v>
      </c>
      <c r="L568" s="195">
        <v>13450</v>
      </c>
      <c r="M568" s="195">
        <v>3980</v>
      </c>
      <c r="N568" s="195">
        <v>9470</v>
      </c>
      <c r="O568" s="195">
        <v>9450</v>
      </c>
      <c r="P568" s="196">
        <v>0.82638888888888895</v>
      </c>
      <c r="Q568" s="196">
        <v>0.85277777777777797</v>
      </c>
      <c r="R568" s="193" t="s">
        <v>137</v>
      </c>
      <c r="S568" s="193"/>
      <c r="T568" s="197">
        <f t="shared" si="39"/>
        <v>494</v>
      </c>
      <c r="U568" s="193"/>
      <c r="V568" s="193" t="str">
        <f t="shared" si="40"/>
        <v>Pomala</v>
      </c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8"/>
      <c r="AL568" s="18"/>
    </row>
    <row r="569" spans="2:38" ht="15" customHeight="1" x14ac:dyDescent="0.2">
      <c r="B569" s="193">
        <v>1</v>
      </c>
      <c r="C569" s="347" t="s">
        <v>702</v>
      </c>
      <c r="D569" s="193" t="str">
        <f t="shared" si="38"/>
        <v>CPO000548JAS</v>
      </c>
      <c r="E569" s="193" t="s">
        <v>70</v>
      </c>
      <c r="F569" s="193" t="s">
        <v>1441</v>
      </c>
      <c r="G569" s="193" t="s">
        <v>1354</v>
      </c>
      <c r="H569" s="193" t="s">
        <v>49</v>
      </c>
      <c r="I569" s="193" t="s">
        <v>41</v>
      </c>
      <c r="J569" s="193" t="str">
        <f t="shared" si="37"/>
        <v>12 Roda</v>
      </c>
      <c r="K569" s="194">
        <v>46051</v>
      </c>
      <c r="L569" s="195">
        <v>45980</v>
      </c>
      <c r="M569" s="195">
        <v>17580</v>
      </c>
      <c r="N569" s="195">
        <v>28400</v>
      </c>
      <c r="O569" s="195">
        <v>28330</v>
      </c>
      <c r="P569" s="196">
        <v>0.46458333333333302</v>
      </c>
      <c r="Q569" s="196">
        <v>0.55763888888888902</v>
      </c>
      <c r="R569" s="193" t="s">
        <v>42</v>
      </c>
      <c r="S569" s="193" t="s">
        <v>1499</v>
      </c>
      <c r="T569" s="197">
        <f t="shared" si="39"/>
        <v>68</v>
      </c>
      <c r="U569" s="193" t="s">
        <v>1922</v>
      </c>
      <c r="V569" s="193" t="str">
        <f t="shared" si="40"/>
        <v>Bone Bone</v>
      </c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8"/>
      <c r="AL569" s="18"/>
    </row>
    <row r="570" spans="2:38" ht="15" customHeight="1" x14ac:dyDescent="0.2">
      <c r="B570" s="193">
        <v>1</v>
      </c>
      <c r="C570" s="347" t="s">
        <v>703</v>
      </c>
      <c r="D570" s="193" t="str">
        <f t="shared" si="38"/>
        <v>CPO000549JAS</v>
      </c>
      <c r="E570" s="193" t="s">
        <v>56</v>
      </c>
      <c r="F570" s="193" t="s">
        <v>1441</v>
      </c>
      <c r="G570" s="193" t="s">
        <v>1354</v>
      </c>
      <c r="H570" s="193" t="s">
        <v>49</v>
      </c>
      <c r="I570" s="193" t="s">
        <v>41</v>
      </c>
      <c r="J570" s="193" t="str">
        <f t="shared" si="37"/>
        <v>10 Roda</v>
      </c>
      <c r="K570" s="194">
        <v>46051</v>
      </c>
      <c r="L570" s="195">
        <v>24990</v>
      </c>
      <c r="M570" s="195">
        <v>10720</v>
      </c>
      <c r="N570" s="195">
        <v>14270</v>
      </c>
      <c r="O570" s="195">
        <v>14230</v>
      </c>
      <c r="P570" s="196">
        <v>0.46527777777777801</v>
      </c>
      <c r="Q570" s="196">
        <v>0.54791666666666705</v>
      </c>
      <c r="R570" s="193" t="s">
        <v>42</v>
      </c>
      <c r="S570" s="193" t="s">
        <v>1781</v>
      </c>
      <c r="T570" s="197">
        <f t="shared" si="39"/>
        <v>68</v>
      </c>
      <c r="U570" s="193" t="s">
        <v>1922</v>
      </c>
      <c r="V570" s="193" t="str">
        <f t="shared" si="40"/>
        <v>Bone Bone</v>
      </c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8"/>
      <c r="AL570" s="18"/>
    </row>
    <row r="571" spans="2:38" ht="15" customHeight="1" x14ac:dyDescent="0.2">
      <c r="B571" s="193">
        <v>1</v>
      </c>
      <c r="C571" s="347" t="s">
        <v>704</v>
      </c>
      <c r="D571" s="193" t="str">
        <f t="shared" si="38"/>
        <v>CPO000550JAS</v>
      </c>
      <c r="E571" s="193" t="s">
        <v>84</v>
      </c>
      <c r="F571" s="193" t="s">
        <v>1441</v>
      </c>
      <c r="G571" s="193" t="s">
        <v>1354</v>
      </c>
      <c r="H571" s="193" t="s">
        <v>49</v>
      </c>
      <c r="I571" s="193" t="s">
        <v>41</v>
      </c>
      <c r="J571" s="193" t="str">
        <f t="shared" si="37"/>
        <v>10 Roda</v>
      </c>
      <c r="K571" s="194">
        <v>46051</v>
      </c>
      <c r="L571" s="195">
        <v>26710</v>
      </c>
      <c r="M571" s="195">
        <v>12200</v>
      </c>
      <c r="N571" s="195">
        <v>14510</v>
      </c>
      <c r="O571" s="195">
        <v>14450</v>
      </c>
      <c r="P571" s="196">
        <v>0.49236111111111103</v>
      </c>
      <c r="Q571" s="196">
        <v>0.54930555555555605</v>
      </c>
      <c r="R571" s="193" t="s">
        <v>42</v>
      </c>
      <c r="S571" s="193" t="s">
        <v>1782</v>
      </c>
      <c r="T571" s="197">
        <f t="shared" si="39"/>
        <v>68</v>
      </c>
      <c r="U571" s="193" t="s">
        <v>1922</v>
      </c>
      <c r="V571" s="193" t="str">
        <f t="shared" si="40"/>
        <v>Bone Bone</v>
      </c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8"/>
      <c r="AL571" s="18"/>
    </row>
    <row r="572" spans="2:38" ht="15" customHeight="1" x14ac:dyDescent="0.2">
      <c r="B572" s="193">
        <v>1</v>
      </c>
      <c r="C572" s="347" t="s">
        <v>705</v>
      </c>
      <c r="D572" s="193" t="str">
        <f t="shared" si="38"/>
        <v>CPO000551JAS</v>
      </c>
      <c r="E572" s="193" t="s">
        <v>76</v>
      </c>
      <c r="F572" s="193" t="s">
        <v>1441</v>
      </c>
      <c r="G572" s="193" t="s">
        <v>1354</v>
      </c>
      <c r="H572" s="193" t="s">
        <v>49</v>
      </c>
      <c r="I572" s="193" t="s">
        <v>41</v>
      </c>
      <c r="J572" s="193" t="str">
        <f t="shared" si="37"/>
        <v>12 Roda</v>
      </c>
      <c r="K572" s="194">
        <v>46051</v>
      </c>
      <c r="L572" s="195">
        <v>45840</v>
      </c>
      <c r="M572" s="195">
        <v>17500</v>
      </c>
      <c r="N572" s="195">
        <v>28340</v>
      </c>
      <c r="O572" s="195">
        <v>28270</v>
      </c>
      <c r="P572" s="196">
        <v>0.49513888888888902</v>
      </c>
      <c r="Q572" s="196">
        <v>0.55277777777777803</v>
      </c>
      <c r="R572" s="193" t="s">
        <v>42</v>
      </c>
      <c r="S572" s="193" t="s">
        <v>1372</v>
      </c>
      <c r="T572" s="197">
        <f t="shared" si="39"/>
        <v>68</v>
      </c>
      <c r="U572" s="193" t="s">
        <v>1922</v>
      </c>
      <c r="V572" s="193" t="str">
        <f t="shared" si="40"/>
        <v>Bone Bone</v>
      </c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8"/>
      <c r="AL572" s="18"/>
    </row>
    <row r="573" spans="2:38" ht="15" customHeight="1" x14ac:dyDescent="0.2">
      <c r="B573" s="193">
        <v>1</v>
      </c>
      <c r="C573" s="347" t="s">
        <v>706</v>
      </c>
      <c r="D573" s="193" t="str">
        <f t="shared" si="38"/>
        <v>CPO000552JAS</v>
      </c>
      <c r="E573" s="193" t="s">
        <v>46</v>
      </c>
      <c r="F573" s="193" t="s">
        <v>1441</v>
      </c>
      <c r="G573" s="193" t="s">
        <v>1354</v>
      </c>
      <c r="H573" s="193" t="s">
        <v>49</v>
      </c>
      <c r="I573" s="193" t="s">
        <v>41</v>
      </c>
      <c r="J573" s="193" t="str">
        <f t="shared" si="37"/>
        <v>10 Roda</v>
      </c>
      <c r="K573" s="194">
        <v>46051</v>
      </c>
      <c r="L573" s="195">
        <v>26710</v>
      </c>
      <c r="M573" s="195">
        <v>11880</v>
      </c>
      <c r="N573" s="195">
        <v>14830</v>
      </c>
      <c r="O573" s="195">
        <v>14760</v>
      </c>
      <c r="P573" s="196">
        <v>0.50624999999999998</v>
      </c>
      <c r="Q573" s="196">
        <v>0.54930555555555605</v>
      </c>
      <c r="R573" s="193" t="s">
        <v>42</v>
      </c>
      <c r="S573" s="193" t="s">
        <v>1393</v>
      </c>
      <c r="T573" s="197">
        <f t="shared" si="39"/>
        <v>68</v>
      </c>
      <c r="U573" s="193" t="s">
        <v>1922</v>
      </c>
      <c r="V573" s="193" t="str">
        <f t="shared" si="40"/>
        <v>Bone Bone</v>
      </c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8"/>
      <c r="AL573" s="18"/>
    </row>
    <row r="574" spans="2:38" ht="15" customHeight="1" x14ac:dyDescent="0.2">
      <c r="B574" s="193">
        <v>1</v>
      </c>
      <c r="C574" s="347" t="s">
        <v>707</v>
      </c>
      <c r="D574" s="193" t="str">
        <f t="shared" si="38"/>
        <v>CPO000553JAS</v>
      </c>
      <c r="E574" s="193" t="s">
        <v>46</v>
      </c>
      <c r="F574" s="193" t="s">
        <v>1441</v>
      </c>
      <c r="G574" s="193" t="s">
        <v>1354</v>
      </c>
      <c r="H574" s="193" t="s">
        <v>49</v>
      </c>
      <c r="I574" s="193" t="s">
        <v>41</v>
      </c>
      <c r="J574" s="193" t="str">
        <f t="shared" si="37"/>
        <v>10 Roda</v>
      </c>
      <c r="K574" s="194">
        <v>46051</v>
      </c>
      <c r="L574" s="195">
        <v>26530</v>
      </c>
      <c r="M574" s="195">
        <v>11860</v>
      </c>
      <c r="N574" s="195">
        <v>14670</v>
      </c>
      <c r="O574" s="195">
        <v>14650</v>
      </c>
      <c r="P574" s="196">
        <v>0.72083333333333299</v>
      </c>
      <c r="Q574" s="196">
        <v>0.74166666666666703</v>
      </c>
      <c r="R574" s="193" t="s">
        <v>137</v>
      </c>
      <c r="S574" s="193" t="s">
        <v>1393</v>
      </c>
      <c r="T574" s="197">
        <f t="shared" si="39"/>
        <v>68</v>
      </c>
      <c r="U574" s="193" t="s">
        <v>1922</v>
      </c>
      <c r="V574" s="193" t="str">
        <f t="shared" si="40"/>
        <v>Bone Bone</v>
      </c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8"/>
      <c r="AL574" s="18"/>
    </row>
    <row r="575" spans="2:38" ht="15" customHeight="1" x14ac:dyDescent="0.2">
      <c r="B575" s="193">
        <v>1</v>
      </c>
      <c r="C575" s="347" t="s">
        <v>708</v>
      </c>
      <c r="D575" s="193" t="str">
        <f t="shared" si="38"/>
        <v>CPO000554JAS</v>
      </c>
      <c r="E575" s="193" t="s">
        <v>56</v>
      </c>
      <c r="F575" s="193" t="s">
        <v>1441</v>
      </c>
      <c r="G575" s="193" t="s">
        <v>1354</v>
      </c>
      <c r="H575" s="193" t="s">
        <v>49</v>
      </c>
      <c r="I575" s="193" t="s">
        <v>41</v>
      </c>
      <c r="J575" s="193" t="str">
        <f t="shared" si="37"/>
        <v>10 Roda</v>
      </c>
      <c r="K575" s="194">
        <v>46051</v>
      </c>
      <c r="L575" s="195">
        <v>24940</v>
      </c>
      <c r="M575" s="195">
        <v>10690</v>
      </c>
      <c r="N575" s="195">
        <v>14250</v>
      </c>
      <c r="O575" s="195">
        <v>14210</v>
      </c>
      <c r="P575" s="196">
        <v>0.73402777777777795</v>
      </c>
      <c r="Q575" s="196">
        <v>0.76597222222222205</v>
      </c>
      <c r="R575" s="193" t="s">
        <v>137</v>
      </c>
      <c r="S575" s="193" t="s">
        <v>1781</v>
      </c>
      <c r="T575" s="197">
        <f t="shared" si="39"/>
        <v>68</v>
      </c>
      <c r="U575" s="193" t="s">
        <v>1922</v>
      </c>
      <c r="V575" s="193" t="str">
        <f t="shared" si="40"/>
        <v>Bone Bone</v>
      </c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8"/>
      <c r="AL575" s="18"/>
    </row>
    <row r="576" spans="2:38" ht="15" customHeight="1" x14ac:dyDescent="0.2">
      <c r="B576" s="193">
        <v>1</v>
      </c>
      <c r="C576" s="347" t="s">
        <v>709</v>
      </c>
      <c r="D576" s="193" t="str">
        <f t="shared" si="38"/>
        <v>CPO000555JAS</v>
      </c>
      <c r="E576" s="193" t="s">
        <v>76</v>
      </c>
      <c r="F576" s="193" t="s">
        <v>1441</v>
      </c>
      <c r="G576" s="193" t="s">
        <v>1354</v>
      </c>
      <c r="H576" s="193" t="s">
        <v>49</v>
      </c>
      <c r="I576" s="193" t="s">
        <v>41</v>
      </c>
      <c r="J576" s="193" t="str">
        <f t="shared" ref="J576:J639" si="41">IF(MIN(L576,M576)&lt;=5000,"6 Roda",IF(MIN(L576,M576)&lt;=13800,"10 Roda","12 Roda"))</f>
        <v>12 Roda</v>
      </c>
      <c r="K576" s="194">
        <v>46051</v>
      </c>
      <c r="L576" s="195">
        <v>45830</v>
      </c>
      <c r="M576" s="195">
        <v>17590</v>
      </c>
      <c r="N576" s="195">
        <v>28240</v>
      </c>
      <c r="O576" s="195">
        <v>28190</v>
      </c>
      <c r="P576" s="196">
        <v>0.76249999999999996</v>
      </c>
      <c r="Q576" s="196">
        <v>0.79861111111111105</v>
      </c>
      <c r="R576" s="193" t="s">
        <v>137</v>
      </c>
      <c r="S576" s="193" t="s">
        <v>1372</v>
      </c>
      <c r="T576" s="197">
        <f t="shared" si="39"/>
        <v>68</v>
      </c>
      <c r="U576" s="193" t="s">
        <v>1922</v>
      </c>
      <c r="V576" s="193" t="str">
        <f t="shared" si="40"/>
        <v>Bone Bone</v>
      </c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8"/>
      <c r="AL576" s="18"/>
    </row>
    <row r="577" spans="2:38" ht="15" customHeight="1" x14ac:dyDescent="0.2">
      <c r="B577" s="193">
        <v>1</v>
      </c>
      <c r="C577" s="347" t="s">
        <v>710</v>
      </c>
      <c r="D577" s="193" t="str">
        <f t="shared" si="38"/>
        <v>CPO000556JAS</v>
      </c>
      <c r="E577" s="193" t="s">
        <v>70</v>
      </c>
      <c r="F577" s="193" t="s">
        <v>1441</v>
      </c>
      <c r="G577" s="193" t="s">
        <v>1354</v>
      </c>
      <c r="H577" s="193" t="s">
        <v>49</v>
      </c>
      <c r="I577" s="193" t="s">
        <v>41</v>
      </c>
      <c r="J577" s="193" t="str">
        <f t="shared" si="41"/>
        <v>12 Roda</v>
      </c>
      <c r="K577" s="194">
        <v>46051</v>
      </c>
      <c r="L577" s="195">
        <v>45820</v>
      </c>
      <c r="M577" s="195">
        <v>17530</v>
      </c>
      <c r="N577" s="195">
        <v>28290</v>
      </c>
      <c r="O577" s="195">
        <v>28220</v>
      </c>
      <c r="P577" s="196">
        <v>0.79583333333333295</v>
      </c>
      <c r="Q577" s="196">
        <v>0.83541666666666703</v>
      </c>
      <c r="R577" s="193" t="s">
        <v>137</v>
      </c>
      <c r="S577" s="193" t="s">
        <v>1499</v>
      </c>
      <c r="T577" s="197">
        <f t="shared" si="39"/>
        <v>68</v>
      </c>
      <c r="U577" s="193" t="s">
        <v>1922</v>
      </c>
      <c r="V577" s="193" t="str">
        <f t="shared" si="40"/>
        <v>Bone Bone</v>
      </c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8"/>
      <c r="AL577" s="18"/>
    </row>
    <row r="578" spans="2:38" ht="15" customHeight="1" x14ac:dyDescent="0.2">
      <c r="B578" s="193">
        <v>1</v>
      </c>
      <c r="C578" s="347" t="s">
        <v>711</v>
      </c>
      <c r="D578" s="193" t="str">
        <f t="shared" si="38"/>
        <v>CPO000557JAS</v>
      </c>
      <c r="E578" s="193" t="s">
        <v>84</v>
      </c>
      <c r="F578" s="193" t="s">
        <v>1441</v>
      </c>
      <c r="G578" s="193" t="s">
        <v>1354</v>
      </c>
      <c r="H578" s="193" t="s">
        <v>49</v>
      </c>
      <c r="I578" s="193" t="s">
        <v>41</v>
      </c>
      <c r="J578" s="193" t="str">
        <f t="shared" si="41"/>
        <v>10 Roda</v>
      </c>
      <c r="K578" s="194">
        <v>46051</v>
      </c>
      <c r="L578" s="195">
        <v>26640</v>
      </c>
      <c r="M578" s="195">
        <v>12180</v>
      </c>
      <c r="N578" s="195">
        <v>14460</v>
      </c>
      <c r="O578" s="195">
        <v>14420</v>
      </c>
      <c r="P578" s="196">
        <v>0.79722222222222205</v>
      </c>
      <c r="Q578" s="196">
        <v>0.83888888888888902</v>
      </c>
      <c r="R578" s="193" t="s">
        <v>137</v>
      </c>
      <c r="S578" s="193" t="s">
        <v>1782</v>
      </c>
      <c r="T578" s="197">
        <f t="shared" si="39"/>
        <v>68</v>
      </c>
      <c r="U578" s="193" t="s">
        <v>1922</v>
      </c>
      <c r="V578" s="193" t="str">
        <f t="shared" si="40"/>
        <v>Bone Bone</v>
      </c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8"/>
      <c r="AL578" s="18"/>
    </row>
    <row r="579" spans="2:38" ht="15" customHeight="1" x14ac:dyDescent="0.2">
      <c r="B579" s="193">
        <v>1</v>
      </c>
      <c r="C579" s="347" t="s">
        <v>721</v>
      </c>
      <c r="D579" s="193" t="str">
        <f t="shared" si="38"/>
        <v>CPO000566MIS</v>
      </c>
      <c r="E579" s="193" t="s">
        <v>166</v>
      </c>
      <c r="F579" s="193" t="s">
        <v>1356</v>
      </c>
      <c r="G579" s="193" t="s">
        <v>1355</v>
      </c>
      <c r="H579" s="193" t="s">
        <v>40</v>
      </c>
      <c r="I579" s="193" t="s">
        <v>41</v>
      </c>
      <c r="J579" s="193" t="str">
        <f t="shared" si="41"/>
        <v>6 Roda</v>
      </c>
      <c r="K579" s="194">
        <v>46052</v>
      </c>
      <c r="L579" s="195">
        <v>13140</v>
      </c>
      <c r="M579" s="195">
        <v>3750</v>
      </c>
      <c r="N579" s="195">
        <v>9390</v>
      </c>
      <c r="O579" s="195">
        <v>9350</v>
      </c>
      <c r="P579" s="196">
        <v>0.938194444444444</v>
      </c>
      <c r="Q579" s="196">
        <v>0.96597222222222201</v>
      </c>
      <c r="R579" s="193" t="s">
        <v>137</v>
      </c>
      <c r="S579" s="193"/>
      <c r="T579" s="197">
        <f t="shared" si="39"/>
        <v>494</v>
      </c>
      <c r="U579" s="193"/>
      <c r="V579" s="193" t="str">
        <f t="shared" si="40"/>
        <v>Pomala</v>
      </c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8"/>
      <c r="AL579" s="18"/>
    </row>
    <row r="580" spans="2:38" ht="15" customHeight="1" x14ac:dyDescent="0.2">
      <c r="B580" s="193">
        <v>1</v>
      </c>
      <c r="C580" s="347" t="s">
        <v>722</v>
      </c>
      <c r="D580" s="193" t="str">
        <f t="shared" si="38"/>
        <v>CPO000567MIS</v>
      </c>
      <c r="E580" s="193" t="s">
        <v>163</v>
      </c>
      <c r="F580" s="193" t="s">
        <v>1356</v>
      </c>
      <c r="G580" s="193" t="s">
        <v>1355</v>
      </c>
      <c r="H580" s="193" t="s">
        <v>40</v>
      </c>
      <c r="I580" s="193" t="s">
        <v>41</v>
      </c>
      <c r="J580" s="193" t="str">
        <f t="shared" si="41"/>
        <v>6 Roda</v>
      </c>
      <c r="K580" s="194">
        <v>46052</v>
      </c>
      <c r="L580" s="195">
        <v>14010</v>
      </c>
      <c r="M580" s="195">
        <v>3950</v>
      </c>
      <c r="N580" s="195">
        <v>10060</v>
      </c>
      <c r="O580" s="195">
        <v>10110</v>
      </c>
      <c r="P580" s="196">
        <v>0.94374999999999998</v>
      </c>
      <c r="Q580" s="196">
        <v>0.96736111111111101</v>
      </c>
      <c r="R580" s="193" t="s">
        <v>137</v>
      </c>
      <c r="S580" s="193"/>
      <c r="T580" s="197">
        <f t="shared" si="39"/>
        <v>494</v>
      </c>
      <c r="U580" s="193"/>
      <c r="V580" s="193" t="str">
        <f t="shared" si="40"/>
        <v>Pomala</v>
      </c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8"/>
      <c r="AL580" s="18"/>
    </row>
    <row r="581" spans="2:38" ht="15" customHeight="1" x14ac:dyDescent="0.2">
      <c r="B581" s="193">
        <v>1</v>
      </c>
      <c r="C581" s="347" t="s">
        <v>723</v>
      </c>
      <c r="D581" s="193" t="str">
        <f t="shared" si="38"/>
        <v>CPO000568MIS</v>
      </c>
      <c r="E581" s="193" t="s">
        <v>181</v>
      </c>
      <c r="F581" s="193" t="s">
        <v>1356</v>
      </c>
      <c r="G581" s="193" t="s">
        <v>1355</v>
      </c>
      <c r="H581" s="193" t="s">
        <v>40</v>
      </c>
      <c r="I581" s="193" t="s">
        <v>41</v>
      </c>
      <c r="J581" s="193" t="str">
        <f t="shared" si="41"/>
        <v>6 Roda</v>
      </c>
      <c r="K581" s="194">
        <v>46052</v>
      </c>
      <c r="L581" s="195">
        <v>13560</v>
      </c>
      <c r="M581" s="195">
        <v>3940</v>
      </c>
      <c r="N581" s="195">
        <v>9620</v>
      </c>
      <c r="O581" s="195">
        <v>9600</v>
      </c>
      <c r="P581" s="196">
        <v>0.94583333333333297</v>
      </c>
      <c r="Q581" s="196">
        <v>0.97847222222222197</v>
      </c>
      <c r="R581" s="193" t="s">
        <v>137</v>
      </c>
      <c r="S581" s="193"/>
      <c r="T581" s="197">
        <f t="shared" si="39"/>
        <v>494</v>
      </c>
      <c r="U581" s="193"/>
      <c r="V581" s="193" t="str">
        <f t="shared" si="40"/>
        <v>Pomala</v>
      </c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8"/>
      <c r="AL581" s="18"/>
    </row>
    <row r="582" spans="2:38" ht="15" customHeight="1" x14ac:dyDescent="0.2">
      <c r="B582" s="193">
        <v>1</v>
      </c>
      <c r="C582" s="347" t="s">
        <v>715</v>
      </c>
      <c r="D582" s="193" t="str">
        <f t="shared" si="38"/>
        <v>CPO000560JAS</v>
      </c>
      <c r="E582" s="193" t="s">
        <v>46</v>
      </c>
      <c r="F582" s="193" t="s">
        <v>1441</v>
      </c>
      <c r="G582" s="193" t="s">
        <v>1354</v>
      </c>
      <c r="H582" s="193" t="s">
        <v>49</v>
      </c>
      <c r="I582" s="193" t="s">
        <v>41</v>
      </c>
      <c r="J582" s="193" t="str">
        <f t="shared" si="41"/>
        <v>10 Roda</v>
      </c>
      <c r="K582" s="194">
        <v>46052</v>
      </c>
      <c r="L582" s="195">
        <v>26600</v>
      </c>
      <c r="M582" s="195">
        <v>11810</v>
      </c>
      <c r="N582" s="195">
        <v>14790</v>
      </c>
      <c r="O582" s="195">
        <v>14740</v>
      </c>
      <c r="P582" s="196">
        <v>0.56458333333333299</v>
      </c>
      <c r="Q582" s="196">
        <v>0.625</v>
      </c>
      <c r="R582" s="193" t="s">
        <v>42</v>
      </c>
      <c r="S582" s="193" t="s">
        <v>1393</v>
      </c>
      <c r="T582" s="197">
        <f t="shared" si="39"/>
        <v>68</v>
      </c>
      <c r="U582" s="193" t="s">
        <v>1922</v>
      </c>
      <c r="V582" s="193" t="str">
        <f t="shared" si="40"/>
        <v>Bone Bone</v>
      </c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8"/>
      <c r="AL582" s="18"/>
    </row>
    <row r="583" spans="2:38" ht="15" customHeight="1" x14ac:dyDescent="0.2">
      <c r="B583" s="193">
        <v>1</v>
      </c>
      <c r="C583" s="347" t="s">
        <v>716</v>
      </c>
      <c r="D583" s="193" t="str">
        <f t="shared" si="38"/>
        <v>CPO000561JAS</v>
      </c>
      <c r="E583" s="193" t="s">
        <v>56</v>
      </c>
      <c r="F583" s="193" t="s">
        <v>1441</v>
      </c>
      <c r="G583" s="193" t="s">
        <v>1354</v>
      </c>
      <c r="H583" s="193" t="s">
        <v>49</v>
      </c>
      <c r="I583" s="193" t="s">
        <v>41</v>
      </c>
      <c r="J583" s="193" t="str">
        <f t="shared" si="41"/>
        <v>10 Roda</v>
      </c>
      <c r="K583" s="194">
        <v>46052</v>
      </c>
      <c r="L583" s="195">
        <v>25040</v>
      </c>
      <c r="M583" s="195">
        <v>10830</v>
      </c>
      <c r="N583" s="195">
        <v>14210</v>
      </c>
      <c r="O583" s="195">
        <v>14230</v>
      </c>
      <c r="P583" s="196">
        <v>0.56527777777777799</v>
      </c>
      <c r="Q583" s="196">
        <v>0.62708333333333299</v>
      </c>
      <c r="R583" s="193" t="s">
        <v>42</v>
      </c>
      <c r="S583" s="193" t="s">
        <v>1781</v>
      </c>
      <c r="T583" s="197">
        <f t="shared" si="39"/>
        <v>68</v>
      </c>
      <c r="U583" s="193" t="s">
        <v>1922</v>
      </c>
      <c r="V583" s="193" t="str">
        <f t="shared" si="40"/>
        <v>Bone Bone</v>
      </c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8"/>
      <c r="AL583" s="18"/>
    </row>
    <row r="584" spans="2:38" ht="15" customHeight="1" x14ac:dyDescent="0.2">
      <c r="B584" s="193">
        <v>1</v>
      </c>
      <c r="C584" s="347" t="s">
        <v>717</v>
      </c>
      <c r="D584" s="193" t="str">
        <f t="shared" si="38"/>
        <v>CPO000562JAS</v>
      </c>
      <c r="E584" s="193" t="s">
        <v>70</v>
      </c>
      <c r="F584" s="193" t="s">
        <v>1441</v>
      </c>
      <c r="G584" s="193" t="s">
        <v>1354</v>
      </c>
      <c r="H584" s="193" t="s">
        <v>49</v>
      </c>
      <c r="I584" s="193" t="s">
        <v>41</v>
      </c>
      <c r="J584" s="193" t="str">
        <f t="shared" si="41"/>
        <v>12 Roda</v>
      </c>
      <c r="K584" s="194">
        <v>46052</v>
      </c>
      <c r="L584" s="195">
        <v>45700</v>
      </c>
      <c r="M584" s="195">
        <v>17460</v>
      </c>
      <c r="N584" s="195">
        <v>28240</v>
      </c>
      <c r="O584" s="195">
        <v>28150</v>
      </c>
      <c r="P584" s="196">
        <v>0.56666666666666698</v>
      </c>
      <c r="Q584" s="196">
        <v>0.61111111111111105</v>
      </c>
      <c r="R584" s="193" t="s">
        <v>42</v>
      </c>
      <c r="S584" s="193" t="s">
        <v>1499</v>
      </c>
      <c r="T584" s="197">
        <f t="shared" si="39"/>
        <v>68</v>
      </c>
      <c r="U584" s="193" t="s">
        <v>1922</v>
      </c>
      <c r="V584" s="193" t="str">
        <f t="shared" si="40"/>
        <v>Bone Bone</v>
      </c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8"/>
      <c r="AL584" s="18"/>
    </row>
    <row r="585" spans="2:38" ht="15" customHeight="1" x14ac:dyDescent="0.2">
      <c r="B585" s="193">
        <v>1</v>
      </c>
      <c r="C585" s="347" t="s">
        <v>718</v>
      </c>
      <c r="D585" s="193" t="str">
        <f t="shared" si="38"/>
        <v>CPO000563JAS</v>
      </c>
      <c r="E585" s="193" t="s">
        <v>84</v>
      </c>
      <c r="F585" s="193" t="s">
        <v>1441</v>
      </c>
      <c r="G585" s="193" t="s">
        <v>1354</v>
      </c>
      <c r="H585" s="193" t="s">
        <v>49</v>
      </c>
      <c r="I585" s="193" t="s">
        <v>41</v>
      </c>
      <c r="J585" s="193" t="str">
        <f t="shared" si="41"/>
        <v>10 Roda</v>
      </c>
      <c r="K585" s="194">
        <v>46052</v>
      </c>
      <c r="L585" s="195">
        <v>26600</v>
      </c>
      <c r="M585" s="195">
        <v>12130</v>
      </c>
      <c r="N585" s="195">
        <v>14470</v>
      </c>
      <c r="O585" s="195">
        <v>14430</v>
      </c>
      <c r="P585" s="196">
        <v>0.57708333333333295</v>
      </c>
      <c r="Q585" s="196">
        <v>0.624305555555556</v>
      </c>
      <c r="R585" s="193" t="s">
        <v>42</v>
      </c>
      <c r="S585" s="193" t="s">
        <v>1782</v>
      </c>
      <c r="T585" s="197">
        <f t="shared" si="39"/>
        <v>68</v>
      </c>
      <c r="U585" s="193" t="s">
        <v>1922</v>
      </c>
      <c r="V585" s="193" t="str">
        <f t="shared" si="40"/>
        <v>Bone Bone</v>
      </c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8"/>
      <c r="AL585" s="18"/>
    </row>
    <row r="586" spans="2:38" ht="15" customHeight="1" x14ac:dyDescent="0.2">
      <c r="B586" s="193">
        <v>1</v>
      </c>
      <c r="C586" s="347" t="s">
        <v>719</v>
      </c>
      <c r="D586" s="193" t="str">
        <f t="shared" si="38"/>
        <v>CPO000564JAS</v>
      </c>
      <c r="E586" s="193" t="s">
        <v>76</v>
      </c>
      <c r="F586" s="193" t="s">
        <v>1441</v>
      </c>
      <c r="G586" s="193" t="s">
        <v>1354</v>
      </c>
      <c r="H586" s="193" t="s">
        <v>49</v>
      </c>
      <c r="I586" s="193" t="s">
        <v>41</v>
      </c>
      <c r="J586" s="193" t="str">
        <f t="shared" si="41"/>
        <v>12 Roda</v>
      </c>
      <c r="K586" s="194">
        <v>46052</v>
      </c>
      <c r="L586" s="195">
        <v>45690</v>
      </c>
      <c r="M586" s="195">
        <v>17470</v>
      </c>
      <c r="N586" s="195">
        <v>28220</v>
      </c>
      <c r="O586" s="195">
        <v>28210</v>
      </c>
      <c r="P586" s="196">
        <v>0.61458333333333304</v>
      </c>
      <c r="Q586" s="196">
        <v>0.64930555555555602</v>
      </c>
      <c r="R586" s="193" t="s">
        <v>42</v>
      </c>
      <c r="S586" s="193" t="s">
        <v>1372</v>
      </c>
      <c r="T586" s="197">
        <f t="shared" si="39"/>
        <v>68</v>
      </c>
      <c r="U586" s="193" t="s">
        <v>1922</v>
      </c>
      <c r="V586" s="193" t="str">
        <f t="shared" si="40"/>
        <v>Bone Bone</v>
      </c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8"/>
      <c r="AL586" s="18"/>
    </row>
    <row r="587" spans="2:38" ht="15" customHeight="1" x14ac:dyDescent="0.2">
      <c r="B587" s="193">
        <v>1</v>
      </c>
      <c r="C587" s="347" t="s">
        <v>720</v>
      </c>
      <c r="D587" s="193" t="str">
        <f t="shared" si="38"/>
        <v>CPO000565JAS</v>
      </c>
      <c r="E587" s="193" t="s">
        <v>70</v>
      </c>
      <c r="F587" s="193" t="s">
        <v>1441</v>
      </c>
      <c r="G587" s="193" t="s">
        <v>1354</v>
      </c>
      <c r="H587" s="193" t="s">
        <v>49</v>
      </c>
      <c r="I587" s="193" t="s">
        <v>41</v>
      </c>
      <c r="J587" s="193" t="str">
        <f t="shared" si="41"/>
        <v>12 Roda</v>
      </c>
      <c r="K587" s="194">
        <v>46052</v>
      </c>
      <c r="L587" s="195">
        <v>45720</v>
      </c>
      <c r="M587" s="195">
        <v>17380</v>
      </c>
      <c r="N587" s="195">
        <v>28340</v>
      </c>
      <c r="O587" s="195">
        <v>28260</v>
      </c>
      <c r="P587" s="196">
        <v>0.84583333333333299</v>
      </c>
      <c r="Q587" s="196">
        <v>0.88819444444444395</v>
      </c>
      <c r="R587" s="193" t="s">
        <v>137</v>
      </c>
      <c r="S587" s="193" t="s">
        <v>1499</v>
      </c>
      <c r="T587" s="197">
        <f t="shared" si="39"/>
        <v>68</v>
      </c>
      <c r="U587" s="193" t="s">
        <v>1922</v>
      </c>
      <c r="V587" s="193" t="str">
        <f t="shared" si="40"/>
        <v>Bone Bone</v>
      </c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8"/>
      <c r="AL587" s="18"/>
    </row>
    <row r="588" spans="2:38" ht="15" customHeight="1" x14ac:dyDescent="0.2">
      <c r="B588" s="193">
        <v>1</v>
      </c>
      <c r="C588" s="347" t="s">
        <v>725</v>
      </c>
      <c r="D588" s="193" t="str">
        <f t="shared" si="38"/>
        <v>CPO000570MIS</v>
      </c>
      <c r="E588" s="193" t="s">
        <v>171</v>
      </c>
      <c r="F588" s="193" t="s">
        <v>1356</v>
      </c>
      <c r="G588" s="193" t="s">
        <v>1355</v>
      </c>
      <c r="H588" s="193" t="s">
        <v>40</v>
      </c>
      <c r="I588" s="193" t="s">
        <v>41</v>
      </c>
      <c r="J588" s="193" t="str">
        <f t="shared" si="41"/>
        <v>6 Roda</v>
      </c>
      <c r="K588" s="194">
        <v>46053</v>
      </c>
      <c r="L588" s="195">
        <v>13070</v>
      </c>
      <c r="M588" s="195">
        <v>3620</v>
      </c>
      <c r="N588" s="195">
        <v>9450</v>
      </c>
      <c r="O588" s="195">
        <v>9430</v>
      </c>
      <c r="P588" s="196">
        <v>0.686805555555556</v>
      </c>
      <c r="Q588" s="196">
        <v>0.72083333333333299</v>
      </c>
      <c r="R588" s="193" t="s">
        <v>137</v>
      </c>
      <c r="S588" s="193"/>
      <c r="T588" s="197">
        <f t="shared" si="39"/>
        <v>494</v>
      </c>
      <c r="U588" s="193"/>
      <c r="V588" s="193" t="str">
        <f t="shared" si="40"/>
        <v>Pomala</v>
      </c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8"/>
      <c r="AL588" s="18"/>
    </row>
    <row r="589" spans="2:38" ht="15" customHeight="1" x14ac:dyDescent="0.2">
      <c r="B589" s="193">
        <v>1</v>
      </c>
      <c r="C589" s="347" t="s">
        <v>726</v>
      </c>
      <c r="D589" s="193" t="str">
        <f t="shared" si="38"/>
        <v>CPO000571MIS</v>
      </c>
      <c r="E589" s="193" t="s">
        <v>53</v>
      </c>
      <c r="F589" s="193" t="s">
        <v>1356</v>
      </c>
      <c r="G589" s="193" t="s">
        <v>1355</v>
      </c>
      <c r="H589" s="193" t="s">
        <v>40</v>
      </c>
      <c r="I589" s="193" t="s">
        <v>41</v>
      </c>
      <c r="J589" s="193" t="str">
        <f t="shared" si="41"/>
        <v>6 Roda</v>
      </c>
      <c r="K589" s="194">
        <v>46053</v>
      </c>
      <c r="L589" s="195">
        <v>13310</v>
      </c>
      <c r="M589" s="195">
        <v>3810</v>
      </c>
      <c r="N589" s="195">
        <v>9500</v>
      </c>
      <c r="O589" s="195">
        <v>9480</v>
      </c>
      <c r="P589" s="196">
        <v>0.69513888888888897</v>
      </c>
      <c r="Q589" s="196">
        <v>0.72222222222222199</v>
      </c>
      <c r="R589" s="193" t="s">
        <v>137</v>
      </c>
      <c r="S589" s="193"/>
      <c r="T589" s="197">
        <f t="shared" si="39"/>
        <v>494</v>
      </c>
      <c r="U589" s="193"/>
      <c r="V589" s="193" t="str">
        <f t="shared" si="40"/>
        <v>Pomala</v>
      </c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8"/>
      <c r="AL589" s="18"/>
    </row>
    <row r="590" spans="2:38" ht="15" customHeight="1" x14ac:dyDescent="0.2">
      <c r="B590" s="193">
        <v>1</v>
      </c>
      <c r="C590" s="347" t="s">
        <v>727</v>
      </c>
      <c r="D590" s="193" t="str">
        <f t="shared" si="38"/>
        <v>CPO000572MIS</v>
      </c>
      <c r="E590" s="193" t="s">
        <v>728</v>
      </c>
      <c r="F590" s="193" t="s">
        <v>1356</v>
      </c>
      <c r="G590" s="193" t="s">
        <v>1355</v>
      </c>
      <c r="H590" s="193" t="s">
        <v>40</v>
      </c>
      <c r="I590" s="193" t="s">
        <v>41</v>
      </c>
      <c r="J590" s="193" t="str">
        <f t="shared" si="41"/>
        <v>6 Roda</v>
      </c>
      <c r="K590" s="194">
        <v>46053</v>
      </c>
      <c r="L590" s="195">
        <v>13790</v>
      </c>
      <c r="M590" s="195">
        <v>3860</v>
      </c>
      <c r="N590" s="195">
        <v>9930</v>
      </c>
      <c r="O590" s="195">
        <v>9910</v>
      </c>
      <c r="P590" s="196">
        <v>0.91597222222222197</v>
      </c>
      <c r="Q590" s="196">
        <v>0.94652777777777797</v>
      </c>
      <c r="R590" s="193" t="s">
        <v>137</v>
      </c>
      <c r="S590" s="193"/>
      <c r="T590" s="197">
        <f t="shared" si="39"/>
        <v>494</v>
      </c>
      <c r="U590" s="193"/>
      <c r="V590" s="193" t="str">
        <f t="shared" si="40"/>
        <v>Pomala</v>
      </c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8"/>
      <c r="AL590" s="18"/>
    </row>
    <row r="591" spans="2:38" ht="15" customHeight="1" x14ac:dyDescent="0.2">
      <c r="B591" s="193">
        <v>1</v>
      </c>
      <c r="C591" s="347" t="s">
        <v>729</v>
      </c>
      <c r="D591" s="193" t="str">
        <f t="shared" si="38"/>
        <v>CPO000573MIS</v>
      </c>
      <c r="E591" s="193" t="s">
        <v>730</v>
      </c>
      <c r="F591" s="193" t="s">
        <v>1356</v>
      </c>
      <c r="G591" s="193" t="s">
        <v>1355</v>
      </c>
      <c r="H591" s="193" t="s">
        <v>40</v>
      </c>
      <c r="I591" s="193" t="s">
        <v>41</v>
      </c>
      <c r="J591" s="193" t="str">
        <f t="shared" si="41"/>
        <v>6 Roda</v>
      </c>
      <c r="K591" s="194">
        <v>46053</v>
      </c>
      <c r="L591" s="195">
        <v>13000</v>
      </c>
      <c r="M591" s="195">
        <v>3730</v>
      </c>
      <c r="N591" s="195">
        <v>9270</v>
      </c>
      <c r="O591" s="195">
        <v>9260</v>
      </c>
      <c r="P591" s="196">
        <v>0.95138888888888895</v>
      </c>
      <c r="Q591" s="196">
        <v>0.99652777777777801</v>
      </c>
      <c r="R591" s="193" t="s">
        <v>137</v>
      </c>
      <c r="S591" s="193"/>
      <c r="T591" s="197">
        <f t="shared" si="39"/>
        <v>494</v>
      </c>
      <c r="U591" s="193"/>
      <c r="V591" s="193" t="str">
        <f t="shared" si="40"/>
        <v>Pomala</v>
      </c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8"/>
      <c r="AL591" s="18"/>
    </row>
    <row r="592" spans="2:38" ht="15" customHeight="1" x14ac:dyDescent="0.2">
      <c r="B592" s="193">
        <v>1</v>
      </c>
      <c r="C592" s="347" t="s">
        <v>731</v>
      </c>
      <c r="D592" s="193" t="str">
        <f t="shared" si="38"/>
        <v>CPO000574MIS</v>
      </c>
      <c r="E592" s="193" t="s">
        <v>39</v>
      </c>
      <c r="F592" s="193" t="s">
        <v>1356</v>
      </c>
      <c r="G592" s="193" t="s">
        <v>1355</v>
      </c>
      <c r="H592" s="193" t="s">
        <v>40</v>
      </c>
      <c r="I592" s="193" t="s">
        <v>41</v>
      </c>
      <c r="J592" s="193" t="str">
        <f t="shared" si="41"/>
        <v>6 Roda</v>
      </c>
      <c r="K592" s="194">
        <v>46053</v>
      </c>
      <c r="L592" s="195">
        <v>13740</v>
      </c>
      <c r="M592" s="195">
        <v>4100</v>
      </c>
      <c r="N592" s="195">
        <v>9640</v>
      </c>
      <c r="O592" s="195">
        <v>9590</v>
      </c>
      <c r="P592" s="196">
        <v>0.95625000000000004</v>
      </c>
      <c r="Q592" s="196">
        <v>0.99305555555555602</v>
      </c>
      <c r="R592" s="193" t="s">
        <v>137</v>
      </c>
      <c r="S592" s="193"/>
      <c r="T592" s="197">
        <f t="shared" si="39"/>
        <v>494</v>
      </c>
      <c r="U592" s="193"/>
      <c r="V592" s="193" t="str">
        <f t="shared" si="40"/>
        <v>Pomala</v>
      </c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8"/>
      <c r="AL592" s="18"/>
    </row>
    <row r="593" spans="2:38" ht="15" customHeight="1" x14ac:dyDescent="0.2">
      <c r="B593" s="193">
        <v>1</v>
      </c>
      <c r="C593" s="347" t="s">
        <v>732</v>
      </c>
      <c r="D593" s="193" t="str">
        <f t="shared" si="38"/>
        <v>CPO000575MIS</v>
      </c>
      <c r="E593" s="193" t="s">
        <v>186</v>
      </c>
      <c r="F593" s="193" t="s">
        <v>1356</v>
      </c>
      <c r="G593" s="193" t="s">
        <v>1355</v>
      </c>
      <c r="H593" s="193" t="s">
        <v>40</v>
      </c>
      <c r="I593" s="193" t="s">
        <v>41</v>
      </c>
      <c r="J593" s="193" t="str">
        <f t="shared" si="41"/>
        <v>6 Roda</v>
      </c>
      <c r="K593" s="194">
        <v>46053</v>
      </c>
      <c r="L593" s="195">
        <v>13480</v>
      </c>
      <c r="M593" s="195">
        <v>3920</v>
      </c>
      <c r="N593" s="195">
        <v>9560</v>
      </c>
      <c r="O593" s="195">
        <v>9520</v>
      </c>
      <c r="P593" s="196">
        <v>0.95694444444444504</v>
      </c>
      <c r="Q593" s="196">
        <v>0.99513888888888902</v>
      </c>
      <c r="R593" s="193" t="s">
        <v>137</v>
      </c>
      <c r="S593" s="193"/>
      <c r="T593" s="197">
        <f t="shared" si="39"/>
        <v>494</v>
      </c>
      <c r="U593" s="193"/>
      <c r="V593" s="193" t="str">
        <f t="shared" si="40"/>
        <v>Pomala</v>
      </c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8"/>
      <c r="AL593" s="18"/>
    </row>
    <row r="594" spans="2:38" ht="15" customHeight="1" x14ac:dyDescent="0.2">
      <c r="B594" s="193">
        <v>1</v>
      </c>
      <c r="C594" s="347" t="s">
        <v>733</v>
      </c>
      <c r="D594" s="193" t="str">
        <f t="shared" si="38"/>
        <v>CPO000576MIS</v>
      </c>
      <c r="E594" s="193" t="s">
        <v>184</v>
      </c>
      <c r="F594" s="193" t="s">
        <v>1356</v>
      </c>
      <c r="G594" s="193" t="s">
        <v>1355</v>
      </c>
      <c r="H594" s="193" t="s">
        <v>40</v>
      </c>
      <c r="I594" s="193" t="s">
        <v>41</v>
      </c>
      <c r="J594" s="193" t="str">
        <f t="shared" si="41"/>
        <v>6 Roda</v>
      </c>
      <c r="K594" s="194">
        <v>46053</v>
      </c>
      <c r="L594" s="195">
        <v>13830</v>
      </c>
      <c r="M594" s="195">
        <v>3910</v>
      </c>
      <c r="N594" s="195">
        <v>9920</v>
      </c>
      <c r="O594" s="195">
        <v>9880</v>
      </c>
      <c r="P594" s="196">
        <v>0.95833333333333304</v>
      </c>
      <c r="Q594" s="196">
        <v>0.99861111111111101</v>
      </c>
      <c r="R594" s="193" t="s">
        <v>137</v>
      </c>
      <c r="S594" s="193"/>
      <c r="T594" s="197">
        <f t="shared" si="39"/>
        <v>494</v>
      </c>
      <c r="U594" s="193"/>
      <c r="V594" s="193" t="str">
        <f t="shared" si="40"/>
        <v>Pomala</v>
      </c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8"/>
      <c r="AL594" s="18"/>
    </row>
    <row r="595" spans="2:38" ht="15" customHeight="1" x14ac:dyDescent="0.2">
      <c r="B595" s="193">
        <v>1</v>
      </c>
      <c r="C595" s="347" t="s">
        <v>734</v>
      </c>
      <c r="D595" s="193" t="str">
        <f t="shared" si="38"/>
        <v>CPO000577MIS</v>
      </c>
      <c r="E595" s="193" t="s">
        <v>151</v>
      </c>
      <c r="F595" s="193" t="s">
        <v>1356</v>
      </c>
      <c r="G595" s="193" t="s">
        <v>1355</v>
      </c>
      <c r="H595" s="193" t="s">
        <v>40</v>
      </c>
      <c r="I595" s="193" t="s">
        <v>41</v>
      </c>
      <c r="J595" s="193" t="str">
        <f t="shared" si="41"/>
        <v>6 Roda</v>
      </c>
      <c r="K595" s="194">
        <v>46054</v>
      </c>
      <c r="L595" s="195">
        <v>13480</v>
      </c>
      <c r="M595" s="195">
        <v>4140</v>
      </c>
      <c r="N595" s="195">
        <v>9340</v>
      </c>
      <c r="O595" s="195">
        <v>9330</v>
      </c>
      <c r="P595" s="196">
        <v>6.18055555555556E-2</v>
      </c>
      <c r="Q595" s="196">
        <v>8.8194444444444506E-2</v>
      </c>
      <c r="R595" s="193" t="s">
        <v>137</v>
      </c>
      <c r="S595" s="193"/>
      <c r="T595" s="197">
        <f t="shared" si="39"/>
        <v>494</v>
      </c>
      <c r="U595" s="193"/>
      <c r="V595" s="193" t="str">
        <f t="shared" si="40"/>
        <v>Pomala</v>
      </c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8"/>
      <c r="AL595" s="18"/>
    </row>
    <row r="596" spans="2:38" ht="15" customHeight="1" x14ac:dyDescent="0.2">
      <c r="B596" s="193">
        <v>1</v>
      </c>
      <c r="C596" s="347" t="s">
        <v>735</v>
      </c>
      <c r="D596" s="193" t="str">
        <f t="shared" si="38"/>
        <v>CPO000578MIS</v>
      </c>
      <c r="E596" s="193" t="s">
        <v>736</v>
      </c>
      <c r="F596" s="193" t="s">
        <v>1356</v>
      </c>
      <c r="G596" s="193" t="s">
        <v>1355</v>
      </c>
      <c r="H596" s="193" t="s">
        <v>40</v>
      </c>
      <c r="I596" s="193" t="s">
        <v>41</v>
      </c>
      <c r="J596" s="193" t="str">
        <f t="shared" si="41"/>
        <v>6 Roda</v>
      </c>
      <c r="K596" s="194">
        <v>46054</v>
      </c>
      <c r="L596" s="195">
        <v>13920</v>
      </c>
      <c r="M596" s="195">
        <v>4080</v>
      </c>
      <c r="N596" s="195">
        <v>9840</v>
      </c>
      <c r="O596" s="195">
        <v>9820</v>
      </c>
      <c r="P596" s="196">
        <v>6.31944444444444E-2</v>
      </c>
      <c r="Q596" s="196">
        <v>8.9583333333333307E-2</v>
      </c>
      <c r="R596" s="193" t="s">
        <v>137</v>
      </c>
      <c r="S596" s="193"/>
      <c r="T596" s="197">
        <f t="shared" si="39"/>
        <v>494</v>
      </c>
      <c r="U596" s="193"/>
      <c r="V596" s="193" t="str">
        <f t="shared" si="40"/>
        <v>Pomala</v>
      </c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8"/>
      <c r="AL596" s="18"/>
    </row>
    <row r="597" spans="2:38" ht="15" customHeight="1" x14ac:dyDescent="0.2">
      <c r="B597" s="193">
        <v>1</v>
      </c>
      <c r="C597" s="347" t="s">
        <v>737</v>
      </c>
      <c r="D597" s="193" t="str">
        <f t="shared" si="38"/>
        <v>CPO000579MIS</v>
      </c>
      <c r="E597" s="193" t="s">
        <v>738</v>
      </c>
      <c r="F597" s="193" t="s">
        <v>1356</v>
      </c>
      <c r="G597" s="193" t="s">
        <v>1355</v>
      </c>
      <c r="H597" s="193" t="s">
        <v>40</v>
      </c>
      <c r="I597" s="193" t="s">
        <v>41</v>
      </c>
      <c r="J597" s="193" t="str">
        <f t="shared" si="41"/>
        <v>6 Roda</v>
      </c>
      <c r="K597" s="194">
        <v>46054</v>
      </c>
      <c r="L597" s="195">
        <v>12420</v>
      </c>
      <c r="M597" s="195">
        <v>3770</v>
      </c>
      <c r="N597" s="195">
        <v>8650</v>
      </c>
      <c r="O597" s="195">
        <v>8640</v>
      </c>
      <c r="P597" s="196">
        <v>6.8750000000000006E-2</v>
      </c>
      <c r="Q597" s="196">
        <v>0.100694444444444</v>
      </c>
      <c r="R597" s="193" t="s">
        <v>137</v>
      </c>
      <c r="S597" s="193"/>
      <c r="T597" s="197">
        <f t="shared" si="39"/>
        <v>494</v>
      </c>
      <c r="U597" s="193"/>
      <c r="V597" s="193" t="str">
        <f t="shared" si="40"/>
        <v>Pomala</v>
      </c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8"/>
      <c r="AL597" s="18"/>
    </row>
    <row r="598" spans="2:38" ht="15" customHeight="1" x14ac:dyDescent="0.2">
      <c r="B598" s="193">
        <v>1</v>
      </c>
      <c r="C598" s="347" t="s">
        <v>739</v>
      </c>
      <c r="D598" s="193" t="str">
        <f t="shared" si="38"/>
        <v>CPO000580MIS</v>
      </c>
      <c r="E598" s="193" t="s">
        <v>156</v>
      </c>
      <c r="F598" s="193" t="s">
        <v>1356</v>
      </c>
      <c r="G598" s="193" t="s">
        <v>1355</v>
      </c>
      <c r="H598" s="193" t="s">
        <v>40</v>
      </c>
      <c r="I598" s="193" t="s">
        <v>41</v>
      </c>
      <c r="J598" s="193" t="str">
        <f t="shared" si="41"/>
        <v>6 Roda</v>
      </c>
      <c r="K598" s="194">
        <v>46054</v>
      </c>
      <c r="L598" s="195">
        <v>14120</v>
      </c>
      <c r="M598" s="195">
        <v>4140</v>
      </c>
      <c r="N598" s="195">
        <v>9980</v>
      </c>
      <c r="O598" s="195">
        <v>9960</v>
      </c>
      <c r="P598" s="196">
        <v>6.9444444444444503E-2</v>
      </c>
      <c r="Q598" s="196">
        <v>9.44444444444444E-2</v>
      </c>
      <c r="R598" s="193" t="s">
        <v>137</v>
      </c>
      <c r="S598" s="193"/>
      <c r="T598" s="197">
        <f t="shared" si="39"/>
        <v>494</v>
      </c>
      <c r="U598" s="193"/>
      <c r="V598" s="193" t="str">
        <f t="shared" si="40"/>
        <v>Pomala</v>
      </c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8"/>
      <c r="AL598" s="18"/>
    </row>
    <row r="599" spans="2:38" ht="15" customHeight="1" x14ac:dyDescent="0.2">
      <c r="B599" s="193">
        <v>1</v>
      </c>
      <c r="C599" s="347" t="s">
        <v>740</v>
      </c>
      <c r="D599" s="193" t="str">
        <f t="shared" ref="D599:D662" si="42">I599&amp;C599&amp;_xlfn.XLOOKUP(H599,$AM$4:$AM$26,$AN$4:$AN$26,"")</f>
        <v>CPO000581MIS</v>
      </c>
      <c r="E599" s="193" t="s">
        <v>215</v>
      </c>
      <c r="F599" s="193" t="s">
        <v>1356</v>
      </c>
      <c r="G599" s="193" t="s">
        <v>1355</v>
      </c>
      <c r="H599" s="193" t="s">
        <v>40</v>
      </c>
      <c r="I599" s="193" t="s">
        <v>41</v>
      </c>
      <c r="J599" s="193" t="str">
        <f t="shared" si="41"/>
        <v>6 Roda</v>
      </c>
      <c r="K599" s="194">
        <v>46054</v>
      </c>
      <c r="L599" s="195">
        <v>12760</v>
      </c>
      <c r="M599" s="195">
        <v>3990</v>
      </c>
      <c r="N599" s="195">
        <v>8770</v>
      </c>
      <c r="O599" s="195">
        <v>8750</v>
      </c>
      <c r="P599" s="196">
        <v>7.0833333333333304E-2</v>
      </c>
      <c r="Q599" s="196">
        <v>0.12291666666666699</v>
      </c>
      <c r="R599" s="193" t="s">
        <v>137</v>
      </c>
      <c r="S599" s="193"/>
      <c r="T599" s="197">
        <f t="shared" ref="T599:T662" si="43">IFERROR(_xlfn.XLOOKUP(H599,$AM$4:$AM$18,$AP$4:$AP$18,""),0)</f>
        <v>494</v>
      </c>
      <c r="U599" s="193"/>
      <c r="V599" s="193" t="str">
        <f t="shared" ref="V599:V662" si="44">IFERROR(_xlfn.XLOOKUP(H599,$AM$4:$AM$18,$AO$4:$AO$18,""),"")</f>
        <v>Pomala</v>
      </c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8"/>
      <c r="AL599" s="18"/>
    </row>
    <row r="600" spans="2:38" ht="15" customHeight="1" x14ac:dyDescent="0.2">
      <c r="B600" s="193">
        <v>1</v>
      </c>
      <c r="C600" s="347" t="s">
        <v>741</v>
      </c>
      <c r="D600" s="193" t="str">
        <f t="shared" si="42"/>
        <v>CPO000582MIS</v>
      </c>
      <c r="E600" s="193" t="s">
        <v>160</v>
      </c>
      <c r="F600" s="193" t="s">
        <v>1356</v>
      </c>
      <c r="G600" s="193" t="s">
        <v>1355</v>
      </c>
      <c r="H600" s="193" t="s">
        <v>40</v>
      </c>
      <c r="I600" s="193" t="s">
        <v>41</v>
      </c>
      <c r="J600" s="193" t="str">
        <f t="shared" si="41"/>
        <v>6 Roda</v>
      </c>
      <c r="K600" s="194">
        <v>46055</v>
      </c>
      <c r="L600" s="195">
        <v>13470</v>
      </c>
      <c r="M600" s="195">
        <v>3630</v>
      </c>
      <c r="N600" s="195">
        <v>9840</v>
      </c>
      <c r="O600" s="195">
        <v>9810</v>
      </c>
      <c r="P600" s="196">
        <v>0.35625000000000001</v>
      </c>
      <c r="Q600" s="196">
        <v>0.42499999999999999</v>
      </c>
      <c r="R600" s="193" t="s">
        <v>137</v>
      </c>
      <c r="S600" s="193"/>
      <c r="T600" s="197">
        <f t="shared" si="43"/>
        <v>494</v>
      </c>
      <c r="U600" s="193"/>
      <c r="V600" s="193" t="str">
        <f t="shared" si="44"/>
        <v>Pomala</v>
      </c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8"/>
      <c r="AL600" s="18"/>
    </row>
    <row r="601" spans="2:38" ht="15" customHeight="1" x14ac:dyDescent="0.2">
      <c r="B601" s="193">
        <v>1</v>
      </c>
      <c r="C601" s="347" t="s">
        <v>742</v>
      </c>
      <c r="D601" s="193" t="str">
        <f t="shared" si="42"/>
        <v>CPO000583MIS</v>
      </c>
      <c r="E601" s="193" t="s">
        <v>473</v>
      </c>
      <c r="F601" s="193" t="s">
        <v>1356</v>
      </c>
      <c r="G601" s="193" t="s">
        <v>1355</v>
      </c>
      <c r="H601" s="193" t="s">
        <v>40</v>
      </c>
      <c r="I601" s="193" t="s">
        <v>41</v>
      </c>
      <c r="J601" s="193" t="str">
        <f t="shared" si="41"/>
        <v>6 Roda</v>
      </c>
      <c r="K601" s="194">
        <v>46055</v>
      </c>
      <c r="L601" s="195">
        <v>14490</v>
      </c>
      <c r="M601" s="195">
        <v>4390</v>
      </c>
      <c r="N601" s="195">
        <v>10100</v>
      </c>
      <c r="O601" s="195">
        <v>10130</v>
      </c>
      <c r="P601" s="196">
        <v>0.35763888888888901</v>
      </c>
      <c r="Q601" s="196">
        <v>0.43055555555555602</v>
      </c>
      <c r="R601" s="193" t="s">
        <v>137</v>
      </c>
      <c r="S601" s="193"/>
      <c r="T601" s="197">
        <f t="shared" si="43"/>
        <v>494</v>
      </c>
      <c r="U601" s="193"/>
      <c r="V601" s="193" t="str">
        <f t="shared" si="44"/>
        <v>Pomala</v>
      </c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8"/>
      <c r="AL601" s="18"/>
    </row>
    <row r="602" spans="2:38" ht="15" customHeight="1" x14ac:dyDescent="0.2">
      <c r="B602" s="193">
        <v>1</v>
      </c>
      <c r="C602" s="347" t="s">
        <v>743</v>
      </c>
      <c r="D602" s="193" t="str">
        <f t="shared" si="42"/>
        <v>CPO000584MIS</v>
      </c>
      <c r="E602" s="193" t="s">
        <v>147</v>
      </c>
      <c r="F602" s="193" t="s">
        <v>1356</v>
      </c>
      <c r="G602" s="193" t="s">
        <v>1355</v>
      </c>
      <c r="H602" s="193" t="s">
        <v>40</v>
      </c>
      <c r="I602" s="193" t="s">
        <v>41</v>
      </c>
      <c r="J602" s="193" t="str">
        <f t="shared" si="41"/>
        <v>6 Roda</v>
      </c>
      <c r="K602" s="194">
        <v>46055</v>
      </c>
      <c r="L602" s="195">
        <v>13970</v>
      </c>
      <c r="M602" s="195">
        <v>3990</v>
      </c>
      <c r="N602" s="195">
        <v>9980</v>
      </c>
      <c r="O602" s="195">
        <v>9990</v>
      </c>
      <c r="P602" s="196">
        <v>0.359027777777778</v>
      </c>
      <c r="Q602" s="196">
        <v>0.41736111111111102</v>
      </c>
      <c r="R602" s="193" t="s">
        <v>137</v>
      </c>
      <c r="S602" s="193"/>
      <c r="T602" s="197">
        <f t="shared" si="43"/>
        <v>494</v>
      </c>
      <c r="U602" s="193"/>
      <c r="V602" s="193" t="str">
        <f t="shared" si="44"/>
        <v>Pomala</v>
      </c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8"/>
      <c r="AL602" s="18"/>
    </row>
    <row r="603" spans="2:38" ht="15" customHeight="1" x14ac:dyDescent="0.2">
      <c r="B603" s="193">
        <v>1</v>
      </c>
      <c r="C603" s="347" t="s">
        <v>744</v>
      </c>
      <c r="D603" s="193" t="str">
        <f t="shared" si="42"/>
        <v>CPO000585MIS</v>
      </c>
      <c r="E603" s="193" t="s">
        <v>183</v>
      </c>
      <c r="F603" s="193" t="s">
        <v>1356</v>
      </c>
      <c r="G603" s="193" t="s">
        <v>1355</v>
      </c>
      <c r="H603" s="193" t="s">
        <v>40</v>
      </c>
      <c r="I603" s="193" t="s">
        <v>41</v>
      </c>
      <c r="J603" s="193" t="str">
        <f t="shared" si="41"/>
        <v>6 Roda</v>
      </c>
      <c r="K603" s="194">
        <v>46055</v>
      </c>
      <c r="L603" s="195">
        <v>14190</v>
      </c>
      <c r="M603" s="195">
        <v>4260</v>
      </c>
      <c r="N603" s="195">
        <v>9930</v>
      </c>
      <c r="O603" s="195">
        <v>9960</v>
      </c>
      <c r="P603" s="196">
        <v>0.360416666666667</v>
      </c>
      <c r="Q603" s="196">
        <v>0.41944444444444501</v>
      </c>
      <c r="R603" s="193" t="s">
        <v>137</v>
      </c>
      <c r="S603" s="193"/>
      <c r="T603" s="197">
        <f t="shared" si="43"/>
        <v>494</v>
      </c>
      <c r="U603" s="193"/>
      <c r="V603" s="193" t="str">
        <f t="shared" si="44"/>
        <v>Pomala</v>
      </c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8"/>
      <c r="AL603" s="18"/>
    </row>
    <row r="604" spans="2:38" ht="15" customHeight="1" x14ac:dyDescent="0.2">
      <c r="B604" s="193">
        <v>1</v>
      </c>
      <c r="C604" s="347" t="s">
        <v>903</v>
      </c>
      <c r="D604" s="193" t="str">
        <f t="shared" si="42"/>
        <v>CPO000736PN</v>
      </c>
      <c r="E604" s="193" t="s">
        <v>56</v>
      </c>
      <c r="F604" s="193" t="s">
        <v>1358</v>
      </c>
      <c r="G604" s="193" t="s">
        <v>1357</v>
      </c>
      <c r="H604" s="193" t="s">
        <v>78</v>
      </c>
      <c r="I604" s="193" t="s">
        <v>41</v>
      </c>
      <c r="J604" s="193" t="str">
        <f t="shared" si="41"/>
        <v>10 Roda</v>
      </c>
      <c r="K604" s="194">
        <v>46056</v>
      </c>
      <c r="L604" s="195">
        <v>24990</v>
      </c>
      <c r="M604" s="195">
        <v>10680</v>
      </c>
      <c r="N604" s="195">
        <v>14310</v>
      </c>
      <c r="O604" s="195">
        <v>14290</v>
      </c>
      <c r="P604" s="196">
        <v>0.59236111111111101</v>
      </c>
      <c r="Q604" s="196">
        <v>0.65208333333333302</v>
      </c>
      <c r="R604" s="193" t="s">
        <v>137</v>
      </c>
      <c r="S604" s="193" t="s">
        <v>1781</v>
      </c>
      <c r="T604" s="197">
        <f t="shared" si="43"/>
        <v>99</v>
      </c>
      <c r="U604" s="193"/>
      <c r="V604" s="193" t="str">
        <f t="shared" si="44"/>
        <v>Burau</v>
      </c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8"/>
      <c r="AL604" s="18"/>
    </row>
    <row r="605" spans="2:38" ht="15" customHeight="1" x14ac:dyDescent="0.2">
      <c r="B605" s="193">
        <v>1</v>
      </c>
      <c r="C605" s="347" t="s">
        <v>904</v>
      </c>
      <c r="D605" s="193" t="str">
        <f t="shared" si="42"/>
        <v>CPO000737PN</v>
      </c>
      <c r="E605" s="193" t="s">
        <v>46</v>
      </c>
      <c r="F605" s="193" t="s">
        <v>1358</v>
      </c>
      <c r="G605" s="193" t="s">
        <v>1357</v>
      </c>
      <c r="H605" s="193" t="s">
        <v>78</v>
      </c>
      <c r="I605" s="193" t="s">
        <v>41</v>
      </c>
      <c r="J605" s="193" t="str">
        <f t="shared" si="41"/>
        <v>10 Roda</v>
      </c>
      <c r="K605" s="194">
        <v>46056</v>
      </c>
      <c r="L605" s="195">
        <v>26700</v>
      </c>
      <c r="M605" s="195">
        <v>11880</v>
      </c>
      <c r="N605" s="195">
        <v>14820</v>
      </c>
      <c r="O605" s="195">
        <v>14500</v>
      </c>
      <c r="P605" s="196">
        <v>0.62361111111111101</v>
      </c>
      <c r="Q605" s="196">
        <v>0.65833333333333299</v>
      </c>
      <c r="R605" s="193" t="s">
        <v>137</v>
      </c>
      <c r="S605" s="193" t="s">
        <v>1393</v>
      </c>
      <c r="T605" s="197">
        <f t="shared" si="43"/>
        <v>99</v>
      </c>
      <c r="U605" s="193"/>
      <c r="V605" s="193" t="str">
        <f t="shared" si="44"/>
        <v>Burau</v>
      </c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8"/>
      <c r="AL605" s="18"/>
    </row>
    <row r="606" spans="2:38" ht="15" customHeight="1" x14ac:dyDescent="0.2">
      <c r="B606" s="193">
        <v>1</v>
      </c>
      <c r="C606" s="347" t="s">
        <v>848</v>
      </c>
      <c r="D606" s="193" t="str">
        <f t="shared" si="42"/>
        <v>CPO000683KMP</v>
      </c>
      <c r="E606" s="193" t="s">
        <v>70</v>
      </c>
      <c r="F606" s="193"/>
      <c r="G606" s="193" t="s">
        <v>1362</v>
      </c>
      <c r="H606" s="193" t="s">
        <v>59</v>
      </c>
      <c r="I606" s="193" t="s">
        <v>41</v>
      </c>
      <c r="J606" s="193" t="str">
        <f t="shared" si="41"/>
        <v>12 Roda</v>
      </c>
      <c r="K606" s="194">
        <v>46067</v>
      </c>
      <c r="L606" s="195">
        <v>45790</v>
      </c>
      <c r="M606" s="195">
        <v>17470</v>
      </c>
      <c r="N606" s="195">
        <v>28320</v>
      </c>
      <c r="O606" s="195">
        <v>28480</v>
      </c>
      <c r="P606" s="196">
        <v>0.77013888888888904</v>
      </c>
      <c r="Q606" s="196">
        <v>0.81111111111111101</v>
      </c>
      <c r="R606" s="193" t="s">
        <v>137</v>
      </c>
      <c r="S606" s="193" t="s">
        <v>1499</v>
      </c>
      <c r="T606" s="197">
        <f t="shared" si="43"/>
        <v>53</v>
      </c>
      <c r="U606" s="193" t="s">
        <v>1922</v>
      </c>
      <c r="V606" s="193" t="str">
        <f t="shared" si="44"/>
        <v>Masamba</v>
      </c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8"/>
      <c r="AL606" s="18"/>
    </row>
    <row r="607" spans="2:38" ht="15" customHeight="1" x14ac:dyDescent="0.2">
      <c r="B607" s="193">
        <v>1</v>
      </c>
      <c r="C607" s="347" t="s">
        <v>906</v>
      </c>
      <c r="D607" s="193" t="str">
        <f t="shared" si="42"/>
        <v>CPO000739PN</v>
      </c>
      <c r="E607" s="193" t="s">
        <v>84</v>
      </c>
      <c r="F607" s="193" t="s">
        <v>1358</v>
      </c>
      <c r="G607" s="193" t="s">
        <v>1357</v>
      </c>
      <c r="H607" s="193" t="s">
        <v>78</v>
      </c>
      <c r="I607" s="193" t="s">
        <v>41</v>
      </c>
      <c r="J607" s="193" t="str">
        <f t="shared" si="41"/>
        <v>10 Roda</v>
      </c>
      <c r="K607" s="194">
        <v>46056</v>
      </c>
      <c r="L607" s="195">
        <v>26580</v>
      </c>
      <c r="M607" s="195">
        <v>12070</v>
      </c>
      <c r="N607" s="195">
        <v>14510</v>
      </c>
      <c r="O607" s="195">
        <v>14820</v>
      </c>
      <c r="P607" s="196">
        <v>0.62777777777777799</v>
      </c>
      <c r="Q607" s="196">
        <v>0.686805555555556</v>
      </c>
      <c r="R607" s="193" t="s">
        <v>42</v>
      </c>
      <c r="S607" s="193" t="s">
        <v>1782</v>
      </c>
      <c r="T607" s="197">
        <f t="shared" si="43"/>
        <v>99</v>
      </c>
      <c r="U607" s="193"/>
      <c r="V607" s="193" t="str">
        <f t="shared" si="44"/>
        <v>Burau</v>
      </c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8"/>
      <c r="AL607" s="18"/>
    </row>
    <row r="608" spans="2:38" ht="15" customHeight="1" x14ac:dyDescent="0.2">
      <c r="B608" s="193">
        <v>1</v>
      </c>
      <c r="C608" s="347" t="s">
        <v>859</v>
      </c>
      <c r="D608" s="193" t="str">
        <f t="shared" si="42"/>
        <v>CPO000692JAS</v>
      </c>
      <c r="E608" s="193" t="s">
        <v>70</v>
      </c>
      <c r="F608" s="193" t="s">
        <v>1443</v>
      </c>
      <c r="G608" s="193" t="s">
        <v>1364</v>
      </c>
      <c r="H608" s="193" t="s">
        <v>49</v>
      </c>
      <c r="I608" s="193" t="s">
        <v>41</v>
      </c>
      <c r="J608" s="193" t="str">
        <f t="shared" si="41"/>
        <v>12 Roda</v>
      </c>
      <c r="K608" s="194">
        <v>46069</v>
      </c>
      <c r="L608" s="195">
        <v>45900</v>
      </c>
      <c r="M608" s="195">
        <v>17580</v>
      </c>
      <c r="N608" s="195">
        <v>28320</v>
      </c>
      <c r="O608" s="195">
        <v>28250</v>
      </c>
      <c r="P608" s="196">
        <v>0.73888888888888904</v>
      </c>
      <c r="Q608" s="196">
        <v>0.78749999999999998</v>
      </c>
      <c r="R608" s="193" t="s">
        <v>42</v>
      </c>
      <c r="S608" s="193" t="s">
        <v>1499</v>
      </c>
      <c r="T608" s="197">
        <f t="shared" si="43"/>
        <v>68</v>
      </c>
      <c r="U608" s="193" t="s">
        <v>1922</v>
      </c>
      <c r="V608" s="193" t="str">
        <f t="shared" si="44"/>
        <v>Bone Bone</v>
      </c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8"/>
      <c r="AL608" s="18"/>
    </row>
    <row r="609" spans="2:38" ht="15" customHeight="1" x14ac:dyDescent="0.2">
      <c r="B609" s="193">
        <v>1</v>
      </c>
      <c r="C609" s="347" t="s">
        <v>746</v>
      </c>
      <c r="D609" s="193" t="str">
        <f t="shared" si="42"/>
        <v>CPO000587MIS</v>
      </c>
      <c r="E609" s="193" t="s">
        <v>53</v>
      </c>
      <c r="F609" s="193" t="s">
        <v>1356</v>
      </c>
      <c r="G609" s="193" t="s">
        <v>1355</v>
      </c>
      <c r="H609" s="193" t="s">
        <v>40</v>
      </c>
      <c r="I609" s="193" t="s">
        <v>41</v>
      </c>
      <c r="J609" s="193" t="str">
        <f t="shared" si="41"/>
        <v>6 Roda</v>
      </c>
      <c r="K609" s="194">
        <v>46056</v>
      </c>
      <c r="L609" s="195">
        <v>13320</v>
      </c>
      <c r="M609" s="195">
        <v>3790</v>
      </c>
      <c r="N609" s="195">
        <v>9530</v>
      </c>
      <c r="O609" s="195">
        <v>9510</v>
      </c>
      <c r="P609" s="196">
        <v>0.28749999999999998</v>
      </c>
      <c r="Q609" s="196">
        <v>0.35486111111111102</v>
      </c>
      <c r="R609" s="193" t="s">
        <v>137</v>
      </c>
      <c r="S609" s="193"/>
      <c r="T609" s="197">
        <f t="shared" si="43"/>
        <v>494</v>
      </c>
      <c r="U609" s="193"/>
      <c r="V609" s="193" t="str">
        <f t="shared" si="44"/>
        <v>Pomala</v>
      </c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8"/>
      <c r="AL609" s="18"/>
    </row>
    <row r="610" spans="2:38" ht="15" customHeight="1" x14ac:dyDescent="0.2">
      <c r="B610" s="193">
        <v>1</v>
      </c>
      <c r="C610" s="347" t="s">
        <v>747</v>
      </c>
      <c r="D610" s="193" t="str">
        <f t="shared" si="42"/>
        <v>CPO000588MIS</v>
      </c>
      <c r="E610" s="193" t="s">
        <v>163</v>
      </c>
      <c r="F610" s="193" t="s">
        <v>1356</v>
      </c>
      <c r="G610" s="193" t="s">
        <v>1355</v>
      </c>
      <c r="H610" s="193" t="s">
        <v>40</v>
      </c>
      <c r="I610" s="193" t="s">
        <v>41</v>
      </c>
      <c r="J610" s="193" t="str">
        <f t="shared" si="41"/>
        <v>6 Roda</v>
      </c>
      <c r="K610" s="194">
        <v>46056</v>
      </c>
      <c r="L610" s="195">
        <v>14080</v>
      </c>
      <c r="M610" s="195">
        <v>4010</v>
      </c>
      <c r="N610" s="195">
        <v>10070</v>
      </c>
      <c r="O610" s="195">
        <v>10100</v>
      </c>
      <c r="P610" s="196">
        <v>0.28888888888888897</v>
      </c>
      <c r="Q610" s="196">
        <v>0.34722222222222199</v>
      </c>
      <c r="R610" s="193" t="s">
        <v>137</v>
      </c>
      <c r="S610" s="193"/>
      <c r="T610" s="197">
        <f t="shared" si="43"/>
        <v>494</v>
      </c>
      <c r="U610" s="193"/>
      <c r="V610" s="193" t="str">
        <f t="shared" si="44"/>
        <v>Pomala</v>
      </c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8"/>
      <c r="AL610" s="18"/>
    </row>
    <row r="611" spans="2:38" ht="15" customHeight="1" x14ac:dyDescent="0.2">
      <c r="B611" s="193">
        <v>1</v>
      </c>
      <c r="C611" s="347" t="s">
        <v>748</v>
      </c>
      <c r="D611" s="193" t="str">
        <f t="shared" si="42"/>
        <v>CPO000589MIS</v>
      </c>
      <c r="E611" s="193" t="s">
        <v>181</v>
      </c>
      <c r="F611" s="193" t="s">
        <v>1356</v>
      </c>
      <c r="G611" s="193" t="s">
        <v>1355</v>
      </c>
      <c r="H611" s="193" t="s">
        <v>40</v>
      </c>
      <c r="I611" s="193" t="s">
        <v>41</v>
      </c>
      <c r="J611" s="193" t="str">
        <f t="shared" si="41"/>
        <v>6 Roda</v>
      </c>
      <c r="K611" s="194">
        <v>46056</v>
      </c>
      <c r="L611" s="195">
        <v>13550</v>
      </c>
      <c r="M611" s="195">
        <v>3970</v>
      </c>
      <c r="N611" s="195">
        <v>9580</v>
      </c>
      <c r="O611" s="195">
        <v>9570</v>
      </c>
      <c r="P611" s="196">
        <v>0.29375000000000001</v>
      </c>
      <c r="Q611" s="196">
        <v>0.35277777777777802</v>
      </c>
      <c r="R611" s="193" t="s">
        <v>137</v>
      </c>
      <c r="S611" s="193"/>
      <c r="T611" s="197">
        <f t="shared" si="43"/>
        <v>494</v>
      </c>
      <c r="U611" s="193"/>
      <c r="V611" s="193" t="str">
        <f t="shared" si="44"/>
        <v>Pomala</v>
      </c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8"/>
      <c r="AL611" s="18"/>
    </row>
    <row r="612" spans="2:38" ht="15" customHeight="1" x14ac:dyDescent="0.2">
      <c r="B612" s="193">
        <v>1</v>
      </c>
      <c r="C612" s="347" t="s">
        <v>749</v>
      </c>
      <c r="D612" s="193" t="str">
        <f t="shared" si="42"/>
        <v>CPO000590MIS</v>
      </c>
      <c r="E612" s="193" t="s">
        <v>166</v>
      </c>
      <c r="F612" s="193" t="s">
        <v>1356</v>
      </c>
      <c r="G612" s="193" t="s">
        <v>1355</v>
      </c>
      <c r="H612" s="193" t="s">
        <v>40</v>
      </c>
      <c r="I612" s="193" t="s">
        <v>41</v>
      </c>
      <c r="J612" s="193" t="str">
        <f t="shared" si="41"/>
        <v>6 Roda</v>
      </c>
      <c r="K612" s="194">
        <v>46056</v>
      </c>
      <c r="L612" s="195">
        <v>13110</v>
      </c>
      <c r="M612" s="195">
        <v>3760</v>
      </c>
      <c r="N612" s="195">
        <v>9350</v>
      </c>
      <c r="O612" s="195">
        <v>9320</v>
      </c>
      <c r="P612" s="196">
        <v>0.29513888888888901</v>
      </c>
      <c r="Q612" s="196">
        <v>0.359722222222222</v>
      </c>
      <c r="R612" s="193" t="s">
        <v>137</v>
      </c>
      <c r="S612" s="193"/>
      <c r="T612" s="197">
        <f t="shared" si="43"/>
        <v>494</v>
      </c>
      <c r="U612" s="193"/>
      <c r="V612" s="193" t="str">
        <f t="shared" si="44"/>
        <v>Pomala</v>
      </c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8"/>
      <c r="AL612" s="18"/>
    </row>
    <row r="613" spans="2:38" ht="15" customHeight="1" x14ac:dyDescent="0.2">
      <c r="B613" s="193">
        <v>1</v>
      </c>
      <c r="C613" s="347" t="s">
        <v>751</v>
      </c>
      <c r="D613" s="193" t="str">
        <f t="shared" si="42"/>
        <v>CPO000592MIS</v>
      </c>
      <c r="E613" s="193" t="s">
        <v>171</v>
      </c>
      <c r="F613" s="193" t="s">
        <v>1356</v>
      </c>
      <c r="G613" s="193" t="s">
        <v>1355</v>
      </c>
      <c r="H613" s="193" t="s">
        <v>40</v>
      </c>
      <c r="I613" s="193" t="s">
        <v>41</v>
      </c>
      <c r="J613" s="193" t="str">
        <f t="shared" si="41"/>
        <v>6 Roda</v>
      </c>
      <c r="K613" s="194">
        <v>46056</v>
      </c>
      <c r="L613" s="195">
        <v>13210</v>
      </c>
      <c r="M613" s="195">
        <v>3610</v>
      </c>
      <c r="N613" s="195">
        <v>9600</v>
      </c>
      <c r="O613" s="195">
        <v>9540</v>
      </c>
      <c r="P613" s="196">
        <v>0.35</v>
      </c>
      <c r="Q613" s="196">
        <v>0.37777777777777799</v>
      </c>
      <c r="R613" s="193" t="s">
        <v>137</v>
      </c>
      <c r="S613" s="193"/>
      <c r="T613" s="197">
        <f t="shared" si="43"/>
        <v>494</v>
      </c>
      <c r="U613" s="193"/>
      <c r="V613" s="193" t="str">
        <f t="shared" si="44"/>
        <v>Pomala</v>
      </c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8"/>
      <c r="AL613" s="18"/>
    </row>
    <row r="614" spans="2:38" ht="15" customHeight="1" x14ac:dyDescent="0.2">
      <c r="B614" s="193">
        <v>1</v>
      </c>
      <c r="C614" s="347" t="s">
        <v>756</v>
      </c>
      <c r="D614" s="193" t="str">
        <f t="shared" si="42"/>
        <v>CPO000597MIS</v>
      </c>
      <c r="E614" s="193" t="s">
        <v>215</v>
      </c>
      <c r="F614" s="193" t="s">
        <v>1356</v>
      </c>
      <c r="G614" s="193" t="s">
        <v>1355</v>
      </c>
      <c r="H614" s="193" t="s">
        <v>40</v>
      </c>
      <c r="I614" s="193" t="s">
        <v>41</v>
      </c>
      <c r="J614" s="193" t="str">
        <f t="shared" si="41"/>
        <v>6 Roda</v>
      </c>
      <c r="K614" s="194">
        <v>46056</v>
      </c>
      <c r="L614" s="195">
        <v>12840</v>
      </c>
      <c r="M614" s="195">
        <v>3960</v>
      </c>
      <c r="N614" s="195">
        <v>8880</v>
      </c>
      <c r="O614" s="195">
        <v>8830</v>
      </c>
      <c r="P614" s="196">
        <v>0.84930555555555598</v>
      </c>
      <c r="Q614" s="196">
        <v>0.88541666666666696</v>
      </c>
      <c r="R614" s="193" t="s">
        <v>42</v>
      </c>
      <c r="S614" s="193"/>
      <c r="T614" s="197">
        <f t="shared" si="43"/>
        <v>494</v>
      </c>
      <c r="U614" s="193"/>
      <c r="V614" s="193" t="str">
        <f t="shared" si="44"/>
        <v>Pomala</v>
      </c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8"/>
      <c r="AL614" s="18"/>
    </row>
    <row r="615" spans="2:38" ht="15" customHeight="1" x14ac:dyDescent="0.2">
      <c r="B615" s="193">
        <v>1</v>
      </c>
      <c r="C615" s="347" t="s">
        <v>757</v>
      </c>
      <c r="D615" s="193" t="str">
        <f t="shared" si="42"/>
        <v>CPO000598MIS</v>
      </c>
      <c r="E615" s="193" t="s">
        <v>738</v>
      </c>
      <c r="F615" s="193" t="s">
        <v>1356</v>
      </c>
      <c r="G615" s="193" t="s">
        <v>1355</v>
      </c>
      <c r="H615" s="193" t="s">
        <v>40</v>
      </c>
      <c r="I615" s="193" t="s">
        <v>41</v>
      </c>
      <c r="J615" s="193" t="str">
        <f t="shared" si="41"/>
        <v>6 Roda</v>
      </c>
      <c r="K615" s="194">
        <v>46056</v>
      </c>
      <c r="L615" s="195">
        <v>12400</v>
      </c>
      <c r="M615" s="195">
        <v>3770</v>
      </c>
      <c r="N615" s="195">
        <v>8630</v>
      </c>
      <c r="O615" s="195">
        <v>8540</v>
      </c>
      <c r="P615" s="196">
        <v>0.85277777777777797</v>
      </c>
      <c r="Q615" s="196">
        <v>0.88888888888888895</v>
      </c>
      <c r="R615" s="193" t="s">
        <v>42</v>
      </c>
      <c r="S615" s="193"/>
      <c r="T615" s="197">
        <f t="shared" si="43"/>
        <v>494</v>
      </c>
      <c r="U615" s="193"/>
      <c r="V615" s="193" t="str">
        <f t="shared" si="44"/>
        <v>Pomala</v>
      </c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8"/>
      <c r="AL615" s="18"/>
    </row>
    <row r="616" spans="2:38" ht="15" customHeight="1" x14ac:dyDescent="0.2">
      <c r="B616" s="193">
        <v>1</v>
      </c>
      <c r="C616" s="347" t="s">
        <v>758</v>
      </c>
      <c r="D616" s="193" t="str">
        <f t="shared" si="42"/>
        <v>CPO000599MIS</v>
      </c>
      <c r="E616" s="193" t="s">
        <v>156</v>
      </c>
      <c r="F616" s="193" t="s">
        <v>1356</v>
      </c>
      <c r="G616" s="193" t="s">
        <v>1355</v>
      </c>
      <c r="H616" s="193" t="s">
        <v>40</v>
      </c>
      <c r="I616" s="193" t="s">
        <v>41</v>
      </c>
      <c r="J616" s="193" t="str">
        <f t="shared" si="41"/>
        <v>6 Roda</v>
      </c>
      <c r="K616" s="194">
        <v>46056</v>
      </c>
      <c r="L616" s="195">
        <v>14130</v>
      </c>
      <c r="M616" s="195">
        <v>4120</v>
      </c>
      <c r="N616" s="195">
        <v>10010</v>
      </c>
      <c r="O616" s="195">
        <v>9980</v>
      </c>
      <c r="P616" s="196">
        <v>0.85416666666666696</v>
      </c>
      <c r="Q616" s="196">
        <v>0.88055555555555598</v>
      </c>
      <c r="R616" s="193" t="s">
        <v>42</v>
      </c>
      <c r="S616" s="193"/>
      <c r="T616" s="197">
        <f t="shared" si="43"/>
        <v>494</v>
      </c>
      <c r="U616" s="193"/>
      <c r="V616" s="193" t="str">
        <f t="shared" si="44"/>
        <v>Pomala</v>
      </c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8"/>
      <c r="AL616" s="18"/>
    </row>
    <row r="617" spans="2:38" ht="15" customHeight="1" x14ac:dyDescent="0.2">
      <c r="B617" s="193">
        <v>1</v>
      </c>
      <c r="C617" s="347" t="s">
        <v>759</v>
      </c>
      <c r="D617" s="193" t="str">
        <f t="shared" si="42"/>
        <v>CPO000600MIS</v>
      </c>
      <c r="E617" s="193" t="s">
        <v>39</v>
      </c>
      <c r="F617" s="193" t="s">
        <v>1356</v>
      </c>
      <c r="G617" s="193" t="s">
        <v>1355</v>
      </c>
      <c r="H617" s="193" t="s">
        <v>40</v>
      </c>
      <c r="I617" s="193" t="s">
        <v>41</v>
      </c>
      <c r="J617" s="193" t="str">
        <f t="shared" si="41"/>
        <v>6 Roda</v>
      </c>
      <c r="K617" s="194">
        <v>46056</v>
      </c>
      <c r="L617" s="195">
        <v>13730</v>
      </c>
      <c r="M617" s="195">
        <v>4090</v>
      </c>
      <c r="N617" s="195">
        <v>9640</v>
      </c>
      <c r="O617" s="195">
        <v>9620</v>
      </c>
      <c r="P617" s="196">
        <v>0.93194444444444502</v>
      </c>
      <c r="Q617" s="196">
        <v>0.96458333333333302</v>
      </c>
      <c r="R617" s="193" t="s">
        <v>42</v>
      </c>
      <c r="S617" s="193"/>
      <c r="T617" s="197">
        <f t="shared" si="43"/>
        <v>494</v>
      </c>
      <c r="U617" s="193"/>
      <c r="V617" s="193" t="str">
        <f t="shared" si="44"/>
        <v>Pomala</v>
      </c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8"/>
      <c r="AL617" s="18"/>
    </row>
    <row r="618" spans="2:38" ht="15" customHeight="1" x14ac:dyDescent="0.2">
      <c r="B618" s="193">
        <v>1</v>
      </c>
      <c r="C618" s="347" t="s">
        <v>760</v>
      </c>
      <c r="D618" s="193" t="str">
        <f t="shared" si="42"/>
        <v>CPO000601MIS</v>
      </c>
      <c r="E618" s="193" t="s">
        <v>158</v>
      </c>
      <c r="F618" s="193" t="s">
        <v>1356</v>
      </c>
      <c r="G618" s="193" t="s">
        <v>1355</v>
      </c>
      <c r="H618" s="193" t="s">
        <v>40</v>
      </c>
      <c r="I618" s="193" t="s">
        <v>41</v>
      </c>
      <c r="J618" s="193" t="str">
        <f t="shared" si="41"/>
        <v>6 Roda</v>
      </c>
      <c r="K618" s="194">
        <v>46056</v>
      </c>
      <c r="L618" s="195">
        <v>13970</v>
      </c>
      <c r="M618" s="195">
        <v>3870</v>
      </c>
      <c r="N618" s="195">
        <v>10100</v>
      </c>
      <c r="O618" s="195">
        <v>10030</v>
      </c>
      <c r="P618" s="196">
        <v>0.93263888888888902</v>
      </c>
      <c r="Q618" s="196">
        <v>0.96111111111111103</v>
      </c>
      <c r="R618" s="193" t="s">
        <v>42</v>
      </c>
      <c r="S618" s="193"/>
      <c r="T618" s="197">
        <f t="shared" si="43"/>
        <v>494</v>
      </c>
      <c r="U618" s="193"/>
      <c r="V618" s="193" t="str">
        <f t="shared" si="44"/>
        <v>Pomala</v>
      </c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8"/>
      <c r="AL618" s="18"/>
    </row>
    <row r="619" spans="2:38" ht="15" customHeight="1" x14ac:dyDescent="0.2">
      <c r="B619" s="193">
        <v>1</v>
      </c>
      <c r="C619" s="347" t="s">
        <v>761</v>
      </c>
      <c r="D619" s="193" t="str">
        <f t="shared" si="42"/>
        <v>CPO000602MIS</v>
      </c>
      <c r="E619" s="193" t="s">
        <v>186</v>
      </c>
      <c r="F619" s="193" t="s">
        <v>1356</v>
      </c>
      <c r="G619" s="193" t="s">
        <v>1355</v>
      </c>
      <c r="H619" s="193" t="s">
        <v>40</v>
      </c>
      <c r="I619" s="193" t="s">
        <v>41</v>
      </c>
      <c r="J619" s="193" t="str">
        <f t="shared" si="41"/>
        <v>6 Roda</v>
      </c>
      <c r="K619" s="194">
        <v>46056</v>
      </c>
      <c r="L619" s="195">
        <v>13490</v>
      </c>
      <c r="M619" s="195">
        <v>3940</v>
      </c>
      <c r="N619" s="195">
        <v>9550</v>
      </c>
      <c r="O619" s="195">
        <v>9520</v>
      </c>
      <c r="P619" s="196">
        <v>0.93402777777777801</v>
      </c>
      <c r="Q619" s="196">
        <v>0.96666666666666701</v>
      </c>
      <c r="R619" s="193" t="s">
        <v>42</v>
      </c>
      <c r="S619" s="193"/>
      <c r="T619" s="197">
        <f t="shared" si="43"/>
        <v>494</v>
      </c>
      <c r="U619" s="193"/>
      <c r="V619" s="193" t="str">
        <f t="shared" si="44"/>
        <v>Pomala</v>
      </c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8"/>
      <c r="AL619" s="18"/>
    </row>
    <row r="620" spans="2:38" ht="15" customHeight="1" x14ac:dyDescent="0.2">
      <c r="B620" s="193">
        <v>1</v>
      </c>
      <c r="C620" s="347" t="s">
        <v>762</v>
      </c>
      <c r="D620" s="193" t="str">
        <f t="shared" si="42"/>
        <v>CPO000603MIS</v>
      </c>
      <c r="E620" s="193" t="s">
        <v>763</v>
      </c>
      <c r="F620" s="193" t="s">
        <v>1356</v>
      </c>
      <c r="G620" s="193" t="s">
        <v>1355</v>
      </c>
      <c r="H620" s="193" t="s">
        <v>40</v>
      </c>
      <c r="I620" s="193" t="s">
        <v>41</v>
      </c>
      <c r="J620" s="193" t="str">
        <f t="shared" si="41"/>
        <v>6 Roda</v>
      </c>
      <c r="K620" s="194">
        <v>46056</v>
      </c>
      <c r="L620" s="195">
        <v>13570</v>
      </c>
      <c r="M620" s="195">
        <v>4140</v>
      </c>
      <c r="N620" s="195">
        <v>9430</v>
      </c>
      <c r="O620" s="195">
        <v>9380</v>
      </c>
      <c r="P620" s="196">
        <v>0.94722222222222197</v>
      </c>
      <c r="Q620" s="196">
        <v>0.97361111111111098</v>
      </c>
      <c r="R620" s="193" t="s">
        <v>42</v>
      </c>
      <c r="S620" s="193"/>
      <c r="T620" s="197">
        <f t="shared" si="43"/>
        <v>494</v>
      </c>
      <c r="U620" s="193"/>
      <c r="V620" s="193" t="str">
        <f t="shared" si="44"/>
        <v>Pomala</v>
      </c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8"/>
      <c r="AL620" s="18"/>
    </row>
    <row r="621" spans="2:38" ht="15" customHeight="1" x14ac:dyDescent="0.2">
      <c r="B621" s="193">
        <v>1</v>
      </c>
      <c r="C621" s="347" t="s">
        <v>764</v>
      </c>
      <c r="D621" s="193" t="str">
        <f t="shared" si="42"/>
        <v>CPO000604MIS</v>
      </c>
      <c r="E621" s="193" t="s">
        <v>765</v>
      </c>
      <c r="F621" s="193" t="s">
        <v>1356</v>
      </c>
      <c r="G621" s="193" t="s">
        <v>1355</v>
      </c>
      <c r="H621" s="193" t="s">
        <v>40</v>
      </c>
      <c r="I621" s="193" t="s">
        <v>41</v>
      </c>
      <c r="J621" s="193" t="str">
        <f t="shared" si="41"/>
        <v>6 Roda</v>
      </c>
      <c r="K621" s="194">
        <v>46056</v>
      </c>
      <c r="L621" s="195">
        <v>13660</v>
      </c>
      <c r="M621" s="195">
        <v>4000</v>
      </c>
      <c r="N621" s="195">
        <v>9660</v>
      </c>
      <c r="O621" s="195">
        <v>9620</v>
      </c>
      <c r="P621" s="196">
        <v>0.95208333333333295</v>
      </c>
      <c r="Q621" s="196">
        <v>0.97777777777777797</v>
      </c>
      <c r="R621" s="193" t="s">
        <v>42</v>
      </c>
      <c r="S621" s="193"/>
      <c r="T621" s="197">
        <f t="shared" si="43"/>
        <v>494</v>
      </c>
      <c r="U621" s="193"/>
      <c r="V621" s="193" t="str">
        <f t="shared" si="44"/>
        <v>Pomala</v>
      </c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8"/>
      <c r="AL621" s="18"/>
    </row>
    <row r="622" spans="2:38" ht="15" customHeight="1" x14ac:dyDescent="0.2">
      <c r="B622" s="193">
        <v>1</v>
      </c>
      <c r="C622" s="347" t="s">
        <v>752</v>
      </c>
      <c r="D622" s="193" t="str">
        <f t="shared" si="42"/>
        <v>CPO000593KMP</v>
      </c>
      <c r="E622" s="193" t="s">
        <v>46</v>
      </c>
      <c r="F622" s="193" t="s">
        <v>1455</v>
      </c>
      <c r="G622" s="193" t="s">
        <v>1359</v>
      </c>
      <c r="H622" s="193" t="s">
        <v>59</v>
      </c>
      <c r="I622" s="193" t="s">
        <v>41</v>
      </c>
      <c r="J622" s="193" t="str">
        <f t="shared" si="41"/>
        <v>10 Roda</v>
      </c>
      <c r="K622" s="194">
        <v>46056</v>
      </c>
      <c r="L622" s="195">
        <v>26700</v>
      </c>
      <c r="M622" s="195">
        <v>11900</v>
      </c>
      <c r="N622" s="195">
        <v>14800</v>
      </c>
      <c r="O622" s="195">
        <v>14840</v>
      </c>
      <c r="P622" s="196">
        <v>0.718055555555556</v>
      </c>
      <c r="Q622" s="196">
        <v>0.77916666666666701</v>
      </c>
      <c r="R622" s="193" t="s">
        <v>42</v>
      </c>
      <c r="S622" s="193" t="s">
        <v>1393</v>
      </c>
      <c r="T622" s="197">
        <f t="shared" si="43"/>
        <v>53</v>
      </c>
      <c r="U622" s="193" t="s">
        <v>1922</v>
      </c>
      <c r="V622" s="193" t="str">
        <f t="shared" si="44"/>
        <v>Masamba</v>
      </c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8"/>
      <c r="AL622" s="18"/>
    </row>
    <row r="623" spans="2:38" ht="15" customHeight="1" x14ac:dyDescent="0.2">
      <c r="B623" s="193">
        <v>1</v>
      </c>
      <c r="C623" s="347" t="s">
        <v>753</v>
      </c>
      <c r="D623" s="193" t="str">
        <f t="shared" si="42"/>
        <v>CPO000594KMP</v>
      </c>
      <c r="E623" s="193" t="s">
        <v>56</v>
      </c>
      <c r="F623" s="193" t="s">
        <v>1455</v>
      </c>
      <c r="G623" s="193" t="s">
        <v>1359</v>
      </c>
      <c r="H623" s="193" t="s">
        <v>59</v>
      </c>
      <c r="I623" s="193" t="s">
        <v>41</v>
      </c>
      <c r="J623" s="193" t="str">
        <f t="shared" si="41"/>
        <v>10 Roda</v>
      </c>
      <c r="K623" s="194">
        <v>46056</v>
      </c>
      <c r="L623" s="195">
        <v>24970</v>
      </c>
      <c r="M623" s="195">
        <v>10690</v>
      </c>
      <c r="N623" s="195">
        <v>14280</v>
      </c>
      <c r="O623" s="195">
        <v>14300</v>
      </c>
      <c r="P623" s="196">
        <v>0.78680555555555598</v>
      </c>
      <c r="Q623" s="196">
        <v>0.82916666666666705</v>
      </c>
      <c r="R623" s="193" t="s">
        <v>42</v>
      </c>
      <c r="S623" s="193" t="s">
        <v>1781</v>
      </c>
      <c r="T623" s="197">
        <f t="shared" si="43"/>
        <v>53</v>
      </c>
      <c r="U623" s="193" t="s">
        <v>1922</v>
      </c>
      <c r="V623" s="193" t="str">
        <f t="shared" si="44"/>
        <v>Masamba</v>
      </c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8"/>
      <c r="AL623" s="18"/>
    </row>
    <row r="624" spans="2:38" ht="15" customHeight="1" x14ac:dyDescent="0.2">
      <c r="B624" s="193">
        <v>1</v>
      </c>
      <c r="C624" s="347" t="s">
        <v>754</v>
      </c>
      <c r="D624" s="193" t="str">
        <f t="shared" si="42"/>
        <v>CPO000595KMP</v>
      </c>
      <c r="E624" s="193" t="s">
        <v>76</v>
      </c>
      <c r="F624" s="193" t="s">
        <v>1455</v>
      </c>
      <c r="G624" s="193" t="s">
        <v>1359</v>
      </c>
      <c r="H624" s="193" t="s">
        <v>59</v>
      </c>
      <c r="I624" s="193" t="s">
        <v>41</v>
      </c>
      <c r="J624" s="193" t="str">
        <f t="shared" si="41"/>
        <v>12 Roda</v>
      </c>
      <c r="K624" s="194">
        <v>46056</v>
      </c>
      <c r="L624" s="195">
        <v>45910</v>
      </c>
      <c r="M624" s="195">
        <v>17630</v>
      </c>
      <c r="N624" s="195">
        <v>28280</v>
      </c>
      <c r="O624" s="195">
        <v>28340</v>
      </c>
      <c r="P624" s="196">
        <v>0.79444444444444395</v>
      </c>
      <c r="Q624" s="196">
        <v>0.84097222222222201</v>
      </c>
      <c r="R624" s="193" t="s">
        <v>42</v>
      </c>
      <c r="S624" s="193" t="s">
        <v>1372</v>
      </c>
      <c r="T624" s="197">
        <f t="shared" si="43"/>
        <v>53</v>
      </c>
      <c r="U624" s="193" t="s">
        <v>1922</v>
      </c>
      <c r="V624" s="193" t="str">
        <f t="shared" si="44"/>
        <v>Masamba</v>
      </c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8"/>
      <c r="AL624" s="18"/>
    </row>
    <row r="625" spans="2:38" ht="15" customHeight="1" x14ac:dyDescent="0.2">
      <c r="B625" s="193">
        <v>1</v>
      </c>
      <c r="C625" s="347" t="s">
        <v>1218</v>
      </c>
      <c r="D625" s="193" t="str">
        <f t="shared" si="42"/>
        <v>CPO000856JAS</v>
      </c>
      <c r="E625" s="193" t="s">
        <v>70</v>
      </c>
      <c r="F625" s="193" t="s">
        <v>1445</v>
      </c>
      <c r="G625" s="193" t="s">
        <v>1727</v>
      </c>
      <c r="H625" s="193" t="s">
        <v>49</v>
      </c>
      <c r="I625" s="193" t="s">
        <v>41</v>
      </c>
      <c r="J625" s="193" t="str">
        <f t="shared" si="41"/>
        <v>12 Roda</v>
      </c>
      <c r="K625" s="194">
        <v>46112</v>
      </c>
      <c r="L625" s="195">
        <v>45930</v>
      </c>
      <c r="M625" s="195">
        <v>17610</v>
      </c>
      <c r="N625" s="195">
        <v>28320</v>
      </c>
      <c r="O625" s="195">
        <v>28120</v>
      </c>
      <c r="P625" s="196">
        <v>0.88055555555555554</v>
      </c>
      <c r="Q625" s="196">
        <v>0.95000000000000007</v>
      </c>
      <c r="R625" s="193" t="s">
        <v>42</v>
      </c>
      <c r="S625" s="193" t="s">
        <v>1499</v>
      </c>
      <c r="T625" s="197">
        <f t="shared" si="43"/>
        <v>68</v>
      </c>
      <c r="U625" s="193" t="s">
        <v>1922</v>
      </c>
      <c r="V625" s="193" t="str">
        <f t="shared" si="44"/>
        <v>Bone Bone</v>
      </c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8"/>
      <c r="AL625" s="18"/>
    </row>
    <row r="626" spans="2:38" ht="15" customHeight="1" x14ac:dyDescent="0.2">
      <c r="B626" s="193">
        <v>1</v>
      </c>
      <c r="C626" s="347" t="s">
        <v>766</v>
      </c>
      <c r="D626" s="193" t="str">
        <f t="shared" si="42"/>
        <v>CPO000605MIS</v>
      </c>
      <c r="E626" s="193" t="s">
        <v>73</v>
      </c>
      <c r="F626" s="193" t="s">
        <v>1356</v>
      </c>
      <c r="G626" s="193" t="s">
        <v>1355</v>
      </c>
      <c r="H626" s="193" t="s">
        <v>40</v>
      </c>
      <c r="I626" s="193" t="s">
        <v>41</v>
      </c>
      <c r="J626" s="193" t="str">
        <f t="shared" si="41"/>
        <v>6 Roda</v>
      </c>
      <c r="K626" s="194">
        <v>46057</v>
      </c>
      <c r="L626" s="195">
        <v>13470</v>
      </c>
      <c r="M626" s="195">
        <v>4020</v>
      </c>
      <c r="N626" s="195">
        <v>9450</v>
      </c>
      <c r="O626" s="195">
        <v>9420</v>
      </c>
      <c r="P626" s="196">
        <v>0.34236111111111101</v>
      </c>
      <c r="Q626" s="196">
        <v>0.38333333333333303</v>
      </c>
      <c r="R626" s="193" t="s">
        <v>137</v>
      </c>
      <c r="S626" s="193"/>
      <c r="T626" s="197">
        <f t="shared" si="43"/>
        <v>494</v>
      </c>
      <c r="U626" s="193"/>
      <c r="V626" s="193" t="str">
        <f t="shared" si="44"/>
        <v>Pomala</v>
      </c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8"/>
      <c r="AL626" s="18"/>
    </row>
    <row r="627" spans="2:38" ht="15" customHeight="1" x14ac:dyDescent="0.2">
      <c r="B627" s="193">
        <v>1</v>
      </c>
      <c r="C627" s="347" t="s">
        <v>767</v>
      </c>
      <c r="D627" s="193" t="str">
        <f t="shared" si="42"/>
        <v>CPO000606MIS</v>
      </c>
      <c r="E627" s="193" t="s">
        <v>184</v>
      </c>
      <c r="F627" s="193" t="s">
        <v>1356</v>
      </c>
      <c r="G627" s="193" t="s">
        <v>1355</v>
      </c>
      <c r="H627" s="193" t="s">
        <v>40</v>
      </c>
      <c r="I627" s="193" t="s">
        <v>41</v>
      </c>
      <c r="J627" s="193" t="str">
        <f t="shared" si="41"/>
        <v>6 Roda</v>
      </c>
      <c r="K627" s="194">
        <v>46057</v>
      </c>
      <c r="L627" s="195">
        <v>13830</v>
      </c>
      <c r="M627" s="195">
        <v>3920</v>
      </c>
      <c r="N627" s="195">
        <v>9910</v>
      </c>
      <c r="O627" s="195">
        <v>9880</v>
      </c>
      <c r="P627" s="196">
        <v>0.34375</v>
      </c>
      <c r="Q627" s="196">
        <v>0.38194444444444398</v>
      </c>
      <c r="R627" s="193" t="s">
        <v>137</v>
      </c>
      <c r="S627" s="193"/>
      <c r="T627" s="197">
        <f t="shared" si="43"/>
        <v>494</v>
      </c>
      <c r="U627" s="193"/>
      <c r="V627" s="193" t="str">
        <f t="shared" si="44"/>
        <v>Pomala</v>
      </c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8"/>
      <c r="AL627" s="18"/>
    </row>
    <row r="628" spans="2:38" ht="15" customHeight="1" x14ac:dyDescent="0.2">
      <c r="B628" s="193">
        <v>1</v>
      </c>
      <c r="C628" s="347" t="s">
        <v>768</v>
      </c>
      <c r="D628" s="193" t="str">
        <f t="shared" si="42"/>
        <v>CPO000607MIS</v>
      </c>
      <c r="E628" s="193" t="s">
        <v>211</v>
      </c>
      <c r="F628" s="193" t="s">
        <v>1356</v>
      </c>
      <c r="G628" s="193" t="s">
        <v>1355</v>
      </c>
      <c r="H628" s="193" t="s">
        <v>40</v>
      </c>
      <c r="I628" s="193" t="s">
        <v>41</v>
      </c>
      <c r="J628" s="193" t="str">
        <f t="shared" si="41"/>
        <v>6 Roda</v>
      </c>
      <c r="K628" s="194">
        <v>46057</v>
      </c>
      <c r="L628" s="195">
        <v>13070</v>
      </c>
      <c r="M628" s="195">
        <v>4000</v>
      </c>
      <c r="N628" s="195">
        <v>9070</v>
      </c>
      <c r="O628" s="195">
        <v>9040</v>
      </c>
      <c r="P628" s="196">
        <v>0.34513888888888899</v>
      </c>
      <c r="Q628" s="196">
        <v>0.375694444444444</v>
      </c>
      <c r="R628" s="193" t="s">
        <v>137</v>
      </c>
      <c r="S628" s="193"/>
      <c r="T628" s="197">
        <f t="shared" si="43"/>
        <v>494</v>
      </c>
      <c r="U628" s="193"/>
      <c r="V628" s="193" t="str">
        <f t="shared" si="44"/>
        <v>Pomala</v>
      </c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8"/>
      <c r="AL628" s="18"/>
    </row>
    <row r="629" spans="2:38" ht="15" customHeight="1" x14ac:dyDescent="0.2">
      <c r="B629" s="193">
        <v>1</v>
      </c>
      <c r="C629" s="347" t="s">
        <v>769</v>
      </c>
      <c r="D629" s="193" t="str">
        <f t="shared" si="42"/>
        <v>CPO000608MIS</v>
      </c>
      <c r="E629" s="193" t="s">
        <v>149</v>
      </c>
      <c r="F629" s="193" t="s">
        <v>1356</v>
      </c>
      <c r="G629" s="193" t="s">
        <v>1355</v>
      </c>
      <c r="H629" s="193" t="s">
        <v>40</v>
      </c>
      <c r="I629" s="193" t="s">
        <v>41</v>
      </c>
      <c r="J629" s="193" t="str">
        <f t="shared" si="41"/>
        <v>6 Roda</v>
      </c>
      <c r="K629" s="194">
        <v>46057</v>
      </c>
      <c r="L629" s="195">
        <v>13940</v>
      </c>
      <c r="M629" s="195">
        <v>4070</v>
      </c>
      <c r="N629" s="195">
        <v>9870</v>
      </c>
      <c r="O629" s="195">
        <v>9860</v>
      </c>
      <c r="P629" s="196">
        <v>0.34722222222222199</v>
      </c>
      <c r="Q629" s="196">
        <v>0.37708333333333299</v>
      </c>
      <c r="R629" s="193" t="s">
        <v>137</v>
      </c>
      <c r="S629" s="193"/>
      <c r="T629" s="197">
        <f t="shared" si="43"/>
        <v>494</v>
      </c>
      <c r="U629" s="193"/>
      <c r="V629" s="193" t="str">
        <f t="shared" si="44"/>
        <v>Pomala</v>
      </c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8"/>
      <c r="AL629" s="18"/>
    </row>
    <row r="630" spans="2:38" ht="15" customHeight="1" x14ac:dyDescent="0.2">
      <c r="B630" s="193">
        <v>1</v>
      </c>
      <c r="C630" s="347" t="s">
        <v>770</v>
      </c>
      <c r="D630" s="193" t="str">
        <f t="shared" si="42"/>
        <v>CPO000609MIS</v>
      </c>
      <c r="E630" s="193" t="s">
        <v>569</v>
      </c>
      <c r="F630" s="193" t="s">
        <v>1356</v>
      </c>
      <c r="G630" s="193" t="s">
        <v>1355</v>
      </c>
      <c r="H630" s="193" t="s">
        <v>40</v>
      </c>
      <c r="I630" s="193" t="s">
        <v>41</v>
      </c>
      <c r="J630" s="193" t="str">
        <f t="shared" si="41"/>
        <v>6 Roda</v>
      </c>
      <c r="K630" s="194">
        <v>46057</v>
      </c>
      <c r="L630" s="195">
        <v>13570</v>
      </c>
      <c r="M630" s="195">
        <v>3930</v>
      </c>
      <c r="N630" s="195">
        <v>9640</v>
      </c>
      <c r="O630" s="195">
        <v>9660</v>
      </c>
      <c r="P630" s="196">
        <v>0.37986111111111098</v>
      </c>
      <c r="Q630" s="196">
        <v>0.41736111111111102</v>
      </c>
      <c r="R630" s="193" t="s">
        <v>137</v>
      </c>
      <c r="S630" s="193"/>
      <c r="T630" s="197">
        <f t="shared" si="43"/>
        <v>494</v>
      </c>
      <c r="U630" s="193"/>
      <c r="V630" s="193" t="str">
        <f t="shared" si="44"/>
        <v>Pomala</v>
      </c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8"/>
      <c r="AL630" s="18"/>
    </row>
    <row r="631" spans="2:38" ht="15" customHeight="1" x14ac:dyDescent="0.2">
      <c r="B631" s="193">
        <v>1</v>
      </c>
      <c r="C631" s="347" t="s">
        <v>771</v>
      </c>
      <c r="D631" s="193" t="str">
        <f t="shared" si="42"/>
        <v>CPO000610MIS</v>
      </c>
      <c r="E631" s="193" t="s">
        <v>153</v>
      </c>
      <c r="F631" s="193" t="s">
        <v>1356</v>
      </c>
      <c r="G631" s="193" t="s">
        <v>1355</v>
      </c>
      <c r="H631" s="193" t="s">
        <v>40</v>
      </c>
      <c r="I631" s="193" t="s">
        <v>41</v>
      </c>
      <c r="J631" s="193" t="str">
        <f t="shared" si="41"/>
        <v>6 Roda</v>
      </c>
      <c r="K631" s="194">
        <v>46057</v>
      </c>
      <c r="L631" s="195">
        <v>13580</v>
      </c>
      <c r="M631" s="195">
        <v>3980</v>
      </c>
      <c r="N631" s="195">
        <v>9600</v>
      </c>
      <c r="O631" s="195">
        <v>9600</v>
      </c>
      <c r="P631" s="196">
        <v>0.38055555555555598</v>
      </c>
      <c r="Q631" s="196">
        <v>0.41875000000000001</v>
      </c>
      <c r="R631" s="193" t="s">
        <v>137</v>
      </c>
      <c r="S631" s="193"/>
      <c r="T631" s="197">
        <f t="shared" si="43"/>
        <v>494</v>
      </c>
      <c r="U631" s="193"/>
      <c r="V631" s="193" t="str">
        <f t="shared" si="44"/>
        <v>Pomala</v>
      </c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8"/>
      <c r="AL631" s="18"/>
    </row>
    <row r="632" spans="2:38" ht="15" customHeight="1" x14ac:dyDescent="0.2">
      <c r="B632" s="193">
        <v>1</v>
      </c>
      <c r="C632" s="347" t="s">
        <v>782</v>
      </c>
      <c r="D632" s="193" t="str">
        <f t="shared" si="42"/>
        <v>CPO000620MIS</v>
      </c>
      <c r="E632" s="193" t="s">
        <v>183</v>
      </c>
      <c r="F632" s="193" t="s">
        <v>1356</v>
      </c>
      <c r="G632" s="193" t="s">
        <v>1355</v>
      </c>
      <c r="H632" s="193" t="s">
        <v>40</v>
      </c>
      <c r="I632" s="193" t="s">
        <v>41</v>
      </c>
      <c r="J632" s="193" t="str">
        <f t="shared" si="41"/>
        <v>6 Roda</v>
      </c>
      <c r="K632" s="194">
        <v>46057</v>
      </c>
      <c r="L632" s="195">
        <v>14170</v>
      </c>
      <c r="M632" s="195">
        <v>4200</v>
      </c>
      <c r="N632" s="195">
        <v>9970</v>
      </c>
      <c r="O632" s="195">
        <v>9580</v>
      </c>
      <c r="P632" s="196">
        <v>0.90902777777777799</v>
      </c>
      <c r="Q632" s="196">
        <v>0.94027777777777799</v>
      </c>
      <c r="R632" s="193" t="s">
        <v>42</v>
      </c>
      <c r="S632" s="193"/>
      <c r="T632" s="197">
        <f t="shared" si="43"/>
        <v>494</v>
      </c>
      <c r="U632" s="193"/>
      <c r="V632" s="193" t="str">
        <f t="shared" si="44"/>
        <v>Pomala</v>
      </c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8"/>
      <c r="AL632" s="18"/>
    </row>
    <row r="633" spans="2:38" ht="15" customHeight="1" x14ac:dyDescent="0.2">
      <c r="B633" s="193">
        <v>1</v>
      </c>
      <c r="C633" s="347" t="s">
        <v>783</v>
      </c>
      <c r="D633" s="193" t="str">
        <f t="shared" si="42"/>
        <v>CPO000621MIS</v>
      </c>
      <c r="E633" s="193" t="s">
        <v>730</v>
      </c>
      <c r="F633" s="193" t="s">
        <v>1356</v>
      </c>
      <c r="G633" s="193" t="s">
        <v>1355</v>
      </c>
      <c r="H633" s="193" t="s">
        <v>40</v>
      </c>
      <c r="I633" s="193" t="s">
        <v>41</v>
      </c>
      <c r="J633" s="193" t="str">
        <f t="shared" si="41"/>
        <v>6 Roda</v>
      </c>
      <c r="K633" s="194">
        <v>46057</v>
      </c>
      <c r="L633" s="195">
        <v>13090</v>
      </c>
      <c r="M633" s="195">
        <v>3780</v>
      </c>
      <c r="N633" s="195">
        <v>9310</v>
      </c>
      <c r="O633" s="195">
        <v>9290</v>
      </c>
      <c r="P633" s="196">
        <v>0.92847222222222203</v>
      </c>
      <c r="Q633" s="196">
        <v>0.95277777777777795</v>
      </c>
      <c r="R633" s="193" t="s">
        <v>42</v>
      </c>
      <c r="S633" s="193"/>
      <c r="T633" s="197">
        <f t="shared" si="43"/>
        <v>494</v>
      </c>
      <c r="U633" s="193"/>
      <c r="V633" s="193" t="str">
        <f t="shared" si="44"/>
        <v>Pomala</v>
      </c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8"/>
      <c r="AL633" s="18"/>
    </row>
    <row r="634" spans="2:38" ht="15" customHeight="1" x14ac:dyDescent="0.2">
      <c r="B634" s="193">
        <v>1</v>
      </c>
      <c r="C634" s="347" t="s">
        <v>772</v>
      </c>
      <c r="D634" s="193" t="str">
        <f t="shared" si="42"/>
        <v>CPO000611KMP</v>
      </c>
      <c r="E634" s="193" t="s">
        <v>46</v>
      </c>
      <c r="F634" s="193" t="s">
        <v>1455</v>
      </c>
      <c r="G634" s="193" t="s">
        <v>1359</v>
      </c>
      <c r="H634" s="193" t="s">
        <v>59</v>
      </c>
      <c r="I634" s="193" t="s">
        <v>41</v>
      </c>
      <c r="J634" s="193" t="str">
        <f t="shared" si="41"/>
        <v>10 Roda</v>
      </c>
      <c r="K634" s="194">
        <v>46057</v>
      </c>
      <c r="L634" s="195">
        <v>26710</v>
      </c>
      <c r="M634" s="195">
        <v>11900</v>
      </c>
      <c r="N634" s="195">
        <v>14810</v>
      </c>
      <c r="O634" s="195">
        <v>14840</v>
      </c>
      <c r="P634" s="196">
        <v>0.38888888888888901</v>
      </c>
      <c r="Q634" s="196">
        <v>0.45624999999999999</v>
      </c>
      <c r="R634" s="193" t="s">
        <v>137</v>
      </c>
      <c r="S634" s="193" t="s">
        <v>1393</v>
      </c>
      <c r="T634" s="197">
        <f t="shared" si="43"/>
        <v>53</v>
      </c>
      <c r="U634" s="193" t="s">
        <v>1922</v>
      </c>
      <c r="V634" s="193" t="str">
        <f t="shared" si="44"/>
        <v>Masamba</v>
      </c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8"/>
      <c r="AL634" s="18"/>
    </row>
    <row r="635" spans="2:38" ht="15" customHeight="1" x14ac:dyDescent="0.2">
      <c r="B635" s="193">
        <v>1</v>
      </c>
      <c r="C635" s="347" t="s">
        <v>773</v>
      </c>
      <c r="D635" s="193" t="str">
        <f t="shared" si="42"/>
        <v>CPO000612KMP</v>
      </c>
      <c r="E635" s="193" t="s">
        <v>56</v>
      </c>
      <c r="F635" s="193" t="s">
        <v>1455</v>
      </c>
      <c r="G635" s="193" t="s">
        <v>1359</v>
      </c>
      <c r="H635" s="193" t="s">
        <v>59</v>
      </c>
      <c r="I635" s="193" t="s">
        <v>41</v>
      </c>
      <c r="J635" s="193" t="str">
        <f t="shared" si="41"/>
        <v>10 Roda</v>
      </c>
      <c r="K635" s="194">
        <v>46057</v>
      </c>
      <c r="L635" s="195">
        <v>24970</v>
      </c>
      <c r="M635" s="195">
        <v>10670</v>
      </c>
      <c r="N635" s="195">
        <v>14300</v>
      </c>
      <c r="O635" s="195">
        <v>14320</v>
      </c>
      <c r="P635" s="196">
        <v>0.389583333333333</v>
      </c>
      <c r="Q635" s="196">
        <v>0.44444444444444398</v>
      </c>
      <c r="R635" s="193" t="s">
        <v>137</v>
      </c>
      <c r="S635" s="193" t="s">
        <v>1781</v>
      </c>
      <c r="T635" s="197">
        <f t="shared" si="43"/>
        <v>53</v>
      </c>
      <c r="U635" s="193" t="s">
        <v>1922</v>
      </c>
      <c r="V635" s="193" t="str">
        <f t="shared" si="44"/>
        <v>Masamba</v>
      </c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8"/>
      <c r="AL635" s="18"/>
    </row>
    <row r="636" spans="2:38" ht="15" customHeight="1" x14ac:dyDescent="0.2">
      <c r="B636" s="193">
        <v>1</v>
      </c>
      <c r="C636" s="347" t="s">
        <v>774</v>
      </c>
      <c r="D636" s="193" t="str">
        <f t="shared" si="42"/>
        <v>CPO000613KMP</v>
      </c>
      <c r="E636" s="193" t="s">
        <v>76</v>
      </c>
      <c r="F636" s="193" t="s">
        <v>1455</v>
      </c>
      <c r="G636" s="193" t="s">
        <v>1359</v>
      </c>
      <c r="H636" s="193" t="s">
        <v>59</v>
      </c>
      <c r="I636" s="193" t="s">
        <v>41</v>
      </c>
      <c r="J636" s="193" t="str">
        <f t="shared" si="41"/>
        <v>12 Roda</v>
      </c>
      <c r="K636" s="194">
        <v>46057</v>
      </c>
      <c r="L636" s="195">
        <v>45900</v>
      </c>
      <c r="M636" s="195">
        <v>17610</v>
      </c>
      <c r="N636" s="195">
        <v>28290</v>
      </c>
      <c r="O636" s="195">
        <v>28380</v>
      </c>
      <c r="P636" s="196">
        <v>0.405555555555556</v>
      </c>
      <c r="Q636" s="196">
        <v>0.46597222222222201</v>
      </c>
      <c r="R636" s="193" t="s">
        <v>137</v>
      </c>
      <c r="S636" s="193" t="s">
        <v>1372</v>
      </c>
      <c r="T636" s="197">
        <f t="shared" si="43"/>
        <v>53</v>
      </c>
      <c r="U636" s="193" t="s">
        <v>1922</v>
      </c>
      <c r="V636" s="193" t="str">
        <f t="shared" si="44"/>
        <v>Masamba</v>
      </c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8"/>
      <c r="AL636" s="18"/>
    </row>
    <row r="637" spans="2:38" ht="15" customHeight="1" x14ac:dyDescent="0.2">
      <c r="B637" s="193">
        <v>1</v>
      </c>
      <c r="C637" s="347" t="s">
        <v>775</v>
      </c>
      <c r="D637" s="193" t="str">
        <f t="shared" si="42"/>
        <v>CPO000614KMP</v>
      </c>
      <c r="E637" s="193" t="s">
        <v>70</v>
      </c>
      <c r="F637" s="193" t="s">
        <v>1455</v>
      </c>
      <c r="G637" s="193" t="s">
        <v>1359</v>
      </c>
      <c r="H637" s="193" t="s">
        <v>59</v>
      </c>
      <c r="I637" s="193" t="s">
        <v>41</v>
      </c>
      <c r="J637" s="193" t="str">
        <f t="shared" si="41"/>
        <v>12 Roda</v>
      </c>
      <c r="K637" s="194">
        <v>46057</v>
      </c>
      <c r="L637" s="195">
        <v>45910</v>
      </c>
      <c r="M637" s="195">
        <v>17650</v>
      </c>
      <c r="N637" s="195">
        <v>28260</v>
      </c>
      <c r="O637" s="195">
        <v>28380</v>
      </c>
      <c r="P637" s="196">
        <v>0.42013888888888901</v>
      </c>
      <c r="Q637" s="196">
        <v>0.48263888888888901</v>
      </c>
      <c r="R637" s="193" t="s">
        <v>137</v>
      </c>
      <c r="S637" s="193" t="s">
        <v>1499</v>
      </c>
      <c r="T637" s="197">
        <f t="shared" si="43"/>
        <v>53</v>
      </c>
      <c r="U637" s="193" t="s">
        <v>1922</v>
      </c>
      <c r="V637" s="193" t="str">
        <f t="shared" si="44"/>
        <v>Masamba</v>
      </c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8"/>
      <c r="AL637" s="18"/>
    </row>
    <row r="638" spans="2:38" ht="15" customHeight="1" x14ac:dyDescent="0.2">
      <c r="B638" s="193">
        <v>1</v>
      </c>
      <c r="C638" s="347" t="s">
        <v>778</v>
      </c>
      <c r="D638" s="193" t="str">
        <f t="shared" si="42"/>
        <v>CPO000616KMP</v>
      </c>
      <c r="E638" s="193" t="s">
        <v>76</v>
      </c>
      <c r="F638" s="193" t="s">
        <v>1455</v>
      </c>
      <c r="G638" s="193" t="s">
        <v>1359</v>
      </c>
      <c r="H638" s="193" t="s">
        <v>59</v>
      </c>
      <c r="I638" s="193" t="s">
        <v>41</v>
      </c>
      <c r="J638" s="193" t="str">
        <f t="shared" si="41"/>
        <v>12 Roda</v>
      </c>
      <c r="K638" s="194">
        <v>46057</v>
      </c>
      <c r="L638" s="195">
        <v>45860</v>
      </c>
      <c r="M638" s="195">
        <v>17550</v>
      </c>
      <c r="N638" s="195">
        <v>28310</v>
      </c>
      <c r="O638" s="195">
        <v>28360</v>
      </c>
      <c r="P638" s="196">
        <v>0.66805555555555596</v>
      </c>
      <c r="Q638" s="196">
        <v>0.72847222222222197</v>
      </c>
      <c r="R638" s="193" t="s">
        <v>42</v>
      </c>
      <c r="S638" s="193" t="s">
        <v>1372</v>
      </c>
      <c r="T638" s="197">
        <f t="shared" si="43"/>
        <v>53</v>
      </c>
      <c r="U638" s="193" t="s">
        <v>1922</v>
      </c>
      <c r="V638" s="193" t="str">
        <f t="shared" si="44"/>
        <v>Masamba</v>
      </c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8"/>
      <c r="AL638" s="18"/>
    </row>
    <row r="639" spans="2:38" ht="15" customHeight="1" x14ac:dyDescent="0.2">
      <c r="B639" s="193">
        <v>1</v>
      </c>
      <c r="C639" s="347" t="s">
        <v>779</v>
      </c>
      <c r="D639" s="193" t="str">
        <f t="shared" si="42"/>
        <v>CPO000617KMP</v>
      </c>
      <c r="E639" s="193" t="s">
        <v>46</v>
      </c>
      <c r="F639" s="193" t="s">
        <v>1455</v>
      </c>
      <c r="G639" s="193" t="s">
        <v>1359</v>
      </c>
      <c r="H639" s="193" t="s">
        <v>59</v>
      </c>
      <c r="I639" s="193" t="s">
        <v>41</v>
      </c>
      <c r="J639" s="193" t="str">
        <f t="shared" si="41"/>
        <v>10 Roda</v>
      </c>
      <c r="K639" s="194">
        <v>46057</v>
      </c>
      <c r="L639" s="195">
        <v>26650</v>
      </c>
      <c r="M639" s="195">
        <v>11840</v>
      </c>
      <c r="N639" s="195">
        <v>14810</v>
      </c>
      <c r="O639" s="195">
        <v>14800</v>
      </c>
      <c r="P639" s="196">
        <v>0.67986111111111103</v>
      </c>
      <c r="Q639" s="196">
        <v>0.75416666666666698</v>
      </c>
      <c r="R639" s="193" t="s">
        <v>42</v>
      </c>
      <c r="S639" s="193" t="s">
        <v>1393</v>
      </c>
      <c r="T639" s="197">
        <f t="shared" si="43"/>
        <v>53</v>
      </c>
      <c r="U639" s="193" t="s">
        <v>1922</v>
      </c>
      <c r="V639" s="193" t="str">
        <f t="shared" si="44"/>
        <v>Masamba</v>
      </c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8"/>
      <c r="AL639" s="18"/>
    </row>
    <row r="640" spans="2:38" ht="15" customHeight="1" x14ac:dyDescent="0.2">
      <c r="B640" s="193">
        <v>1</v>
      </c>
      <c r="C640" s="347" t="s">
        <v>780</v>
      </c>
      <c r="D640" s="193" t="str">
        <f t="shared" si="42"/>
        <v>CPO000618KMP</v>
      </c>
      <c r="E640" s="193" t="s">
        <v>70</v>
      </c>
      <c r="F640" s="193" t="s">
        <v>1455</v>
      </c>
      <c r="G640" s="193" t="s">
        <v>1359</v>
      </c>
      <c r="H640" s="193" t="s">
        <v>59</v>
      </c>
      <c r="I640" s="193" t="s">
        <v>41</v>
      </c>
      <c r="J640" s="193" t="str">
        <f t="shared" ref="J640:J670" si="45">IF(MIN(L640,M640)&lt;=5000,"6 Roda",IF(MIN(L640,M640)&lt;=13800,"10 Roda","12 Roda"))</f>
        <v>12 Roda</v>
      </c>
      <c r="K640" s="194">
        <v>46057</v>
      </c>
      <c r="L640" s="195">
        <v>45860</v>
      </c>
      <c r="M640" s="195">
        <v>17570</v>
      </c>
      <c r="N640" s="195">
        <v>28290</v>
      </c>
      <c r="O640" s="195">
        <v>28320</v>
      </c>
      <c r="P640" s="196">
        <v>0.68125000000000002</v>
      </c>
      <c r="Q640" s="196">
        <v>0.74027777777777803</v>
      </c>
      <c r="R640" s="193" t="s">
        <v>42</v>
      </c>
      <c r="S640" s="193" t="s">
        <v>1499</v>
      </c>
      <c r="T640" s="197">
        <f t="shared" si="43"/>
        <v>53</v>
      </c>
      <c r="U640" s="193" t="s">
        <v>1922</v>
      </c>
      <c r="V640" s="193" t="str">
        <f t="shared" si="44"/>
        <v>Masamba</v>
      </c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8"/>
      <c r="AL640" s="18"/>
    </row>
    <row r="641" spans="2:38" ht="15" customHeight="1" x14ac:dyDescent="0.2">
      <c r="B641" s="193">
        <v>1</v>
      </c>
      <c r="C641" s="347" t="s">
        <v>781</v>
      </c>
      <c r="D641" s="193" t="str">
        <f t="shared" si="42"/>
        <v>CPO000619KMP</v>
      </c>
      <c r="E641" s="193" t="s">
        <v>56</v>
      </c>
      <c r="F641" s="193" t="s">
        <v>1455</v>
      </c>
      <c r="G641" s="193" t="s">
        <v>1359</v>
      </c>
      <c r="H641" s="193" t="s">
        <v>59</v>
      </c>
      <c r="I641" s="193" t="s">
        <v>41</v>
      </c>
      <c r="J641" s="193" t="str">
        <f t="shared" si="45"/>
        <v>10 Roda</v>
      </c>
      <c r="K641" s="194">
        <v>46057</v>
      </c>
      <c r="L641" s="195">
        <v>25040</v>
      </c>
      <c r="M641" s="195">
        <v>10760</v>
      </c>
      <c r="N641" s="195">
        <v>14280</v>
      </c>
      <c r="O641" s="195">
        <v>14300</v>
      </c>
      <c r="P641" s="196">
        <v>0.68541666666666701</v>
      </c>
      <c r="Q641" s="196">
        <v>0.75555555555555598</v>
      </c>
      <c r="R641" s="193" t="s">
        <v>42</v>
      </c>
      <c r="S641" s="193" t="s">
        <v>1781</v>
      </c>
      <c r="T641" s="197">
        <f t="shared" si="43"/>
        <v>53</v>
      </c>
      <c r="U641" s="193" t="s">
        <v>1922</v>
      </c>
      <c r="V641" s="193" t="str">
        <f t="shared" si="44"/>
        <v>Masamba</v>
      </c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8"/>
      <c r="AL641" s="18"/>
    </row>
    <row r="642" spans="2:38" ht="15" customHeight="1" x14ac:dyDescent="0.2">
      <c r="B642" s="193">
        <v>1</v>
      </c>
      <c r="C642" s="347" t="s">
        <v>791</v>
      </c>
      <c r="D642" s="193" t="str">
        <f t="shared" si="42"/>
        <v>CPO000629MIS</v>
      </c>
      <c r="E642" s="193" t="s">
        <v>147</v>
      </c>
      <c r="F642" s="193" t="s">
        <v>1356</v>
      </c>
      <c r="G642" s="193" t="s">
        <v>1355</v>
      </c>
      <c r="H642" s="193" t="s">
        <v>40</v>
      </c>
      <c r="I642" s="193" t="s">
        <v>41</v>
      </c>
      <c r="J642" s="193" t="str">
        <f t="shared" si="45"/>
        <v>6 Roda</v>
      </c>
      <c r="K642" s="194">
        <v>46058</v>
      </c>
      <c r="L642" s="195">
        <v>13950</v>
      </c>
      <c r="M642" s="195">
        <v>4000</v>
      </c>
      <c r="N642" s="195">
        <v>9950</v>
      </c>
      <c r="O642" s="195">
        <v>9970</v>
      </c>
      <c r="P642" s="196">
        <v>0.94861111111111096</v>
      </c>
      <c r="Q642" s="196">
        <v>0.97986111111111096</v>
      </c>
      <c r="R642" s="193" t="s">
        <v>42</v>
      </c>
      <c r="S642" s="193"/>
      <c r="T642" s="197">
        <f t="shared" si="43"/>
        <v>494</v>
      </c>
      <c r="U642" s="193"/>
      <c r="V642" s="193" t="str">
        <f t="shared" si="44"/>
        <v>Pomala</v>
      </c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8"/>
      <c r="AL642" s="18"/>
    </row>
    <row r="643" spans="2:38" ht="15" customHeight="1" x14ac:dyDescent="0.2">
      <c r="B643" s="193">
        <v>1</v>
      </c>
      <c r="C643" s="347" t="s">
        <v>792</v>
      </c>
      <c r="D643" s="193" t="str">
        <f t="shared" si="42"/>
        <v>CPO000630MIS</v>
      </c>
      <c r="E643" s="193" t="s">
        <v>473</v>
      </c>
      <c r="F643" s="193" t="s">
        <v>1356</v>
      </c>
      <c r="G643" s="193" t="s">
        <v>1355</v>
      </c>
      <c r="H643" s="193" t="s">
        <v>40</v>
      </c>
      <c r="I643" s="193" t="s">
        <v>41</v>
      </c>
      <c r="J643" s="193" t="str">
        <f t="shared" si="45"/>
        <v>6 Roda</v>
      </c>
      <c r="K643" s="194">
        <v>46058</v>
      </c>
      <c r="L643" s="195">
        <v>14460</v>
      </c>
      <c r="M643" s="195">
        <v>4340</v>
      </c>
      <c r="N643" s="195">
        <v>10120</v>
      </c>
      <c r="O643" s="195">
        <v>10130</v>
      </c>
      <c r="P643" s="196">
        <v>0.95416666666666705</v>
      </c>
      <c r="Q643" s="196">
        <v>0.97847222222222197</v>
      </c>
      <c r="R643" s="193" t="s">
        <v>42</v>
      </c>
      <c r="S643" s="193"/>
      <c r="T643" s="197">
        <f t="shared" si="43"/>
        <v>494</v>
      </c>
      <c r="U643" s="193"/>
      <c r="V643" s="193" t="str">
        <f t="shared" si="44"/>
        <v>Pomala</v>
      </c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8"/>
      <c r="AL643" s="18"/>
    </row>
    <row r="644" spans="2:38" ht="15" customHeight="1" x14ac:dyDescent="0.2">
      <c r="B644" s="193">
        <v>1</v>
      </c>
      <c r="C644" s="347" t="s">
        <v>793</v>
      </c>
      <c r="D644" s="193" t="str">
        <f t="shared" si="42"/>
        <v>CPO000631MIS</v>
      </c>
      <c r="E644" s="193" t="s">
        <v>160</v>
      </c>
      <c r="F644" s="193" t="s">
        <v>1356</v>
      </c>
      <c r="G644" s="193" t="s">
        <v>1355</v>
      </c>
      <c r="H644" s="193" t="s">
        <v>40</v>
      </c>
      <c r="I644" s="193" t="s">
        <v>41</v>
      </c>
      <c r="J644" s="193" t="str">
        <f t="shared" si="45"/>
        <v>6 Roda</v>
      </c>
      <c r="K644" s="194">
        <v>46058</v>
      </c>
      <c r="L644" s="195">
        <v>13420</v>
      </c>
      <c r="M644" s="195">
        <v>3660</v>
      </c>
      <c r="N644" s="195">
        <v>9760</v>
      </c>
      <c r="O644" s="195">
        <v>9750</v>
      </c>
      <c r="P644" s="196">
        <v>0.95555555555555605</v>
      </c>
      <c r="Q644" s="196">
        <v>0.98055555555555596</v>
      </c>
      <c r="R644" s="193" t="s">
        <v>42</v>
      </c>
      <c r="S644" s="193"/>
      <c r="T644" s="197">
        <f t="shared" si="43"/>
        <v>494</v>
      </c>
      <c r="U644" s="193"/>
      <c r="V644" s="193" t="str">
        <f t="shared" si="44"/>
        <v>Pomala</v>
      </c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8"/>
      <c r="AL644" s="18"/>
    </row>
    <row r="645" spans="2:38" ht="15" customHeight="1" x14ac:dyDescent="0.2">
      <c r="B645" s="193">
        <v>1</v>
      </c>
      <c r="C645" s="347" t="s">
        <v>127</v>
      </c>
      <c r="D645" s="193" t="str">
        <f t="shared" si="42"/>
        <v>CPO000021JAS</v>
      </c>
      <c r="E645" s="193" t="s">
        <v>76</v>
      </c>
      <c r="F645" s="193" t="s">
        <v>1331</v>
      </c>
      <c r="G645" s="193" t="s">
        <v>1731</v>
      </c>
      <c r="H645" s="193" t="s">
        <v>49</v>
      </c>
      <c r="I645" s="193" t="s">
        <v>41</v>
      </c>
      <c r="J645" s="193" t="str">
        <f t="shared" si="45"/>
        <v>12 Roda</v>
      </c>
      <c r="K645" s="194">
        <v>45973</v>
      </c>
      <c r="L645" s="195">
        <v>45840</v>
      </c>
      <c r="M645" s="195">
        <v>17510</v>
      </c>
      <c r="N645" s="195">
        <v>28330</v>
      </c>
      <c r="O645" s="195">
        <v>28140</v>
      </c>
      <c r="P645" s="196">
        <v>0.55902777777777801</v>
      </c>
      <c r="Q645" s="196">
        <v>0.68541666666666701</v>
      </c>
      <c r="R645" s="193" t="s">
        <v>42</v>
      </c>
      <c r="S645" s="193" t="s">
        <v>1372</v>
      </c>
      <c r="T645" s="197">
        <f t="shared" si="43"/>
        <v>68</v>
      </c>
      <c r="U645" s="193" t="s">
        <v>1922</v>
      </c>
      <c r="V645" s="193" t="str">
        <f t="shared" si="44"/>
        <v>Bone Bone</v>
      </c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8"/>
      <c r="AL645" s="18"/>
    </row>
    <row r="646" spans="2:38" ht="15" customHeight="1" x14ac:dyDescent="0.2">
      <c r="B646" s="193">
        <v>1</v>
      </c>
      <c r="C646" s="347" t="s">
        <v>627</v>
      </c>
      <c r="D646" s="193" t="str">
        <f t="shared" si="42"/>
        <v>CPO000481JAS</v>
      </c>
      <c r="E646" s="193" t="s">
        <v>76</v>
      </c>
      <c r="F646" s="193" t="s">
        <v>1439</v>
      </c>
      <c r="G646" s="193" t="s">
        <v>1351</v>
      </c>
      <c r="H646" s="193" t="s">
        <v>49</v>
      </c>
      <c r="I646" s="193" t="s">
        <v>41</v>
      </c>
      <c r="J646" s="193" t="str">
        <f t="shared" si="45"/>
        <v>12 Roda</v>
      </c>
      <c r="K646" s="194">
        <v>46036</v>
      </c>
      <c r="L646" s="195">
        <v>45740</v>
      </c>
      <c r="M646" s="195">
        <v>17410</v>
      </c>
      <c r="N646" s="195">
        <v>28330</v>
      </c>
      <c r="O646" s="195">
        <v>28260</v>
      </c>
      <c r="P646" s="196">
        <v>0.85972222222222205</v>
      </c>
      <c r="Q646" s="196">
        <v>0.89236111111111105</v>
      </c>
      <c r="R646" s="193" t="s">
        <v>42</v>
      </c>
      <c r="S646" s="193" t="s">
        <v>1372</v>
      </c>
      <c r="T646" s="197">
        <f t="shared" si="43"/>
        <v>68</v>
      </c>
      <c r="U646" s="193" t="s">
        <v>1922</v>
      </c>
      <c r="V646" s="193" t="str">
        <f t="shared" si="44"/>
        <v>Bone Bone</v>
      </c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8"/>
      <c r="AL646" s="18"/>
    </row>
    <row r="647" spans="2:38" ht="15" customHeight="1" x14ac:dyDescent="0.2">
      <c r="B647" s="193">
        <v>1</v>
      </c>
      <c r="C647" s="347" t="s">
        <v>786</v>
      </c>
      <c r="D647" s="193" t="str">
        <f t="shared" si="42"/>
        <v>CPO000624KMP</v>
      </c>
      <c r="E647" s="193" t="s">
        <v>56</v>
      </c>
      <c r="F647" s="193" t="s">
        <v>1455</v>
      </c>
      <c r="G647" s="193" t="s">
        <v>1359</v>
      </c>
      <c r="H647" s="193" t="s">
        <v>59</v>
      </c>
      <c r="I647" s="193" t="s">
        <v>41</v>
      </c>
      <c r="J647" s="193" t="str">
        <f t="shared" si="45"/>
        <v>10 Roda</v>
      </c>
      <c r="K647" s="194">
        <v>46058</v>
      </c>
      <c r="L647" s="195">
        <v>25040</v>
      </c>
      <c r="M647" s="195">
        <v>10740</v>
      </c>
      <c r="N647" s="195">
        <v>14300</v>
      </c>
      <c r="O647" s="195">
        <v>14340</v>
      </c>
      <c r="P647" s="196">
        <v>0.360416666666667</v>
      </c>
      <c r="Q647" s="196">
        <v>0.405555555555556</v>
      </c>
      <c r="R647" s="193" t="s">
        <v>137</v>
      </c>
      <c r="S647" s="193" t="s">
        <v>1781</v>
      </c>
      <c r="T647" s="197">
        <f t="shared" si="43"/>
        <v>53</v>
      </c>
      <c r="U647" s="193" t="s">
        <v>1922</v>
      </c>
      <c r="V647" s="193" t="str">
        <f t="shared" si="44"/>
        <v>Masamba</v>
      </c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8"/>
      <c r="AL647" s="18"/>
    </row>
    <row r="648" spans="2:38" ht="15" customHeight="1" x14ac:dyDescent="0.2">
      <c r="B648" s="193">
        <v>1</v>
      </c>
      <c r="C648" s="347" t="s">
        <v>670</v>
      </c>
      <c r="D648" s="193" t="str">
        <f t="shared" si="42"/>
        <v>CPO000521KMP</v>
      </c>
      <c r="E648" s="193" t="s">
        <v>76</v>
      </c>
      <c r="F648" s="193" t="s">
        <v>1454</v>
      </c>
      <c r="G648" s="193" t="s">
        <v>1352</v>
      </c>
      <c r="H648" s="193" t="s">
        <v>59</v>
      </c>
      <c r="I648" s="193" t="s">
        <v>41</v>
      </c>
      <c r="J648" s="193" t="str">
        <f t="shared" si="45"/>
        <v>12 Roda</v>
      </c>
      <c r="K648" s="194">
        <v>46044</v>
      </c>
      <c r="L648" s="195">
        <v>45720</v>
      </c>
      <c r="M648" s="195">
        <v>17390</v>
      </c>
      <c r="N648" s="195">
        <v>28330</v>
      </c>
      <c r="O648" s="195">
        <v>28380</v>
      </c>
      <c r="P648" s="196">
        <v>0.454166666666667</v>
      </c>
      <c r="Q648" s="196">
        <v>0.51041666666666696</v>
      </c>
      <c r="R648" s="193" t="s">
        <v>137</v>
      </c>
      <c r="S648" s="193" t="s">
        <v>1372</v>
      </c>
      <c r="T648" s="197">
        <f t="shared" si="43"/>
        <v>53</v>
      </c>
      <c r="U648" s="193" t="s">
        <v>1922</v>
      </c>
      <c r="V648" s="193" t="str">
        <f t="shared" si="44"/>
        <v>Masamba</v>
      </c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8"/>
      <c r="AL648" s="18"/>
    </row>
    <row r="649" spans="2:38" ht="15" customHeight="1" x14ac:dyDescent="0.2">
      <c r="B649" s="193">
        <v>1</v>
      </c>
      <c r="C649" s="347" t="s">
        <v>788</v>
      </c>
      <c r="D649" s="193" t="str">
        <f t="shared" si="42"/>
        <v>CPO000626KMP</v>
      </c>
      <c r="E649" s="193" t="s">
        <v>70</v>
      </c>
      <c r="F649" s="193" t="s">
        <v>1455</v>
      </c>
      <c r="G649" s="193" t="s">
        <v>1359</v>
      </c>
      <c r="H649" s="193" t="s">
        <v>59</v>
      </c>
      <c r="I649" s="193" t="s">
        <v>41</v>
      </c>
      <c r="J649" s="193" t="str">
        <f t="shared" si="45"/>
        <v>12 Roda</v>
      </c>
      <c r="K649" s="194">
        <v>46058</v>
      </c>
      <c r="L649" s="195">
        <v>45770</v>
      </c>
      <c r="M649" s="195">
        <v>17500</v>
      </c>
      <c r="N649" s="195">
        <v>28270</v>
      </c>
      <c r="O649" s="195">
        <v>28320</v>
      </c>
      <c r="P649" s="196">
        <v>0.60277777777777797</v>
      </c>
      <c r="Q649" s="196">
        <v>0.64305555555555605</v>
      </c>
      <c r="R649" s="193" t="s">
        <v>137</v>
      </c>
      <c r="S649" s="193" t="s">
        <v>1499</v>
      </c>
      <c r="T649" s="197">
        <f t="shared" si="43"/>
        <v>53</v>
      </c>
      <c r="U649" s="193" t="s">
        <v>1922</v>
      </c>
      <c r="V649" s="193" t="str">
        <f t="shared" si="44"/>
        <v>Masamba</v>
      </c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8"/>
      <c r="AL649" s="18"/>
    </row>
    <row r="650" spans="2:38" ht="15" customHeight="1" x14ac:dyDescent="0.2">
      <c r="B650" s="193">
        <v>1</v>
      </c>
      <c r="C650" s="347" t="s">
        <v>789</v>
      </c>
      <c r="D650" s="193" t="str">
        <f t="shared" si="42"/>
        <v>CPO000627KMP</v>
      </c>
      <c r="E650" s="193" t="s">
        <v>56</v>
      </c>
      <c r="F650" s="193" t="s">
        <v>1455</v>
      </c>
      <c r="G650" s="193" t="s">
        <v>1359</v>
      </c>
      <c r="H650" s="193" t="s">
        <v>59</v>
      </c>
      <c r="I650" s="193" t="s">
        <v>41</v>
      </c>
      <c r="J650" s="193" t="str">
        <f t="shared" si="45"/>
        <v>10 Roda</v>
      </c>
      <c r="K650" s="194">
        <v>46058</v>
      </c>
      <c r="L650" s="195">
        <v>25020</v>
      </c>
      <c r="M650" s="195">
        <v>10730</v>
      </c>
      <c r="N650" s="195">
        <v>14290</v>
      </c>
      <c r="O650" s="195">
        <v>14300</v>
      </c>
      <c r="P650" s="196">
        <v>0.72152777777777799</v>
      </c>
      <c r="Q650" s="196">
        <v>0.77083333333333304</v>
      </c>
      <c r="R650" s="193" t="s">
        <v>42</v>
      </c>
      <c r="S650" s="193" t="s">
        <v>1781</v>
      </c>
      <c r="T650" s="197">
        <f t="shared" si="43"/>
        <v>53</v>
      </c>
      <c r="U650" s="193" t="s">
        <v>1922</v>
      </c>
      <c r="V650" s="193" t="str">
        <f t="shared" si="44"/>
        <v>Masamba</v>
      </c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8"/>
      <c r="AL650" s="18"/>
    </row>
    <row r="651" spans="2:38" ht="15" customHeight="1" x14ac:dyDescent="0.2">
      <c r="B651" s="193">
        <v>1</v>
      </c>
      <c r="C651" s="347" t="s">
        <v>790</v>
      </c>
      <c r="D651" s="193" t="str">
        <f t="shared" si="42"/>
        <v>CPO000628KMP</v>
      </c>
      <c r="E651" s="193" t="s">
        <v>76</v>
      </c>
      <c r="F651" s="193" t="s">
        <v>1455</v>
      </c>
      <c r="G651" s="193" t="s">
        <v>1359</v>
      </c>
      <c r="H651" s="193" t="s">
        <v>59</v>
      </c>
      <c r="I651" s="193" t="s">
        <v>41</v>
      </c>
      <c r="J651" s="193" t="str">
        <f t="shared" si="45"/>
        <v>12 Roda</v>
      </c>
      <c r="K651" s="194">
        <v>46058</v>
      </c>
      <c r="L651" s="195">
        <v>45870</v>
      </c>
      <c r="M651" s="195">
        <v>17600</v>
      </c>
      <c r="N651" s="195">
        <v>28270</v>
      </c>
      <c r="O651" s="195">
        <v>28380</v>
      </c>
      <c r="P651" s="196">
        <v>0.77777777777777801</v>
      </c>
      <c r="Q651" s="196">
        <v>0.82986111111111105</v>
      </c>
      <c r="R651" s="193" t="s">
        <v>42</v>
      </c>
      <c r="S651" s="193" t="s">
        <v>1372</v>
      </c>
      <c r="T651" s="197">
        <f t="shared" si="43"/>
        <v>53</v>
      </c>
      <c r="U651" s="193" t="s">
        <v>1922</v>
      </c>
      <c r="V651" s="193" t="str">
        <f t="shared" si="44"/>
        <v>Masamba</v>
      </c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8"/>
      <c r="AL651" s="18"/>
    </row>
    <row r="652" spans="2:38" ht="15" customHeight="1" x14ac:dyDescent="0.2">
      <c r="B652" s="193">
        <v>1</v>
      </c>
      <c r="C652" s="347" t="s">
        <v>794</v>
      </c>
      <c r="D652" s="193" t="str">
        <f t="shared" si="42"/>
        <v>CPO000632MIS</v>
      </c>
      <c r="E652" s="193" t="s">
        <v>171</v>
      </c>
      <c r="F652" s="193" t="s">
        <v>1356</v>
      </c>
      <c r="G652" s="193" t="s">
        <v>1355</v>
      </c>
      <c r="H652" s="193" t="s">
        <v>40</v>
      </c>
      <c r="I652" s="193" t="s">
        <v>41</v>
      </c>
      <c r="J652" s="193" t="str">
        <f t="shared" si="45"/>
        <v>6 Roda</v>
      </c>
      <c r="K652" s="194">
        <v>46059</v>
      </c>
      <c r="L652" s="195">
        <v>13260</v>
      </c>
      <c r="M652" s="195">
        <v>3780</v>
      </c>
      <c r="N652" s="195">
        <v>9480</v>
      </c>
      <c r="O652" s="195">
        <v>9510</v>
      </c>
      <c r="P652" s="196">
        <v>0.34722222222222199</v>
      </c>
      <c r="Q652" s="196">
        <v>0.422916666666667</v>
      </c>
      <c r="R652" s="193" t="s">
        <v>137</v>
      </c>
      <c r="S652" s="193"/>
      <c r="T652" s="197">
        <f t="shared" si="43"/>
        <v>494</v>
      </c>
      <c r="U652" s="193"/>
      <c r="V652" s="193" t="str">
        <f t="shared" si="44"/>
        <v>Pomala</v>
      </c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8"/>
      <c r="AL652" s="18"/>
    </row>
    <row r="653" spans="2:38" ht="15" customHeight="1" x14ac:dyDescent="0.2">
      <c r="B653" s="193">
        <v>1</v>
      </c>
      <c r="C653" s="347" t="s">
        <v>795</v>
      </c>
      <c r="D653" s="193" t="str">
        <f t="shared" si="42"/>
        <v>CPO000633MIS</v>
      </c>
      <c r="E653" s="193" t="s">
        <v>53</v>
      </c>
      <c r="F653" s="193" t="s">
        <v>1356</v>
      </c>
      <c r="G653" s="193" t="s">
        <v>1355</v>
      </c>
      <c r="H653" s="193" t="s">
        <v>40</v>
      </c>
      <c r="I653" s="193" t="s">
        <v>41</v>
      </c>
      <c r="J653" s="193" t="str">
        <f t="shared" si="45"/>
        <v>6 Roda</v>
      </c>
      <c r="K653" s="194">
        <v>46059</v>
      </c>
      <c r="L653" s="195">
        <v>13370</v>
      </c>
      <c r="M653" s="195">
        <v>3900</v>
      </c>
      <c r="N653" s="195">
        <v>9470</v>
      </c>
      <c r="O653" s="195">
        <v>9500</v>
      </c>
      <c r="P653" s="196">
        <v>0.34861111111111098</v>
      </c>
      <c r="Q653" s="196">
        <v>0.41666666666666702</v>
      </c>
      <c r="R653" s="193" t="s">
        <v>137</v>
      </c>
      <c r="S653" s="193"/>
      <c r="T653" s="197">
        <f t="shared" si="43"/>
        <v>494</v>
      </c>
      <c r="U653" s="193"/>
      <c r="V653" s="193" t="str">
        <f t="shared" si="44"/>
        <v>Pomala</v>
      </c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8"/>
      <c r="AL653" s="18"/>
    </row>
    <row r="654" spans="2:38" ht="15" customHeight="1" x14ac:dyDescent="0.2">
      <c r="B654" s="193">
        <v>1</v>
      </c>
      <c r="C654" s="347" t="s">
        <v>796</v>
      </c>
      <c r="D654" s="193" t="str">
        <f t="shared" si="42"/>
        <v>CPO000634MIS</v>
      </c>
      <c r="E654" s="193" t="s">
        <v>166</v>
      </c>
      <c r="F654" s="193" t="s">
        <v>1356</v>
      </c>
      <c r="G654" s="193" t="s">
        <v>1355</v>
      </c>
      <c r="H654" s="193" t="s">
        <v>40</v>
      </c>
      <c r="I654" s="193" t="s">
        <v>41</v>
      </c>
      <c r="J654" s="193" t="str">
        <f t="shared" si="45"/>
        <v>6 Roda</v>
      </c>
      <c r="K654" s="194">
        <v>46059</v>
      </c>
      <c r="L654" s="195">
        <v>13190</v>
      </c>
      <c r="M654" s="195">
        <v>3900</v>
      </c>
      <c r="N654" s="195">
        <v>9290</v>
      </c>
      <c r="O654" s="195">
        <v>9270</v>
      </c>
      <c r="P654" s="196">
        <v>0.35069444444444398</v>
      </c>
      <c r="Q654" s="196">
        <v>0.41944444444444501</v>
      </c>
      <c r="R654" s="193" t="s">
        <v>137</v>
      </c>
      <c r="S654" s="193"/>
      <c r="T654" s="197">
        <f t="shared" si="43"/>
        <v>494</v>
      </c>
      <c r="U654" s="193"/>
      <c r="V654" s="193" t="str">
        <f t="shared" si="44"/>
        <v>Pomala</v>
      </c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8"/>
      <c r="AL654" s="18"/>
    </row>
    <row r="655" spans="2:38" ht="15" customHeight="1" x14ac:dyDescent="0.2">
      <c r="B655" s="193">
        <v>1</v>
      </c>
      <c r="C655" s="347" t="s">
        <v>800</v>
      </c>
      <c r="D655" s="193" t="str">
        <f t="shared" si="42"/>
        <v>CPO000638MIS</v>
      </c>
      <c r="E655" s="193" t="s">
        <v>738</v>
      </c>
      <c r="F655" s="193" t="s">
        <v>1361</v>
      </c>
      <c r="G655" s="193" t="s">
        <v>1360</v>
      </c>
      <c r="H655" s="193" t="s">
        <v>40</v>
      </c>
      <c r="I655" s="193" t="s">
        <v>41</v>
      </c>
      <c r="J655" s="193" t="str">
        <f t="shared" si="45"/>
        <v>6 Roda</v>
      </c>
      <c r="K655" s="194">
        <v>46059</v>
      </c>
      <c r="L655" s="195">
        <v>12380</v>
      </c>
      <c r="M655" s="195">
        <v>3830</v>
      </c>
      <c r="N655" s="195">
        <v>8550</v>
      </c>
      <c r="O655" s="195">
        <v>8620</v>
      </c>
      <c r="P655" s="196">
        <v>0.66805555555555596</v>
      </c>
      <c r="Q655" s="196">
        <v>0.70902777777777803</v>
      </c>
      <c r="R655" s="193" t="s">
        <v>137</v>
      </c>
      <c r="S655" s="193"/>
      <c r="T655" s="197">
        <f t="shared" si="43"/>
        <v>494</v>
      </c>
      <c r="U655" s="193"/>
      <c r="V655" s="193" t="str">
        <f t="shared" si="44"/>
        <v>Pomala</v>
      </c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8"/>
      <c r="AL655" s="18"/>
    </row>
    <row r="656" spans="2:38" ht="15" customHeight="1" x14ac:dyDescent="0.2">
      <c r="B656" s="193">
        <v>1</v>
      </c>
      <c r="C656" s="347" t="s">
        <v>801</v>
      </c>
      <c r="D656" s="193" t="str">
        <f t="shared" si="42"/>
        <v>CPO000639MIS</v>
      </c>
      <c r="E656" s="193" t="s">
        <v>156</v>
      </c>
      <c r="F656" s="193" t="s">
        <v>1361</v>
      </c>
      <c r="G656" s="193" t="s">
        <v>1360</v>
      </c>
      <c r="H656" s="193" t="s">
        <v>40</v>
      </c>
      <c r="I656" s="193" t="s">
        <v>41</v>
      </c>
      <c r="J656" s="193" t="str">
        <f t="shared" si="45"/>
        <v>6 Roda</v>
      </c>
      <c r="K656" s="194">
        <v>46059</v>
      </c>
      <c r="L656" s="195">
        <v>14160</v>
      </c>
      <c r="M656" s="195">
        <v>4140</v>
      </c>
      <c r="N656" s="195">
        <v>10020</v>
      </c>
      <c r="O656" s="195">
        <v>10020</v>
      </c>
      <c r="P656" s="196">
        <v>0.72847222222222197</v>
      </c>
      <c r="Q656" s="196">
        <v>0.75486111111111098</v>
      </c>
      <c r="R656" s="193" t="s">
        <v>42</v>
      </c>
      <c r="S656" s="193"/>
      <c r="T656" s="197">
        <f t="shared" si="43"/>
        <v>494</v>
      </c>
      <c r="U656" s="193"/>
      <c r="V656" s="193" t="str">
        <f t="shared" si="44"/>
        <v>Pomala</v>
      </c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8"/>
      <c r="AL656" s="18"/>
    </row>
    <row r="657" spans="2:38" ht="15" customHeight="1" x14ac:dyDescent="0.2">
      <c r="B657" s="193">
        <v>1</v>
      </c>
      <c r="C657" s="347" t="s">
        <v>802</v>
      </c>
      <c r="D657" s="193" t="str">
        <f t="shared" si="42"/>
        <v>CPO000640MIS</v>
      </c>
      <c r="E657" s="193" t="s">
        <v>215</v>
      </c>
      <c r="F657" s="193" t="s">
        <v>1361</v>
      </c>
      <c r="G657" s="193" t="s">
        <v>1360</v>
      </c>
      <c r="H657" s="193" t="s">
        <v>40</v>
      </c>
      <c r="I657" s="193" t="s">
        <v>41</v>
      </c>
      <c r="J657" s="193" t="str">
        <f t="shared" si="45"/>
        <v>6 Roda</v>
      </c>
      <c r="K657" s="194">
        <v>46059</v>
      </c>
      <c r="L657" s="195">
        <v>12880</v>
      </c>
      <c r="M657" s="195">
        <v>4000</v>
      </c>
      <c r="N657" s="195">
        <v>8880</v>
      </c>
      <c r="O657" s="195">
        <v>8850</v>
      </c>
      <c r="P657" s="196">
        <v>0.72986111111111096</v>
      </c>
      <c r="Q657" s="196">
        <v>0.76458333333333295</v>
      </c>
      <c r="R657" s="193" t="s">
        <v>42</v>
      </c>
      <c r="S657" s="193"/>
      <c r="T657" s="197">
        <f t="shared" si="43"/>
        <v>494</v>
      </c>
      <c r="U657" s="193"/>
      <c r="V657" s="193" t="str">
        <f t="shared" si="44"/>
        <v>Pomala</v>
      </c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8"/>
      <c r="AL657" s="18"/>
    </row>
    <row r="658" spans="2:38" ht="15" customHeight="1" x14ac:dyDescent="0.2">
      <c r="B658" s="193">
        <v>1</v>
      </c>
      <c r="C658" s="347" t="s">
        <v>803</v>
      </c>
      <c r="D658" s="193" t="str">
        <f t="shared" si="42"/>
        <v>CPO000641MIS</v>
      </c>
      <c r="E658" s="193" t="s">
        <v>163</v>
      </c>
      <c r="F658" s="193" t="s">
        <v>1356</v>
      </c>
      <c r="G658" s="193" t="s">
        <v>1355</v>
      </c>
      <c r="H658" s="193" t="s">
        <v>40</v>
      </c>
      <c r="I658" s="193" t="s">
        <v>41</v>
      </c>
      <c r="J658" s="193" t="str">
        <f t="shared" si="45"/>
        <v>6 Roda</v>
      </c>
      <c r="K658" s="194">
        <v>46059</v>
      </c>
      <c r="L658" s="195">
        <v>14040</v>
      </c>
      <c r="M658" s="195">
        <v>4030</v>
      </c>
      <c r="N658" s="195">
        <v>10010</v>
      </c>
      <c r="O658" s="195">
        <v>10050</v>
      </c>
      <c r="P658" s="196">
        <v>0.73333333333333295</v>
      </c>
      <c r="Q658" s="196">
        <v>0.76666666666666705</v>
      </c>
      <c r="R658" s="193" t="s">
        <v>42</v>
      </c>
      <c r="S658" s="193"/>
      <c r="T658" s="197">
        <f t="shared" si="43"/>
        <v>494</v>
      </c>
      <c r="U658" s="193"/>
      <c r="V658" s="193" t="str">
        <f t="shared" si="44"/>
        <v>Pomala</v>
      </c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8"/>
      <c r="AL658" s="18"/>
    </row>
    <row r="659" spans="2:38" ht="15" customHeight="1" x14ac:dyDescent="0.2">
      <c r="B659" s="193">
        <v>1</v>
      </c>
      <c r="C659" s="347" t="s">
        <v>804</v>
      </c>
      <c r="D659" s="193" t="str">
        <f t="shared" si="42"/>
        <v>CPO000642MIS</v>
      </c>
      <c r="E659" s="193" t="s">
        <v>205</v>
      </c>
      <c r="F659" s="193" t="s">
        <v>1356</v>
      </c>
      <c r="G659" s="193" t="s">
        <v>1355</v>
      </c>
      <c r="H659" s="193" t="s">
        <v>40</v>
      </c>
      <c r="I659" s="193" t="s">
        <v>41</v>
      </c>
      <c r="J659" s="193" t="str">
        <f t="shared" si="45"/>
        <v>6 Roda</v>
      </c>
      <c r="K659" s="194">
        <v>46059</v>
      </c>
      <c r="L659" s="195">
        <v>14050</v>
      </c>
      <c r="M659" s="195">
        <v>4140</v>
      </c>
      <c r="N659" s="195">
        <v>9910</v>
      </c>
      <c r="O659" s="195">
        <v>9890</v>
      </c>
      <c r="P659" s="196">
        <v>0.73472222222222205</v>
      </c>
      <c r="Q659" s="196">
        <v>0.76597222222222205</v>
      </c>
      <c r="R659" s="193" t="s">
        <v>42</v>
      </c>
      <c r="S659" s="193"/>
      <c r="T659" s="197">
        <f t="shared" si="43"/>
        <v>494</v>
      </c>
      <c r="U659" s="193"/>
      <c r="V659" s="193" t="str">
        <f t="shared" si="44"/>
        <v>Pomala</v>
      </c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8"/>
      <c r="AL659" s="18"/>
    </row>
    <row r="660" spans="2:38" ht="15" customHeight="1" x14ac:dyDescent="0.2">
      <c r="B660" s="193">
        <v>1</v>
      </c>
      <c r="C660" s="347" t="s">
        <v>797</v>
      </c>
      <c r="D660" s="193" t="str">
        <f t="shared" si="42"/>
        <v>CPO000635KMP</v>
      </c>
      <c r="E660" s="193" t="s">
        <v>70</v>
      </c>
      <c r="F660" s="193" t="s">
        <v>1455</v>
      </c>
      <c r="G660" s="193" t="s">
        <v>1359</v>
      </c>
      <c r="H660" s="193" t="s">
        <v>59</v>
      </c>
      <c r="I660" s="193" t="s">
        <v>41</v>
      </c>
      <c r="J660" s="193" t="str">
        <f t="shared" si="45"/>
        <v>12 Roda</v>
      </c>
      <c r="K660" s="194">
        <v>46059</v>
      </c>
      <c r="L660" s="195">
        <v>45800</v>
      </c>
      <c r="M660" s="195">
        <v>17490</v>
      </c>
      <c r="N660" s="195">
        <v>28310</v>
      </c>
      <c r="O660" s="195">
        <v>28420</v>
      </c>
      <c r="P660" s="196">
        <v>0.38750000000000001</v>
      </c>
      <c r="Q660" s="196">
        <v>0.47499999999999998</v>
      </c>
      <c r="R660" s="193" t="s">
        <v>137</v>
      </c>
      <c r="S660" s="193" t="s">
        <v>1499</v>
      </c>
      <c r="T660" s="197">
        <f t="shared" si="43"/>
        <v>53</v>
      </c>
      <c r="U660" s="193" t="s">
        <v>1922</v>
      </c>
      <c r="V660" s="193" t="str">
        <f t="shared" si="44"/>
        <v>Masamba</v>
      </c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8"/>
      <c r="AL660" s="18"/>
    </row>
    <row r="661" spans="2:38" ht="15" customHeight="1" x14ac:dyDescent="0.2">
      <c r="B661" s="193">
        <v>1</v>
      </c>
      <c r="C661" s="347" t="s">
        <v>798</v>
      </c>
      <c r="D661" s="193" t="str">
        <f t="shared" si="42"/>
        <v>CPO000636KMP</v>
      </c>
      <c r="E661" s="193" t="s">
        <v>56</v>
      </c>
      <c r="F661" s="193" t="s">
        <v>1455</v>
      </c>
      <c r="G661" s="193" t="s">
        <v>1359</v>
      </c>
      <c r="H661" s="193" t="s">
        <v>59</v>
      </c>
      <c r="I661" s="193" t="s">
        <v>41</v>
      </c>
      <c r="J661" s="193" t="str">
        <f t="shared" si="45"/>
        <v>10 Roda</v>
      </c>
      <c r="K661" s="194">
        <v>46059</v>
      </c>
      <c r="L661" s="195">
        <v>24990</v>
      </c>
      <c r="M661" s="195">
        <v>10680</v>
      </c>
      <c r="N661" s="195">
        <v>14310</v>
      </c>
      <c r="O661" s="195">
        <v>14320</v>
      </c>
      <c r="P661" s="196">
        <v>0.406944444444444</v>
      </c>
      <c r="Q661" s="196">
        <v>0.45972222222222198</v>
      </c>
      <c r="R661" s="193" t="s">
        <v>137</v>
      </c>
      <c r="S661" s="193" t="s">
        <v>1781</v>
      </c>
      <c r="T661" s="197">
        <f t="shared" si="43"/>
        <v>53</v>
      </c>
      <c r="U661" s="193" t="s">
        <v>1922</v>
      </c>
      <c r="V661" s="193" t="str">
        <f t="shared" si="44"/>
        <v>Masamba</v>
      </c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8"/>
      <c r="AL661" s="18"/>
    </row>
    <row r="662" spans="2:38" ht="15" customHeight="1" x14ac:dyDescent="0.2">
      <c r="B662" s="193">
        <v>1</v>
      </c>
      <c r="C662" s="347" t="s">
        <v>799</v>
      </c>
      <c r="D662" s="193" t="str">
        <f t="shared" si="42"/>
        <v>CPO000637KMP</v>
      </c>
      <c r="E662" s="193" t="s">
        <v>76</v>
      </c>
      <c r="F662" s="193" t="s">
        <v>1455</v>
      </c>
      <c r="G662" s="193" t="s">
        <v>1359</v>
      </c>
      <c r="H662" s="193" t="s">
        <v>59</v>
      </c>
      <c r="I662" s="193" t="s">
        <v>41</v>
      </c>
      <c r="J662" s="193" t="str">
        <f t="shared" si="45"/>
        <v>12 Roda</v>
      </c>
      <c r="K662" s="194">
        <v>46059</v>
      </c>
      <c r="L662" s="195">
        <v>46060</v>
      </c>
      <c r="M662" s="195">
        <v>17810</v>
      </c>
      <c r="N662" s="195">
        <v>28250</v>
      </c>
      <c r="O662" s="195">
        <v>28340</v>
      </c>
      <c r="P662" s="196">
        <v>0.422222222222222</v>
      </c>
      <c r="Q662" s="196">
        <v>0.47569444444444398</v>
      </c>
      <c r="R662" s="193" t="s">
        <v>137</v>
      </c>
      <c r="S662" s="193" t="s">
        <v>1372</v>
      </c>
      <c r="T662" s="197">
        <f t="shared" si="43"/>
        <v>53</v>
      </c>
      <c r="U662" s="193" t="s">
        <v>1922</v>
      </c>
      <c r="V662" s="193" t="str">
        <f t="shared" si="44"/>
        <v>Masamba</v>
      </c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8"/>
      <c r="AL662" s="18"/>
    </row>
    <row r="663" spans="2:38" ht="15" customHeight="1" x14ac:dyDescent="0.2">
      <c r="B663" s="193">
        <v>1</v>
      </c>
      <c r="C663" s="347" t="s">
        <v>805</v>
      </c>
      <c r="D663" s="193" t="str">
        <f t="shared" ref="D663:D726" si="46">I663&amp;C663&amp;_xlfn.XLOOKUP(H663,$AM$4:$AM$26,$AN$4:$AN$26,"")</f>
        <v>CPO000643MIS</v>
      </c>
      <c r="E663" s="193" t="s">
        <v>39</v>
      </c>
      <c r="F663" s="193" t="s">
        <v>1361</v>
      </c>
      <c r="G663" s="193" t="s">
        <v>1360</v>
      </c>
      <c r="H663" s="193" t="s">
        <v>40</v>
      </c>
      <c r="I663" s="193" t="s">
        <v>41</v>
      </c>
      <c r="J663" s="193" t="str">
        <f t="shared" si="45"/>
        <v>6 Roda</v>
      </c>
      <c r="K663" s="194">
        <v>46060</v>
      </c>
      <c r="L663" s="195">
        <v>13720</v>
      </c>
      <c r="M663" s="195">
        <v>4120</v>
      </c>
      <c r="N663" s="195">
        <v>9600</v>
      </c>
      <c r="O663" s="195">
        <v>9570</v>
      </c>
      <c r="P663" s="196">
        <v>0.36180555555555599</v>
      </c>
      <c r="Q663" s="196">
        <v>0.38888888888888901</v>
      </c>
      <c r="R663" s="193" t="s">
        <v>137</v>
      </c>
      <c r="S663" s="193"/>
      <c r="T663" s="197">
        <f t="shared" ref="T663:T726" si="47">IFERROR(_xlfn.XLOOKUP(H663,$AM$4:$AM$18,$AP$4:$AP$18,""),0)</f>
        <v>494</v>
      </c>
      <c r="U663" s="193"/>
      <c r="V663" s="193" t="str">
        <f t="shared" ref="V663:V726" si="48">IFERROR(_xlfn.XLOOKUP(H663,$AM$4:$AM$18,$AO$4:$AO$18,""),"")</f>
        <v>Pomala</v>
      </c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8"/>
      <c r="AL663" s="18"/>
    </row>
    <row r="664" spans="2:38" ht="15" customHeight="1" x14ac:dyDescent="0.2">
      <c r="B664" s="193">
        <v>1</v>
      </c>
      <c r="C664" s="347" t="s">
        <v>806</v>
      </c>
      <c r="D664" s="193" t="str">
        <f t="shared" si="46"/>
        <v>CPO000644MIS</v>
      </c>
      <c r="E664" s="193" t="s">
        <v>73</v>
      </c>
      <c r="F664" s="193" t="s">
        <v>1361</v>
      </c>
      <c r="G664" s="193" t="s">
        <v>1360</v>
      </c>
      <c r="H664" s="193" t="s">
        <v>40</v>
      </c>
      <c r="I664" s="193" t="s">
        <v>41</v>
      </c>
      <c r="J664" s="193" t="str">
        <f t="shared" si="45"/>
        <v>6 Roda</v>
      </c>
      <c r="K664" s="194">
        <v>46060</v>
      </c>
      <c r="L664" s="195">
        <v>13480</v>
      </c>
      <c r="M664" s="195">
        <v>4000</v>
      </c>
      <c r="N664" s="195">
        <v>9480</v>
      </c>
      <c r="O664" s="195">
        <v>9430</v>
      </c>
      <c r="P664" s="196">
        <v>0.36319444444444399</v>
      </c>
      <c r="Q664" s="196">
        <v>0.390972222222222</v>
      </c>
      <c r="R664" s="193" t="s">
        <v>137</v>
      </c>
      <c r="S664" s="193"/>
      <c r="T664" s="197">
        <f t="shared" si="47"/>
        <v>494</v>
      </c>
      <c r="U664" s="193"/>
      <c r="V664" s="193" t="str">
        <f t="shared" si="48"/>
        <v>Pomala</v>
      </c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8"/>
      <c r="AL664" s="18"/>
    </row>
    <row r="665" spans="2:38" ht="15" customHeight="1" x14ac:dyDescent="0.2">
      <c r="B665" s="193">
        <v>1</v>
      </c>
      <c r="C665" s="347" t="s">
        <v>807</v>
      </c>
      <c r="D665" s="193" t="str">
        <f t="shared" si="46"/>
        <v>CPO000645MIS</v>
      </c>
      <c r="E665" s="193" t="s">
        <v>151</v>
      </c>
      <c r="F665" s="193" t="s">
        <v>1361</v>
      </c>
      <c r="G665" s="193" t="s">
        <v>1360</v>
      </c>
      <c r="H665" s="193" t="s">
        <v>40</v>
      </c>
      <c r="I665" s="193" t="s">
        <v>41</v>
      </c>
      <c r="J665" s="193" t="str">
        <f t="shared" si="45"/>
        <v>6 Roda</v>
      </c>
      <c r="K665" s="194">
        <v>46060</v>
      </c>
      <c r="L665" s="195">
        <v>13560</v>
      </c>
      <c r="M665" s="195">
        <v>4140</v>
      </c>
      <c r="N665" s="195">
        <v>9420</v>
      </c>
      <c r="O665" s="195">
        <v>9370</v>
      </c>
      <c r="P665" s="196">
        <v>0.36458333333333298</v>
      </c>
      <c r="Q665" s="196">
        <v>0.39513888888888898</v>
      </c>
      <c r="R665" s="193" t="s">
        <v>137</v>
      </c>
      <c r="S665" s="193"/>
      <c r="T665" s="197">
        <f t="shared" si="47"/>
        <v>494</v>
      </c>
      <c r="U665" s="193"/>
      <c r="V665" s="193" t="str">
        <f t="shared" si="48"/>
        <v>Pomala</v>
      </c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8"/>
      <c r="AL665" s="18"/>
    </row>
    <row r="666" spans="2:38" ht="15" customHeight="1" x14ac:dyDescent="0.2">
      <c r="B666" s="193">
        <v>1</v>
      </c>
      <c r="C666" s="347" t="s">
        <v>808</v>
      </c>
      <c r="D666" s="193" t="str">
        <f t="shared" si="46"/>
        <v>CPO000646MIS</v>
      </c>
      <c r="E666" s="193" t="s">
        <v>149</v>
      </c>
      <c r="F666" s="193" t="s">
        <v>1361</v>
      </c>
      <c r="G666" s="193" t="s">
        <v>1360</v>
      </c>
      <c r="H666" s="193" t="s">
        <v>40</v>
      </c>
      <c r="I666" s="193" t="s">
        <v>41</v>
      </c>
      <c r="J666" s="193" t="str">
        <f t="shared" si="45"/>
        <v>6 Roda</v>
      </c>
      <c r="K666" s="194">
        <v>46060</v>
      </c>
      <c r="L666" s="195">
        <v>13960</v>
      </c>
      <c r="M666" s="195">
        <v>4090</v>
      </c>
      <c r="N666" s="195">
        <v>9870</v>
      </c>
      <c r="O666" s="195">
        <v>9830</v>
      </c>
      <c r="P666" s="196">
        <v>0.36527777777777798</v>
      </c>
      <c r="Q666" s="196">
        <v>0.390277777777778</v>
      </c>
      <c r="R666" s="193" t="s">
        <v>137</v>
      </c>
      <c r="S666" s="193"/>
      <c r="T666" s="197">
        <f t="shared" si="47"/>
        <v>494</v>
      </c>
      <c r="U666" s="193"/>
      <c r="V666" s="193" t="str">
        <f t="shared" si="48"/>
        <v>Pomala</v>
      </c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8"/>
      <c r="AL666" s="18"/>
    </row>
    <row r="667" spans="2:38" ht="15" customHeight="1" x14ac:dyDescent="0.2">
      <c r="B667" s="193">
        <v>1</v>
      </c>
      <c r="C667" s="347" t="s">
        <v>809</v>
      </c>
      <c r="D667" s="193" t="str">
        <f t="shared" si="46"/>
        <v>CPO000647MIS</v>
      </c>
      <c r="E667" s="193" t="s">
        <v>153</v>
      </c>
      <c r="F667" s="193" t="s">
        <v>1361</v>
      </c>
      <c r="G667" s="193" t="s">
        <v>1360</v>
      </c>
      <c r="H667" s="193" t="s">
        <v>40</v>
      </c>
      <c r="I667" s="193" t="s">
        <v>41</v>
      </c>
      <c r="J667" s="193" t="str">
        <f t="shared" si="45"/>
        <v>6 Roda</v>
      </c>
      <c r="K667" s="194">
        <v>46060</v>
      </c>
      <c r="L667" s="195">
        <v>13580</v>
      </c>
      <c r="M667" s="195">
        <v>3990</v>
      </c>
      <c r="N667" s="195">
        <v>9590</v>
      </c>
      <c r="O667" s="195">
        <v>9560</v>
      </c>
      <c r="P667" s="196">
        <v>0.39305555555555599</v>
      </c>
      <c r="Q667" s="196">
        <v>0.41875000000000001</v>
      </c>
      <c r="R667" s="193" t="s">
        <v>137</v>
      </c>
      <c r="S667" s="193"/>
      <c r="T667" s="197">
        <f t="shared" si="47"/>
        <v>494</v>
      </c>
      <c r="U667" s="193"/>
      <c r="V667" s="193" t="str">
        <f t="shared" si="48"/>
        <v>Pomala</v>
      </c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8"/>
      <c r="AL667" s="18"/>
    </row>
    <row r="668" spans="2:38" ht="15" customHeight="1" x14ac:dyDescent="0.2">
      <c r="B668" s="193">
        <v>1</v>
      </c>
      <c r="C668" s="347" t="s">
        <v>810</v>
      </c>
      <c r="D668" s="193" t="str">
        <f t="shared" si="46"/>
        <v>CPO000648MIS</v>
      </c>
      <c r="E668" s="193" t="s">
        <v>220</v>
      </c>
      <c r="F668" s="193" t="s">
        <v>1361</v>
      </c>
      <c r="G668" s="193" t="s">
        <v>1360</v>
      </c>
      <c r="H668" s="193" t="s">
        <v>40</v>
      </c>
      <c r="I668" s="193" t="s">
        <v>41</v>
      </c>
      <c r="J668" s="193" t="str">
        <f t="shared" si="45"/>
        <v>6 Roda</v>
      </c>
      <c r="K668" s="194">
        <v>46060</v>
      </c>
      <c r="L668" s="195">
        <v>13660</v>
      </c>
      <c r="M668" s="195">
        <v>4010</v>
      </c>
      <c r="N668" s="195">
        <v>9650</v>
      </c>
      <c r="O668" s="195">
        <v>9600</v>
      </c>
      <c r="P668" s="196">
        <v>0.39444444444444399</v>
      </c>
      <c r="Q668" s="196">
        <v>0.41527777777777802</v>
      </c>
      <c r="R668" s="193" t="s">
        <v>137</v>
      </c>
      <c r="S668" s="193"/>
      <c r="T668" s="197">
        <f t="shared" si="47"/>
        <v>494</v>
      </c>
      <c r="U668" s="193"/>
      <c r="V668" s="193" t="str">
        <f t="shared" si="48"/>
        <v>Pomala</v>
      </c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8"/>
      <c r="AL668" s="18"/>
    </row>
    <row r="669" spans="2:38" ht="15" customHeight="1" x14ac:dyDescent="0.2">
      <c r="B669" s="193">
        <v>1</v>
      </c>
      <c r="C669" s="347" t="s">
        <v>814</v>
      </c>
      <c r="D669" s="193" t="str">
        <f t="shared" si="46"/>
        <v>CPO000652MIS</v>
      </c>
      <c r="E669" s="193" t="s">
        <v>158</v>
      </c>
      <c r="F669" s="193" t="s">
        <v>1361</v>
      </c>
      <c r="G669" s="193" t="s">
        <v>1360</v>
      </c>
      <c r="H669" s="193" t="s">
        <v>40</v>
      </c>
      <c r="I669" s="193" t="s">
        <v>41</v>
      </c>
      <c r="J669" s="193" t="str">
        <f t="shared" si="45"/>
        <v>6 Roda</v>
      </c>
      <c r="K669" s="194">
        <v>46060</v>
      </c>
      <c r="L669" s="195">
        <v>14170</v>
      </c>
      <c r="M669" s="195">
        <v>4060</v>
      </c>
      <c r="N669" s="195">
        <v>10110</v>
      </c>
      <c r="O669" s="195">
        <v>10060</v>
      </c>
      <c r="P669" s="196">
        <v>0.420833333333333</v>
      </c>
      <c r="Q669" s="196">
        <v>0.44444444444444398</v>
      </c>
      <c r="R669" s="193" t="s">
        <v>137</v>
      </c>
      <c r="S669" s="193"/>
      <c r="T669" s="197">
        <f t="shared" si="47"/>
        <v>494</v>
      </c>
      <c r="U669" s="193"/>
      <c r="V669" s="193" t="str">
        <f t="shared" si="48"/>
        <v>Pomala</v>
      </c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8"/>
      <c r="AL669" s="18"/>
    </row>
    <row r="670" spans="2:38" ht="15" customHeight="1" x14ac:dyDescent="0.2">
      <c r="B670" s="193">
        <v>1</v>
      </c>
      <c r="C670" s="347" t="s">
        <v>815</v>
      </c>
      <c r="D670" s="193" t="str">
        <f t="shared" si="46"/>
        <v>CPO000653MIS</v>
      </c>
      <c r="E670" s="193" t="s">
        <v>186</v>
      </c>
      <c r="F670" s="193" t="s">
        <v>1361</v>
      </c>
      <c r="G670" s="193" t="s">
        <v>1360</v>
      </c>
      <c r="H670" s="193" t="s">
        <v>40</v>
      </c>
      <c r="I670" s="193" t="s">
        <v>41</v>
      </c>
      <c r="J670" s="193" t="str">
        <f t="shared" si="45"/>
        <v>6 Roda</v>
      </c>
      <c r="K670" s="194">
        <v>46060</v>
      </c>
      <c r="L670" s="195">
        <v>13600</v>
      </c>
      <c r="M670" s="195">
        <v>4000</v>
      </c>
      <c r="N670" s="195">
        <v>9600</v>
      </c>
      <c r="O670" s="195">
        <v>9570</v>
      </c>
      <c r="P670" s="196">
        <v>0.44722222222222202</v>
      </c>
      <c r="Q670" s="196">
        <v>0.46875</v>
      </c>
      <c r="R670" s="193" t="s">
        <v>137</v>
      </c>
      <c r="S670" s="193"/>
      <c r="T670" s="197">
        <f t="shared" si="47"/>
        <v>494</v>
      </c>
      <c r="U670" s="193"/>
      <c r="V670" s="193" t="str">
        <f t="shared" si="48"/>
        <v>Pomala</v>
      </c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8"/>
      <c r="AL670" s="18"/>
    </row>
    <row r="671" spans="2:38" ht="15" customHeight="1" x14ac:dyDescent="0.2">
      <c r="B671" s="193">
        <v>1</v>
      </c>
      <c r="C671" s="347" t="s">
        <v>816</v>
      </c>
      <c r="D671" s="193" t="str">
        <f t="shared" si="46"/>
        <v>CPO000654MIS</v>
      </c>
      <c r="E671" s="193" t="s">
        <v>181</v>
      </c>
      <c r="F671" s="193" t="s">
        <v>1356</v>
      </c>
      <c r="G671" s="193" t="s">
        <v>1355</v>
      </c>
      <c r="H671" s="193" t="s">
        <v>40</v>
      </c>
      <c r="I671" s="193" t="s">
        <v>41</v>
      </c>
      <c r="J671" s="193" t="s">
        <v>1131</v>
      </c>
      <c r="K671" s="194">
        <v>46060</v>
      </c>
      <c r="L671" s="195">
        <v>13610</v>
      </c>
      <c r="M671" s="195">
        <v>13130</v>
      </c>
      <c r="N671" s="195">
        <v>340</v>
      </c>
      <c r="O671" s="195">
        <v>340</v>
      </c>
      <c r="P671" s="196">
        <v>0.45486111111111099</v>
      </c>
      <c r="Q671" s="196">
        <v>0.47986111111111102</v>
      </c>
      <c r="R671" s="193" t="s">
        <v>137</v>
      </c>
      <c r="S671" s="193"/>
      <c r="T671" s="197">
        <f t="shared" si="47"/>
        <v>494</v>
      </c>
      <c r="U671" s="193"/>
      <c r="V671" s="193" t="str">
        <f t="shared" si="48"/>
        <v>Pomala</v>
      </c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8"/>
      <c r="AL671" s="18"/>
    </row>
    <row r="672" spans="2:38" ht="15" customHeight="1" x14ac:dyDescent="0.2">
      <c r="B672" s="193">
        <v>1</v>
      </c>
      <c r="C672" s="347" t="s">
        <v>816</v>
      </c>
      <c r="D672" s="193" t="str">
        <f t="shared" si="46"/>
        <v>CPO000654MIS</v>
      </c>
      <c r="E672" s="193" t="s">
        <v>181</v>
      </c>
      <c r="F672" s="193" t="s">
        <v>1361</v>
      </c>
      <c r="G672" s="193" t="s">
        <v>1360</v>
      </c>
      <c r="H672" s="193" t="s">
        <v>40</v>
      </c>
      <c r="I672" s="193" t="s">
        <v>41</v>
      </c>
      <c r="J672" s="193" t="str">
        <f t="shared" ref="J672:J735" si="49">IF(MIN(L672,M672)&lt;=5000,"6 Roda",IF(MIN(L672,M672)&lt;=13800,"10 Roda","12 Roda"))</f>
        <v>6 Roda</v>
      </c>
      <c r="K672" s="194">
        <v>46060</v>
      </c>
      <c r="L672" s="195">
        <v>13610</v>
      </c>
      <c r="M672" s="195">
        <v>4000</v>
      </c>
      <c r="N672" s="195">
        <v>9610</v>
      </c>
      <c r="O672" s="195">
        <v>9230</v>
      </c>
      <c r="P672" s="196">
        <v>0.45486111111111099</v>
      </c>
      <c r="Q672" s="196">
        <v>0.47986111111111102</v>
      </c>
      <c r="R672" s="193" t="s">
        <v>137</v>
      </c>
      <c r="S672" s="193"/>
      <c r="T672" s="197">
        <f t="shared" si="47"/>
        <v>494</v>
      </c>
      <c r="U672" s="193"/>
      <c r="V672" s="193" t="str">
        <f t="shared" si="48"/>
        <v>Pomala</v>
      </c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8"/>
      <c r="AL672" s="18"/>
    </row>
    <row r="673" spans="2:38" ht="15" customHeight="1" x14ac:dyDescent="0.2">
      <c r="B673" s="193">
        <v>1</v>
      </c>
      <c r="C673" s="347" t="s">
        <v>817</v>
      </c>
      <c r="D673" s="193" t="str">
        <f t="shared" si="46"/>
        <v>CPO000655MIS</v>
      </c>
      <c r="E673" s="193" t="s">
        <v>188</v>
      </c>
      <c r="F673" s="193" t="s">
        <v>1361</v>
      </c>
      <c r="G673" s="193" t="s">
        <v>1360</v>
      </c>
      <c r="H673" s="193" t="s">
        <v>40</v>
      </c>
      <c r="I673" s="193" t="s">
        <v>41</v>
      </c>
      <c r="J673" s="193" t="str">
        <f t="shared" si="49"/>
        <v>6 Roda</v>
      </c>
      <c r="K673" s="194">
        <v>46060</v>
      </c>
      <c r="L673" s="195">
        <v>13250</v>
      </c>
      <c r="M673" s="195">
        <v>3810</v>
      </c>
      <c r="N673" s="195">
        <v>9440</v>
      </c>
      <c r="O673" s="195">
        <v>9400</v>
      </c>
      <c r="P673" s="196">
        <v>0.47083333333333299</v>
      </c>
      <c r="Q673" s="196">
        <v>0.50763888888888897</v>
      </c>
      <c r="R673" s="193" t="s">
        <v>137</v>
      </c>
      <c r="S673" s="193"/>
      <c r="T673" s="197">
        <f t="shared" si="47"/>
        <v>494</v>
      </c>
      <c r="U673" s="193"/>
      <c r="V673" s="193" t="str">
        <f t="shared" si="48"/>
        <v>Pomala</v>
      </c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8"/>
      <c r="AL673" s="18"/>
    </row>
    <row r="674" spans="2:38" ht="15" customHeight="1" x14ac:dyDescent="0.2">
      <c r="B674" s="193">
        <v>1</v>
      </c>
      <c r="C674" s="347" t="s">
        <v>818</v>
      </c>
      <c r="D674" s="193" t="str">
        <f t="shared" si="46"/>
        <v>CPO000656MIS</v>
      </c>
      <c r="E674" s="193" t="s">
        <v>155</v>
      </c>
      <c r="F674" s="193" t="s">
        <v>1361</v>
      </c>
      <c r="G674" s="193" t="s">
        <v>1360</v>
      </c>
      <c r="H674" s="193" t="s">
        <v>40</v>
      </c>
      <c r="I674" s="193" t="s">
        <v>41</v>
      </c>
      <c r="J674" s="193" t="str">
        <f t="shared" si="49"/>
        <v>6 Roda</v>
      </c>
      <c r="K674" s="194">
        <v>46060</v>
      </c>
      <c r="L674" s="195">
        <v>13640</v>
      </c>
      <c r="M674" s="195">
        <v>3980</v>
      </c>
      <c r="N674" s="195">
        <v>9660</v>
      </c>
      <c r="O674" s="195">
        <v>9670</v>
      </c>
      <c r="P674" s="196">
        <v>0.47916666666666702</v>
      </c>
      <c r="Q674" s="196">
        <v>0.50902777777777797</v>
      </c>
      <c r="R674" s="193" t="s">
        <v>137</v>
      </c>
      <c r="S674" s="193"/>
      <c r="T674" s="197">
        <f t="shared" si="47"/>
        <v>494</v>
      </c>
      <c r="U674" s="193"/>
      <c r="V674" s="193" t="str">
        <f t="shared" si="48"/>
        <v>Pomala</v>
      </c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8"/>
      <c r="AL674" s="18"/>
    </row>
    <row r="675" spans="2:38" ht="15" customHeight="1" x14ac:dyDescent="0.2">
      <c r="B675" s="193">
        <v>1</v>
      </c>
      <c r="C675" s="347" t="s">
        <v>822</v>
      </c>
      <c r="D675" s="193" t="str">
        <f t="shared" si="46"/>
        <v>CPO000660MIS</v>
      </c>
      <c r="E675" s="193" t="s">
        <v>730</v>
      </c>
      <c r="F675" s="193" t="s">
        <v>1361</v>
      </c>
      <c r="G675" s="193" t="s">
        <v>1360</v>
      </c>
      <c r="H675" s="193" t="s">
        <v>40</v>
      </c>
      <c r="I675" s="193" t="s">
        <v>41</v>
      </c>
      <c r="J675" s="193" t="str">
        <f t="shared" si="49"/>
        <v>6 Roda</v>
      </c>
      <c r="K675" s="194">
        <v>46060</v>
      </c>
      <c r="L675" s="195">
        <v>13190</v>
      </c>
      <c r="M675" s="195">
        <v>3840</v>
      </c>
      <c r="N675" s="195">
        <v>9350</v>
      </c>
      <c r="O675" s="195">
        <v>9330</v>
      </c>
      <c r="P675" s="196">
        <v>0.71666666666666701</v>
      </c>
      <c r="Q675" s="196">
        <v>0.75902777777777797</v>
      </c>
      <c r="R675" s="193" t="s">
        <v>42</v>
      </c>
      <c r="S675" s="193"/>
      <c r="T675" s="197">
        <f t="shared" si="47"/>
        <v>494</v>
      </c>
      <c r="U675" s="193"/>
      <c r="V675" s="193" t="str">
        <f t="shared" si="48"/>
        <v>Pomala</v>
      </c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8"/>
      <c r="AL675" s="18"/>
    </row>
    <row r="676" spans="2:38" ht="15" customHeight="1" x14ac:dyDescent="0.2">
      <c r="B676" s="193">
        <v>1</v>
      </c>
      <c r="C676" s="347" t="s">
        <v>823</v>
      </c>
      <c r="D676" s="193" t="str">
        <f t="shared" si="46"/>
        <v>CPO000661MIS</v>
      </c>
      <c r="E676" s="193" t="s">
        <v>183</v>
      </c>
      <c r="F676" s="193" t="s">
        <v>1361</v>
      </c>
      <c r="G676" s="193" t="s">
        <v>1360</v>
      </c>
      <c r="H676" s="193" t="s">
        <v>40</v>
      </c>
      <c r="I676" s="193" t="s">
        <v>41</v>
      </c>
      <c r="J676" s="193" t="str">
        <f t="shared" si="49"/>
        <v>6 Roda</v>
      </c>
      <c r="K676" s="194">
        <v>46060</v>
      </c>
      <c r="L676" s="195">
        <v>14210</v>
      </c>
      <c r="M676" s="195">
        <v>4250</v>
      </c>
      <c r="N676" s="195">
        <v>9960</v>
      </c>
      <c r="O676" s="195">
        <v>9990</v>
      </c>
      <c r="P676" s="196">
        <v>0.74444444444444502</v>
      </c>
      <c r="Q676" s="196">
        <v>0.77569444444444502</v>
      </c>
      <c r="R676" s="193" t="s">
        <v>42</v>
      </c>
      <c r="S676" s="193"/>
      <c r="T676" s="197">
        <f t="shared" si="47"/>
        <v>494</v>
      </c>
      <c r="U676" s="193"/>
      <c r="V676" s="193" t="str">
        <f t="shared" si="48"/>
        <v>Pomala</v>
      </c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8"/>
      <c r="AL676" s="18"/>
    </row>
    <row r="677" spans="2:38" ht="15" customHeight="1" x14ac:dyDescent="0.2">
      <c r="B677" s="193">
        <v>1</v>
      </c>
      <c r="C677" s="347" t="s">
        <v>167</v>
      </c>
      <c r="D677" s="193" t="str">
        <f t="shared" si="46"/>
        <v>CPO000050KMP</v>
      </c>
      <c r="E677" s="193" t="s">
        <v>70</v>
      </c>
      <c r="F677" s="193"/>
      <c r="G677" s="193" t="s">
        <v>1362</v>
      </c>
      <c r="H677" s="193" t="s">
        <v>59</v>
      </c>
      <c r="I677" s="193" t="s">
        <v>41</v>
      </c>
      <c r="J677" s="193" t="str">
        <f t="shared" si="49"/>
        <v>12 Roda</v>
      </c>
      <c r="K677" s="194">
        <v>46063</v>
      </c>
      <c r="L677" s="195">
        <v>45890</v>
      </c>
      <c r="M677" s="195">
        <v>17560</v>
      </c>
      <c r="N677" s="195">
        <v>28330</v>
      </c>
      <c r="O677" s="195">
        <v>28380</v>
      </c>
      <c r="P677" s="196">
        <v>0.49652777777777801</v>
      </c>
      <c r="Q677" s="196">
        <v>0.55277777777777803</v>
      </c>
      <c r="R677" s="193" t="s">
        <v>42</v>
      </c>
      <c r="S677" s="193" t="s">
        <v>1499</v>
      </c>
      <c r="T677" s="197">
        <f t="shared" si="47"/>
        <v>53</v>
      </c>
      <c r="U677" s="193" t="s">
        <v>1922</v>
      </c>
      <c r="V677" s="193" t="str">
        <f t="shared" si="48"/>
        <v>Masamba</v>
      </c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8"/>
      <c r="AL677" s="18"/>
    </row>
    <row r="678" spans="2:38" ht="15" customHeight="1" x14ac:dyDescent="0.2">
      <c r="B678" s="193">
        <v>1</v>
      </c>
      <c r="C678" s="347" t="s">
        <v>812</v>
      </c>
      <c r="D678" s="193" t="str">
        <f t="shared" si="46"/>
        <v>CPO000650KMP</v>
      </c>
      <c r="E678" s="193" t="s">
        <v>56</v>
      </c>
      <c r="F678" s="193"/>
      <c r="G678" s="193" t="s">
        <v>1362</v>
      </c>
      <c r="H678" s="193" t="s">
        <v>59</v>
      </c>
      <c r="I678" s="193" t="s">
        <v>41</v>
      </c>
      <c r="J678" s="193" t="str">
        <f t="shared" si="49"/>
        <v>10 Roda</v>
      </c>
      <c r="K678" s="194">
        <v>46060</v>
      </c>
      <c r="L678" s="195">
        <v>25100</v>
      </c>
      <c r="M678" s="195">
        <v>10800</v>
      </c>
      <c r="N678" s="195">
        <v>14300</v>
      </c>
      <c r="O678" s="195">
        <v>14340</v>
      </c>
      <c r="P678" s="196">
        <v>0.39791666666666697</v>
      </c>
      <c r="Q678" s="196">
        <v>0.47638888888888897</v>
      </c>
      <c r="R678" s="193" t="s">
        <v>137</v>
      </c>
      <c r="S678" s="193" t="s">
        <v>1781</v>
      </c>
      <c r="T678" s="197">
        <f t="shared" si="47"/>
        <v>53</v>
      </c>
      <c r="U678" s="193" t="s">
        <v>1922</v>
      </c>
      <c r="V678" s="193" t="str">
        <f t="shared" si="48"/>
        <v>Masamba</v>
      </c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8"/>
      <c r="AL678" s="18"/>
    </row>
    <row r="679" spans="2:38" ht="15" customHeight="1" x14ac:dyDescent="0.2">
      <c r="B679" s="193">
        <v>1</v>
      </c>
      <c r="C679" s="347" t="s">
        <v>223</v>
      </c>
      <c r="D679" s="193" t="str">
        <f t="shared" si="46"/>
        <v>CPO000085JAS</v>
      </c>
      <c r="E679" s="193" t="s">
        <v>70</v>
      </c>
      <c r="F679" s="193" t="s">
        <v>1443</v>
      </c>
      <c r="G679" s="193" t="s">
        <v>1364</v>
      </c>
      <c r="H679" s="193" t="s">
        <v>49</v>
      </c>
      <c r="I679" s="193" t="s">
        <v>41</v>
      </c>
      <c r="J679" s="193" t="str">
        <f t="shared" si="49"/>
        <v>12 Roda</v>
      </c>
      <c r="K679" s="194">
        <v>46078</v>
      </c>
      <c r="L679" s="195">
        <v>45900</v>
      </c>
      <c r="M679" s="195">
        <v>17570</v>
      </c>
      <c r="N679" s="195">
        <v>28330</v>
      </c>
      <c r="O679" s="195">
        <v>28260</v>
      </c>
      <c r="P679" s="196">
        <v>0.43333333333333302</v>
      </c>
      <c r="Q679" s="196">
        <v>0.48194444444444501</v>
      </c>
      <c r="R679" s="193" t="s">
        <v>42</v>
      </c>
      <c r="S679" s="193" t="s">
        <v>1499</v>
      </c>
      <c r="T679" s="197">
        <f t="shared" si="47"/>
        <v>68</v>
      </c>
      <c r="U679" s="193" t="s">
        <v>1922</v>
      </c>
      <c r="V679" s="193" t="str">
        <f t="shared" si="48"/>
        <v>Bone Bone</v>
      </c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8"/>
      <c r="AL679" s="18"/>
    </row>
    <row r="680" spans="2:38" ht="15" customHeight="1" x14ac:dyDescent="0.2">
      <c r="B680" s="193">
        <v>1</v>
      </c>
      <c r="C680" s="347" t="s">
        <v>819</v>
      </c>
      <c r="D680" s="193" t="str">
        <f t="shared" si="46"/>
        <v>CPO000657KMP</v>
      </c>
      <c r="E680" s="193" t="s">
        <v>56</v>
      </c>
      <c r="F680" s="193"/>
      <c r="G680" s="193" t="s">
        <v>1362</v>
      </c>
      <c r="H680" s="193" t="s">
        <v>59</v>
      </c>
      <c r="I680" s="193" t="s">
        <v>41</v>
      </c>
      <c r="J680" s="193" t="str">
        <f t="shared" si="49"/>
        <v>10 Roda</v>
      </c>
      <c r="K680" s="194">
        <v>46060</v>
      </c>
      <c r="L680" s="195">
        <v>25060</v>
      </c>
      <c r="M680" s="195">
        <v>10760</v>
      </c>
      <c r="N680" s="195">
        <v>14300</v>
      </c>
      <c r="O680" s="195">
        <v>14300</v>
      </c>
      <c r="P680" s="196">
        <v>0.70694444444444504</v>
      </c>
      <c r="Q680" s="196">
        <v>0.75277777777777799</v>
      </c>
      <c r="R680" s="193" t="s">
        <v>42</v>
      </c>
      <c r="S680" s="193" t="s">
        <v>1781</v>
      </c>
      <c r="T680" s="197">
        <f t="shared" si="47"/>
        <v>53</v>
      </c>
      <c r="U680" s="193" t="s">
        <v>1922</v>
      </c>
      <c r="V680" s="193" t="str">
        <f t="shared" si="48"/>
        <v>Masamba</v>
      </c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8"/>
      <c r="AL680" s="18"/>
    </row>
    <row r="681" spans="2:38" ht="15" customHeight="1" x14ac:dyDescent="0.2">
      <c r="B681" s="193">
        <v>1</v>
      </c>
      <c r="C681" s="347" t="s">
        <v>820</v>
      </c>
      <c r="D681" s="193" t="str">
        <f t="shared" si="46"/>
        <v>CPO000658KMP</v>
      </c>
      <c r="E681" s="193" t="s">
        <v>70</v>
      </c>
      <c r="F681" s="193"/>
      <c r="G681" s="193" t="s">
        <v>1362</v>
      </c>
      <c r="H681" s="193" t="s">
        <v>59</v>
      </c>
      <c r="I681" s="193" t="s">
        <v>41</v>
      </c>
      <c r="J681" s="193" t="str">
        <f t="shared" si="49"/>
        <v>12 Roda</v>
      </c>
      <c r="K681" s="194">
        <v>46060</v>
      </c>
      <c r="L681" s="195">
        <v>45910</v>
      </c>
      <c r="M681" s="195">
        <v>17670</v>
      </c>
      <c r="N681" s="195">
        <v>28240</v>
      </c>
      <c r="O681" s="195">
        <v>28340</v>
      </c>
      <c r="P681" s="196">
        <v>0.70902777777777803</v>
      </c>
      <c r="Q681" s="196">
        <v>0.77361111111111103</v>
      </c>
      <c r="R681" s="193" t="s">
        <v>42</v>
      </c>
      <c r="S681" s="193" t="s">
        <v>1499</v>
      </c>
      <c r="T681" s="197">
        <f t="shared" si="47"/>
        <v>53</v>
      </c>
      <c r="U681" s="193" t="s">
        <v>1922</v>
      </c>
      <c r="V681" s="193" t="str">
        <f t="shared" si="48"/>
        <v>Masamba</v>
      </c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8"/>
      <c r="AL681" s="18"/>
    </row>
    <row r="682" spans="2:38" ht="15" customHeight="1" x14ac:dyDescent="0.2">
      <c r="B682" s="193">
        <v>1</v>
      </c>
      <c r="C682" s="347" t="s">
        <v>821</v>
      </c>
      <c r="D682" s="193" t="str">
        <f t="shared" si="46"/>
        <v>CPO000659KMP</v>
      </c>
      <c r="E682" s="193" t="s">
        <v>76</v>
      </c>
      <c r="F682" s="193"/>
      <c r="G682" s="193" t="s">
        <v>1362</v>
      </c>
      <c r="H682" s="193" t="s">
        <v>59</v>
      </c>
      <c r="I682" s="193" t="s">
        <v>41</v>
      </c>
      <c r="J682" s="193" t="str">
        <f t="shared" si="49"/>
        <v>12 Roda</v>
      </c>
      <c r="K682" s="194">
        <v>46060</v>
      </c>
      <c r="L682" s="195">
        <v>45860</v>
      </c>
      <c r="M682" s="195">
        <v>17630</v>
      </c>
      <c r="N682" s="195">
        <v>28230</v>
      </c>
      <c r="O682" s="195">
        <v>28260</v>
      </c>
      <c r="P682" s="196">
        <v>0.71111111111111103</v>
      </c>
      <c r="Q682" s="196">
        <v>0.77500000000000002</v>
      </c>
      <c r="R682" s="193" t="s">
        <v>42</v>
      </c>
      <c r="S682" s="193" t="s">
        <v>1372</v>
      </c>
      <c r="T682" s="197">
        <f t="shared" si="47"/>
        <v>53</v>
      </c>
      <c r="U682" s="193" t="s">
        <v>1922</v>
      </c>
      <c r="V682" s="193" t="str">
        <f t="shared" si="48"/>
        <v>Masamba</v>
      </c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8"/>
      <c r="AL682" s="18"/>
    </row>
    <row r="683" spans="2:38" ht="15" customHeight="1" x14ac:dyDescent="0.2">
      <c r="B683" s="193">
        <v>1</v>
      </c>
      <c r="C683" s="347" t="s">
        <v>915</v>
      </c>
      <c r="D683" s="193" t="str">
        <f t="shared" si="46"/>
        <v>CPO000748PN</v>
      </c>
      <c r="E683" s="193" t="s">
        <v>70</v>
      </c>
      <c r="F683" s="193" t="s">
        <v>1358</v>
      </c>
      <c r="G683" s="193" t="s">
        <v>1357</v>
      </c>
      <c r="H683" s="193" t="s">
        <v>78</v>
      </c>
      <c r="I683" s="193" t="s">
        <v>41</v>
      </c>
      <c r="J683" s="193" t="str">
        <f t="shared" si="49"/>
        <v>12 Roda</v>
      </c>
      <c r="K683" s="194">
        <v>46085</v>
      </c>
      <c r="L683" s="195">
        <v>45760</v>
      </c>
      <c r="M683" s="195">
        <v>17430</v>
      </c>
      <c r="N683" s="195">
        <v>28330</v>
      </c>
      <c r="O683" s="195">
        <v>28390</v>
      </c>
      <c r="P683" s="196">
        <v>0.57638888888888895</v>
      </c>
      <c r="Q683" s="196">
        <v>0.70069444444444395</v>
      </c>
      <c r="R683" s="193" t="s">
        <v>137</v>
      </c>
      <c r="S683" s="193" t="s">
        <v>1499</v>
      </c>
      <c r="T683" s="197">
        <f t="shared" si="47"/>
        <v>99</v>
      </c>
      <c r="U683" s="193"/>
      <c r="V683" s="193" t="str">
        <f t="shared" si="48"/>
        <v>Burau</v>
      </c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8"/>
      <c r="AL683" s="18"/>
    </row>
    <row r="684" spans="2:38" ht="15" customHeight="1" x14ac:dyDescent="0.2">
      <c r="B684" s="193">
        <v>1</v>
      </c>
      <c r="C684" s="347" t="s">
        <v>164</v>
      </c>
      <c r="D684" s="193" t="str">
        <f t="shared" si="46"/>
        <v>CPO000048KMP</v>
      </c>
      <c r="E684" s="193" t="s">
        <v>56</v>
      </c>
      <c r="F684" s="193"/>
      <c r="G684" s="193" t="s">
        <v>1362</v>
      </c>
      <c r="H684" s="193" t="s">
        <v>59</v>
      </c>
      <c r="I684" s="193" t="s">
        <v>41</v>
      </c>
      <c r="J684" s="193" t="str">
        <f t="shared" si="49"/>
        <v>10 Roda</v>
      </c>
      <c r="K684" s="194">
        <v>46062</v>
      </c>
      <c r="L684" s="195">
        <v>25000</v>
      </c>
      <c r="M684" s="195">
        <v>10720</v>
      </c>
      <c r="N684" s="195">
        <v>14280</v>
      </c>
      <c r="O684" s="195">
        <v>14320</v>
      </c>
      <c r="P684" s="196">
        <v>0.57291666666666696</v>
      </c>
      <c r="Q684" s="196">
        <v>0.62638888888888899</v>
      </c>
      <c r="R684" s="193" t="s">
        <v>42</v>
      </c>
      <c r="S684" s="193" t="s">
        <v>1781</v>
      </c>
      <c r="T684" s="197">
        <f t="shared" si="47"/>
        <v>53</v>
      </c>
      <c r="U684" s="193" t="s">
        <v>1922</v>
      </c>
      <c r="V684" s="193" t="str">
        <f t="shared" si="48"/>
        <v>Masamba</v>
      </c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8"/>
      <c r="AL684" s="18"/>
    </row>
    <row r="685" spans="2:38" ht="15" customHeight="1" x14ac:dyDescent="0.2">
      <c r="B685" s="193">
        <v>1</v>
      </c>
      <c r="C685" s="347" t="s">
        <v>165</v>
      </c>
      <c r="D685" s="193" t="str">
        <f t="shared" si="46"/>
        <v>CPO000049KMP</v>
      </c>
      <c r="E685" s="193" t="s">
        <v>76</v>
      </c>
      <c r="F685" s="193"/>
      <c r="G685" s="193" t="s">
        <v>1362</v>
      </c>
      <c r="H685" s="193" t="s">
        <v>59</v>
      </c>
      <c r="I685" s="193" t="s">
        <v>41</v>
      </c>
      <c r="J685" s="193" t="str">
        <f t="shared" si="49"/>
        <v>12 Roda</v>
      </c>
      <c r="K685" s="194">
        <v>46062</v>
      </c>
      <c r="L685" s="195">
        <v>45800</v>
      </c>
      <c r="M685" s="195">
        <v>17560</v>
      </c>
      <c r="N685" s="195">
        <v>28240</v>
      </c>
      <c r="O685" s="195">
        <v>28300</v>
      </c>
      <c r="P685" s="196">
        <v>0.57361111111111096</v>
      </c>
      <c r="Q685" s="196">
        <v>0.63263888888888897</v>
      </c>
      <c r="R685" s="193" t="s">
        <v>42</v>
      </c>
      <c r="S685" s="193" t="s">
        <v>1372</v>
      </c>
      <c r="T685" s="197">
        <f t="shared" si="47"/>
        <v>53</v>
      </c>
      <c r="U685" s="193" t="s">
        <v>1922</v>
      </c>
      <c r="V685" s="193" t="str">
        <f t="shared" si="48"/>
        <v>Masamba</v>
      </c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8"/>
      <c r="AL685" s="18"/>
    </row>
    <row r="686" spans="2:38" ht="15" customHeight="1" x14ac:dyDescent="0.2">
      <c r="B686" s="193">
        <v>1</v>
      </c>
      <c r="C686" s="347" t="s">
        <v>172</v>
      </c>
      <c r="D686" s="193" t="str">
        <f t="shared" si="46"/>
        <v>RBDPL000053BJL</v>
      </c>
      <c r="E686" s="193" t="s">
        <v>174</v>
      </c>
      <c r="F686" s="193" t="s">
        <v>1363</v>
      </c>
      <c r="G686" s="193" t="s">
        <v>1657</v>
      </c>
      <c r="H686" s="193" t="s">
        <v>86</v>
      </c>
      <c r="I686" s="193" t="s">
        <v>3</v>
      </c>
      <c r="J686" s="193" t="str">
        <f t="shared" si="49"/>
        <v>6 Roda</v>
      </c>
      <c r="K686" s="194">
        <v>46063</v>
      </c>
      <c r="L686" s="195">
        <v>13440</v>
      </c>
      <c r="M686" s="195">
        <v>4480</v>
      </c>
      <c r="N686" s="195">
        <v>8960</v>
      </c>
      <c r="O686" s="195"/>
      <c r="P686" s="196">
        <v>0.71597222222222201</v>
      </c>
      <c r="Q686" s="196">
        <v>0.74722222222222201</v>
      </c>
      <c r="R686" s="193" t="s">
        <v>137</v>
      </c>
      <c r="S686" s="193" t="s">
        <v>1465</v>
      </c>
      <c r="T686" s="197">
        <f>IFERROR(_xlfn.XLOOKUP(H686,$AM$4:$AM$18,$AP$4:$AP$18,""),0)</f>
        <v>562</v>
      </c>
      <c r="U686" s="193" t="s">
        <v>175</v>
      </c>
      <c r="V686" s="193" t="str">
        <f t="shared" si="48"/>
        <v>Palu</v>
      </c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8"/>
      <c r="AL686" s="18"/>
    </row>
    <row r="687" spans="2:38" ht="15" customHeight="1" x14ac:dyDescent="0.2">
      <c r="B687" s="193">
        <v>1</v>
      </c>
      <c r="C687" s="347" t="s">
        <v>90</v>
      </c>
      <c r="D687" s="193" t="str">
        <f t="shared" si="46"/>
        <v>CPO000007JAS</v>
      </c>
      <c r="E687" s="193" t="s">
        <v>70</v>
      </c>
      <c r="F687" s="193" t="s">
        <v>1331</v>
      </c>
      <c r="G687" s="193" t="s">
        <v>1731</v>
      </c>
      <c r="H687" s="193" t="s">
        <v>49</v>
      </c>
      <c r="I687" s="193" t="s">
        <v>41</v>
      </c>
      <c r="J687" s="193" t="str">
        <f t="shared" si="49"/>
        <v>12 Roda</v>
      </c>
      <c r="K687" s="194">
        <v>45971</v>
      </c>
      <c r="L687" s="195">
        <v>45890</v>
      </c>
      <c r="M687" s="195">
        <v>17510</v>
      </c>
      <c r="N687" s="195">
        <v>28380</v>
      </c>
      <c r="O687" s="195">
        <v>28350</v>
      </c>
      <c r="P687" s="196">
        <v>0.67986111111111103</v>
      </c>
      <c r="Q687" s="196">
        <v>0.76458333333333295</v>
      </c>
      <c r="R687" s="193" t="s">
        <v>42</v>
      </c>
      <c r="S687" s="193" t="s">
        <v>1499</v>
      </c>
      <c r="T687" s="197">
        <f t="shared" si="47"/>
        <v>68</v>
      </c>
      <c r="U687" s="193" t="s">
        <v>1922</v>
      </c>
      <c r="V687" s="193" t="str">
        <f t="shared" si="48"/>
        <v>Bone Bone</v>
      </c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8"/>
      <c r="AL687" s="18"/>
    </row>
    <row r="688" spans="2:38" ht="15" customHeight="1" x14ac:dyDescent="0.2">
      <c r="B688" s="193">
        <v>1</v>
      </c>
      <c r="C688" s="347" t="s">
        <v>168</v>
      </c>
      <c r="D688" s="193" t="str">
        <f t="shared" si="46"/>
        <v>CPO000051KMP</v>
      </c>
      <c r="E688" s="193" t="s">
        <v>56</v>
      </c>
      <c r="F688" s="193"/>
      <c r="G688" s="193" t="s">
        <v>1362</v>
      </c>
      <c r="H688" s="193" t="s">
        <v>59</v>
      </c>
      <c r="I688" s="193" t="s">
        <v>41</v>
      </c>
      <c r="J688" s="193" t="str">
        <f t="shared" si="49"/>
        <v>10 Roda</v>
      </c>
      <c r="K688" s="194">
        <v>46063</v>
      </c>
      <c r="L688" s="195">
        <v>24960</v>
      </c>
      <c r="M688" s="195">
        <v>10670</v>
      </c>
      <c r="N688" s="195">
        <v>14290</v>
      </c>
      <c r="O688" s="195">
        <v>14280</v>
      </c>
      <c r="P688" s="196">
        <v>0.49791666666666701</v>
      </c>
      <c r="Q688" s="196">
        <v>0.55347222222222203</v>
      </c>
      <c r="R688" s="193" t="s">
        <v>42</v>
      </c>
      <c r="S688" s="193" t="s">
        <v>1781</v>
      </c>
      <c r="T688" s="197">
        <f t="shared" si="47"/>
        <v>53</v>
      </c>
      <c r="U688" s="193" t="s">
        <v>1922</v>
      </c>
      <c r="V688" s="193" t="str">
        <f t="shared" si="48"/>
        <v>Masamba</v>
      </c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8"/>
      <c r="AL688" s="18"/>
    </row>
    <row r="689" spans="2:38" ht="15" customHeight="1" x14ac:dyDescent="0.2">
      <c r="B689" s="193">
        <v>1</v>
      </c>
      <c r="C689" s="347" t="s">
        <v>170</v>
      </c>
      <c r="D689" s="193" t="str">
        <f t="shared" si="46"/>
        <v>CPO000052KMP</v>
      </c>
      <c r="E689" s="193" t="s">
        <v>76</v>
      </c>
      <c r="F689" s="193"/>
      <c r="G689" s="193" t="s">
        <v>1362</v>
      </c>
      <c r="H689" s="193" t="s">
        <v>59</v>
      </c>
      <c r="I689" s="193" t="s">
        <v>41</v>
      </c>
      <c r="J689" s="193" t="str">
        <f t="shared" si="49"/>
        <v>12 Roda</v>
      </c>
      <c r="K689" s="194">
        <v>46063</v>
      </c>
      <c r="L689" s="195">
        <v>45790</v>
      </c>
      <c r="M689" s="195">
        <v>17540</v>
      </c>
      <c r="N689" s="195">
        <v>28250</v>
      </c>
      <c r="O689" s="195">
        <v>28320</v>
      </c>
      <c r="P689" s="196">
        <v>0.55208333333333304</v>
      </c>
      <c r="Q689" s="196">
        <v>0.58680555555555602</v>
      </c>
      <c r="R689" s="193" t="s">
        <v>42</v>
      </c>
      <c r="S689" s="193" t="s">
        <v>1372</v>
      </c>
      <c r="T689" s="197">
        <f t="shared" si="47"/>
        <v>53</v>
      </c>
      <c r="U689" s="193" t="s">
        <v>1922</v>
      </c>
      <c r="V689" s="193" t="str">
        <f t="shared" si="48"/>
        <v>Masamba</v>
      </c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8"/>
      <c r="AL689" s="18"/>
    </row>
    <row r="690" spans="2:38" ht="15" customHeight="1" x14ac:dyDescent="0.2">
      <c r="B690" s="193">
        <v>1</v>
      </c>
      <c r="C690" s="347" t="s">
        <v>176</v>
      </c>
      <c r="D690" s="193" t="str">
        <f t="shared" si="46"/>
        <v>CPO000054PN</v>
      </c>
      <c r="E690" s="193" t="s">
        <v>76</v>
      </c>
      <c r="F690" s="193" t="s">
        <v>1358</v>
      </c>
      <c r="G690" s="193" t="s">
        <v>1357</v>
      </c>
      <c r="H690" s="193" t="s">
        <v>78</v>
      </c>
      <c r="I690" s="193" t="s">
        <v>41</v>
      </c>
      <c r="J690" s="193" t="str">
        <f t="shared" si="49"/>
        <v>12 Roda</v>
      </c>
      <c r="K690" s="194">
        <v>46063</v>
      </c>
      <c r="L690" s="195">
        <v>45760</v>
      </c>
      <c r="M690" s="195">
        <v>17560</v>
      </c>
      <c r="N690" s="195">
        <v>28200</v>
      </c>
      <c r="O690" s="195">
        <v>28100</v>
      </c>
      <c r="P690" s="196">
        <v>0.89513888888888904</v>
      </c>
      <c r="Q690" s="196">
        <v>0.95694444444444504</v>
      </c>
      <c r="R690" s="193" t="s">
        <v>137</v>
      </c>
      <c r="S690" s="193" t="s">
        <v>1372</v>
      </c>
      <c r="T690" s="197">
        <f t="shared" si="47"/>
        <v>99</v>
      </c>
      <c r="U690" s="193"/>
      <c r="V690" s="193" t="str">
        <f t="shared" si="48"/>
        <v>Burau</v>
      </c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8"/>
      <c r="AL690" s="18"/>
    </row>
    <row r="691" spans="2:38" ht="15" customHeight="1" x14ac:dyDescent="0.2">
      <c r="B691" s="193">
        <v>1</v>
      </c>
      <c r="C691" s="347" t="s">
        <v>185</v>
      </c>
      <c r="D691" s="193" t="str">
        <f t="shared" si="46"/>
        <v>CPO000058PN</v>
      </c>
      <c r="E691" s="193" t="s">
        <v>56</v>
      </c>
      <c r="F691" s="193" t="s">
        <v>1358</v>
      </c>
      <c r="G691" s="193" t="s">
        <v>1357</v>
      </c>
      <c r="H691" s="193" t="s">
        <v>78</v>
      </c>
      <c r="I691" s="193" t="s">
        <v>41</v>
      </c>
      <c r="J691" s="193" t="str">
        <f t="shared" si="49"/>
        <v>10 Roda</v>
      </c>
      <c r="K691" s="194">
        <v>46063</v>
      </c>
      <c r="L691" s="195">
        <v>24960</v>
      </c>
      <c r="M691" s="195">
        <v>10730</v>
      </c>
      <c r="N691" s="195">
        <v>14230</v>
      </c>
      <c r="O691" s="195">
        <v>14190</v>
      </c>
      <c r="P691" s="196">
        <v>0.90208333333333302</v>
      </c>
      <c r="Q691" s="196">
        <v>0.98472222222222205</v>
      </c>
      <c r="R691" s="193" t="s">
        <v>137</v>
      </c>
      <c r="S691" s="193" t="s">
        <v>1781</v>
      </c>
      <c r="T691" s="197">
        <f t="shared" si="47"/>
        <v>99</v>
      </c>
      <c r="U691" s="193"/>
      <c r="V691" s="193" t="str">
        <f t="shared" si="48"/>
        <v>Burau</v>
      </c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8"/>
      <c r="AL691" s="18"/>
    </row>
    <row r="692" spans="2:38" ht="15" customHeight="1" x14ac:dyDescent="0.2">
      <c r="B692" s="193">
        <v>1</v>
      </c>
      <c r="C692" s="347" t="s">
        <v>187</v>
      </c>
      <c r="D692" s="193" t="str">
        <f t="shared" si="46"/>
        <v>CPO000059PN</v>
      </c>
      <c r="E692" s="193" t="s">
        <v>70</v>
      </c>
      <c r="F692" s="193" t="s">
        <v>1358</v>
      </c>
      <c r="G692" s="193" t="s">
        <v>1357</v>
      </c>
      <c r="H692" s="193" t="s">
        <v>78</v>
      </c>
      <c r="I692" s="193" t="s">
        <v>41</v>
      </c>
      <c r="J692" s="193" t="str">
        <f t="shared" si="49"/>
        <v>12 Roda</v>
      </c>
      <c r="K692" s="194">
        <v>46063</v>
      </c>
      <c r="L692" s="195">
        <v>45590</v>
      </c>
      <c r="M692" s="195">
        <v>17380</v>
      </c>
      <c r="N692" s="195">
        <v>28210</v>
      </c>
      <c r="O692" s="195">
        <v>28090</v>
      </c>
      <c r="P692" s="196">
        <v>0.90416666666666701</v>
      </c>
      <c r="Q692" s="196">
        <v>0.99861111111111101</v>
      </c>
      <c r="R692" s="193" t="s">
        <v>137</v>
      </c>
      <c r="S692" s="193" t="s">
        <v>1499</v>
      </c>
      <c r="T692" s="197">
        <f t="shared" si="47"/>
        <v>99</v>
      </c>
      <c r="U692" s="193"/>
      <c r="V692" s="193" t="str">
        <f t="shared" si="48"/>
        <v>Burau</v>
      </c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8"/>
      <c r="AL692" s="18"/>
    </row>
    <row r="693" spans="2:38" ht="15" customHeight="1" x14ac:dyDescent="0.2">
      <c r="B693" s="193">
        <v>1</v>
      </c>
      <c r="C693" s="347" t="s">
        <v>178</v>
      </c>
      <c r="D693" s="193" t="str">
        <f t="shared" si="46"/>
        <v>CPO000055MIS</v>
      </c>
      <c r="E693" s="193" t="s">
        <v>73</v>
      </c>
      <c r="F693" s="193" t="s">
        <v>1361</v>
      </c>
      <c r="G693" s="193" t="s">
        <v>1360</v>
      </c>
      <c r="H693" s="193" t="s">
        <v>40</v>
      </c>
      <c r="I693" s="193" t="s">
        <v>41</v>
      </c>
      <c r="J693" s="193" t="str">
        <f t="shared" si="49"/>
        <v>6 Roda</v>
      </c>
      <c r="K693" s="194">
        <v>46063</v>
      </c>
      <c r="L693" s="195">
        <v>13380</v>
      </c>
      <c r="M693" s="195">
        <v>4050</v>
      </c>
      <c r="N693" s="195">
        <v>9330</v>
      </c>
      <c r="O693" s="195">
        <v>9330</v>
      </c>
      <c r="P693" s="196">
        <v>0.89791666666666703</v>
      </c>
      <c r="Q693" s="196">
        <v>0.95833333333333304</v>
      </c>
      <c r="R693" s="193" t="s">
        <v>137</v>
      </c>
      <c r="S693" s="193"/>
      <c r="T693" s="197">
        <f t="shared" si="47"/>
        <v>494</v>
      </c>
      <c r="U693" s="193"/>
      <c r="V693" s="193" t="str">
        <f t="shared" si="48"/>
        <v>Pomala</v>
      </c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8"/>
      <c r="AL693" s="18"/>
    </row>
    <row r="694" spans="2:38" ht="15" customHeight="1" x14ac:dyDescent="0.2">
      <c r="B694" s="193">
        <v>1</v>
      </c>
      <c r="C694" s="347" t="s">
        <v>180</v>
      </c>
      <c r="D694" s="193" t="str">
        <f t="shared" si="46"/>
        <v>CPO000056MIS</v>
      </c>
      <c r="E694" s="193" t="s">
        <v>39</v>
      </c>
      <c r="F694" s="193" t="s">
        <v>1361</v>
      </c>
      <c r="G694" s="193" t="s">
        <v>1360</v>
      </c>
      <c r="H694" s="193" t="s">
        <v>40</v>
      </c>
      <c r="I694" s="193" t="s">
        <v>41</v>
      </c>
      <c r="J694" s="193" t="str">
        <f t="shared" si="49"/>
        <v>6 Roda</v>
      </c>
      <c r="K694" s="194">
        <v>46063</v>
      </c>
      <c r="L694" s="195">
        <v>13730</v>
      </c>
      <c r="M694" s="195">
        <v>4130</v>
      </c>
      <c r="N694" s="195">
        <v>9600</v>
      </c>
      <c r="O694" s="195">
        <v>9600</v>
      </c>
      <c r="P694" s="196">
        <v>0.9</v>
      </c>
      <c r="Q694" s="196">
        <v>0.94652777777777797</v>
      </c>
      <c r="R694" s="193" t="s">
        <v>137</v>
      </c>
      <c r="S694" s="193"/>
      <c r="T694" s="197">
        <f t="shared" si="47"/>
        <v>494</v>
      </c>
      <c r="U694" s="193"/>
      <c r="V694" s="193" t="str">
        <f t="shared" si="48"/>
        <v>Pomala</v>
      </c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8"/>
      <c r="AL694" s="18"/>
    </row>
    <row r="695" spans="2:38" ht="15" customHeight="1" x14ac:dyDescent="0.2">
      <c r="B695" s="193">
        <v>1</v>
      </c>
      <c r="C695" s="347" t="s">
        <v>182</v>
      </c>
      <c r="D695" s="193" t="str">
        <f t="shared" si="46"/>
        <v>CPO000057MIS</v>
      </c>
      <c r="E695" s="193" t="s">
        <v>184</v>
      </c>
      <c r="F695" s="193" t="s">
        <v>1361</v>
      </c>
      <c r="G695" s="193" t="s">
        <v>1360</v>
      </c>
      <c r="H695" s="193" t="s">
        <v>40</v>
      </c>
      <c r="I695" s="193" t="s">
        <v>41</v>
      </c>
      <c r="J695" s="193" t="str">
        <f t="shared" si="49"/>
        <v>6 Roda</v>
      </c>
      <c r="K695" s="194">
        <v>46063</v>
      </c>
      <c r="L695" s="195">
        <v>13710</v>
      </c>
      <c r="M695" s="195">
        <v>4100</v>
      </c>
      <c r="N695" s="195">
        <v>9610</v>
      </c>
      <c r="O695" s="195">
        <v>9780</v>
      </c>
      <c r="P695" s="196">
        <v>0.90138888888888902</v>
      </c>
      <c r="Q695" s="196">
        <v>0.95972222222222203</v>
      </c>
      <c r="R695" s="193" t="s">
        <v>137</v>
      </c>
      <c r="S695" s="193"/>
      <c r="T695" s="197">
        <f t="shared" si="47"/>
        <v>494</v>
      </c>
      <c r="U695" s="193"/>
      <c r="V695" s="193" t="str">
        <f t="shared" si="48"/>
        <v>Pomala</v>
      </c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8"/>
      <c r="AL695" s="18"/>
    </row>
    <row r="696" spans="2:38" ht="15" customHeight="1" x14ac:dyDescent="0.2">
      <c r="B696" s="193">
        <v>1</v>
      </c>
      <c r="C696" s="347" t="s">
        <v>197</v>
      </c>
      <c r="D696" s="193" t="str">
        <f t="shared" si="46"/>
        <v>CPO000066PN</v>
      </c>
      <c r="E696" s="193" t="s">
        <v>56</v>
      </c>
      <c r="F696" s="193" t="s">
        <v>1358</v>
      </c>
      <c r="G696" s="193" t="s">
        <v>1357</v>
      </c>
      <c r="H696" s="193" t="s">
        <v>78</v>
      </c>
      <c r="I696" s="193" t="s">
        <v>41</v>
      </c>
      <c r="J696" s="193" t="str">
        <f t="shared" si="49"/>
        <v>10 Roda</v>
      </c>
      <c r="K696" s="194">
        <v>46064</v>
      </c>
      <c r="L696" s="195">
        <v>24940</v>
      </c>
      <c r="M696" s="195">
        <v>10670</v>
      </c>
      <c r="N696" s="195">
        <v>14270</v>
      </c>
      <c r="O696" s="195">
        <v>14280</v>
      </c>
      <c r="P696" s="196">
        <v>0.77291666666666703</v>
      </c>
      <c r="Q696" s="196">
        <v>0.80763888888888902</v>
      </c>
      <c r="R696" s="193" t="s">
        <v>137</v>
      </c>
      <c r="S696" s="193" t="s">
        <v>1781</v>
      </c>
      <c r="T696" s="197">
        <f t="shared" si="47"/>
        <v>99</v>
      </c>
      <c r="U696" s="193"/>
      <c r="V696" s="193" t="str">
        <f t="shared" si="48"/>
        <v>Burau</v>
      </c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8"/>
      <c r="AL696" s="18"/>
    </row>
    <row r="697" spans="2:38" ht="15" customHeight="1" x14ac:dyDescent="0.2">
      <c r="B697" s="193">
        <v>1</v>
      </c>
      <c r="C697" s="347" t="s">
        <v>198</v>
      </c>
      <c r="D697" s="193" t="str">
        <f t="shared" si="46"/>
        <v>CPO000067PN</v>
      </c>
      <c r="E697" s="193" t="s">
        <v>76</v>
      </c>
      <c r="F697" s="193" t="s">
        <v>1358</v>
      </c>
      <c r="G697" s="193" t="s">
        <v>1357</v>
      </c>
      <c r="H697" s="193" t="s">
        <v>78</v>
      </c>
      <c r="I697" s="193" t="s">
        <v>41</v>
      </c>
      <c r="J697" s="193" t="str">
        <f t="shared" si="49"/>
        <v>12 Roda</v>
      </c>
      <c r="K697" s="194">
        <v>46064</v>
      </c>
      <c r="L697" s="195">
        <v>45760</v>
      </c>
      <c r="M697" s="195">
        <v>17470</v>
      </c>
      <c r="N697" s="195">
        <v>28290</v>
      </c>
      <c r="O697" s="195">
        <v>28300</v>
      </c>
      <c r="P697" s="196">
        <v>0.813194444444444</v>
      </c>
      <c r="Q697" s="196">
        <v>0.85624999999999996</v>
      </c>
      <c r="R697" s="193" t="s">
        <v>137</v>
      </c>
      <c r="S697" s="193" t="s">
        <v>1372</v>
      </c>
      <c r="T697" s="197">
        <f t="shared" si="47"/>
        <v>99</v>
      </c>
      <c r="U697" s="193"/>
      <c r="V697" s="193" t="str">
        <f t="shared" si="48"/>
        <v>Burau</v>
      </c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8"/>
      <c r="AL697" s="18"/>
    </row>
    <row r="698" spans="2:38" ht="15" customHeight="1" x14ac:dyDescent="0.2">
      <c r="B698" s="193">
        <v>1</v>
      </c>
      <c r="C698" s="347" t="s">
        <v>571</v>
      </c>
      <c r="D698" s="193" t="str">
        <f t="shared" si="46"/>
        <v>CPO000425JAS</v>
      </c>
      <c r="E698" s="193" t="s">
        <v>76</v>
      </c>
      <c r="F698" s="193" t="s">
        <v>1435</v>
      </c>
      <c r="G698" s="193" t="s">
        <v>1349</v>
      </c>
      <c r="H698" s="193" t="s">
        <v>49</v>
      </c>
      <c r="I698" s="193" t="s">
        <v>41</v>
      </c>
      <c r="J698" s="193" t="str">
        <f t="shared" si="49"/>
        <v>12 Roda</v>
      </c>
      <c r="K698" s="194">
        <v>46014</v>
      </c>
      <c r="L698" s="195">
        <v>45900</v>
      </c>
      <c r="M698" s="195">
        <v>17520</v>
      </c>
      <c r="N698" s="195">
        <v>28380</v>
      </c>
      <c r="O698" s="195">
        <v>28310</v>
      </c>
      <c r="P698" s="196">
        <v>0.53125</v>
      </c>
      <c r="Q698" s="196">
        <v>0.593055555555556</v>
      </c>
      <c r="R698" s="193" t="s">
        <v>137</v>
      </c>
      <c r="S698" s="193" t="s">
        <v>1372</v>
      </c>
      <c r="T698" s="197">
        <f t="shared" si="47"/>
        <v>68</v>
      </c>
      <c r="U698" s="193" t="s">
        <v>1922</v>
      </c>
      <c r="V698" s="193" t="str">
        <f t="shared" si="48"/>
        <v>Bone Bone</v>
      </c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8"/>
      <c r="AL698" s="18"/>
    </row>
    <row r="699" spans="2:38" ht="15" customHeight="1" x14ac:dyDescent="0.2">
      <c r="B699" s="193">
        <v>1</v>
      </c>
      <c r="C699" s="347" t="s">
        <v>189</v>
      </c>
      <c r="D699" s="193" t="str">
        <f t="shared" si="46"/>
        <v>CPO000060MIS</v>
      </c>
      <c r="E699" s="193" t="s">
        <v>166</v>
      </c>
      <c r="F699" s="193" t="s">
        <v>1361</v>
      </c>
      <c r="G699" s="193" t="s">
        <v>1360</v>
      </c>
      <c r="H699" s="193" t="s">
        <v>40</v>
      </c>
      <c r="I699" s="193" t="s">
        <v>41</v>
      </c>
      <c r="J699" s="193" t="str">
        <f t="shared" si="49"/>
        <v>6 Roda</v>
      </c>
      <c r="K699" s="194">
        <v>46064</v>
      </c>
      <c r="L699" s="195">
        <v>13040</v>
      </c>
      <c r="M699" s="195">
        <v>3850</v>
      </c>
      <c r="N699" s="195">
        <v>9190</v>
      </c>
      <c r="O699" s="195">
        <v>9230</v>
      </c>
      <c r="P699" s="196">
        <v>0.36180555555555599</v>
      </c>
      <c r="Q699" s="196">
        <v>0.46736111111111101</v>
      </c>
      <c r="R699" s="193" t="s">
        <v>42</v>
      </c>
      <c r="S699" s="193"/>
      <c r="T699" s="197">
        <f t="shared" si="47"/>
        <v>494</v>
      </c>
      <c r="U699" s="193"/>
      <c r="V699" s="193" t="str">
        <f t="shared" si="48"/>
        <v>Pomala</v>
      </c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8"/>
      <c r="AL699" s="18"/>
    </row>
    <row r="700" spans="2:38" ht="15" customHeight="1" x14ac:dyDescent="0.2">
      <c r="B700" s="193">
        <v>1</v>
      </c>
      <c r="C700" s="347" t="s">
        <v>190</v>
      </c>
      <c r="D700" s="193" t="str">
        <f t="shared" si="46"/>
        <v>CPO000061MIS</v>
      </c>
      <c r="E700" s="193" t="s">
        <v>191</v>
      </c>
      <c r="F700" s="193" t="s">
        <v>1361</v>
      </c>
      <c r="G700" s="193" t="s">
        <v>1360</v>
      </c>
      <c r="H700" s="193" t="s">
        <v>40</v>
      </c>
      <c r="I700" s="193" t="s">
        <v>41</v>
      </c>
      <c r="J700" s="193" t="str">
        <f t="shared" si="49"/>
        <v>6 Roda</v>
      </c>
      <c r="K700" s="194">
        <v>46064</v>
      </c>
      <c r="L700" s="195">
        <v>13830</v>
      </c>
      <c r="M700" s="195">
        <v>4180</v>
      </c>
      <c r="N700" s="195">
        <v>9650</v>
      </c>
      <c r="O700" s="195">
        <v>9750</v>
      </c>
      <c r="P700" s="196">
        <v>0.36319444444444399</v>
      </c>
      <c r="Q700" s="196">
        <v>0.47847222222222202</v>
      </c>
      <c r="R700" s="193" t="s">
        <v>42</v>
      </c>
      <c r="S700" s="193"/>
      <c r="T700" s="197">
        <f t="shared" si="47"/>
        <v>494</v>
      </c>
      <c r="U700" s="193"/>
      <c r="V700" s="193" t="str">
        <f t="shared" si="48"/>
        <v>Pomala</v>
      </c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8"/>
      <c r="AL700" s="18"/>
    </row>
    <row r="701" spans="2:38" ht="15" customHeight="1" x14ac:dyDescent="0.2">
      <c r="B701" s="193">
        <v>1</v>
      </c>
      <c r="C701" s="347" t="s">
        <v>192</v>
      </c>
      <c r="D701" s="193" t="str">
        <f t="shared" si="46"/>
        <v>CPO000062MIS</v>
      </c>
      <c r="E701" s="193" t="s">
        <v>169</v>
      </c>
      <c r="F701" s="193" t="s">
        <v>1361</v>
      </c>
      <c r="G701" s="193" t="s">
        <v>1360</v>
      </c>
      <c r="H701" s="193" t="s">
        <v>40</v>
      </c>
      <c r="I701" s="193" t="s">
        <v>41</v>
      </c>
      <c r="J701" s="193" t="str">
        <f t="shared" si="49"/>
        <v>6 Roda</v>
      </c>
      <c r="K701" s="194">
        <v>46064</v>
      </c>
      <c r="L701" s="195">
        <v>13410</v>
      </c>
      <c r="M701" s="195">
        <v>4120</v>
      </c>
      <c r="N701" s="195">
        <v>9290</v>
      </c>
      <c r="O701" s="195">
        <v>9360</v>
      </c>
      <c r="P701" s="196">
        <v>0.36458333333333298</v>
      </c>
      <c r="Q701" s="196">
        <v>0.452777777777778</v>
      </c>
      <c r="R701" s="193" t="s">
        <v>42</v>
      </c>
      <c r="S701" s="193"/>
      <c r="T701" s="197">
        <f t="shared" si="47"/>
        <v>494</v>
      </c>
      <c r="U701" s="193"/>
      <c r="V701" s="193" t="str">
        <f t="shared" si="48"/>
        <v>Pomala</v>
      </c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8"/>
      <c r="AL701" s="18"/>
    </row>
    <row r="702" spans="2:38" ht="15" customHeight="1" x14ac:dyDescent="0.2">
      <c r="B702" s="193">
        <v>1</v>
      </c>
      <c r="C702" s="347" t="s">
        <v>193</v>
      </c>
      <c r="D702" s="193" t="str">
        <f t="shared" si="46"/>
        <v>CPO000063MIS</v>
      </c>
      <c r="E702" s="193" t="s">
        <v>194</v>
      </c>
      <c r="F702" s="193" t="s">
        <v>1361</v>
      </c>
      <c r="G702" s="193" t="s">
        <v>1360</v>
      </c>
      <c r="H702" s="193" t="s">
        <v>40</v>
      </c>
      <c r="I702" s="193" t="s">
        <v>41</v>
      </c>
      <c r="J702" s="193" t="str">
        <f t="shared" si="49"/>
        <v>6 Roda</v>
      </c>
      <c r="K702" s="194">
        <v>46064</v>
      </c>
      <c r="L702" s="195">
        <v>13080</v>
      </c>
      <c r="M702" s="195">
        <v>4090</v>
      </c>
      <c r="N702" s="195">
        <v>8990</v>
      </c>
      <c r="O702" s="195">
        <v>9240</v>
      </c>
      <c r="P702" s="196">
        <v>0.72291666666666698</v>
      </c>
      <c r="Q702" s="196">
        <v>0.76944444444444504</v>
      </c>
      <c r="R702" s="193" t="s">
        <v>42</v>
      </c>
      <c r="S702" s="193"/>
      <c r="T702" s="197">
        <f t="shared" si="47"/>
        <v>494</v>
      </c>
      <c r="U702" s="193"/>
      <c r="V702" s="193" t="str">
        <f t="shared" si="48"/>
        <v>Pomala</v>
      </c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8"/>
      <c r="AL702" s="18"/>
    </row>
    <row r="703" spans="2:38" ht="15" customHeight="1" x14ac:dyDescent="0.2">
      <c r="B703" s="193">
        <v>1</v>
      </c>
      <c r="C703" s="347" t="s">
        <v>195</v>
      </c>
      <c r="D703" s="193" t="str">
        <f t="shared" si="46"/>
        <v>CPO000064MIS</v>
      </c>
      <c r="E703" s="193" t="s">
        <v>171</v>
      </c>
      <c r="F703" s="193" t="s">
        <v>1361</v>
      </c>
      <c r="G703" s="193" t="s">
        <v>1360</v>
      </c>
      <c r="H703" s="193" t="s">
        <v>40</v>
      </c>
      <c r="I703" s="193" t="s">
        <v>41</v>
      </c>
      <c r="J703" s="193" t="str">
        <f t="shared" si="49"/>
        <v>6 Roda</v>
      </c>
      <c r="K703" s="194">
        <v>46064</v>
      </c>
      <c r="L703" s="195">
        <v>13170</v>
      </c>
      <c r="M703" s="195">
        <v>3690</v>
      </c>
      <c r="N703" s="195">
        <v>9480</v>
      </c>
      <c r="O703" s="195">
        <v>9510</v>
      </c>
      <c r="P703" s="196">
        <v>0.73055555555555596</v>
      </c>
      <c r="Q703" s="196">
        <v>0.76805555555555605</v>
      </c>
      <c r="R703" s="193" t="s">
        <v>137</v>
      </c>
      <c r="S703" s="193"/>
      <c r="T703" s="197">
        <f t="shared" si="47"/>
        <v>494</v>
      </c>
      <c r="U703" s="193"/>
      <c r="V703" s="193" t="str">
        <f t="shared" si="48"/>
        <v>Pomala</v>
      </c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8"/>
      <c r="AL703" s="18"/>
    </row>
    <row r="704" spans="2:38" ht="15" customHeight="1" x14ac:dyDescent="0.2">
      <c r="B704" s="193">
        <v>1</v>
      </c>
      <c r="C704" s="347" t="s">
        <v>196</v>
      </c>
      <c r="D704" s="193" t="str">
        <f t="shared" si="46"/>
        <v>CPO000065MIS</v>
      </c>
      <c r="E704" s="193" t="s">
        <v>53</v>
      </c>
      <c r="F704" s="193" t="s">
        <v>1361</v>
      </c>
      <c r="G704" s="193" t="s">
        <v>1360</v>
      </c>
      <c r="H704" s="193" t="s">
        <v>40</v>
      </c>
      <c r="I704" s="193" t="s">
        <v>41</v>
      </c>
      <c r="J704" s="193" t="str">
        <f t="shared" si="49"/>
        <v>6 Roda</v>
      </c>
      <c r="K704" s="194">
        <v>46064</v>
      </c>
      <c r="L704" s="195">
        <v>13270</v>
      </c>
      <c r="M704" s="195">
        <v>3800</v>
      </c>
      <c r="N704" s="195">
        <v>9470</v>
      </c>
      <c r="O704" s="195">
        <v>9490</v>
      </c>
      <c r="P704" s="196">
        <v>0.73263888888888895</v>
      </c>
      <c r="Q704" s="196">
        <v>0.76666666666666705</v>
      </c>
      <c r="R704" s="193" t="s">
        <v>137</v>
      </c>
      <c r="S704" s="193"/>
      <c r="T704" s="197">
        <f t="shared" si="47"/>
        <v>494</v>
      </c>
      <c r="U704" s="193"/>
      <c r="V704" s="193" t="str">
        <f t="shared" si="48"/>
        <v>Pomala</v>
      </c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8"/>
      <c r="AL704" s="18"/>
    </row>
    <row r="705" spans="2:38" ht="15" customHeight="1" x14ac:dyDescent="0.2">
      <c r="B705" s="193">
        <v>1</v>
      </c>
      <c r="C705" s="347" t="s">
        <v>200</v>
      </c>
      <c r="D705" s="193" t="str">
        <f t="shared" si="46"/>
        <v>CPO000069MIS</v>
      </c>
      <c r="E705" s="193" t="s">
        <v>181</v>
      </c>
      <c r="F705" s="193" t="s">
        <v>1361</v>
      </c>
      <c r="G705" s="193" t="s">
        <v>1360</v>
      </c>
      <c r="H705" s="193" t="s">
        <v>40</v>
      </c>
      <c r="I705" s="193" t="s">
        <v>41</v>
      </c>
      <c r="J705" s="193" t="str">
        <f t="shared" si="49"/>
        <v>6 Roda</v>
      </c>
      <c r="K705" s="194">
        <v>46064</v>
      </c>
      <c r="L705" s="195">
        <v>13500</v>
      </c>
      <c r="M705" s="195">
        <v>3970</v>
      </c>
      <c r="N705" s="195">
        <v>9530</v>
      </c>
      <c r="O705" s="195">
        <v>9530</v>
      </c>
      <c r="P705" s="196">
        <v>0.91944444444444395</v>
      </c>
      <c r="Q705" s="196">
        <v>0.96597222222222201</v>
      </c>
      <c r="R705" s="193" t="s">
        <v>137</v>
      </c>
      <c r="S705" s="193"/>
      <c r="T705" s="197">
        <f t="shared" si="47"/>
        <v>494</v>
      </c>
      <c r="U705" s="193"/>
      <c r="V705" s="193" t="str">
        <f t="shared" si="48"/>
        <v>Pomala</v>
      </c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8"/>
      <c r="AL705" s="18"/>
    </row>
    <row r="706" spans="2:38" ht="15" customHeight="1" x14ac:dyDescent="0.2">
      <c r="B706" s="193">
        <v>1</v>
      </c>
      <c r="C706" s="347" t="s">
        <v>201</v>
      </c>
      <c r="D706" s="193" t="str">
        <f t="shared" si="46"/>
        <v>CPO000070MIS</v>
      </c>
      <c r="E706" s="193" t="s">
        <v>158</v>
      </c>
      <c r="F706" s="193" t="s">
        <v>1361</v>
      </c>
      <c r="G706" s="193" t="s">
        <v>1360</v>
      </c>
      <c r="H706" s="193" t="s">
        <v>40</v>
      </c>
      <c r="I706" s="193" t="s">
        <v>41</v>
      </c>
      <c r="J706" s="193" t="str">
        <f t="shared" si="49"/>
        <v>6 Roda</v>
      </c>
      <c r="K706" s="194">
        <v>46064</v>
      </c>
      <c r="L706" s="195">
        <v>13900</v>
      </c>
      <c r="M706" s="195">
        <v>3920</v>
      </c>
      <c r="N706" s="195">
        <v>9980</v>
      </c>
      <c r="O706" s="195">
        <v>9970</v>
      </c>
      <c r="P706" s="196">
        <v>0.92013888888888895</v>
      </c>
      <c r="Q706" s="196">
        <v>0.95625000000000004</v>
      </c>
      <c r="R706" s="193" t="s">
        <v>137</v>
      </c>
      <c r="S706" s="193"/>
      <c r="T706" s="197">
        <f t="shared" si="47"/>
        <v>494</v>
      </c>
      <c r="U706" s="193"/>
      <c r="V706" s="193" t="str">
        <f t="shared" si="48"/>
        <v>Pomala</v>
      </c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8"/>
      <c r="AL706" s="18"/>
    </row>
    <row r="707" spans="2:38" ht="15" customHeight="1" x14ac:dyDescent="0.2">
      <c r="B707" s="193">
        <v>1</v>
      </c>
      <c r="C707" s="347" t="s">
        <v>202</v>
      </c>
      <c r="D707" s="193" t="str">
        <f t="shared" si="46"/>
        <v>CPO000071MIS</v>
      </c>
      <c r="E707" s="193" t="s">
        <v>186</v>
      </c>
      <c r="F707" s="193" t="s">
        <v>1361</v>
      </c>
      <c r="G707" s="193" t="s">
        <v>1360</v>
      </c>
      <c r="H707" s="193" t="s">
        <v>40</v>
      </c>
      <c r="I707" s="193" t="s">
        <v>41</v>
      </c>
      <c r="J707" s="193" t="str">
        <f t="shared" si="49"/>
        <v>6 Roda</v>
      </c>
      <c r="K707" s="194">
        <v>46064</v>
      </c>
      <c r="L707" s="195">
        <v>13390</v>
      </c>
      <c r="M707" s="195">
        <v>3950</v>
      </c>
      <c r="N707" s="195">
        <v>9440</v>
      </c>
      <c r="O707" s="195">
        <v>9450</v>
      </c>
      <c r="P707" s="196">
        <v>0.92083333333333295</v>
      </c>
      <c r="Q707" s="196">
        <v>0.97222222222222199</v>
      </c>
      <c r="R707" s="193" t="s">
        <v>137</v>
      </c>
      <c r="S707" s="193"/>
      <c r="T707" s="197">
        <f t="shared" si="47"/>
        <v>494</v>
      </c>
      <c r="U707" s="193"/>
      <c r="V707" s="193" t="str">
        <f t="shared" si="48"/>
        <v>Pomala</v>
      </c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8"/>
      <c r="AL707" s="18"/>
    </row>
    <row r="708" spans="2:38" ht="15" customHeight="1" x14ac:dyDescent="0.2">
      <c r="B708" s="193">
        <v>1</v>
      </c>
      <c r="C708" s="347" t="s">
        <v>203</v>
      </c>
      <c r="D708" s="193" t="str">
        <f t="shared" si="46"/>
        <v>CPO000072MIS</v>
      </c>
      <c r="E708" s="193" t="s">
        <v>163</v>
      </c>
      <c r="F708" s="193" t="s">
        <v>1361</v>
      </c>
      <c r="G708" s="193" t="s">
        <v>1360</v>
      </c>
      <c r="H708" s="193" t="s">
        <v>40</v>
      </c>
      <c r="I708" s="193" t="s">
        <v>41</v>
      </c>
      <c r="J708" s="193" t="str">
        <f t="shared" si="49"/>
        <v>6 Roda</v>
      </c>
      <c r="K708" s="194">
        <v>46064</v>
      </c>
      <c r="L708" s="195">
        <v>13940</v>
      </c>
      <c r="M708" s="195">
        <v>4010</v>
      </c>
      <c r="N708" s="195">
        <v>9930</v>
      </c>
      <c r="O708" s="195">
        <v>10030</v>
      </c>
      <c r="P708" s="196">
        <v>0.92847222222222203</v>
      </c>
      <c r="Q708" s="196">
        <v>0.97083333333333299</v>
      </c>
      <c r="R708" s="193" t="s">
        <v>137</v>
      </c>
      <c r="S708" s="193"/>
      <c r="T708" s="197">
        <f t="shared" si="47"/>
        <v>494</v>
      </c>
      <c r="U708" s="193"/>
      <c r="V708" s="193" t="str">
        <f t="shared" si="48"/>
        <v>Pomala</v>
      </c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8"/>
      <c r="AL708" s="18"/>
    </row>
    <row r="709" spans="2:38" ht="15" customHeight="1" x14ac:dyDescent="0.2">
      <c r="B709" s="193">
        <v>1</v>
      </c>
      <c r="C709" s="347" t="s">
        <v>204</v>
      </c>
      <c r="D709" s="193" t="str">
        <f t="shared" si="46"/>
        <v>CPO000073MIS</v>
      </c>
      <c r="E709" s="193" t="s">
        <v>205</v>
      </c>
      <c r="F709" s="193" t="s">
        <v>1361</v>
      </c>
      <c r="G709" s="193" t="s">
        <v>1360</v>
      </c>
      <c r="H709" s="193" t="s">
        <v>40</v>
      </c>
      <c r="I709" s="193" t="s">
        <v>41</v>
      </c>
      <c r="J709" s="193" t="str">
        <f t="shared" si="49"/>
        <v>6 Roda</v>
      </c>
      <c r="K709" s="194">
        <v>46064</v>
      </c>
      <c r="L709" s="195">
        <v>14040</v>
      </c>
      <c r="M709" s="195">
        <v>4200</v>
      </c>
      <c r="N709" s="195">
        <v>9840</v>
      </c>
      <c r="O709" s="195">
        <v>9920</v>
      </c>
      <c r="P709" s="196">
        <v>0.95833333333333304</v>
      </c>
      <c r="Q709" s="196">
        <v>0.99166666666666703</v>
      </c>
      <c r="R709" s="193" t="s">
        <v>137</v>
      </c>
      <c r="S709" s="193"/>
      <c r="T709" s="197">
        <f t="shared" si="47"/>
        <v>494</v>
      </c>
      <c r="U709" s="193"/>
      <c r="V709" s="193" t="str">
        <f t="shared" si="48"/>
        <v>Pomala</v>
      </c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8"/>
      <c r="AL709" s="18"/>
    </row>
    <row r="710" spans="2:38" ht="15" customHeight="1" x14ac:dyDescent="0.2">
      <c r="B710" s="193">
        <v>1</v>
      </c>
      <c r="C710" s="347" t="s">
        <v>221</v>
      </c>
      <c r="D710" s="193" t="str">
        <f t="shared" si="46"/>
        <v>CPO000083KMP</v>
      </c>
      <c r="E710" s="193" t="s">
        <v>70</v>
      </c>
      <c r="F710" s="193"/>
      <c r="G710" s="193" t="s">
        <v>1362</v>
      </c>
      <c r="H710" s="193" t="s">
        <v>59</v>
      </c>
      <c r="I710" s="193" t="s">
        <v>41</v>
      </c>
      <c r="J710" s="193" t="str">
        <f t="shared" si="49"/>
        <v>12 Roda</v>
      </c>
      <c r="K710" s="194">
        <v>46065</v>
      </c>
      <c r="L710" s="195">
        <v>46020</v>
      </c>
      <c r="M710" s="195">
        <v>17600</v>
      </c>
      <c r="N710" s="195">
        <v>28420</v>
      </c>
      <c r="O710" s="195">
        <v>28540</v>
      </c>
      <c r="P710" s="196">
        <v>0.78819444444444398</v>
      </c>
      <c r="Q710" s="196">
        <v>0.83333333333333304</v>
      </c>
      <c r="R710" s="193" t="s">
        <v>137</v>
      </c>
      <c r="S710" s="193" t="s">
        <v>1499</v>
      </c>
      <c r="T710" s="197">
        <f t="shared" si="47"/>
        <v>53</v>
      </c>
      <c r="U710" s="193" t="s">
        <v>1922</v>
      </c>
      <c r="V710" s="193" t="str">
        <f t="shared" si="48"/>
        <v>Masamba</v>
      </c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8"/>
      <c r="AL710" s="18"/>
    </row>
    <row r="711" spans="2:38" ht="15" customHeight="1" x14ac:dyDescent="0.2">
      <c r="B711" s="193">
        <v>1</v>
      </c>
      <c r="C711" s="347" t="s">
        <v>206</v>
      </c>
      <c r="D711" s="193" t="str">
        <f t="shared" si="46"/>
        <v>CPO000074MIS</v>
      </c>
      <c r="E711" s="193" t="s">
        <v>188</v>
      </c>
      <c r="F711" s="193" t="s">
        <v>1361</v>
      </c>
      <c r="G711" s="193" t="s">
        <v>1360</v>
      </c>
      <c r="H711" s="193" t="s">
        <v>40</v>
      </c>
      <c r="I711" s="193" t="s">
        <v>41</v>
      </c>
      <c r="J711" s="193" t="str">
        <f t="shared" si="49"/>
        <v>6 Roda</v>
      </c>
      <c r="K711" s="194">
        <v>46065</v>
      </c>
      <c r="L711" s="195">
        <v>13090</v>
      </c>
      <c r="M711" s="195">
        <v>3710</v>
      </c>
      <c r="N711" s="195">
        <v>9380</v>
      </c>
      <c r="O711" s="195">
        <v>9400</v>
      </c>
      <c r="P711" s="196">
        <v>0.96875</v>
      </c>
      <c r="Q711" s="196">
        <v>2.0138888888888901E-2</v>
      </c>
      <c r="R711" s="193" t="s">
        <v>137</v>
      </c>
      <c r="S711" s="193"/>
      <c r="T711" s="197">
        <f t="shared" si="47"/>
        <v>494</v>
      </c>
      <c r="U711" s="193"/>
      <c r="V711" s="193" t="str">
        <f t="shared" si="48"/>
        <v>Pomala</v>
      </c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8"/>
      <c r="AL711" s="18"/>
    </row>
    <row r="712" spans="2:38" ht="15" customHeight="1" x14ac:dyDescent="0.2">
      <c r="B712" s="193">
        <v>1</v>
      </c>
      <c r="C712" s="347" t="s">
        <v>207</v>
      </c>
      <c r="D712" s="193" t="str">
        <f t="shared" si="46"/>
        <v>CPO000075MIS</v>
      </c>
      <c r="E712" s="193" t="s">
        <v>183</v>
      </c>
      <c r="F712" s="193" t="s">
        <v>1361</v>
      </c>
      <c r="G712" s="193" t="s">
        <v>1360</v>
      </c>
      <c r="H712" s="193" t="s">
        <v>40</v>
      </c>
      <c r="I712" s="193" t="s">
        <v>41</v>
      </c>
      <c r="J712" s="193" t="str">
        <f t="shared" si="49"/>
        <v>6 Roda</v>
      </c>
      <c r="K712" s="194">
        <v>46065</v>
      </c>
      <c r="L712" s="195">
        <v>14160</v>
      </c>
      <c r="M712" s="195">
        <v>4310</v>
      </c>
      <c r="N712" s="195">
        <v>9850</v>
      </c>
      <c r="O712" s="195">
        <v>9910</v>
      </c>
      <c r="P712" s="196">
        <v>0.97499999999999998</v>
      </c>
      <c r="Q712" s="196">
        <v>5.5555555555555601E-3</v>
      </c>
      <c r="R712" s="193" t="s">
        <v>137</v>
      </c>
      <c r="S712" s="193"/>
      <c r="T712" s="197">
        <f t="shared" si="47"/>
        <v>494</v>
      </c>
      <c r="U712" s="193"/>
      <c r="V712" s="193" t="str">
        <f t="shared" si="48"/>
        <v>Pomala</v>
      </c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8"/>
      <c r="AL712" s="18"/>
    </row>
    <row r="713" spans="2:38" ht="15" customHeight="1" x14ac:dyDescent="0.2">
      <c r="B713" s="193">
        <v>1</v>
      </c>
      <c r="C713" s="347" t="s">
        <v>208</v>
      </c>
      <c r="D713" s="193" t="str">
        <f t="shared" si="46"/>
        <v>CPO000076MIS</v>
      </c>
      <c r="E713" s="193" t="s">
        <v>155</v>
      </c>
      <c r="F713" s="193" t="s">
        <v>1361</v>
      </c>
      <c r="G713" s="193" t="s">
        <v>1360</v>
      </c>
      <c r="H713" s="193" t="s">
        <v>40</v>
      </c>
      <c r="I713" s="193" t="s">
        <v>41</v>
      </c>
      <c r="J713" s="193" t="str">
        <f t="shared" si="49"/>
        <v>6 Roda</v>
      </c>
      <c r="K713" s="194">
        <v>46065</v>
      </c>
      <c r="L713" s="195">
        <v>13490</v>
      </c>
      <c r="M713" s="195">
        <v>4110</v>
      </c>
      <c r="N713" s="195">
        <v>9380</v>
      </c>
      <c r="O713" s="195">
        <v>9510</v>
      </c>
      <c r="P713" s="196">
        <v>0.97638888888888897</v>
      </c>
      <c r="Q713" s="196">
        <v>1.3194444444444399E-2</v>
      </c>
      <c r="R713" s="193" t="s">
        <v>137</v>
      </c>
      <c r="S713" s="193"/>
      <c r="T713" s="197">
        <f t="shared" si="47"/>
        <v>494</v>
      </c>
      <c r="U713" s="193"/>
      <c r="V713" s="193" t="str">
        <f t="shared" si="48"/>
        <v>Pomala</v>
      </c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8"/>
      <c r="AL713" s="18"/>
    </row>
    <row r="714" spans="2:38" ht="15" customHeight="1" x14ac:dyDescent="0.2">
      <c r="B714" s="193">
        <v>1</v>
      </c>
      <c r="C714" s="347" t="s">
        <v>209</v>
      </c>
      <c r="D714" s="193" t="str">
        <f t="shared" si="46"/>
        <v>CPO000077MIS</v>
      </c>
      <c r="E714" s="193" t="s">
        <v>211</v>
      </c>
      <c r="F714" s="193" t="s">
        <v>1361</v>
      </c>
      <c r="G714" s="193" t="s">
        <v>1360</v>
      </c>
      <c r="H714" s="193" t="s">
        <v>40</v>
      </c>
      <c r="I714" s="193" t="s">
        <v>41</v>
      </c>
      <c r="J714" s="193" t="str">
        <f t="shared" si="49"/>
        <v>6 Roda</v>
      </c>
      <c r="K714" s="194">
        <v>46065</v>
      </c>
      <c r="L714" s="195">
        <v>13020</v>
      </c>
      <c r="M714" s="195">
        <v>4070</v>
      </c>
      <c r="N714" s="195">
        <v>8950</v>
      </c>
      <c r="O714" s="195">
        <v>9030</v>
      </c>
      <c r="P714" s="196">
        <v>0.97847222222222197</v>
      </c>
      <c r="Q714" s="196">
        <v>3.05555555555556E-2</v>
      </c>
      <c r="R714" s="193" t="s">
        <v>137</v>
      </c>
      <c r="S714" s="193"/>
      <c r="T714" s="197">
        <f t="shared" si="47"/>
        <v>494</v>
      </c>
      <c r="U714" s="193"/>
      <c r="V714" s="193" t="str">
        <f t="shared" si="48"/>
        <v>Pomala</v>
      </c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8"/>
      <c r="AL714" s="18"/>
    </row>
    <row r="715" spans="2:38" ht="15" customHeight="1" x14ac:dyDescent="0.2">
      <c r="B715" s="193">
        <v>1</v>
      </c>
      <c r="C715" s="347" t="s">
        <v>212</v>
      </c>
      <c r="D715" s="193" t="str">
        <f t="shared" si="46"/>
        <v>CPO000078MIS</v>
      </c>
      <c r="E715" s="193" t="s">
        <v>156</v>
      </c>
      <c r="F715" s="193" t="s">
        <v>1361</v>
      </c>
      <c r="G715" s="193" t="s">
        <v>1360</v>
      </c>
      <c r="H715" s="193" t="s">
        <v>40</v>
      </c>
      <c r="I715" s="193" t="s">
        <v>41</v>
      </c>
      <c r="J715" s="193" t="str">
        <f t="shared" si="49"/>
        <v>6 Roda</v>
      </c>
      <c r="K715" s="194">
        <v>46065</v>
      </c>
      <c r="L715" s="195">
        <v>14030</v>
      </c>
      <c r="M715" s="195">
        <v>4290</v>
      </c>
      <c r="N715" s="195">
        <v>9740</v>
      </c>
      <c r="O715" s="195">
        <v>9900</v>
      </c>
      <c r="P715" s="196">
        <v>1.18055555555556E-2</v>
      </c>
      <c r="Q715" s="196">
        <v>6.0416666666666702E-2</v>
      </c>
      <c r="R715" s="193" t="s">
        <v>137</v>
      </c>
      <c r="S715" s="193"/>
      <c r="T715" s="197">
        <f t="shared" si="47"/>
        <v>494</v>
      </c>
      <c r="U715" s="193"/>
      <c r="V715" s="193" t="str">
        <f t="shared" si="48"/>
        <v>Pomala</v>
      </c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8"/>
      <c r="AL715" s="18"/>
    </row>
    <row r="716" spans="2:38" ht="15" customHeight="1" x14ac:dyDescent="0.2">
      <c r="B716" s="193">
        <v>1</v>
      </c>
      <c r="C716" s="347" t="s">
        <v>213</v>
      </c>
      <c r="D716" s="193" t="str">
        <f t="shared" si="46"/>
        <v>CPO000079MIS</v>
      </c>
      <c r="E716" s="193" t="s">
        <v>215</v>
      </c>
      <c r="F716" s="193" t="s">
        <v>1361</v>
      </c>
      <c r="G716" s="193" t="s">
        <v>1360</v>
      </c>
      <c r="H716" s="193" t="s">
        <v>40</v>
      </c>
      <c r="I716" s="193" t="s">
        <v>41</v>
      </c>
      <c r="J716" s="193" t="str">
        <f t="shared" si="49"/>
        <v>6 Roda</v>
      </c>
      <c r="K716" s="194">
        <v>46065</v>
      </c>
      <c r="L716" s="195">
        <v>12770</v>
      </c>
      <c r="M716" s="195">
        <v>4040</v>
      </c>
      <c r="N716" s="195">
        <v>8730</v>
      </c>
      <c r="O716" s="195">
        <v>8760</v>
      </c>
      <c r="P716" s="196">
        <v>1.4583333333333301E-2</v>
      </c>
      <c r="Q716" s="196">
        <v>6.8055555555555605E-2</v>
      </c>
      <c r="R716" s="193" t="s">
        <v>137</v>
      </c>
      <c r="S716" s="193"/>
      <c r="T716" s="197">
        <f t="shared" si="47"/>
        <v>494</v>
      </c>
      <c r="U716" s="193"/>
      <c r="V716" s="193" t="str">
        <f t="shared" si="48"/>
        <v>Pomala</v>
      </c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8"/>
      <c r="AL716" s="18"/>
    </row>
    <row r="717" spans="2:38" ht="15" customHeight="1" x14ac:dyDescent="0.2">
      <c r="B717" s="193">
        <v>1</v>
      </c>
      <c r="C717" s="347" t="s">
        <v>216</v>
      </c>
      <c r="D717" s="193" t="str">
        <f t="shared" si="46"/>
        <v>CPO000080MIS</v>
      </c>
      <c r="E717" s="193" t="s">
        <v>151</v>
      </c>
      <c r="F717" s="193" t="s">
        <v>1361</v>
      </c>
      <c r="G717" s="193" t="s">
        <v>1360</v>
      </c>
      <c r="H717" s="193" t="s">
        <v>40</v>
      </c>
      <c r="I717" s="193" t="s">
        <v>41</v>
      </c>
      <c r="J717" s="193" t="str">
        <f t="shared" si="49"/>
        <v>6 Roda</v>
      </c>
      <c r="K717" s="194">
        <v>46065</v>
      </c>
      <c r="L717" s="195">
        <v>13460</v>
      </c>
      <c r="M717" s="195">
        <v>4270</v>
      </c>
      <c r="N717" s="195">
        <v>9190</v>
      </c>
      <c r="O717" s="195">
        <v>9310</v>
      </c>
      <c r="P717" s="196">
        <v>2.1527777777777798E-2</v>
      </c>
      <c r="Q717" s="196">
        <v>7.9861111111111105E-2</v>
      </c>
      <c r="R717" s="193" t="s">
        <v>137</v>
      </c>
      <c r="S717" s="193"/>
      <c r="T717" s="197">
        <f t="shared" si="47"/>
        <v>494</v>
      </c>
      <c r="U717" s="193"/>
      <c r="V717" s="193" t="str">
        <f t="shared" si="48"/>
        <v>Pomala</v>
      </c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8"/>
      <c r="AL717" s="18"/>
    </row>
    <row r="718" spans="2:38" ht="15" customHeight="1" x14ac:dyDescent="0.2">
      <c r="B718" s="193">
        <v>1</v>
      </c>
      <c r="C718" s="347" t="s">
        <v>217</v>
      </c>
      <c r="D718" s="193" t="str">
        <f t="shared" si="46"/>
        <v>CPO000081MIS</v>
      </c>
      <c r="E718" s="193" t="s">
        <v>153</v>
      </c>
      <c r="F718" s="193" t="s">
        <v>1361</v>
      </c>
      <c r="G718" s="193" t="s">
        <v>1360</v>
      </c>
      <c r="H718" s="193" t="s">
        <v>40</v>
      </c>
      <c r="I718" s="193" t="s">
        <v>41</v>
      </c>
      <c r="J718" s="193" t="str">
        <f t="shared" si="49"/>
        <v>6 Roda</v>
      </c>
      <c r="K718" s="194">
        <v>46065</v>
      </c>
      <c r="L718" s="195">
        <v>13520</v>
      </c>
      <c r="M718" s="195">
        <v>4010</v>
      </c>
      <c r="N718" s="195">
        <v>9510</v>
      </c>
      <c r="O718" s="195">
        <v>9500</v>
      </c>
      <c r="P718" s="196">
        <v>3.3333333333333298E-2</v>
      </c>
      <c r="Q718" s="196">
        <v>7.5694444444444398E-2</v>
      </c>
      <c r="R718" s="193" t="s">
        <v>137</v>
      </c>
      <c r="S718" s="193"/>
      <c r="T718" s="197">
        <f t="shared" si="47"/>
        <v>494</v>
      </c>
      <c r="U718" s="193"/>
      <c r="V718" s="193" t="str">
        <f t="shared" si="48"/>
        <v>Pomala</v>
      </c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8"/>
      <c r="AL718" s="18"/>
    </row>
    <row r="719" spans="2:38" ht="15" customHeight="1" x14ac:dyDescent="0.2">
      <c r="B719" s="193">
        <v>1</v>
      </c>
      <c r="C719" s="347" t="s">
        <v>218</v>
      </c>
      <c r="D719" s="193" t="str">
        <f t="shared" si="46"/>
        <v>CPO000082MIS</v>
      </c>
      <c r="E719" s="193" t="s">
        <v>220</v>
      </c>
      <c r="F719" s="193" t="s">
        <v>1361</v>
      </c>
      <c r="G719" s="193" t="s">
        <v>1360</v>
      </c>
      <c r="H719" s="193" t="s">
        <v>40</v>
      </c>
      <c r="I719" s="193" t="s">
        <v>41</v>
      </c>
      <c r="J719" s="193" t="str">
        <f t="shared" si="49"/>
        <v>6 Roda</v>
      </c>
      <c r="K719" s="194">
        <v>46065</v>
      </c>
      <c r="L719" s="195">
        <v>13540</v>
      </c>
      <c r="M719" s="195">
        <v>4060</v>
      </c>
      <c r="N719" s="195">
        <v>9480</v>
      </c>
      <c r="O719" s="195">
        <v>9480</v>
      </c>
      <c r="P719" s="196">
        <v>3.4722222222222203E-2</v>
      </c>
      <c r="Q719" s="196">
        <v>9.44444444444444E-2</v>
      </c>
      <c r="R719" s="193" t="s">
        <v>137</v>
      </c>
      <c r="S719" s="193"/>
      <c r="T719" s="197">
        <f t="shared" si="47"/>
        <v>494</v>
      </c>
      <c r="U719" s="193"/>
      <c r="V719" s="193" t="str">
        <f t="shared" si="48"/>
        <v>Pomala</v>
      </c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8"/>
      <c r="AL719" s="18"/>
    </row>
    <row r="720" spans="2:38" ht="15" customHeight="1" x14ac:dyDescent="0.2">
      <c r="B720" s="193">
        <v>1</v>
      </c>
      <c r="C720" s="347" t="s">
        <v>824</v>
      </c>
      <c r="D720" s="193" t="str">
        <f t="shared" si="46"/>
        <v>CPO000662KMP</v>
      </c>
      <c r="E720" s="193" t="s">
        <v>70</v>
      </c>
      <c r="F720" s="193"/>
      <c r="G720" s="193" t="s">
        <v>1362</v>
      </c>
      <c r="H720" s="193" t="s">
        <v>59</v>
      </c>
      <c r="I720" s="193" t="s">
        <v>41</v>
      </c>
      <c r="J720" s="193" t="str">
        <f t="shared" si="49"/>
        <v>12 Roda</v>
      </c>
      <c r="K720" s="194">
        <v>46066</v>
      </c>
      <c r="L720" s="195">
        <v>46000</v>
      </c>
      <c r="M720" s="195">
        <v>17570</v>
      </c>
      <c r="N720" s="195">
        <v>28430</v>
      </c>
      <c r="O720" s="195">
        <v>28480</v>
      </c>
      <c r="P720" s="196">
        <v>0.54305555555555596</v>
      </c>
      <c r="Q720" s="196">
        <v>0.59583333333333299</v>
      </c>
      <c r="R720" s="193" t="s">
        <v>42</v>
      </c>
      <c r="S720" s="193" t="s">
        <v>1499</v>
      </c>
      <c r="T720" s="197">
        <f t="shared" si="47"/>
        <v>53</v>
      </c>
      <c r="U720" s="193" t="s">
        <v>1922</v>
      </c>
      <c r="V720" s="193" t="str">
        <f t="shared" si="48"/>
        <v>Masamba</v>
      </c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8"/>
      <c r="AL720" s="18"/>
    </row>
    <row r="721" spans="2:38" ht="15" customHeight="1" x14ac:dyDescent="0.2">
      <c r="B721" s="193">
        <v>1</v>
      </c>
      <c r="C721" s="347" t="s">
        <v>825</v>
      </c>
      <c r="D721" s="193" t="str">
        <f t="shared" si="46"/>
        <v>CPO000663KMP</v>
      </c>
      <c r="E721" s="193" t="s">
        <v>46</v>
      </c>
      <c r="F721" s="193"/>
      <c r="G721" s="193" t="s">
        <v>1362</v>
      </c>
      <c r="H721" s="193" t="s">
        <v>59</v>
      </c>
      <c r="I721" s="193" t="s">
        <v>41</v>
      </c>
      <c r="J721" s="193" t="str">
        <f t="shared" si="49"/>
        <v>10 Roda</v>
      </c>
      <c r="K721" s="194">
        <v>46066</v>
      </c>
      <c r="L721" s="195">
        <v>26720</v>
      </c>
      <c r="M721" s="195">
        <v>11860</v>
      </c>
      <c r="N721" s="195">
        <v>14860</v>
      </c>
      <c r="O721" s="195">
        <v>14880</v>
      </c>
      <c r="P721" s="196">
        <v>0.77916666666666701</v>
      </c>
      <c r="Q721" s="196">
        <v>0.83125000000000004</v>
      </c>
      <c r="R721" s="193" t="s">
        <v>137</v>
      </c>
      <c r="S721" s="193" t="s">
        <v>1393</v>
      </c>
      <c r="T721" s="197">
        <f t="shared" si="47"/>
        <v>53</v>
      </c>
      <c r="U721" s="193" t="s">
        <v>1922</v>
      </c>
      <c r="V721" s="193" t="str">
        <f t="shared" si="48"/>
        <v>Masamba</v>
      </c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8"/>
      <c r="AL721" s="18"/>
    </row>
    <row r="722" spans="2:38" ht="15" customHeight="1" x14ac:dyDescent="0.2">
      <c r="B722" s="193">
        <v>1</v>
      </c>
      <c r="C722" s="347" t="s">
        <v>826</v>
      </c>
      <c r="D722" s="193" t="str">
        <f t="shared" si="46"/>
        <v>CPO000664KMP</v>
      </c>
      <c r="E722" s="193" t="s">
        <v>70</v>
      </c>
      <c r="F722" s="193"/>
      <c r="G722" s="193" t="s">
        <v>1362</v>
      </c>
      <c r="H722" s="193" t="s">
        <v>59</v>
      </c>
      <c r="I722" s="193" t="s">
        <v>41</v>
      </c>
      <c r="J722" s="193" t="str">
        <f t="shared" si="49"/>
        <v>12 Roda</v>
      </c>
      <c r="K722" s="194">
        <v>46066</v>
      </c>
      <c r="L722" s="195">
        <v>45940</v>
      </c>
      <c r="M722" s="195">
        <v>17530</v>
      </c>
      <c r="N722" s="195">
        <v>28410</v>
      </c>
      <c r="O722" s="195">
        <v>28480</v>
      </c>
      <c r="P722" s="196">
        <v>0.78541666666666698</v>
      </c>
      <c r="Q722" s="196">
        <v>0.86388888888888904</v>
      </c>
      <c r="R722" s="193" t="s">
        <v>137</v>
      </c>
      <c r="S722" s="193" t="s">
        <v>1499</v>
      </c>
      <c r="T722" s="197">
        <f t="shared" si="47"/>
        <v>53</v>
      </c>
      <c r="U722" s="193" t="s">
        <v>1922</v>
      </c>
      <c r="V722" s="193" t="str">
        <f t="shared" si="48"/>
        <v>Masamba</v>
      </c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8"/>
      <c r="AL722" s="18"/>
    </row>
    <row r="723" spans="2:38" ht="15" customHeight="1" x14ac:dyDescent="0.2">
      <c r="B723" s="193">
        <v>1</v>
      </c>
      <c r="C723" s="347" t="s">
        <v>831</v>
      </c>
      <c r="D723" s="193" t="str">
        <f t="shared" si="46"/>
        <v>CPO000668MIS</v>
      </c>
      <c r="E723" s="193" t="s">
        <v>73</v>
      </c>
      <c r="F723" s="193" t="s">
        <v>1361</v>
      </c>
      <c r="G723" s="193" t="s">
        <v>1360</v>
      </c>
      <c r="H723" s="193" t="s">
        <v>40</v>
      </c>
      <c r="I723" s="193" t="s">
        <v>41</v>
      </c>
      <c r="J723" s="193" t="str">
        <f t="shared" si="49"/>
        <v>6 Roda</v>
      </c>
      <c r="K723" s="194">
        <v>46066</v>
      </c>
      <c r="L723" s="195">
        <v>13410</v>
      </c>
      <c r="M723" s="195">
        <v>4000</v>
      </c>
      <c r="N723" s="195">
        <v>9410</v>
      </c>
      <c r="O723" s="195">
        <v>9370</v>
      </c>
      <c r="P723" s="196">
        <v>0.94444444444444398</v>
      </c>
      <c r="Q723" s="196">
        <v>0.98819444444444504</v>
      </c>
      <c r="R723" s="193" t="s">
        <v>137</v>
      </c>
      <c r="S723" s="193"/>
      <c r="T723" s="197">
        <f t="shared" si="47"/>
        <v>494</v>
      </c>
      <c r="U723" s="193"/>
      <c r="V723" s="193" t="str">
        <f t="shared" si="48"/>
        <v>Pomala</v>
      </c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8"/>
      <c r="AL723" s="18"/>
    </row>
    <row r="724" spans="2:38" ht="15" customHeight="1" x14ac:dyDescent="0.2">
      <c r="B724" s="193">
        <v>1</v>
      </c>
      <c r="C724" s="347" t="s">
        <v>832</v>
      </c>
      <c r="D724" s="193" t="str">
        <f t="shared" si="46"/>
        <v>CPO000669MIS</v>
      </c>
      <c r="E724" s="193" t="s">
        <v>39</v>
      </c>
      <c r="F724" s="193" t="s">
        <v>1361</v>
      </c>
      <c r="G724" s="193" t="s">
        <v>1360</v>
      </c>
      <c r="H724" s="193" t="s">
        <v>40</v>
      </c>
      <c r="I724" s="193" t="s">
        <v>41</v>
      </c>
      <c r="J724" s="193" t="str">
        <f t="shared" si="49"/>
        <v>6 Roda</v>
      </c>
      <c r="K724" s="194">
        <v>46066</v>
      </c>
      <c r="L724" s="195">
        <v>13730</v>
      </c>
      <c r="M724" s="195">
        <v>4120</v>
      </c>
      <c r="N724" s="195">
        <v>9610</v>
      </c>
      <c r="O724" s="195">
        <v>9580</v>
      </c>
      <c r="P724" s="196">
        <v>0.94513888888888897</v>
      </c>
      <c r="Q724" s="196">
        <v>0.98958333333333304</v>
      </c>
      <c r="R724" s="193" t="s">
        <v>137</v>
      </c>
      <c r="S724" s="193"/>
      <c r="T724" s="197">
        <f t="shared" si="47"/>
        <v>494</v>
      </c>
      <c r="U724" s="193"/>
      <c r="V724" s="193" t="str">
        <f t="shared" si="48"/>
        <v>Pomala</v>
      </c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8"/>
      <c r="AL724" s="18"/>
    </row>
    <row r="725" spans="2:38" ht="15" customHeight="1" x14ac:dyDescent="0.2">
      <c r="B725" s="193">
        <v>1</v>
      </c>
      <c r="C725" s="347" t="s">
        <v>833</v>
      </c>
      <c r="D725" s="193" t="str">
        <f t="shared" si="46"/>
        <v>CPO000670MIS</v>
      </c>
      <c r="E725" s="193" t="s">
        <v>184</v>
      </c>
      <c r="F725" s="193" t="s">
        <v>1361</v>
      </c>
      <c r="G725" s="193" t="s">
        <v>1360</v>
      </c>
      <c r="H725" s="193" t="s">
        <v>40</v>
      </c>
      <c r="I725" s="193" t="s">
        <v>41</v>
      </c>
      <c r="J725" s="193" t="str">
        <f t="shared" si="49"/>
        <v>6 Roda</v>
      </c>
      <c r="K725" s="194">
        <v>46066</v>
      </c>
      <c r="L725" s="195">
        <v>13770</v>
      </c>
      <c r="M725" s="195">
        <v>3910</v>
      </c>
      <c r="N725" s="195">
        <v>9860</v>
      </c>
      <c r="O725" s="195">
        <v>9810</v>
      </c>
      <c r="P725" s="196">
        <v>0.94652777777777797</v>
      </c>
      <c r="Q725" s="196">
        <v>0.99097222222222203</v>
      </c>
      <c r="R725" s="193" t="s">
        <v>137</v>
      </c>
      <c r="S725" s="193"/>
      <c r="T725" s="197">
        <f t="shared" si="47"/>
        <v>494</v>
      </c>
      <c r="U725" s="193"/>
      <c r="V725" s="193" t="str">
        <f t="shared" si="48"/>
        <v>Pomala</v>
      </c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8"/>
      <c r="AL725" s="18"/>
    </row>
    <row r="726" spans="2:38" ht="15" customHeight="1" x14ac:dyDescent="0.2">
      <c r="B726" s="193">
        <v>1</v>
      </c>
      <c r="C726" s="347" t="s">
        <v>827</v>
      </c>
      <c r="D726" s="193" t="str">
        <f t="shared" si="46"/>
        <v>RBDPL000665BJL</v>
      </c>
      <c r="E726" s="193" t="s">
        <v>174</v>
      </c>
      <c r="F726" s="193" t="s">
        <v>1363</v>
      </c>
      <c r="G726" s="193" t="s">
        <v>1657</v>
      </c>
      <c r="H726" s="193" t="s">
        <v>86</v>
      </c>
      <c r="I726" s="193" t="s">
        <v>3</v>
      </c>
      <c r="J726" s="193" t="str">
        <f t="shared" si="49"/>
        <v>6 Roda</v>
      </c>
      <c r="K726" s="194">
        <v>46066</v>
      </c>
      <c r="L726" s="195">
        <v>13480</v>
      </c>
      <c r="M726" s="195">
        <v>4360</v>
      </c>
      <c r="N726" s="195">
        <v>9120</v>
      </c>
      <c r="O726" s="195"/>
      <c r="P726" s="196">
        <v>0.813194444444444</v>
      </c>
      <c r="Q726" s="196">
        <v>0.85486111111111096</v>
      </c>
      <c r="R726" s="193" t="s">
        <v>137</v>
      </c>
      <c r="S726" s="193" t="s">
        <v>1465</v>
      </c>
      <c r="T726" s="197">
        <f t="shared" si="47"/>
        <v>562</v>
      </c>
      <c r="U726" s="193" t="s">
        <v>175</v>
      </c>
      <c r="V726" s="193" t="str">
        <f t="shared" si="48"/>
        <v>Palu</v>
      </c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8"/>
      <c r="AL726" s="18"/>
    </row>
    <row r="727" spans="2:38" ht="15" customHeight="1" x14ac:dyDescent="0.2">
      <c r="B727" s="193">
        <v>1</v>
      </c>
      <c r="C727" s="347" t="s">
        <v>828</v>
      </c>
      <c r="D727" s="193" t="str">
        <f t="shared" ref="D727:D790" si="50">I727&amp;C727&amp;_xlfn.XLOOKUP(H727,$AM$4:$AM$26,$AN$4:$AN$26,"")</f>
        <v>RBDPL000666BJL</v>
      </c>
      <c r="E727" s="193" t="s">
        <v>236</v>
      </c>
      <c r="F727" s="193" t="s">
        <v>1363</v>
      </c>
      <c r="G727" s="193" t="s">
        <v>1657</v>
      </c>
      <c r="H727" s="193" t="s">
        <v>86</v>
      </c>
      <c r="I727" s="193" t="s">
        <v>3</v>
      </c>
      <c r="J727" s="193" t="str">
        <f t="shared" si="49"/>
        <v>6 Roda</v>
      </c>
      <c r="K727" s="194">
        <v>46066</v>
      </c>
      <c r="L727" s="195">
        <v>13030</v>
      </c>
      <c r="M727" s="195">
        <v>4010</v>
      </c>
      <c r="N727" s="195">
        <v>9020</v>
      </c>
      <c r="O727" s="195"/>
      <c r="P727" s="196">
        <v>0.81458333333333299</v>
      </c>
      <c r="Q727" s="196">
        <v>0.875694444444444</v>
      </c>
      <c r="R727" s="193" t="s">
        <v>137</v>
      </c>
      <c r="S727" s="193" t="s">
        <v>1466</v>
      </c>
      <c r="T727" s="197">
        <f t="shared" ref="T727:T790" si="51">IFERROR(_xlfn.XLOOKUP(H727,$AM$4:$AM$18,$AP$4:$AP$18,""),0)</f>
        <v>562</v>
      </c>
      <c r="U727" s="193" t="s">
        <v>175</v>
      </c>
      <c r="V727" s="193" t="str">
        <f t="shared" ref="V727:V790" si="52">IFERROR(_xlfn.XLOOKUP(H727,$AM$4:$AM$18,$AO$4:$AO$18,""),"")</f>
        <v>Palu</v>
      </c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8"/>
      <c r="AL727" s="18"/>
    </row>
    <row r="728" spans="2:38" ht="15" customHeight="1" x14ac:dyDescent="0.2">
      <c r="B728" s="193">
        <v>1</v>
      </c>
      <c r="C728" s="347" t="s">
        <v>829</v>
      </c>
      <c r="D728" s="193" t="str">
        <f t="shared" si="50"/>
        <v>RBDPL000667BJL</v>
      </c>
      <c r="E728" s="193" t="s">
        <v>830</v>
      </c>
      <c r="F728" s="193" t="s">
        <v>1363</v>
      </c>
      <c r="G728" s="193" t="s">
        <v>1657</v>
      </c>
      <c r="H728" s="193" t="s">
        <v>86</v>
      </c>
      <c r="I728" s="193" t="s">
        <v>3</v>
      </c>
      <c r="J728" s="193" t="str">
        <f t="shared" si="49"/>
        <v>6 Roda</v>
      </c>
      <c r="K728" s="194">
        <v>46066</v>
      </c>
      <c r="L728" s="195">
        <v>13210</v>
      </c>
      <c r="M728" s="195">
        <v>4040</v>
      </c>
      <c r="N728" s="195">
        <v>9170</v>
      </c>
      <c r="O728" s="195"/>
      <c r="P728" s="196">
        <v>0.81736111111111098</v>
      </c>
      <c r="Q728" s="196">
        <v>0.89930555555555602</v>
      </c>
      <c r="R728" s="193" t="s">
        <v>137</v>
      </c>
      <c r="S728" s="193" t="s">
        <v>1467</v>
      </c>
      <c r="T728" s="197">
        <f t="shared" si="51"/>
        <v>562</v>
      </c>
      <c r="U728" s="193" t="s">
        <v>175</v>
      </c>
      <c r="V728" s="193" t="str">
        <f t="shared" si="52"/>
        <v>Palu</v>
      </c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8"/>
      <c r="AL728" s="18"/>
    </row>
    <row r="729" spans="2:38" ht="15" customHeight="1" x14ac:dyDescent="0.2">
      <c r="B729" s="193">
        <v>1</v>
      </c>
      <c r="C729" s="347" t="s">
        <v>836</v>
      </c>
      <c r="D729" s="193" t="str">
        <f t="shared" si="50"/>
        <v>CPO000672MIS</v>
      </c>
      <c r="E729" s="193" t="s">
        <v>166</v>
      </c>
      <c r="F729" s="193" t="s">
        <v>1361</v>
      </c>
      <c r="G729" s="193" t="s">
        <v>1360</v>
      </c>
      <c r="H729" s="193" t="s">
        <v>40</v>
      </c>
      <c r="I729" s="193" t="s">
        <v>41</v>
      </c>
      <c r="J729" s="193" t="str">
        <f t="shared" si="49"/>
        <v>6 Roda</v>
      </c>
      <c r="K729" s="194">
        <v>46067</v>
      </c>
      <c r="L729" s="195">
        <v>13070</v>
      </c>
      <c r="M729" s="195">
        <v>3750</v>
      </c>
      <c r="N729" s="195">
        <v>9320</v>
      </c>
      <c r="O729" s="195">
        <v>9190</v>
      </c>
      <c r="P729" s="196">
        <v>0.4375</v>
      </c>
      <c r="Q729" s="196">
        <v>0.47152777777777799</v>
      </c>
      <c r="R729" s="193" t="s">
        <v>42</v>
      </c>
      <c r="S729" s="193"/>
      <c r="T729" s="197">
        <f t="shared" si="51"/>
        <v>494</v>
      </c>
      <c r="U729" s="193"/>
      <c r="V729" s="193" t="str">
        <f t="shared" si="52"/>
        <v>Pomala</v>
      </c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8"/>
      <c r="AL729" s="18"/>
    </row>
    <row r="730" spans="2:38" ht="15" customHeight="1" x14ac:dyDescent="0.2">
      <c r="B730" s="193">
        <v>1</v>
      </c>
      <c r="C730" s="347" t="s">
        <v>837</v>
      </c>
      <c r="D730" s="193" t="str">
        <f t="shared" si="50"/>
        <v>CPO000673MIS</v>
      </c>
      <c r="E730" s="193" t="s">
        <v>149</v>
      </c>
      <c r="F730" s="193" t="s">
        <v>1361</v>
      </c>
      <c r="G730" s="193" t="s">
        <v>1360</v>
      </c>
      <c r="H730" s="193" t="s">
        <v>40</v>
      </c>
      <c r="I730" s="193" t="s">
        <v>41</v>
      </c>
      <c r="J730" s="193" t="str">
        <f t="shared" si="49"/>
        <v>6 Roda</v>
      </c>
      <c r="K730" s="194">
        <v>46067</v>
      </c>
      <c r="L730" s="195">
        <v>13890</v>
      </c>
      <c r="M730" s="195">
        <v>4050</v>
      </c>
      <c r="N730" s="195">
        <v>9840</v>
      </c>
      <c r="O730" s="195">
        <v>9770</v>
      </c>
      <c r="P730" s="196">
        <v>0.43888888888888899</v>
      </c>
      <c r="Q730" s="196">
        <v>0.47847222222222202</v>
      </c>
      <c r="R730" s="193" t="s">
        <v>42</v>
      </c>
      <c r="S730" s="193"/>
      <c r="T730" s="197">
        <f t="shared" si="51"/>
        <v>494</v>
      </c>
      <c r="U730" s="193"/>
      <c r="V730" s="193" t="str">
        <f t="shared" si="52"/>
        <v>Pomala</v>
      </c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8"/>
      <c r="AL730" s="18"/>
    </row>
    <row r="731" spans="2:38" ht="15" customHeight="1" x14ac:dyDescent="0.2">
      <c r="B731" s="193">
        <v>1</v>
      </c>
      <c r="C731" s="347" t="s">
        <v>840</v>
      </c>
      <c r="D731" s="193" t="str">
        <f t="shared" si="50"/>
        <v>CPO000675PN</v>
      </c>
      <c r="E731" s="193" t="s">
        <v>46</v>
      </c>
      <c r="F731" s="193" t="s">
        <v>1358</v>
      </c>
      <c r="G731" s="193" t="s">
        <v>1357</v>
      </c>
      <c r="H731" s="193" t="s">
        <v>78</v>
      </c>
      <c r="I731" s="193" t="s">
        <v>41</v>
      </c>
      <c r="J731" s="193" t="str">
        <f t="shared" si="49"/>
        <v>10 Roda</v>
      </c>
      <c r="K731" s="194">
        <v>46067</v>
      </c>
      <c r="L731" s="195">
        <v>26610</v>
      </c>
      <c r="M731" s="195">
        <v>11800</v>
      </c>
      <c r="N731" s="195">
        <v>14810</v>
      </c>
      <c r="O731" s="195">
        <v>14860</v>
      </c>
      <c r="P731" s="196">
        <v>0.56388888888888899</v>
      </c>
      <c r="Q731" s="196">
        <v>0.64166666666666705</v>
      </c>
      <c r="R731" s="193" t="s">
        <v>42</v>
      </c>
      <c r="S731" s="193" t="s">
        <v>1393</v>
      </c>
      <c r="T731" s="197">
        <f t="shared" si="51"/>
        <v>99</v>
      </c>
      <c r="U731" s="193"/>
      <c r="V731" s="193" t="str">
        <f t="shared" si="52"/>
        <v>Burau</v>
      </c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8"/>
      <c r="AL731" s="18"/>
    </row>
    <row r="732" spans="2:38" ht="15" customHeight="1" x14ac:dyDescent="0.2">
      <c r="B732" s="193">
        <v>1</v>
      </c>
      <c r="C732" s="347" t="s">
        <v>834</v>
      </c>
      <c r="D732" s="193" t="str">
        <f t="shared" si="50"/>
        <v>RBDPL000671BJL</v>
      </c>
      <c r="E732" s="193" t="s">
        <v>835</v>
      </c>
      <c r="F732" s="193" t="s">
        <v>1363</v>
      </c>
      <c r="G732" s="193" t="s">
        <v>1657</v>
      </c>
      <c r="H732" s="193" t="s">
        <v>86</v>
      </c>
      <c r="I732" s="193" t="s">
        <v>3</v>
      </c>
      <c r="J732" s="193" t="str">
        <f t="shared" si="49"/>
        <v>6 Roda</v>
      </c>
      <c r="K732" s="194">
        <v>46067</v>
      </c>
      <c r="L732" s="195">
        <v>13350</v>
      </c>
      <c r="M732" s="195">
        <v>3980</v>
      </c>
      <c r="N732" s="195">
        <v>9370</v>
      </c>
      <c r="O732" s="195"/>
      <c r="P732" s="196">
        <v>0.34513888888888899</v>
      </c>
      <c r="Q732" s="196">
        <v>0.37361111111111101</v>
      </c>
      <c r="R732" s="193" t="s">
        <v>42</v>
      </c>
      <c r="S732" s="193" t="s">
        <v>1469</v>
      </c>
      <c r="T732" s="197">
        <f t="shared" si="51"/>
        <v>562</v>
      </c>
      <c r="U732" s="193" t="s">
        <v>175</v>
      </c>
      <c r="V732" s="193" t="str">
        <f t="shared" si="52"/>
        <v>Palu</v>
      </c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8"/>
      <c r="AL732" s="18"/>
    </row>
    <row r="733" spans="2:38" ht="15" customHeight="1" x14ac:dyDescent="0.2">
      <c r="B733" s="193">
        <v>1</v>
      </c>
      <c r="C733" s="347" t="s">
        <v>841</v>
      </c>
      <c r="D733" s="193" t="str">
        <f t="shared" si="50"/>
        <v>CPO000676PN</v>
      </c>
      <c r="E733" s="193" t="s">
        <v>70</v>
      </c>
      <c r="F733" s="193" t="s">
        <v>1358</v>
      </c>
      <c r="G733" s="193" t="s">
        <v>1357</v>
      </c>
      <c r="H733" s="193" t="s">
        <v>78</v>
      </c>
      <c r="I733" s="193" t="s">
        <v>41</v>
      </c>
      <c r="J733" s="193" t="str">
        <f t="shared" si="49"/>
        <v>12 Roda</v>
      </c>
      <c r="K733" s="194">
        <v>46067</v>
      </c>
      <c r="L733" s="195">
        <v>45790</v>
      </c>
      <c r="M733" s="195">
        <v>17420</v>
      </c>
      <c r="N733" s="195">
        <v>28370</v>
      </c>
      <c r="O733" s="195">
        <v>28380</v>
      </c>
      <c r="P733" s="196">
        <v>0.58263888888888904</v>
      </c>
      <c r="Q733" s="196">
        <v>0.62986111111111098</v>
      </c>
      <c r="R733" s="193" t="s">
        <v>42</v>
      </c>
      <c r="S733" s="193" t="s">
        <v>1499</v>
      </c>
      <c r="T733" s="197">
        <f t="shared" si="51"/>
        <v>99</v>
      </c>
      <c r="U733" s="193"/>
      <c r="V733" s="193" t="str">
        <f t="shared" si="52"/>
        <v>Burau</v>
      </c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8"/>
      <c r="AL733" s="18"/>
    </row>
    <row r="734" spans="2:38" ht="15" customHeight="1" x14ac:dyDescent="0.2">
      <c r="B734" s="193">
        <v>1</v>
      </c>
      <c r="C734" s="347" t="s">
        <v>842</v>
      </c>
      <c r="D734" s="193" t="str">
        <f t="shared" si="50"/>
        <v>CPO000677MIS</v>
      </c>
      <c r="E734" s="193" t="s">
        <v>169</v>
      </c>
      <c r="F734" s="193" t="s">
        <v>1361</v>
      </c>
      <c r="G734" s="193" t="s">
        <v>1360</v>
      </c>
      <c r="H734" s="193" t="s">
        <v>40</v>
      </c>
      <c r="I734" s="193" t="s">
        <v>41</v>
      </c>
      <c r="J734" s="193" t="str">
        <f t="shared" si="49"/>
        <v>6 Roda</v>
      </c>
      <c r="K734" s="194">
        <v>46067</v>
      </c>
      <c r="L734" s="195">
        <v>13420</v>
      </c>
      <c r="M734" s="195">
        <v>4020</v>
      </c>
      <c r="N734" s="195">
        <v>9400</v>
      </c>
      <c r="O734" s="195">
        <v>9260</v>
      </c>
      <c r="P734" s="196">
        <v>0.59791666666666698</v>
      </c>
      <c r="Q734" s="196">
        <v>0.65347222222222201</v>
      </c>
      <c r="R734" s="193" t="s">
        <v>42</v>
      </c>
      <c r="S734" s="193"/>
      <c r="T734" s="197">
        <f t="shared" si="51"/>
        <v>494</v>
      </c>
      <c r="U734" s="193"/>
      <c r="V734" s="193" t="str">
        <f t="shared" si="52"/>
        <v>Pomala</v>
      </c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8"/>
      <c r="AL734" s="18"/>
    </row>
    <row r="735" spans="2:38" ht="15" customHeight="1" x14ac:dyDescent="0.2">
      <c r="B735" s="193">
        <v>1</v>
      </c>
      <c r="C735" s="347" t="s">
        <v>838</v>
      </c>
      <c r="D735" s="193" t="str">
        <f t="shared" si="50"/>
        <v>RBDPL000674BJL</v>
      </c>
      <c r="E735" s="193" t="s">
        <v>839</v>
      </c>
      <c r="F735" s="193" t="s">
        <v>1363</v>
      </c>
      <c r="G735" s="193" t="s">
        <v>1657</v>
      </c>
      <c r="H735" s="193" t="s">
        <v>86</v>
      </c>
      <c r="I735" s="193" t="s">
        <v>3</v>
      </c>
      <c r="J735" s="193" t="str">
        <f t="shared" si="49"/>
        <v>6 Roda</v>
      </c>
      <c r="K735" s="194">
        <v>46067</v>
      </c>
      <c r="L735" s="195">
        <v>12990</v>
      </c>
      <c r="M735" s="195">
        <v>3770</v>
      </c>
      <c r="N735" s="195">
        <v>9220</v>
      </c>
      <c r="O735" s="195"/>
      <c r="P735" s="196">
        <v>0.54236111111111096</v>
      </c>
      <c r="Q735" s="196">
        <v>0.57847222222222205</v>
      </c>
      <c r="R735" s="193" t="s">
        <v>42</v>
      </c>
      <c r="S735" s="193" t="s">
        <v>1468</v>
      </c>
      <c r="T735" s="197">
        <f t="shared" si="51"/>
        <v>562</v>
      </c>
      <c r="U735" s="193" t="s">
        <v>175</v>
      </c>
      <c r="V735" s="193" t="str">
        <f t="shared" si="52"/>
        <v>Palu</v>
      </c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8"/>
      <c r="AL735" s="18"/>
    </row>
    <row r="736" spans="2:38" ht="15" customHeight="1" x14ac:dyDescent="0.2">
      <c r="B736" s="193">
        <v>1</v>
      </c>
      <c r="C736" s="347" t="s">
        <v>843</v>
      </c>
      <c r="D736" s="193" t="str">
        <f t="shared" si="50"/>
        <v>CPO000678MIS</v>
      </c>
      <c r="E736" s="193" t="s">
        <v>183</v>
      </c>
      <c r="F736" s="193" t="s">
        <v>1361</v>
      </c>
      <c r="G736" s="193" t="s">
        <v>1360</v>
      </c>
      <c r="H736" s="193" t="s">
        <v>40</v>
      </c>
      <c r="I736" s="193" t="s">
        <v>41</v>
      </c>
      <c r="J736" s="193" t="str">
        <f t="shared" ref="J736:J799" si="53">IF(MIN(L736,M736)&lt;=5000,"6 Roda",IF(MIN(L736,M736)&lt;=13800,"10 Roda","12 Roda"))</f>
        <v>6 Roda</v>
      </c>
      <c r="K736" s="194">
        <v>46067</v>
      </c>
      <c r="L736" s="195">
        <v>14210</v>
      </c>
      <c r="M736" s="195">
        <v>4200</v>
      </c>
      <c r="N736" s="195">
        <v>10010</v>
      </c>
      <c r="O736" s="195">
        <v>9970</v>
      </c>
      <c r="P736" s="196">
        <v>0.70902777777777803</v>
      </c>
      <c r="Q736" s="196">
        <v>0.76875000000000004</v>
      </c>
      <c r="R736" s="193" t="s">
        <v>137</v>
      </c>
      <c r="S736" s="193"/>
      <c r="T736" s="197">
        <f t="shared" si="51"/>
        <v>494</v>
      </c>
      <c r="U736" s="193"/>
      <c r="V736" s="193" t="str">
        <f t="shared" si="52"/>
        <v>Pomala</v>
      </c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8"/>
      <c r="AL736" s="18"/>
    </row>
    <row r="737" spans="2:38" ht="15" customHeight="1" x14ac:dyDescent="0.2">
      <c r="B737" s="193">
        <v>1</v>
      </c>
      <c r="C737" s="347" t="s">
        <v>844</v>
      </c>
      <c r="D737" s="193" t="str">
        <f t="shared" si="50"/>
        <v>CPO000679MIS</v>
      </c>
      <c r="E737" s="193" t="s">
        <v>155</v>
      </c>
      <c r="F737" s="193" t="s">
        <v>1361</v>
      </c>
      <c r="G737" s="193" t="s">
        <v>1360</v>
      </c>
      <c r="H737" s="193" t="s">
        <v>40</v>
      </c>
      <c r="I737" s="193" t="s">
        <v>41</v>
      </c>
      <c r="J737" s="193" t="str">
        <f t="shared" si="53"/>
        <v>6 Roda</v>
      </c>
      <c r="K737" s="194">
        <v>46067</v>
      </c>
      <c r="L737" s="195">
        <v>13510</v>
      </c>
      <c r="M737" s="195">
        <v>3860</v>
      </c>
      <c r="N737" s="195">
        <v>9650</v>
      </c>
      <c r="O737" s="195">
        <v>9620</v>
      </c>
      <c r="P737" s="196">
        <v>0.71041666666666703</v>
      </c>
      <c r="Q737" s="196">
        <v>0.76180555555555596</v>
      </c>
      <c r="R737" s="193" t="s">
        <v>137</v>
      </c>
      <c r="S737" s="193"/>
      <c r="T737" s="197">
        <f t="shared" si="51"/>
        <v>494</v>
      </c>
      <c r="U737" s="193"/>
      <c r="V737" s="193" t="str">
        <f t="shared" si="52"/>
        <v>Pomala</v>
      </c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8"/>
      <c r="AL737" s="18"/>
    </row>
    <row r="738" spans="2:38" ht="15" customHeight="1" x14ac:dyDescent="0.2">
      <c r="B738" s="193">
        <v>1</v>
      </c>
      <c r="C738" s="347" t="s">
        <v>845</v>
      </c>
      <c r="D738" s="193" t="str">
        <f t="shared" si="50"/>
        <v>CPO000680MIS</v>
      </c>
      <c r="E738" s="193" t="s">
        <v>194</v>
      </c>
      <c r="F738" s="193" t="s">
        <v>1361</v>
      </c>
      <c r="G738" s="193" t="s">
        <v>1360</v>
      </c>
      <c r="H738" s="193" t="s">
        <v>40</v>
      </c>
      <c r="I738" s="193" t="s">
        <v>41</v>
      </c>
      <c r="J738" s="193" t="str">
        <f t="shared" si="53"/>
        <v>6 Roda</v>
      </c>
      <c r="K738" s="194">
        <v>46067</v>
      </c>
      <c r="L738" s="195">
        <v>13200</v>
      </c>
      <c r="M738" s="195">
        <v>3940</v>
      </c>
      <c r="N738" s="195">
        <v>9260</v>
      </c>
      <c r="O738" s="195">
        <v>9250</v>
      </c>
      <c r="P738" s="196">
        <v>0.71111111111111103</v>
      </c>
      <c r="Q738" s="196">
        <v>0.750694444444444</v>
      </c>
      <c r="R738" s="193" t="s">
        <v>137</v>
      </c>
      <c r="S738" s="193"/>
      <c r="T738" s="197">
        <f t="shared" si="51"/>
        <v>494</v>
      </c>
      <c r="U738" s="193"/>
      <c r="V738" s="193" t="str">
        <f t="shared" si="52"/>
        <v>Pomala</v>
      </c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8"/>
      <c r="AL738" s="18"/>
    </row>
    <row r="739" spans="2:38" ht="15" customHeight="1" x14ac:dyDescent="0.2">
      <c r="B739" s="193">
        <v>1</v>
      </c>
      <c r="C739" s="347" t="s">
        <v>846</v>
      </c>
      <c r="D739" s="193" t="str">
        <f t="shared" si="50"/>
        <v>CPO000681KMP</v>
      </c>
      <c r="E739" s="193" t="s">
        <v>56</v>
      </c>
      <c r="F739" s="193"/>
      <c r="G739" s="193" t="s">
        <v>1362</v>
      </c>
      <c r="H739" s="193" t="s">
        <v>59</v>
      </c>
      <c r="I739" s="193" t="s">
        <v>41</v>
      </c>
      <c r="J739" s="193" t="str">
        <f t="shared" si="53"/>
        <v>10 Roda</v>
      </c>
      <c r="K739" s="194">
        <v>46067</v>
      </c>
      <c r="L739" s="195">
        <v>25180</v>
      </c>
      <c r="M739" s="195">
        <v>10820</v>
      </c>
      <c r="N739" s="195">
        <v>14360</v>
      </c>
      <c r="O739" s="195">
        <v>14400</v>
      </c>
      <c r="P739" s="196">
        <v>0.71250000000000002</v>
      </c>
      <c r="Q739" s="196">
        <v>0.79583333333333295</v>
      </c>
      <c r="R739" s="193" t="s">
        <v>137</v>
      </c>
      <c r="S739" s="193" t="s">
        <v>1781</v>
      </c>
      <c r="T739" s="197">
        <f t="shared" si="51"/>
        <v>53</v>
      </c>
      <c r="U739" s="193" t="s">
        <v>1922</v>
      </c>
      <c r="V739" s="193" t="str">
        <f t="shared" si="52"/>
        <v>Masamba</v>
      </c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8"/>
      <c r="AL739" s="18"/>
    </row>
    <row r="740" spans="2:38" ht="15" customHeight="1" x14ac:dyDescent="0.2">
      <c r="B740" s="193">
        <v>1</v>
      </c>
      <c r="C740" s="347" t="s">
        <v>847</v>
      </c>
      <c r="D740" s="193" t="str">
        <f t="shared" si="50"/>
        <v>CPO000682MIS</v>
      </c>
      <c r="E740" s="193" t="s">
        <v>151</v>
      </c>
      <c r="F740" s="193" t="s">
        <v>1361</v>
      </c>
      <c r="G740" s="193" t="s">
        <v>1360</v>
      </c>
      <c r="H740" s="193" t="s">
        <v>40</v>
      </c>
      <c r="I740" s="193" t="s">
        <v>41</v>
      </c>
      <c r="J740" s="193" t="str">
        <f t="shared" si="53"/>
        <v>6 Roda</v>
      </c>
      <c r="K740" s="194">
        <v>46067</v>
      </c>
      <c r="L740" s="195">
        <v>13540</v>
      </c>
      <c r="M740" s="195">
        <v>4160</v>
      </c>
      <c r="N740" s="195">
        <v>9380</v>
      </c>
      <c r="O740" s="195">
        <v>9350</v>
      </c>
      <c r="P740" s="196">
        <v>0.71388888888888902</v>
      </c>
      <c r="Q740" s="196">
        <v>0.77916666666666701</v>
      </c>
      <c r="R740" s="193" t="s">
        <v>137</v>
      </c>
      <c r="S740" s="193"/>
      <c r="T740" s="197">
        <f t="shared" si="51"/>
        <v>494</v>
      </c>
      <c r="U740" s="193"/>
      <c r="V740" s="193" t="str">
        <f t="shared" si="52"/>
        <v>Pomala</v>
      </c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8"/>
      <c r="AL740" s="18"/>
    </row>
    <row r="741" spans="2:38" ht="15" customHeight="1" x14ac:dyDescent="0.2">
      <c r="B741" s="193">
        <v>1</v>
      </c>
      <c r="C741" s="347" t="s">
        <v>649</v>
      </c>
      <c r="D741" s="193" t="str">
        <f t="shared" si="50"/>
        <v>CPO000501KMP</v>
      </c>
      <c r="E741" s="193" t="s">
        <v>70</v>
      </c>
      <c r="F741" s="193" t="s">
        <v>1454</v>
      </c>
      <c r="G741" s="193" t="s">
        <v>1352</v>
      </c>
      <c r="H741" s="193" t="s">
        <v>59</v>
      </c>
      <c r="I741" s="193" t="s">
        <v>41</v>
      </c>
      <c r="J741" s="193" t="str">
        <f t="shared" si="53"/>
        <v>12 Roda</v>
      </c>
      <c r="K741" s="194">
        <v>46041</v>
      </c>
      <c r="L741" s="195">
        <v>45810</v>
      </c>
      <c r="M741" s="195">
        <v>17430</v>
      </c>
      <c r="N741" s="195">
        <v>28380</v>
      </c>
      <c r="O741" s="195">
        <v>28480</v>
      </c>
      <c r="P741" s="196">
        <v>0.90486111111111101</v>
      </c>
      <c r="Q741" s="196">
        <v>0.94930555555555596</v>
      </c>
      <c r="R741" s="193" t="s">
        <v>42</v>
      </c>
      <c r="S741" s="193" t="s">
        <v>1499</v>
      </c>
      <c r="T741" s="197">
        <f t="shared" si="51"/>
        <v>53</v>
      </c>
      <c r="U741" s="193" t="s">
        <v>1922</v>
      </c>
      <c r="V741" s="193" t="str">
        <f t="shared" si="52"/>
        <v>Masamba</v>
      </c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8"/>
      <c r="AL741" s="18"/>
    </row>
    <row r="742" spans="2:38" ht="15" customHeight="1" x14ac:dyDescent="0.2">
      <c r="B742" s="193">
        <v>1</v>
      </c>
      <c r="C742" s="347" t="s">
        <v>849</v>
      </c>
      <c r="D742" s="193" t="str">
        <f t="shared" si="50"/>
        <v>CPO000684KMP</v>
      </c>
      <c r="E742" s="193" t="s">
        <v>46</v>
      </c>
      <c r="F742" s="193"/>
      <c r="G742" s="193" t="s">
        <v>1362</v>
      </c>
      <c r="H742" s="193" t="s">
        <v>59</v>
      </c>
      <c r="I742" s="193" t="s">
        <v>41</v>
      </c>
      <c r="J742" s="193" t="str">
        <f t="shared" si="53"/>
        <v>10 Roda</v>
      </c>
      <c r="K742" s="194">
        <v>46067</v>
      </c>
      <c r="L742" s="195">
        <v>26600</v>
      </c>
      <c r="M742" s="195">
        <v>11770</v>
      </c>
      <c r="N742" s="195">
        <v>14830</v>
      </c>
      <c r="O742" s="195">
        <v>14860</v>
      </c>
      <c r="P742" s="196">
        <v>0.78125</v>
      </c>
      <c r="Q742" s="196">
        <v>0.81944444444444398</v>
      </c>
      <c r="R742" s="193" t="s">
        <v>137</v>
      </c>
      <c r="S742" s="193" t="s">
        <v>1393</v>
      </c>
      <c r="T742" s="197">
        <f t="shared" si="51"/>
        <v>53</v>
      </c>
      <c r="U742" s="193" t="s">
        <v>1922</v>
      </c>
      <c r="V742" s="193" t="str">
        <f t="shared" si="52"/>
        <v>Masamba</v>
      </c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8"/>
      <c r="AL742" s="18"/>
    </row>
    <row r="743" spans="2:38" ht="15" customHeight="1" x14ac:dyDescent="0.2">
      <c r="B743" s="193">
        <v>1</v>
      </c>
      <c r="C743" s="347" t="s">
        <v>850</v>
      </c>
      <c r="D743" s="193" t="str">
        <f t="shared" si="50"/>
        <v>CPO000685MIS</v>
      </c>
      <c r="E743" s="193" t="s">
        <v>171</v>
      </c>
      <c r="F743" s="193" t="s">
        <v>1361</v>
      </c>
      <c r="G743" s="193" t="s">
        <v>1360</v>
      </c>
      <c r="H743" s="193" t="s">
        <v>40</v>
      </c>
      <c r="I743" s="193" t="s">
        <v>41</v>
      </c>
      <c r="J743" s="193" t="str">
        <f t="shared" si="53"/>
        <v>6 Roda</v>
      </c>
      <c r="K743" s="194">
        <v>46067</v>
      </c>
      <c r="L743" s="195">
        <v>13200</v>
      </c>
      <c r="M743" s="195">
        <v>3620</v>
      </c>
      <c r="N743" s="195">
        <v>9580</v>
      </c>
      <c r="O743" s="195">
        <v>9360</v>
      </c>
      <c r="P743" s="196">
        <v>0.92708333333333304</v>
      </c>
      <c r="Q743" s="196">
        <v>0.969444444444444</v>
      </c>
      <c r="R743" s="193" t="s">
        <v>137</v>
      </c>
      <c r="S743" s="193"/>
      <c r="T743" s="197">
        <f t="shared" si="51"/>
        <v>494</v>
      </c>
      <c r="U743" s="193"/>
      <c r="V743" s="193" t="str">
        <f t="shared" si="52"/>
        <v>Pomala</v>
      </c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8"/>
      <c r="AL743" s="18"/>
    </row>
    <row r="744" spans="2:38" ht="15" customHeight="1" x14ac:dyDescent="0.2">
      <c r="B744" s="193">
        <v>1</v>
      </c>
      <c r="C744" s="347" t="s">
        <v>851</v>
      </c>
      <c r="D744" s="193" t="str">
        <f t="shared" si="50"/>
        <v>CPO000686MIS</v>
      </c>
      <c r="E744" s="193" t="s">
        <v>158</v>
      </c>
      <c r="F744" s="193" t="s">
        <v>1361</v>
      </c>
      <c r="G744" s="193" t="s">
        <v>1360</v>
      </c>
      <c r="H744" s="193" t="s">
        <v>40</v>
      </c>
      <c r="I744" s="193" t="s">
        <v>41</v>
      </c>
      <c r="J744" s="193" t="str">
        <f t="shared" si="53"/>
        <v>6 Roda</v>
      </c>
      <c r="K744" s="194">
        <v>46067</v>
      </c>
      <c r="L744" s="195">
        <v>13980</v>
      </c>
      <c r="M744" s="195">
        <v>3910</v>
      </c>
      <c r="N744" s="195">
        <v>10070</v>
      </c>
      <c r="O744" s="195">
        <v>10000</v>
      </c>
      <c r="P744" s="196">
        <v>0.92777777777777803</v>
      </c>
      <c r="Q744" s="196">
        <v>0.97152777777777799</v>
      </c>
      <c r="R744" s="193" t="s">
        <v>137</v>
      </c>
      <c r="S744" s="193"/>
      <c r="T744" s="197">
        <f t="shared" si="51"/>
        <v>494</v>
      </c>
      <c r="U744" s="193"/>
      <c r="V744" s="193" t="str">
        <f t="shared" si="52"/>
        <v>Pomala</v>
      </c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8"/>
      <c r="AL744" s="18"/>
    </row>
    <row r="745" spans="2:38" ht="15" customHeight="1" x14ac:dyDescent="0.2">
      <c r="B745" s="193">
        <v>1</v>
      </c>
      <c r="C745" s="347" t="s">
        <v>852</v>
      </c>
      <c r="D745" s="193" t="str">
        <f t="shared" si="50"/>
        <v>CPO000687MIS</v>
      </c>
      <c r="E745" s="193" t="s">
        <v>181</v>
      </c>
      <c r="F745" s="193" t="s">
        <v>1361</v>
      </c>
      <c r="G745" s="193" t="s">
        <v>1360</v>
      </c>
      <c r="H745" s="193" t="s">
        <v>40</v>
      </c>
      <c r="I745" s="193" t="s">
        <v>41</v>
      </c>
      <c r="J745" s="193" t="str">
        <f t="shared" si="53"/>
        <v>6 Roda</v>
      </c>
      <c r="K745" s="194">
        <v>46067</v>
      </c>
      <c r="L745" s="195">
        <v>13550</v>
      </c>
      <c r="M745" s="195">
        <v>3970</v>
      </c>
      <c r="N745" s="195">
        <v>9580</v>
      </c>
      <c r="O745" s="195">
        <v>9570</v>
      </c>
      <c r="P745" s="196">
        <v>0.92916666666666703</v>
      </c>
      <c r="Q745" s="196">
        <v>0.97777777777777797</v>
      </c>
      <c r="R745" s="193" t="s">
        <v>137</v>
      </c>
      <c r="S745" s="193"/>
      <c r="T745" s="197">
        <f t="shared" si="51"/>
        <v>494</v>
      </c>
      <c r="U745" s="193"/>
      <c r="V745" s="193" t="str">
        <f t="shared" si="52"/>
        <v>Pomala</v>
      </c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8"/>
      <c r="AL745" s="18"/>
    </row>
    <row r="746" spans="2:38" ht="15" customHeight="1" x14ac:dyDescent="0.2">
      <c r="B746" s="193">
        <v>1</v>
      </c>
      <c r="C746" s="347" t="s">
        <v>857</v>
      </c>
      <c r="D746" s="193" t="str">
        <f t="shared" si="50"/>
        <v>CPO000690JAS</v>
      </c>
      <c r="E746" s="193" t="s">
        <v>56</v>
      </c>
      <c r="F746" s="193" t="s">
        <v>1443</v>
      </c>
      <c r="G746" s="193" t="s">
        <v>1364</v>
      </c>
      <c r="H746" s="193" t="s">
        <v>49</v>
      </c>
      <c r="I746" s="193" t="s">
        <v>41</v>
      </c>
      <c r="J746" s="193" t="str">
        <f t="shared" si="53"/>
        <v>10 Roda</v>
      </c>
      <c r="K746" s="194">
        <v>46069</v>
      </c>
      <c r="L746" s="195">
        <v>25100</v>
      </c>
      <c r="M746" s="195">
        <v>10780</v>
      </c>
      <c r="N746" s="195">
        <v>14320</v>
      </c>
      <c r="O746" s="195">
        <v>14280</v>
      </c>
      <c r="P746" s="196">
        <v>0.69166666666666698</v>
      </c>
      <c r="Q746" s="196">
        <v>0.73611111111111105</v>
      </c>
      <c r="R746" s="193" t="s">
        <v>42</v>
      </c>
      <c r="S746" s="193" t="s">
        <v>1781</v>
      </c>
      <c r="T746" s="197">
        <f t="shared" si="51"/>
        <v>68</v>
      </c>
      <c r="U746" s="193" t="s">
        <v>1922</v>
      </c>
      <c r="V746" s="193" t="str">
        <f t="shared" si="52"/>
        <v>Bone Bone</v>
      </c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8"/>
      <c r="AL746" s="18"/>
    </row>
    <row r="747" spans="2:38" ht="15" customHeight="1" x14ac:dyDescent="0.2">
      <c r="B747" s="193">
        <v>1</v>
      </c>
      <c r="C747" s="347" t="s">
        <v>858</v>
      </c>
      <c r="D747" s="193" t="str">
        <f t="shared" si="50"/>
        <v>CPO000691JAS</v>
      </c>
      <c r="E747" s="193" t="s">
        <v>46</v>
      </c>
      <c r="F747" s="193" t="s">
        <v>1443</v>
      </c>
      <c r="G747" s="193" t="s">
        <v>1364</v>
      </c>
      <c r="H747" s="193" t="s">
        <v>49</v>
      </c>
      <c r="I747" s="193" t="s">
        <v>41</v>
      </c>
      <c r="J747" s="193" t="str">
        <f t="shared" si="53"/>
        <v>10 Roda</v>
      </c>
      <c r="K747" s="194">
        <v>46069</v>
      </c>
      <c r="L747" s="195">
        <v>26510</v>
      </c>
      <c r="M747" s="195">
        <v>11750</v>
      </c>
      <c r="N747" s="195">
        <v>14760</v>
      </c>
      <c r="O747" s="195">
        <v>14730</v>
      </c>
      <c r="P747" s="196">
        <v>0.70625000000000004</v>
      </c>
      <c r="Q747" s="196">
        <v>0.73819444444444504</v>
      </c>
      <c r="R747" s="193" t="s">
        <v>42</v>
      </c>
      <c r="S747" s="193" t="s">
        <v>1393</v>
      </c>
      <c r="T747" s="197">
        <f t="shared" si="51"/>
        <v>68</v>
      </c>
      <c r="U747" s="193" t="s">
        <v>1922</v>
      </c>
      <c r="V747" s="193" t="str">
        <f t="shared" si="52"/>
        <v>Bone Bone</v>
      </c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8"/>
      <c r="AL747" s="18"/>
    </row>
    <row r="748" spans="2:38" ht="15" customHeight="1" x14ac:dyDescent="0.2">
      <c r="B748" s="193">
        <v>1</v>
      </c>
      <c r="C748" s="347" t="s">
        <v>652</v>
      </c>
      <c r="D748" s="193" t="str">
        <f t="shared" si="50"/>
        <v>CPO000504KMP</v>
      </c>
      <c r="E748" s="193" t="s">
        <v>70</v>
      </c>
      <c r="F748" s="193" t="s">
        <v>1454</v>
      </c>
      <c r="G748" s="193" t="s">
        <v>1352</v>
      </c>
      <c r="H748" s="193" t="s">
        <v>59</v>
      </c>
      <c r="I748" s="193" t="s">
        <v>41</v>
      </c>
      <c r="J748" s="193" t="str">
        <f t="shared" si="53"/>
        <v>12 Roda</v>
      </c>
      <c r="K748" s="194">
        <v>46042</v>
      </c>
      <c r="L748" s="195">
        <v>45770</v>
      </c>
      <c r="M748" s="195">
        <v>17390</v>
      </c>
      <c r="N748" s="195">
        <v>28380</v>
      </c>
      <c r="O748" s="195">
        <v>28420</v>
      </c>
      <c r="P748" s="196">
        <v>0.55069444444444504</v>
      </c>
      <c r="Q748" s="196">
        <v>0.60069444444444398</v>
      </c>
      <c r="R748" s="193" t="s">
        <v>137</v>
      </c>
      <c r="S748" s="193" t="s">
        <v>1499</v>
      </c>
      <c r="T748" s="197">
        <f t="shared" si="51"/>
        <v>53</v>
      </c>
      <c r="U748" s="193" t="s">
        <v>1922</v>
      </c>
      <c r="V748" s="193" t="str">
        <f t="shared" si="52"/>
        <v>Masamba</v>
      </c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8"/>
      <c r="AL748" s="18"/>
    </row>
    <row r="749" spans="2:38" ht="15" customHeight="1" x14ac:dyDescent="0.2">
      <c r="B749" s="193">
        <v>1</v>
      </c>
      <c r="C749" s="347" t="s">
        <v>853</v>
      </c>
      <c r="D749" s="193" t="str">
        <f t="shared" si="50"/>
        <v>RBDPL000688BJL</v>
      </c>
      <c r="E749" s="193" t="s">
        <v>854</v>
      </c>
      <c r="F749" s="193" t="s">
        <v>1363</v>
      </c>
      <c r="G749" s="193" t="s">
        <v>1657</v>
      </c>
      <c r="H749" s="193" t="s">
        <v>86</v>
      </c>
      <c r="I749" s="193" t="s">
        <v>3</v>
      </c>
      <c r="J749" s="193" t="str">
        <f t="shared" si="53"/>
        <v>6 Roda</v>
      </c>
      <c r="K749" s="194">
        <v>46069</v>
      </c>
      <c r="L749" s="195">
        <v>13250</v>
      </c>
      <c r="M749" s="195">
        <v>4110</v>
      </c>
      <c r="N749" s="195">
        <v>9140</v>
      </c>
      <c r="O749" s="195"/>
      <c r="P749" s="196">
        <v>0.38750000000000001</v>
      </c>
      <c r="Q749" s="196">
        <v>0.43333333333333302</v>
      </c>
      <c r="R749" s="193" t="s">
        <v>137</v>
      </c>
      <c r="S749" s="193" t="s">
        <v>1470</v>
      </c>
      <c r="T749" s="197">
        <f t="shared" si="51"/>
        <v>562</v>
      </c>
      <c r="U749" s="193" t="s">
        <v>175</v>
      </c>
      <c r="V749" s="193" t="str">
        <f t="shared" si="52"/>
        <v>Palu</v>
      </c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8"/>
      <c r="AL749" s="18"/>
    </row>
    <row r="750" spans="2:38" ht="15" customHeight="1" x14ac:dyDescent="0.2">
      <c r="B750" s="193">
        <v>1</v>
      </c>
      <c r="C750" s="347" t="s">
        <v>855</v>
      </c>
      <c r="D750" s="193" t="str">
        <f t="shared" si="50"/>
        <v>RBDPL000689BJL</v>
      </c>
      <c r="E750" s="193" t="s">
        <v>856</v>
      </c>
      <c r="F750" s="193" t="s">
        <v>1363</v>
      </c>
      <c r="G750" s="193" t="s">
        <v>1657</v>
      </c>
      <c r="H750" s="193" t="s">
        <v>86</v>
      </c>
      <c r="I750" s="193" t="s">
        <v>3</v>
      </c>
      <c r="J750" s="193" t="str">
        <f t="shared" si="53"/>
        <v>6 Roda</v>
      </c>
      <c r="K750" s="194">
        <v>46069</v>
      </c>
      <c r="L750" s="195">
        <v>13350</v>
      </c>
      <c r="M750" s="195">
        <v>4130</v>
      </c>
      <c r="N750" s="195">
        <v>9220</v>
      </c>
      <c r="O750" s="195"/>
      <c r="P750" s="196">
        <v>0.389583333333333</v>
      </c>
      <c r="Q750" s="196">
        <v>0.43472222222222201</v>
      </c>
      <c r="R750" s="193" t="s">
        <v>137</v>
      </c>
      <c r="S750" s="193" t="s">
        <v>1471</v>
      </c>
      <c r="T750" s="197">
        <f t="shared" si="51"/>
        <v>562</v>
      </c>
      <c r="U750" s="193" t="s">
        <v>175</v>
      </c>
      <c r="V750" s="193" t="str">
        <f t="shared" si="52"/>
        <v>Palu</v>
      </c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8"/>
      <c r="AL750" s="18"/>
    </row>
    <row r="751" spans="2:38" ht="15" customHeight="1" x14ac:dyDescent="0.2">
      <c r="B751" s="193">
        <v>1</v>
      </c>
      <c r="C751" s="347" t="s">
        <v>861</v>
      </c>
      <c r="D751" s="193" t="str">
        <f t="shared" si="50"/>
        <v>CPO000694JAS</v>
      </c>
      <c r="E751" s="193" t="s">
        <v>46</v>
      </c>
      <c r="F751" s="193" t="s">
        <v>1443</v>
      </c>
      <c r="G751" s="193" t="s">
        <v>1364</v>
      </c>
      <c r="H751" s="193" t="s">
        <v>49</v>
      </c>
      <c r="I751" s="193" t="s">
        <v>41</v>
      </c>
      <c r="J751" s="193" t="str">
        <f t="shared" si="53"/>
        <v>10 Roda</v>
      </c>
      <c r="K751" s="194">
        <v>46071</v>
      </c>
      <c r="L751" s="195">
        <v>26680</v>
      </c>
      <c r="M751" s="195">
        <v>11850</v>
      </c>
      <c r="N751" s="195">
        <v>14830</v>
      </c>
      <c r="O751" s="195">
        <v>14780</v>
      </c>
      <c r="P751" s="196">
        <v>0.59513888888888899</v>
      </c>
      <c r="Q751" s="196">
        <v>0.63888888888888895</v>
      </c>
      <c r="R751" s="193" t="s">
        <v>137</v>
      </c>
      <c r="S751" s="193" t="s">
        <v>1393</v>
      </c>
      <c r="T751" s="197">
        <f t="shared" si="51"/>
        <v>68</v>
      </c>
      <c r="U751" s="193" t="s">
        <v>1922</v>
      </c>
      <c r="V751" s="193" t="str">
        <f t="shared" si="52"/>
        <v>Bone Bone</v>
      </c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8"/>
      <c r="AL751" s="18"/>
    </row>
    <row r="752" spans="2:38" ht="15" customHeight="1" x14ac:dyDescent="0.2">
      <c r="B752" s="193">
        <v>1</v>
      </c>
      <c r="C752" s="347" t="s">
        <v>862</v>
      </c>
      <c r="D752" s="193" t="str">
        <f t="shared" si="50"/>
        <v>CPO000695JAS</v>
      </c>
      <c r="E752" s="193" t="s">
        <v>56</v>
      </c>
      <c r="F752" s="193" t="s">
        <v>1443</v>
      </c>
      <c r="G752" s="193" t="s">
        <v>1364</v>
      </c>
      <c r="H752" s="193" t="s">
        <v>49</v>
      </c>
      <c r="I752" s="193" t="s">
        <v>41</v>
      </c>
      <c r="J752" s="193" t="str">
        <f t="shared" si="53"/>
        <v>10 Roda</v>
      </c>
      <c r="K752" s="194">
        <v>46071</v>
      </c>
      <c r="L752" s="195">
        <v>25010</v>
      </c>
      <c r="M752" s="195">
        <v>10710</v>
      </c>
      <c r="N752" s="195">
        <v>14300</v>
      </c>
      <c r="O752" s="195">
        <v>14240</v>
      </c>
      <c r="P752" s="196">
        <v>0.60277777777777797</v>
      </c>
      <c r="Q752" s="196">
        <v>0.64236111111111105</v>
      </c>
      <c r="R752" s="193" t="s">
        <v>137</v>
      </c>
      <c r="S752" s="193" t="s">
        <v>1781</v>
      </c>
      <c r="T752" s="197">
        <f t="shared" si="51"/>
        <v>68</v>
      </c>
      <c r="U752" s="193" t="s">
        <v>1922</v>
      </c>
      <c r="V752" s="193" t="str">
        <f t="shared" si="52"/>
        <v>Bone Bone</v>
      </c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8"/>
      <c r="AL752" s="18"/>
    </row>
    <row r="753" spans="2:38" ht="15" customHeight="1" x14ac:dyDescent="0.2">
      <c r="B753" s="193">
        <v>1</v>
      </c>
      <c r="C753" s="347" t="s">
        <v>655</v>
      </c>
      <c r="D753" s="193" t="str">
        <f t="shared" si="50"/>
        <v>CPO000507KMP</v>
      </c>
      <c r="E753" s="193" t="s">
        <v>76</v>
      </c>
      <c r="F753" s="193" t="s">
        <v>1454</v>
      </c>
      <c r="G753" s="193" t="s">
        <v>1352</v>
      </c>
      <c r="H753" s="193" t="s">
        <v>59</v>
      </c>
      <c r="I753" s="193" t="s">
        <v>41</v>
      </c>
      <c r="J753" s="193" t="str">
        <f t="shared" si="53"/>
        <v>12 Roda</v>
      </c>
      <c r="K753" s="194">
        <v>46042</v>
      </c>
      <c r="L753" s="195">
        <v>45890</v>
      </c>
      <c r="M753" s="195">
        <v>17510</v>
      </c>
      <c r="N753" s="195">
        <v>28380</v>
      </c>
      <c r="O753" s="195">
        <v>28440</v>
      </c>
      <c r="P753" s="196">
        <v>0.79305555555555596</v>
      </c>
      <c r="Q753" s="196">
        <v>0.84583333333333299</v>
      </c>
      <c r="R753" s="193" t="s">
        <v>42</v>
      </c>
      <c r="S753" s="193" t="s">
        <v>1372</v>
      </c>
      <c r="T753" s="197">
        <f t="shared" si="51"/>
        <v>53</v>
      </c>
      <c r="U753" s="193" t="s">
        <v>1922</v>
      </c>
      <c r="V753" s="193" t="str">
        <f t="shared" si="52"/>
        <v>Masamba</v>
      </c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8"/>
      <c r="AL753" s="18"/>
    </row>
    <row r="754" spans="2:38" ht="15" customHeight="1" x14ac:dyDescent="0.2">
      <c r="B754" s="193">
        <v>1</v>
      </c>
      <c r="C754" s="347" t="s">
        <v>860</v>
      </c>
      <c r="D754" s="193" t="str">
        <f t="shared" si="50"/>
        <v>RBDPL000693BJL</v>
      </c>
      <c r="E754" s="193" t="s">
        <v>174</v>
      </c>
      <c r="F754" s="193" t="s">
        <v>1363</v>
      </c>
      <c r="G754" s="193" t="s">
        <v>1657</v>
      </c>
      <c r="H754" s="193" t="s">
        <v>86</v>
      </c>
      <c r="I754" s="193" t="s">
        <v>3</v>
      </c>
      <c r="J754" s="193" t="str">
        <f t="shared" si="53"/>
        <v>6 Roda</v>
      </c>
      <c r="K754" s="194">
        <v>46071</v>
      </c>
      <c r="L754" s="195">
        <v>13450</v>
      </c>
      <c r="M754" s="195">
        <v>4360</v>
      </c>
      <c r="N754" s="195">
        <v>9090</v>
      </c>
      <c r="O754" s="195"/>
      <c r="P754" s="196">
        <v>0.360416666666667</v>
      </c>
      <c r="Q754" s="196">
        <v>0.39722222222222198</v>
      </c>
      <c r="R754" s="193" t="s">
        <v>137</v>
      </c>
      <c r="S754" s="193" t="s">
        <v>1465</v>
      </c>
      <c r="T754" s="197">
        <f t="shared" si="51"/>
        <v>562</v>
      </c>
      <c r="U754" s="193" t="s">
        <v>175</v>
      </c>
      <c r="V754" s="193" t="str">
        <f t="shared" si="52"/>
        <v>Palu</v>
      </c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8"/>
      <c r="AL754" s="18"/>
    </row>
    <row r="755" spans="2:38" ht="15" customHeight="1" x14ac:dyDescent="0.2">
      <c r="B755" s="193">
        <v>1</v>
      </c>
      <c r="C755" s="347" t="s">
        <v>864</v>
      </c>
      <c r="D755" s="193" t="str">
        <f t="shared" si="50"/>
        <v>CPO000697JAS</v>
      </c>
      <c r="E755" s="193" t="s">
        <v>46</v>
      </c>
      <c r="F755" s="193" t="s">
        <v>1443</v>
      </c>
      <c r="G755" s="193" t="s">
        <v>1364</v>
      </c>
      <c r="H755" s="193" t="s">
        <v>49</v>
      </c>
      <c r="I755" s="193" t="s">
        <v>41</v>
      </c>
      <c r="J755" s="193" t="str">
        <f t="shared" si="53"/>
        <v>10 Roda</v>
      </c>
      <c r="K755" s="194">
        <v>46072</v>
      </c>
      <c r="L755" s="195">
        <v>26590</v>
      </c>
      <c r="M755" s="195">
        <v>11910</v>
      </c>
      <c r="N755" s="195">
        <v>14680</v>
      </c>
      <c r="O755" s="195">
        <v>14630</v>
      </c>
      <c r="P755" s="196">
        <v>0.469444444444444</v>
      </c>
      <c r="Q755" s="196">
        <v>0.51736111111111105</v>
      </c>
      <c r="R755" s="193" t="s">
        <v>137</v>
      </c>
      <c r="S755" s="193" t="s">
        <v>1393</v>
      </c>
      <c r="T755" s="197">
        <f t="shared" si="51"/>
        <v>68</v>
      </c>
      <c r="U755" s="193" t="s">
        <v>1922</v>
      </c>
      <c r="V755" s="193" t="str">
        <f t="shared" si="52"/>
        <v>Bone Bone</v>
      </c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8"/>
      <c r="AL755" s="18"/>
    </row>
    <row r="756" spans="2:38" ht="15" customHeight="1" x14ac:dyDescent="0.2">
      <c r="B756" s="193">
        <v>1</v>
      </c>
      <c r="C756" s="347" t="s">
        <v>865</v>
      </c>
      <c r="D756" s="193" t="str">
        <f t="shared" si="50"/>
        <v>CPO000698JAS</v>
      </c>
      <c r="E756" s="193" t="s">
        <v>56</v>
      </c>
      <c r="F756" s="193" t="s">
        <v>1443</v>
      </c>
      <c r="G756" s="193" t="s">
        <v>1364</v>
      </c>
      <c r="H756" s="193" t="s">
        <v>49</v>
      </c>
      <c r="I756" s="193" t="s">
        <v>41</v>
      </c>
      <c r="J756" s="193" t="str">
        <f t="shared" si="53"/>
        <v>10 Roda</v>
      </c>
      <c r="K756" s="194">
        <v>46072</v>
      </c>
      <c r="L756" s="195">
        <v>25090</v>
      </c>
      <c r="M756" s="195">
        <v>10800</v>
      </c>
      <c r="N756" s="195">
        <v>14290</v>
      </c>
      <c r="O756" s="195">
        <v>14250</v>
      </c>
      <c r="P756" s="196">
        <v>0.51111111111111096</v>
      </c>
      <c r="Q756" s="196">
        <v>0.54583333333333295</v>
      </c>
      <c r="R756" s="193" t="s">
        <v>137</v>
      </c>
      <c r="S756" s="193" t="s">
        <v>1781</v>
      </c>
      <c r="T756" s="197">
        <f t="shared" si="51"/>
        <v>68</v>
      </c>
      <c r="U756" s="193" t="s">
        <v>1922</v>
      </c>
      <c r="V756" s="193" t="str">
        <f t="shared" si="52"/>
        <v>Bone Bone</v>
      </c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8"/>
      <c r="AL756" s="18"/>
    </row>
    <row r="757" spans="2:38" ht="15" customHeight="1" x14ac:dyDescent="0.2">
      <c r="B757" s="193">
        <v>1</v>
      </c>
      <c r="C757" s="347" t="s">
        <v>866</v>
      </c>
      <c r="D757" s="193" t="str">
        <f t="shared" si="50"/>
        <v>CPO000699JAS</v>
      </c>
      <c r="E757" s="193" t="s">
        <v>70</v>
      </c>
      <c r="F757" s="193" t="s">
        <v>1443</v>
      </c>
      <c r="G757" s="193" t="s">
        <v>1364</v>
      </c>
      <c r="H757" s="193" t="s">
        <v>49</v>
      </c>
      <c r="I757" s="193" t="s">
        <v>41</v>
      </c>
      <c r="J757" s="193" t="str">
        <f t="shared" si="53"/>
        <v>12 Roda</v>
      </c>
      <c r="K757" s="194">
        <v>46072</v>
      </c>
      <c r="L757" s="195">
        <v>45840</v>
      </c>
      <c r="M757" s="195">
        <v>17470</v>
      </c>
      <c r="N757" s="195">
        <v>28370</v>
      </c>
      <c r="O757" s="195">
        <v>28310</v>
      </c>
      <c r="P757" s="196">
        <v>0.51944444444444504</v>
      </c>
      <c r="Q757" s="196">
        <v>0.563194444444444</v>
      </c>
      <c r="R757" s="193" t="s">
        <v>137</v>
      </c>
      <c r="S757" s="193" t="s">
        <v>1499</v>
      </c>
      <c r="T757" s="197">
        <f t="shared" si="51"/>
        <v>68</v>
      </c>
      <c r="U757" s="193" t="s">
        <v>1922</v>
      </c>
      <c r="V757" s="193" t="str">
        <f t="shared" si="52"/>
        <v>Bone Bone</v>
      </c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8"/>
      <c r="AL757" s="18"/>
    </row>
    <row r="758" spans="2:38" ht="15" customHeight="1" x14ac:dyDescent="0.2">
      <c r="B758" s="193">
        <v>1</v>
      </c>
      <c r="C758" s="347" t="s">
        <v>867</v>
      </c>
      <c r="D758" s="193" t="str">
        <f t="shared" si="50"/>
        <v>CPO000700JAS</v>
      </c>
      <c r="E758" s="193" t="s">
        <v>46</v>
      </c>
      <c r="F758" s="193" t="s">
        <v>1443</v>
      </c>
      <c r="G758" s="193" t="s">
        <v>1364</v>
      </c>
      <c r="H758" s="193" t="s">
        <v>49</v>
      </c>
      <c r="I758" s="193" t="s">
        <v>41</v>
      </c>
      <c r="J758" s="193" t="str">
        <f t="shared" si="53"/>
        <v>10 Roda</v>
      </c>
      <c r="K758" s="194">
        <v>46072</v>
      </c>
      <c r="L758" s="195">
        <v>26650</v>
      </c>
      <c r="M758" s="195">
        <v>11850</v>
      </c>
      <c r="N758" s="195">
        <v>14800</v>
      </c>
      <c r="O758" s="195">
        <v>14750</v>
      </c>
      <c r="P758" s="196">
        <v>0.7</v>
      </c>
      <c r="Q758" s="196">
        <v>0.73055555555555596</v>
      </c>
      <c r="R758" s="193" t="s">
        <v>42</v>
      </c>
      <c r="S758" s="193" t="s">
        <v>1393</v>
      </c>
      <c r="T758" s="197">
        <f t="shared" si="51"/>
        <v>68</v>
      </c>
      <c r="U758" s="193" t="s">
        <v>1922</v>
      </c>
      <c r="V758" s="193" t="str">
        <f t="shared" si="52"/>
        <v>Bone Bone</v>
      </c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8"/>
      <c r="AL758" s="18"/>
    </row>
    <row r="759" spans="2:38" ht="15" customHeight="1" x14ac:dyDescent="0.2">
      <c r="B759" s="193">
        <v>1</v>
      </c>
      <c r="C759" s="347" t="s">
        <v>868</v>
      </c>
      <c r="D759" s="193" t="str">
        <f t="shared" si="50"/>
        <v>CPO000701JAS</v>
      </c>
      <c r="E759" s="193" t="s">
        <v>56</v>
      </c>
      <c r="F759" s="193" t="s">
        <v>1443</v>
      </c>
      <c r="G759" s="193" t="s">
        <v>1364</v>
      </c>
      <c r="H759" s="193" t="s">
        <v>49</v>
      </c>
      <c r="I759" s="193" t="s">
        <v>41</v>
      </c>
      <c r="J759" s="193" t="str">
        <f t="shared" si="53"/>
        <v>10 Roda</v>
      </c>
      <c r="K759" s="194">
        <v>46072</v>
      </c>
      <c r="L759" s="195">
        <v>25020</v>
      </c>
      <c r="M759" s="195">
        <v>10750</v>
      </c>
      <c r="N759" s="195">
        <v>14270</v>
      </c>
      <c r="O759" s="195">
        <v>14230</v>
      </c>
      <c r="P759" s="196">
        <v>0.72291666666666698</v>
      </c>
      <c r="Q759" s="196">
        <v>0.76111111111111096</v>
      </c>
      <c r="R759" s="193" t="s">
        <v>42</v>
      </c>
      <c r="S759" s="193" t="s">
        <v>1781</v>
      </c>
      <c r="T759" s="197">
        <f t="shared" si="51"/>
        <v>68</v>
      </c>
      <c r="U759" s="193" t="s">
        <v>1922</v>
      </c>
      <c r="V759" s="193" t="str">
        <f t="shared" si="52"/>
        <v>Bone Bone</v>
      </c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8"/>
      <c r="AL759" s="18"/>
    </row>
    <row r="760" spans="2:38" ht="15" customHeight="1" x14ac:dyDescent="0.2">
      <c r="B760" s="193">
        <v>1</v>
      </c>
      <c r="C760" s="347" t="s">
        <v>869</v>
      </c>
      <c r="D760" s="193" t="str">
        <f t="shared" si="50"/>
        <v>CPO000702JAS</v>
      </c>
      <c r="E760" s="193" t="s">
        <v>70</v>
      </c>
      <c r="F760" s="193" t="s">
        <v>1443</v>
      </c>
      <c r="G760" s="193" t="s">
        <v>1364</v>
      </c>
      <c r="H760" s="193" t="s">
        <v>49</v>
      </c>
      <c r="I760" s="193" t="s">
        <v>41</v>
      </c>
      <c r="J760" s="193" t="str">
        <f t="shared" si="53"/>
        <v>12 Roda</v>
      </c>
      <c r="K760" s="194">
        <v>46072</v>
      </c>
      <c r="L760" s="195">
        <v>45670</v>
      </c>
      <c r="M760" s="195">
        <v>17410</v>
      </c>
      <c r="N760" s="195">
        <v>28260</v>
      </c>
      <c r="O760" s="195">
        <v>28190</v>
      </c>
      <c r="P760" s="196">
        <v>0.79930555555555605</v>
      </c>
      <c r="Q760" s="196">
        <v>0.83541666666666703</v>
      </c>
      <c r="R760" s="193" t="s">
        <v>42</v>
      </c>
      <c r="S760" s="193" t="s">
        <v>1499</v>
      </c>
      <c r="T760" s="197">
        <f t="shared" si="51"/>
        <v>68</v>
      </c>
      <c r="U760" s="193" t="s">
        <v>1922</v>
      </c>
      <c r="V760" s="193" t="str">
        <f t="shared" si="52"/>
        <v>Bone Bone</v>
      </c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8"/>
      <c r="AL760" s="18"/>
    </row>
    <row r="761" spans="2:38" ht="15" customHeight="1" x14ac:dyDescent="0.2">
      <c r="B761" s="193">
        <v>1</v>
      </c>
      <c r="C761" s="347" t="s">
        <v>870</v>
      </c>
      <c r="D761" s="193" t="str">
        <f t="shared" si="50"/>
        <v>CPO000703JAS</v>
      </c>
      <c r="E761" s="193" t="s">
        <v>46</v>
      </c>
      <c r="F761" s="193" t="s">
        <v>1443</v>
      </c>
      <c r="G761" s="193" t="s">
        <v>1364</v>
      </c>
      <c r="H761" s="193" t="s">
        <v>49</v>
      </c>
      <c r="I761" s="193" t="s">
        <v>41</v>
      </c>
      <c r="J761" s="193" t="str">
        <f t="shared" si="53"/>
        <v>10 Roda</v>
      </c>
      <c r="K761" s="194">
        <v>46073</v>
      </c>
      <c r="L761" s="195">
        <v>26630</v>
      </c>
      <c r="M761" s="195">
        <v>11830</v>
      </c>
      <c r="N761" s="195">
        <v>14800</v>
      </c>
      <c r="O761" s="195">
        <v>14780</v>
      </c>
      <c r="P761" s="196">
        <v>0.44166666666666698</v>
      </c>
      <c r="Q761" s="196">
        <v>0.55902777777777801</v>
      </c>
      <c r="R761" s="193" t="s">
        <v>137</v>
      </c>
      <c r="S761" s="193" t="s">
        <v>1393</v>
      </c>
      <c r="T761" s="197">
        <f t="shared" si="51"/>
        <v>68</v>
      </c>
      <c r="U761" s="193" t="s">
        <v>1922</v>
      </c>
      <c r="V761" s="193" t="str">
        <f t="shared" si="52"/>
        <v>Bone Bone</v>
      </c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8"/>
      <c r="AL761" s="18"/>
    </row>
    <row r="762" spans="2:38" ht="15" customHeight="1" x14ac:dyDescent="0.2">
      <c r="B762" s="193">
        <v>1</v>
      </c>
      <c r="C762" s="347" t="s">
        <v>871</v>
      </c>
      <c r="D762" s="193" t="str">
        <f t="shared" si="50"/>
        <v>CPO000704JAS</v>
      </c>
      <c r="E762" s="193" t="s">
        <v>70</v>
      </c>
      <c r="F762" s="193" t="s">
        <v>1443</v>
      </c>
      <c r="G762" s="193" t="s">
        <v>1364</v>
      </c>
      <c r="H762" s="193" t="s">
        <v>49</v>
      </c>
      <c r="I762" s="193" t="s">
        <v>41</v>
      </c>
      <c r="J762" s="193" t="str">
        <f t="shared" si="53"/>
        <v>12 Roda</v>
      </c>
      <c r="K762" s="194">
        <v>46073</v>
      </c>
      <c r="L762" s="195">
        <v>45870</v>
      </c>
      <c r="M762" s="195">
        <v>17580</v>
      </c>
      <c r="N762" s="195">
        <v>28290</v>
      </c>
      <c r="O762" s="195">
        <v>28250</v>
      </c>
      <c r="P762" s="196">
        <v>0.46458333333333302</v>
      </c>
      <c r="Q762" s="196">
        <v>0.55694444444444502</v>
      </c>
      <c r="R762" s="193" t="s">
        <v>137</v>
      </c>
      <c r="S762" s="193" t="s">
        <v>1499</v>
      </c>
      <c r="T762" s="197">
        <f t="shared" si="51"/>
        <v>68</v>
      </c>
      <c r="U762" s="193" t="s">
        <v>1922</v>
      </c>
      <c r="V762" s="193" t="str">
        <f t="shared" si="52"/>
        <v>Bone Bone</v>
      </c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8"/>
      <c r="AL762" s="18"/>
    </row>
    <row r="763" spans="2:38" ht="15" customHeight="1" x14ac:dyDescent="0.2">
      <c r="B763" s="193">
        <v>1</v>
      </c>
      <c r="C763" s="347" t="s">
        <v>872</v>
      </c>
      <c r="D763" s="193" t="str">
        <f t="shared" si="50"/>
        <v>CPO000705JAS</v>
      </c>
      <c r="E763" s="193" t="s">
        <v>56</v>
      </c>
      <c r="F763" s="193" t="s">
        <v>1443</v>
      </c>
      <c r="G763" s="193" t="s">
        <v>1364</v>
      </c>
      <c r="H763" s="193" t="s">
        <v>49</v>
      </c>
      <c r="I763" s="193" t="s">
        <v>41</v>
      </c>
      <c r="J763" s="193" t="str">
        <f t="shared" si="53"/>
        <v>10 Roda</v>
      </c>
      <c r="K763" s="194">
        <v>46073</v>
      </c>
      <c r="L763" s="195">
        <v>25000</v>
      </c>
      <c r="M763" s="195">
        <v>10700</v>
      </c>
      <c r="N763" s="195">
        <v>14300</v>
      </c>
      <c r="O763" s="195">
        <v>14250</v>
      </c>
      <c r="P763" s="196">
        <v>0.46666666666666701</v>
      </c>
      <c r="Q763" s="196">
        <v>0.57916666666666705</v>
      </c>
      <c r="R763" s="193" t="s">
        <v>137</v>
      </c>
      <c r="S763" s="193" t="s">
        <v>1781</v>
      </c>
      <c r="T763" s="197">
        <f t="shared" si="51"/>
        <v>68</v>
      </c>
      <c r="U763" s="193" t="s">
        <v>1922</v>
      </c>
      <c r="V763" s="193" t="str">
        <f t="shared" si="52"/>
        <v>Bone Bone</v>
      </c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8"/>
      <c r="AL763" s="18"/>
    </row>
    <row r="764" spans="2:38" ht="15" customHeight="1" x14ac:dyDescent="0.2">
      <c r="B764" s="193">
        <v>1</v>
      </c>
      <c r="C764" s="347" t="s">
        <v>876</v>
      </c>
      <c r="D764" s="193" t="str">
        <f t="shared" si="50"/>
        <v>CPO000709KMP</v>
      </c>
      <c r="E764" s="193" t="s">
        <v>46</v>
      </c>
      <c r="F764" s="193"/>
      <c r="G764" s="193" t="s">
        <v>1362</v>
      </c>
      <c r="H764" s="193" t="s">
        <v>59</v>
      </c>
      <c r="I764" s="193" t="s">
        <v>41</v>
      </c>
      <c r="J764" s="193" t="str">
        <f t="shared" si="53"/>
        <v>10 Roda</v>
      </c>
      <c r="K764" s="194">
        <v>46074</v>
      </c>
      <c r="L764" s="195">
        <v>26820</v>
      </c>
      <c r="M764" s="195">
        <v>11990</v>
      </c>
      <c r="N764" s="195">
        <v>14830</v>
      </c>
      <c r="O764" s="195">
        <v>14880</v>
      </c>
      <c r="P764" s="196">
        <v>0.75208333333333299</v>
      </c>
      <c r="Q764" s="196">
        <v>0.81944444444444398</v>
      </c>
      <c r="R764" s="193" t="s">
        <v>42</v>
      </c>
      <c r="S764" s="193" t="s">
        <v>1393</v>
      </c>
      <c r="T764" s="197">
        <f t="shared" si="51"/>
        <v>53</v>
      </c>
      <c r="U764" s="193" t="s">
        <v>1922</v>
      </c>
      <c r="V764" s="193" t="str">
        <f t="shared" si="52"/>
        <v>Masamba</v>
      </c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8"/>
      <c r="AL764" s="18"/>
    </row>
    <row r="765" spans="2:38" ht="15" customHeight="1" x14ac:dyDescent="0.2">
      <c r="B765" s="193">
        <v>1</v>
      </c>
      <c r="C765" s="347" t="s">
        <v>877</v>
      </c>
      <c r="D765" s="193" t="str">
        <f t="shared" si="50"/>
        <v>CPO000710KMP</v>
      </c>
      <c r="E765" s="193" t="s">
        <v>56</v>
      </c>
      <c r="F765" s="193"/>
      <c r="G765" s="193" t="s">
        <v>1362</v>
      </c>
      <c r="H765" s="193" t="s">
        <v>59</v>
      </c>
      <c r="I765" s="193" t="s">
        <v>41</v>
      </c>
      <c r="J765" s="193" t="str">
        <f t="shared" si="53"/>
        <v>10 Roda</v>
      </c>
      <c r="K765" s="194">
        <v>46074</v>
      </c>
      <c r="L765" s="195">
        <v>25110</v>
      </c>
      <c r="M765" s="195">
        <v>10850</v>
      </c>
      <c r="N765" s="195">
        <v>14260</v>
      </c>
      <c r="O765" s="195">
        <v>14300</v>
      </c>
      <c r="P765" s="196">
        <v>0.78819444444444398</v>
      </c>
      <c r="Q765" s="196">
        <v>0.82083333333333297</v>
      </c>
      <c r="R765" s="193" t="s">
        <v>42</v>
      </c>
      <c r="S765" s="193" t="s">
        <v>1781</v>
      </c>
      <c r="T765" s="197">
        <f t="shared" si="51"/>
        <v>53</v>
      </c>
      <c r="U765" s="193" t="s">
        <v>1922</v>
      </c>
      <c r="V765" s="193" t="str">
        <f t="shared" si="52"/>
        <v>Masamba</v>
      </c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8"/>
      <c r="AL765" s="18"/>
    </row>
    <row r="766" spans="2:38" ht="15" customHeight="1" x14ac:dyDescent="0.2">
      <c r="B766" s="193">
        <v>1</v>
      </c>
      <c r="C766" s="347" t="s">
        <v>878</v>
      </c>
      <c r="D766" s="193" t="str">
        <f t="shared" si="50"/>
        <v>CPO000711KMP</v>
      </c>
      <c r="E766" s="193" t="s">
        <v>70</v>
      </c>
      <c r="F766" s="193"/>
      <c r="G766" s="193" t="s">
        <v>1362</v>
      </c>
      <c r="H766" s="193" t="s">
        <v>59</v>
      </c>
      <c r="I766" s="193" t="s">
        <v>41</v>
      </c>
      <c r="J766" s="193" t="str">
        <f t="shared" si="53"/>
        <v>12 Roda</v>
      </c>
      <c r="K766" s="194">
        <v>46074</v>
      </c>
      <c r="L766" s="195">
        <v>45910</v>
      </c>
      <c r="M766" s="195">
        <v>17680</v>
      </c>
      <c r="N766" s="195">
        <v>28230</v>
      </c>
      <c r="O766" s="195">
        <v>28420</v>
      </c>
      <c r="P766" s="196">
        <v>0.80069444444444504</v>
      </c>
      <c r="Q766" s="196">
        <v>0.84027777777777801</v>
      </c>
      <c r="R766" s="193" t="s">
        <v>42</v>
      </c>
      <c r="S766" s="193" t="s">
        <v>1499</v>
      </c>
      <c r="T766" s="197">
        <f t="shared" si="51"/>
        <v>53</v>
      </c>
      <c r="U766" s="193" t="s">
        <v>1922</v>
      </c>
      <c r="V766" s="193" t="str">
        <f t="shared" si="52"/>
        <v>Masamba</v>
      </c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8"/>
      <c r="AL766" s="18"/>
    </row>
    <row r="767" spans="2:38" ht="15" customHeight="1" x14ac:dyDescent="0.2">
      <c r="B767" s="193">
        <v>1</v>
      </c>
      <c r="C767" s="347" t="s">
        <v>873</v>
      </c>
      <c r="D767" s="193" t="str">
        <f t="shared" si="50"/>
        <v>RBDPL000706BJL</v>
      </c>
      <c r="E767" s="193" t="s">
        <v>236</v>
      </c>
      <c r="F767" s="193" t="s">
        <v>1363</v>
      </c>
      <c r="G767" s="193" t="s">
        <v>1657</v>
      </c>
      <c r="H767" s="193" t="s">
        <v>86</v>
      </c>
      <c r="I767" s="193" t="s">
        <v>3</v>
      </c>
      <c r="J767" s="193" t="str">
        <f t="shared" si="53"/>
        <v>6 Roda</v>
      </c>
      <c r="K767" s="194">
        <v>46074</v>
      </c>
      <c r="L767" s="195">
        <v>12980</v>
      </c>
      <c r="M767" s="195">
        <v>3990</v>
      </c>
      <c r="N767" s="195">
        <v>8990</v>
      </c>
      <c r="O767" s="195"/>
      <c r="P767" s="196">
        <v>0.54444444444444395</v>
      </c>
      <c r="Q767" s="196">
        <v>0.59236111111111101</v>
      </c>
      <c r="R767" s="193" t="s">
        <v>137</v>
      </c>
      <c r="S767" s="193" t="s">
        <v>1466</v>
      </c>
      <c r="T767" s="197">
        <f t="shared" si="51"/>
        <v>562</v>
      </c>
      <c r="U767" s="193" t="s">
        <v>175</v>
      </c>
      <c r="V767" s="193" t="str">
        <f t="shared" si="52"/>
        <v>Palu</v>
      </c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8"/>
      <c r="AL767" s="18"/>
    </row>
    <row r="768" spans="2:38" ht="15" customHeight="1" x14ac:dyDescent="0.2">
      <c r="B768" s="193">
        <v>1</v>
      </c>
      <c r="C768" s="347" t="s">
        <v>874</v>
      </c>
      <c r="D768" s="193" t="str">
        <f t="shared" si="50"/>
        <v>RBDPL000707BJL</v>
      </c>
      <c r="E768" s="193" t="s">
        <v>830</v>
      </c>
      <c r="F768" s="193" t="s">
        <v>1363</v>
      </c>
      <c r="G768" s="193" t="s">
        <v>1657</v>
      </c>
      <c r="H768" s="193" t="s">
        <v>86</v>
      </c>
      <c r="I768" s="193" t="s">
        <v>3</v>
      </c>
      <c r="J768" s="193" t="str">
        <f t="shared" si="53"/>
        <v>6 Roda</v>
      </c>
      <c r="K768" s="194">
        <v>46074</v>
      </c>
      <c r="L768" s="195">
        <v>13240</v>
      </c>
      <c r="M768" s="195">
        <v>4090</v>
      </c>
      <c r="N768" s="195">
        <v>9150</v>
      </c>
      <c r="O768" s="195"/>
      <c r="P768" s="196">
        <v>0.54583333333333295</v>
      </c>
      <c r="Q768" s="196">
        <v>0.57847222222222205</v>
      </c>
      <c r="R768" s="193" t="s">
        <v>137</v>
      </c>
      <c r="S768" s="193" t="s">
        <v>1467</v>
      </c>
      <c r="T768" s="197">
        <f t="shared" si="51"/>
        <v>562</v>
      </c>
      <c r="U768" s="193" t="s">
        <v>175</v>
      </c>
      <c r="V768" s="193" t="str">
        <f t="shared" si="52"/>
        <v>Palu</v>
      </c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8"/>
      <c r="AL768" s="18"/>
    </row>
    <row r="769" spans="2:38" ht="15" customHeight="1" x14ac:dyDescent="0.2">
      <c r="B769" s="193">
        <v>1</v>
      </c>
      <c r="C769" s="347" t="s">
        <v>875</v>
      </c>
      <c r="D769" s="193" t="str">
        <f t="shared" si="50"/>
        <v>RBDPL000708BJL</v>
      </c>
      <c r="E769" s="193" t="s">
        <v>174</v>
      </c>
      <c r="F769" s="193" t="s">
        <v>1363</v>
      </c>
      <c r="G769" s="193" t="s">
        <v>1657</v>
      </c>
      <c r="H769" s="193" t="s">
        <v>86</v>
      </c>
      <c r="I769" s="193" t="s">
        <v>3</v>
      </c>
      <c r="J769" s="193" t="str">
        <f t="shared" si="53"/>
        <v>6 Roda</v>
      </c>
      <c r="K769" s="194">
        <v>46074</v>
      </c>
      <c r="L769" s="195">
        <v>13600</v>
      </c>
      <c r="M769" s="195">
        <v>4560</v>
      </c>
      <c r="N769" s="195">
        <v>9040</v>
      </c>
      <c r="O769" s="195"/>
      <c r="P769" s="196">
        <v>0.54722222222222205</v>
      </c>
      <c r="Q769" s="196">
        <v>0.60833333333333295</v>
      </c>
      <c r="R769" s="193" t="s">
        <v>137</v>
      </c>
      <c r="S769" s="193" t="s">
        <v>1465</v>
      </c>
      <c r="T769" s="197">
        <f t="shared" si="51"/>
        <v>562</v>
      </c>
      <c r="U769" s="193" t="s">
        <v>175</v>
      </c>
      <c r="V769" s="193" t="str">
        <f t="shared" si="52"/>
        <v>Palu</v>
      </c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8"/>
      <c r="AL769" s="18"/>
    </row>
    <row r="770" spans="2:38" ht="15" customHeight="1" x14ac:dyDescent="0.2">
      <c r="B770" s="193">
        <v>1</v>
      </c>
      <c r="C770" s="347" t="s">
        <v>879</v>
      </c>
      <c r="D770" s="193" t="str">
        <f t="shared" si="50"/>
        <v>CPO000712PN</v>
      </c>
      <c r="E770" s="193" t="s">
        <v>56</v>
      </c>
      <c r="F770" s="193" t="s">
        <v>1358</v>
      </c>
      <c r="G770" s="193" t="s">
        <v>1357</v>
      </c>
      <c r="H770" s="193" t="s">
        <v>78</v>
      </c>
      <c r="I770" s="193" t="s">
        <v>41</v>
      </c>
      <c r="J770" s="193" t="str">
        <f t="shared" si="53"/>
        <v>10 Roda</v>
      </c>
      <c r="K770" s="194">
        <v>46076</v>
      </c>
      <c r="L770" s="195">
        <v>25020</v>
      </c>
      <c r="M770" s="195">
        <v>10730</v>
      </c>
      <c r="N770" s="195">
        <v>14290</v>
      </c>
      <c r="O770" s="195">
        <v>14230</v>
      </c>
      <c r="P770" s="196">
        <v>0.63194444444444398</v>
      </c>
      <c r="Q770" s="196">
        <v>0.66388888888888897</v>
      </c>
      <c r="R770" s="193" t="s">
        <v>137</v>
      </c>
      <c r="S770" s="193" t="s">
        <v>1781</v>
      </c>
      <c r="T770" s="197">
        <f t="shared" si="51"/>
        <v>99</v>
      </c>
      <c r="U770" s="193"/>
      <c r="V770" s="193" t="str">
        <f t="shared" si="52"/>
        <v>Burau</v>
      </c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8"/>
      <c r="AL770" s="18"/>
    </row>
    <row r="771" spans="2:38" ht="15" customHeight="1" x14ac:dyDescent="0.2">
      <c r="B771" s="193">
        <v>1</v>
      </c>
      <c r="C771" s="347" t="s">
        <v>880</v>
      </c>
      <c r="D771" s="193" t="str">
        <f t="shared" si="50"/>
        <v>CPO000713PN</v>
      </c>
      <c r="E771" s="193" t="s">
        <v>46</v>
      </c>
      <c r="F771" s="193" t="s">
        <v>1358</v>
      </c>
      <c r="G771" s="193" t="s">
        <v>1357</v>
      </c>
      <c r="H771" s="193" t="s">
        <v>78</v>
      </c>
      <c r="I771" s="193" t="s">
        <v>41</v>
      </c>
      <c r="J771" s="193" t="str">
        <f t="shared" si="53"/>
        <v>10 Roda</v>
      </c>
      <c r="K771" s="194">
        <v>46076</v>
      </c>
      <c r="L771" s="195">
        <v>26680</v>
      </c>
      <c r="M771" s="195">
        <v>11870</v>
      </c>
      <c r="N771" s="195">
        <v>14810</v>
      </c>
      <c r="O771" s="195">
        <v>14780</v>
      </c>
      <c r="P771" s="196">
        <v>0.63263888888888897</v>
      </c>
      <c r="Q771" s="196">
        <v>0.66666666666666696</v>
      </c>
      <c r="R771" s="193" t="s">
        <v>137</v>
      </c>
      <c r="S771" s="193" t="s">
        <v>1393</v>
      </c>
      <c r="T771" s="197">
        <f t="shared" si="51"/>
        <v>99</v>
      </c>
      <c r="U771" s="193"/>
      <c r="V771" s="193" t="str">
        <f t="shared" si="52"/>
        <v>Burau</v>
      </c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8"/>
      <c r="AL771" s="18"/>
    </row>
    <row r="772" spans="2:38" ht="15" customHeight="1" x14ac:dyDescent="0.2">
      <c r="B772" s="193">
        <v>1</v>
      </c>
      <c r="C772" s="347" t="s">
        <v>881</v>
      </c>
      <c r="D772" s="193" t="str">
        <f t="shared" si="50"/>
        <v>CPO000714PN</v>
      </c>
      <c r="E772" s="193" t="s">
        <v>70</v>
      </c>
      <c r="F772" s="193" t="s">
        <v>1358</v>
      </c>
      <c r="G772" s="193" t="s">
        <v>1357</v>
      </c>
      <c r="H772" s="193" t="s">
        <v>78</v>
      </c>
      <c r="I772" s="193" t="s">
        <v>41</v>
      </c>
      <c r="J772" s="193" t="str">
        <f t="shared" si="53"/>
        <v>12 Roda</v>
      </c>
      <c r="K772" s="194">
        <v>46076</v>
      </c>
      <c r="L772" s="195">
        <v>45730</v>
      </c>
      <c r="M772" s="195">
        <v>17450</v>
      </c>
      <c r="N772" s="195">
        <v>28280</v>
      </c>
      <c r="O772" s="195">
        <v>28180</v>
      </c>
      <c r="P772" s="196">
        <v>0.64097222222222205</v>
      </c>
      <c r="Q772" s="196">
        <v>0.67569444444444504</v>
      </c>
      <c r="R772" s="193" t="s">
        <v>137</v>
      </c>
      <c r="S772" s="193" t="s">
        <v>1499</v>
      </c>
      <c r="T772" s="197">
        <f t="shared" si="51"/>
        <v>99</v>
      </c>
      <c r="U772" s="193"/>
      <c r="V772" s="193" t="str">
        <f t="shared" si="52"/>
        <v>Burau</v>
      </c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8"/>
      <c r="AL772" s="18"/>
    </row>
    <row r="773" spans="2:38" ht="15" customHeight="1" x14ac:dyDescent="0.2">
      <c r="B773" s="193">
        <v>1</v>
      </c>
      <c r="C773" s="347" t="s">
        <v>884</v>
      </c>
      <c r="D773" s="193" t="str">
        <f t="shared" si="50"/>
        <v>CPO000717JAS</v>
      </c>
      <c r="E773" s="193" t="s">
        <v>56</v>
      </c>
      <c r="F773" s="193" t="s">
        <v>1443</v>
      </c>
      <c r="G773" s="193" t="s">
        <v>1364</v>
      </c>
      <c r="H773" s="193" t="s">
        <v>49</v>
      </c>
      <c r="I773" s="193" t="s">
        <v>41</v>
      </c>
      <c r="J773" s="193" t="str">
        <f t="shared" si="53"/>
        <v>10 Roda</v>
      </c>
      <c r="K773" s="194">
        <v>46077</v>
      </c>
      <c r="L773" s="195">
        <v>25080</v>
      </c>
      <c r="M773" s="195">
        <v>10790</v>
      </c>
      <c r="N773" s="195">
        <v>14290</v>
      </c>
      <c r="O773" s="195">
        <v>14260</v>
      </c>
      <c r="P773" s="196">
        <v>0.56527777777777799</v>
      </c>
      <c r="Q773" s="196">
        <v>0.62013888888888902</v>
      </c>
      <c r="R773" s="193" t="s">
        <v>137</v>
      </c>
      <c r="S773" s="193" t="s">
        <v>1781</v>
      </c>
      <c r="T773" s="197">
        <f t="shared" si="51"/>
        <v>68</v>
      </c>
      <c r="U773" s="193" t="s">
        <v>1922</v>
      </c>
      <c r="V773" s="193" t="str">
        <f t="shared" si="52"/>
        <v>Bone Bone</v>
      </c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8"/>
      <c r="AL773" s="18"/>
    </row>
    <row r="774" spans="2:38" ht="15" customHeight="1" x14ac:dyDescent="0.2">
      <c r="B774" s="193">
        <v>1</v>
      </c>
      <c r="C774" s="347" t="s">
        <v>885</v>
      </c>
      <c r="D774" s="193" t="str">
        <f t="shared" si="50"/>
        <v>CPO000718JAS</v>
      </c>
      <c r="E774" s="193" t="s">
        <v>46</v>
      </c>
      <c r="F774" s="193" t="s">
        <v>1443</v>
      </c>
      <c r="G774" s="193" t="s">
        <v>1364</v>
      </c>
      <c r="H774" s="193" t="s">
        <v>49</v>
      </c>
      <c r="I774" s="193" t="s">
        <v>41</v>
      </c>
      <c r="J774" s="193" t="str">
        <f t="shared" si="53"/>
        <v>10 Roda</v>
      </c>
      <c r="K774" s="194">
        <v>46077</v>
      </c>
      <c r="L774" s="195">
        <v>26650</v>
      </c>
      <c r="M774" s="195">
        <v>11830</v>
      </c>
      <c r="N774" s="195">
        <v>14820</v>
      </c>
      <c r="O774" s="195">
        <v>14790</v>
      </c>
      <c r="P774" s="196">
        <v>0.57847222222222205</v>
      </c>
      <c r="Q774" s="196">
        <v>0.62916666666666698</v>
      </c>
      <c r="R774" s="193" t="s">
        <v>137</v>
      </c>
      <c r="S774" s="193" t="s">
        <v>1393</v>
      </c>
      <c r="T774" s="197">
        <f t="shared" si="51"/>
        <v>68</v>
      </c>
      <c r="U774" s="193" t="s">
        <v>1922</v>
      </c>
      <c r="V774" s="193" t="str">
        <f t="shared" si="52"/>
        <v>Bone Bone</v>
      </c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8"/>
      <c r="AL774" s="18"/>
    </row>
    <row r="775" spans="2:38" ht="15" customHeight="1" x14ac:dyDescent="0.2">
      <c r="B775" s="193">
        <v>1</v>
      </c>
      <c r="C775" s="347" t="s">
        <v>886</v>
      </c>
      <c r="D775" s="193" t="str">
        <f t="shared" si="50"/>
        <v>CPO000719JAS</v>
      </c>
      <c r="E775" s="193" t="s">
        <v>70</v>
      </c>
      <c r="F775" s="193" t="s">
        <v>1443</v>
      </c>
      <c r="G775" s="193" t="s">
        <v>1364</v>
      </c>
      <c r="H775" s="193" t="s">
        <v>49</v>
      </c>
      <c r="I775" s="193" t="s">
        <v>41</v>
      </c>
      <c r="J775" s="193" t="str">
        <f t="shared" si="53"/>
        <v>12 Roda</v>
      </c>
      <c r="K775" s="194">
        <v>46077</v>
      </c>
      <c r="L775" s="195">
        <v>45720</v>
      </c>
      <c r="M775" s="195">
        <v>17410</v>
      </c>
      <c r="N775" s="195">
        <v>28310</v>
      </c>
      <c r="O775" s="195">
        <v>28260</v>
      </c>
      <c r="P775" s="196">
        <v>0.60069444444444398</v>
      </c>
      <c r="Q775" s="196">
        <v>0.63124999999999998</v>
      </c>
      <c r="R775" s="193" t="s">
        <v>137</v>
      </c>
      <c r="S775" s="193" t="s">
        <v>1499</v>
      </c>
      <c r="T775" s="197">
        <f t="shared" si="51"/>
        <v>68</v>
      </c>
      <c r="U775" s="193" t="s">
        <v>1922</v>
      </c>
      <c r="V775" s="193" t="str">
        <f t="shared" si="52"/>
        <v>Bone Bone</v>
      </c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8"/>
      <c r="AL775" s="18"/>
    </row>
    <row r="776" spans="2:38" ht="15" customHeight="1" x14ac:dyDescent="0.2">
      <c r="B776" s="193">
        <v>1</v>
      </c>
      <c r="C776" s="347" t="s">
        <v>887</v>
      </c>
      <c r="D776" s="193" t="str">
        <f t="shared" si="50"/>
        <v>CPO000720JAS</v>
      </c>
      <c r="E776" s="193" t="s">
        <v>56</v>
      </c>
      <c r="F776" s="193" t="s">
        <v>1443</v>
      </c>
      <c r="G776" s="193" t="s">
        <v>1364</v>
      </c>
      <c r="H776" s="193" t="s">
        <v>49</v>
      </c>
      <c r="I776" s="193" t="s">
        <v>41</v>
      </c>
      <c r="J776" s="193" t="str">
        <f t="shared" si="53"/>
        <v>10 Roda</v>
      </c>
      <c r="K776" s="194">
        <v>46077</v>
      </c>
      <c r="L776" s="195">
        <v>25020</v>
      </c>
      <c r="M776" s="195">
        <v>10770</v>
      </c>
      <c r="N776" s="195">
        <v>14250</v>
      </c>
      <c r="O776" s="195">
        <v>14180</v>
      </c>
      <c r="P776" s="196">
        <v>0.79930555555555605</v>
      </c>
      <c r="Q776" s="196">
        <v>0.82986111111111105</v>
      </c>
      <c r="R776" s="193" t="s">
        <v>42</v>
      </c>
      <c r="S776" s="193" t="s">
        <v>1781</v>
      </c>
      <c r="T776" s="197">
        <f t="shared" si="51"/>
        <v>68</v>
      </c>
      <c r="U776" s="193" t="s">
        <v>1922</v>
      </c>
      <c r="V776" s="193" t="str">
        <f t="shared" si="52"/>
        <v>Bone Bone</v>
      </c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8"/>
      <c r="AL776" s="18"/>
    </row>
    <row r="777" spans="2:38" ht="15" customHeight="1" x14ac:dyDescent="0.2">
      <c r="B777" s="193">
        <v>1</v>
      </c>
      <c r="C777" s="347" t="s">
        <v>888</v>
      </c>
      <c r="D777" s="193" t="str">
        <f t="shared" si="50"/>
        <v>CPO000721JAS</v>
      </c>
      <c r="E777" s="193" t="s">
        <v>46</v>
      </c>
      <c r="F777" s="193" t="s">
        <v>1443</v>
      </c>
      <c r="G777" s="193" t="s">
        <v>1364</v>
      </c>
      <c r="H777" s="193" t="s">
        <v>49</v>
      </c>
      <c r="I777" s="193" t="s">
        <v>41</v>
      </c>
      <c r="J777" s="193" t="str">
        <f t="shared" si="53"/>
        <v>10 Roda</v>
      </c>
      <c r="K777" s="194">
        <v>46077</v>
      </c>
      <c r="L777" s="195">
        <v>26620</v>
      </c>
      <c r="M777" s="195">
        <v>11820</v>
      </c>
      <c r="N777" s="195">
        <v>14800</v>
      </c>
      <c r="O777" s="195">
        <v>14770</v>
      </c>
      <c r="P777" s="196">
        <v>0.84236111111111101</v>
      </c>
      <c r="Q777" s="196">
        <v>0.88888888888888895</v>
      </c>
      <c r="R777" s="193" t="s">
        <v>42</v>
      </c>
      <c r="S777" s="193" t="s">
        <v>1393</v>
      </c>
      <c r="T777" s="197">
        <f t="shared" si="51"/>
        <v>68</v>
      </c>
      <c r="U777" s="193" t="s">
        <v>1922</v>
      </c>
      <c r="V777" s="193" t="str">
        <f t="shared" si="52"/>
        <v>Bone Bone</v>
      </c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8"/>
      <c r="AL777" s="18"/>
    </row>
    <row r="778" spans="2:38" ht="15" customHeight="1" x14ac:dyDescent="0.2">
      <c r="B778" s="193">
        <v>1</v>
      </c>
      <c r="C778" s="347" t="s">
        <v>889</v>
      </c>
      <c r="D778" s="193" t="str">
        <f t="shared" si="50"/>
        <v>CPO000722JAS</v>
      </c>
      <c r="E778" s="193" t="s">
        <v>70</v>
      </c>
      <c r="F778" s="193" t="s">
        <v>1443</v>
      </c>
      <c r="G778" s="193" t="s">
        <v>1364</v>
      </c>
      <c r="H778" s="193" t="s">
        <v>49</v>
      </c>
      <c r="I778" s="193" t="s">
        <v>41</v>
      </c>
      <c r="J778" s="193" t="str">
        <f t="shared" si="53"/>
        <v>12 Roda</v>
      </c>
      <c r="K778" s="194">
        <v>46077</v>
      </c>
      <c r="L778" s="195">
        <v>45920</v>
      </c>
      <c r="M778" s="195">
        <v>17750</v>
      </c>
      <c r="N778" s="195">
        <v>28170</v>
      </c>
      <c r="O778" s="195">
        <v>28250</v>
      </c>
      <c r="P778" s="196">
        <v>0.85694444444444395</v>
      </c>
      <c r="Q778" s="196">
        <v>0.89166666666666705</v>
      </c>
      <c r="R778" s="193" t="s">
        <v>42</v>
      </c>
      <c r="S778" s="193" t="s">
        <v>1499</v>
      </c>
      <c r="T778" s="197">
        <f t="shared" si="51"/>
        <v>68</v>
      </c>
      <c r="U778" s="193" t="s">
        <v>1922</v>
      </c>
      <c r="V778" s="193" t="str">
        <f t="shared" si="52"/>
        <v>Bone Bone</v>
      </c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8"/>
      <c r="AL778" s="18"/>
    </row>
    <row r="779" spans="2:38" ht="15" customHeight="1" x14ac:dyDescent="0.2">
      <c r="B779" s="193">
        <v>1</v>
      </c>
      <c r="C779" s="347" t="s">
        <v>222</v>
      </c>
      <c r="D779" s="193" t="str">
        <f t="shared" si="50"/>
        <v>CPO000084JAS</v>
      </c>
      <c r="E779" s="193" t="s">
        <v>46</v>
      </c>
      <c r="F779" s="193" t="s">
        <v>1443</v>
      </c>
      <c r="G779" s="193" t="s">
        <v>1364</v>
      </c>
      <c r="H779" s="193" t="s">
        <v>49</v>
      </c>
      <c r="I779" s="193" t="s">
        <v>41</v>
      </c>
      <c r="J779" s="193" t="str">
        <f t="shared" si="53"/>
        <v>10 Roda</v>
      </c>
      <c r="K779" s="194">
        <v>46078</v>
      </c>
      <c r="L779" s="195">
        <v>26800</v>
      </c>
      <c r="M779" s="195">
        <v>11960</v>
      </c>
      <c r="N779" s="195">
        <v>14840</v>
      </c>
      <c r="O779" s="195">
        <v>14820</v>
      </c>
      <c r="P779" s="196">
        <v>0.41180555555555598</v>
      </c>
      <c r="Q779" s="196">
        <v>0.45763888888888898</v>
      </c>
      <c r="R779" s="193" t="s">
        <v>42</v>
      </c>
      <c r="S779" s="193" t="s">
        <v>1393</v>
      </c>
      <c r="T779" s="197">
        <f t="shared" si="51"/>
        <v>68</v>
      </c>
      <c r="U779" s="193" t="s">
        <v>1922</v>
      </c>
      <c r="V779" s="193" t="str">
        <f t="shared" si="52"/>
        <v>Bone Bone</v>
      </c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8"/>
      <c r="AL779" s="18"/>
    </row>
    <row r="780" spans="2:38" ht="15" customHeight="1" x14ac:dyDescent="0.2">
      <c r="B780" s="193">
        <v>1</v>
      </c>
      <c r="C780" s="347" t="s">
        <v>656</v>
      </c>
      <c r="D780" s="193" t="str">
        <f t="shared" si="50"/>
        <v>CPO000508KMP</v>
      </c>
      <c r="E780" s="193" t="s">
        <v>70</v>
      </c>
      <c r="F780" s="193" t="s">
        <v>1454</v>
      </c>
      <c r="G780" s="193" t="s">
        <v>1352</v>
      </c>
      <c r="H780" s="193" t="s">
        <v>59</v>
      </c>
      <c r="I780" s="193" t="s">
        <v>41</v>
      </c>
      <c r="J780" s="193" t="str">
        <f t="shared" si="53"/>
        <v>12 Roda</v>
      </c>
      <c r="K780" s="194">
        <v>46042</v>
      </c>
      <c r="L780" s="195">
        <v>45940</v>
      </c>
      <c r="M780" s="195">
        <v>17560</v>
      </c>
      <c r="N780" s="195">
        <v>28380</v>
      </c>
      <c r="O780" s="195">
        <v>28400</v>
      </c>
      <c r="P780" s="196">
        <v>0.79444444444444395</v>
      </c>
      <c r="Q780" s="196">
        <v>0.84930555555555598</v>
      </c>
      <c r="R780" s="193" t="s">
        <v>42</v>
      </c>
      <c r="S780" s="193" t="s">
        <v>1499</v>
      </c>
      <c r="T780" s="197">
        <f t="shared" si="51"/>
        <v>53</v>
      </c>
      <c r="U780" s="193" t="s">
        <v>1922</v>
      </c>
      <c r="V780" s="193" t="str">
        <f t="shared" si="52"/>
        <v>Masamba</v>
      </c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8"/>
      <c r="AL780" s="18"/>
    </row>
    <row r="781" spans="2:38" ht="15" customHeight="1" x14ac:dyDescent="0.2">
      <c r="B781" s="193">
        <v>1</v>
      </c>
      <c r="C781" s="347" t="s">
        <v>225</v>
      </c>
      <c r="D781" s="193" t="str">
        <f t="shared" si="50"/>
        <v>CPO000086JAS</v>
      </c>
      <c r="E781" s="193" t="s">
        <v>56</v>
      </c>
      <c r="F781" s="193" t="s">
        <v>1443</v>
      </c>
      <c r="G781" s="193" t="s">
        <v>1364</v>
      </c>
      <c r="H781" s="193" t="s">
        <v>49</v>
      </c>
      <c r="I781" s="193" t="s">
        <v>41</v>
      </c>
      <c r="J781" s="193" t="str">
        <f t="shared" si="53"/>
        <v>10 Roda</v>
      </c>
      <c r="K781" s="194">
        <v>46078</v>
      </c>
      <c r="L781" s="195">
        <v>25090</v>
      </c>
      <c r="M781" s="195">
        <v>10780</v>
      </c>
      <c r="N781" s="195">
        <v>14310</v>
      </c>
      <c r="O781" s="195">
        <v>14250</v>
      </c>
      <c r="P781" s="196">
        <v>0.44236111111111098</v>
      </c>
      <c r="Q781" s="196">
        <v>0.48055555555555601</v>
      </c>
      <c r="R781" s="193" t="s">
        <v>42</v>
      </c>
      <c r="S781" s="193" t="s">
        <v>1781</v>
      </c>
      <c r="T781" s="197">
        <f t="shared" si="51"/>
        <v>68</v>
      </c>
      <c r="U781" s="193" t="s">
        <v>1922</v>
      </c>
      <c r="V781" s="193" t="str">
        <f t="shared" si="52"/>
        <v>Bone Bone</v>
      </c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8"/>
      <c r="AL781" s="18"/>
    </row>
    <row r="782" spans="2:38" ht="15" customHeight="1" x14ac:dyDescent="0.2">
      <c r="B782" s="193">
        <v>1</v>
      </c>
      <c r="C782" s="347" t="s">
        <v>890</v>
      </c>
      <c r="D782" s="193" t="str">
        <f t="shared" si="50"/>
        <v>RBDPL000723BJL</v>
      </c>
      <c r="E782" s="193" t="s">
        <v>174</v>
      </c>
      <c r="F782" s="193" t="s">
        <v>1363</v>
      </c>
      <c r="G782" s="193" t="s">
        <v>1657</v>
      </c>
      <c r="H782" s="193" t="s">
        <v>86</v>
      </c>
      <c r="I782" s="193" t="s">
        <v>3</v>
      </c>
      <c r="J782" s="193" t="str">
        <f t="shared" si="53"/>
        <v>6 Roda</v>
      </c>
      <c r="K782" s="194">
        <v>46078</v>
      </c>
      <c r="L782" s="195">
        <v>13570</v>
      </c>
      <c r="M782" s="195">
        <v>4570</v>
      </c>
      <c r="N782" s="195">
        <v>9000</v>
      </c>
      <c r="O782" s="195"/>
      <c r="P782" s="196">
        <v>0.469444444444444</v>
      </c>
      <c r="Q782" s="196">
        <v>0.50555555555555598</v>
      </c>
      <c r="R782" s="193" t="s">
        <v>42</v>
      </c>
      <c r="S782" s="193" t="s">
        <v>1465</v>
      </c>
      <c r="T782" s="197">
        <f t="shared" si="51"/>
        <v>562</v>
      </c>
      <c r="U782" s="193" t="s">
        <v>175</v>
      </c>
      <c r="V782" s="193" t="str">
        <f t="shared" si="52"/>
        <v>Palu</v>
      </c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8"/>
      <c r="AL782" s="18"/>
    </row>
    <row r="783" spans="2:38" ht="15" customHeight="1" x14ac:dyDescent="0.2">
      <c r="B783" s="193">
        <v>1</v>
      </c>
      <c r="C783" s="347" t="s">
        <v>891</v>
      </c>
      <c r="D783" s="193" t="str">
        <f t="shared" si="50"/>
        <v>RBDPL000724BJL</v>
      </c>
      <c r="E783" s="193" t="s">
        <v>236</v>
      </c>
      <c r="F783" s="193" t="s">
        <v>1363</v>
      </c>
      <c r="G783" s="193" t="s">
        <v>1657</v>
      </c>
      <c r="H783" s="193" t="s">
        <v>86</v>
      </c>
      <c r="I783" s="193" t="s">
        <v>3</v>
      </c>
      <c r="J783" s="193" t="str">
        <f t="shared" si="53"/>
        <v>6 Roda</v>
      </c>
      <c r="K783" s="194">
        <v>46078</v>
      </c>
      <c r="L783" s="195">
        <v>13230</v>
      </c>
      <c r="M783" s="195">
        <v>4180</v>
      </c>
      <c r="N783" s="195">
        <v>9050</v>
      </c>
      <c r="O783" s="195"/>
      <c r="P783" s="196">
        <v>0.47152777777777799</v>
      </c>
      <c r="Q783" s="196">
        <v>0.50763888888888897</v>
      </c>
      <c r="R783" s="193" t="s">
        <v>42</v>
      </c>
      <c r="S783" s="193" t="s">
        <v>1466</v>
      </c>
      <c r="T783" s="197">
        <f t="shared" si="51"/>
        <v>562</v>
      </c>
      <c r="U783" s="193" t="s">
        <v>175</v>
      </c>
      <c r="V783" s="193" t="str">
        <f t="shared" si="52"/>
        <v>Palu</v>
      </c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8"/>
      <c r="AL783" s="18"/>
    </row>
    <row r="784" spans="2:38" ht="15" customHeight="1" x14ac:dyDescent="0.2">
      <c r="B784" s="193">
        <v>1</v>
      </c>
      <c r="C784" s="347" t="s">
        <v>892</v>
      </c>
      <c r="D784" s="193" t="str">
        <f t="shared" si="50"/>
        <v>CPO000725PN</v>
      </c>
      <c r="E784" s="193" t="s">
        <v>56</v>
      </c>
      <c r="F784" s="193" t="s">
        <v>1358</v>
      </c>
      <c r="G784" s="193" t="s">
        <v>1357</v>
      </c>
      <c r="H784" s="193" t="s">
        <v>78</v>
      </c>
      <c r="I784" s="193" t="s">
        <v>41</v>
      </c>
      <c r="J784" s="193" t="str">
        <f t="shared" si="53"/>
        <v>10 Roda</v>
      </c>
      <c r="K784" s="194">
        <v>46078</v>
      </c>
      <c r="L784" s="195">
        <v>24990</v>
      </c>
      <c r="M784" s="195">
        <v>10740</v>
      </c>
      <c r="N784" s="195">
        <v>14250</v>
      </c>
      <c r="O784" s="195">
        <v>14260</v>
      </c>
      <c r="P784" s="196">
        <v>0.78888888888888897</v>
      </c>
      <c r="Q784" s="196">
        <v>0.84166666666666701</v>
      </c>
      <c r="R784" s="193" t="s">
        <v>137</v>
      </c>
      <c r="S784" s="193" t="s">
        <v>1781</v>
      </c>
      <c r="T784" s="197">
        <f t="shared" si="51"/>
        <v>99</v>
      </c>
      <c r="U784" s="193"/>
      <c r="V784" s="193" t="str">
        <f t="shared" si="52"/>
        <v>Burau</v>
      </c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8"/>
      <c r="AL784" s="18"/>
    </row>
    <row r="785" spans="2:38" ht="15" customHeight="1" x14ac:dyDescent="0.2">
      <c r="B785" s="193">
        <v>1</v>
      </c>
      <c r="C785" s="347" t="s">
        <v>893</v>
      </c>
      <c r="D785" s="193" t="str">
        <f t="shared" si="50"/>
        <v>CPO000726PN</v>
      </c>
      <c r="E785" s="193" t="s">
        <v>46</v>
      </c>
      <c r="F785" s="193" t="s">
        <v>1358</v>
      </c>
      <c r="G785" s="193" t="s">
        <v>1357</v>
      </c>
      <c r="H785" s="193" t="s">
        <v>78</v>
      </c>
      <c r="I785" s="193" t="s">
        <v>41</v>
      </c>
      <c r="J785" s="193" t="str">
        <f t="shared" si="53"/>
        <v>10 Roda</v>
      </c>
      <c r="K785" s="194">
        <v>46078</v>
      </c>
      <c r="L785" s="195">
        <v>26680</v>
      </c>
      <c r="M785" s="195">
        <v>11890</v>
      </c>
      <c r="N785" s="195">
        <v>14790</v>
      </c>
      <c r="O785" s="195">
        <v>14750</v>
      </c>
      <c r="P785" s="196">
        <v>0.811805555555556</v>
      </c>
      <c r="Q785" s="196">
        <v>0.87083333333333302</v>
      </c>
      <c r="R785" s="193" t="s">
        <v>137</v>
      </c>
      <c r="S785" s="193" t="s">
        <v>1393</v>
      </c>
      <c r="T785" s="197">
        <f t="shared" si="51"/>
        <v>99</v>
      </c>
      <c r="U785" s="193"/>
      <c r="V785" s="193" t="str">
        <f t="shared" si="52"/>
        <v>Burau</v>
      </c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8"/>
      <c r="AL785" s="18"/>
    </row>
    <row r="786" spans="2:38" ht="15" customHeight="1" x14ac:dyDescent="0.2">
      <c r="B786" s="193">
        <v>1</v>
      </c>
      <c r="C786" s="347" t="s">
        <v>894</v>
      </c>
      <c r="D786" s="193" t="str">
        <f t="shared" si="50"/>
        <v>CPO000727PN</v>
      </c>
      <c r="E786" s="193" t="s">
        <v>70</v>
      </c>
      <c r="F786" s="193" t="s">
        <v>1358</v>
      </c>
      <c r="G786" s="193" t="s">
        <v>1357</v>
      </c>
      <c r="H786" s="193" t="s">
        <v>78</v>
      </c>
      <c r="I786" s="193" t="s">
        <v>41</v>
      </c>
      <c r="J786" s="193" t="str">
        <f t="shared" si="53"/>
        <v>12 Roda</v>
      </c>
      <c r="K786" s="194">
        <v>46078</v>
      </c>
      <c r="L786" s="195">
        <v>45710</v>
      </c>
      <c r="M786" s="195">
        <v>17480</v>
      </c>
      <c r="N786" s="195">
        <v>28230</v>
      </c>
      <c r="O786" s="195">
        <v>28220</v>
      </c>
      <c r="P786" s="196">
        <v>0.83472222222222203</v>
      </c>
      <c r="Q786" s="196">
        <v>0.88194444444444398</v>
      </c>
      <c r="R786" s="193" t="s">
        <v>137</v>
      </c>
      <c r="S786" s="193" t="s">
        <v>1499</v>
      </c>
      <c r="T786" s="197">
        <f t="shared" si="51"/>
        <v>99</v>
      </c>
      <c r="U786" s="193"/>
      <c r="V786" s="193" t="str">
        <f t="shared" si="52"/>
        <v>Burau</v>
      </c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8"/>
      <c r="AL786" s="18"/>
    </row>
    <row r="787" spans="2:38" ht="15" customHeight="1" x14ac:dyDescent="0.2">
      <c r="B787" s="193">
        <v>1</v>
      </c>
      <c r="C787" s="347" t="s">
        <v>895</v>
      </c>
      <c r="D787" s="193" t="str">
        <f t="shared" si="50"/>
        <v>CPO000728PN</v>
      </c>
      <c r="E787" s="193" t="s">
        <v>70</v>
      </c>
      <c r="F787" s="193" t="s">
        <v>1358</v>
      </c>
      <c r="G787" s="193" t="s">
        <v>1357</v>
      </c>
      <c r="H787" s="193" t="s">
        <v>78</v>
      </c>
      <c r="I787" s="193" t="s">
        <v>41</v>
      </c>
      <c r="J787" s="193" t="str">
        <f t="shared" si="53"/>
        <v>12 Roda</v>
      </c>
      <c r="K787" s="194">
        <v>46079</v>
      </c>
      <c r="L787" s="195">
        <v>45570</v>
      </c>
      <c r="M787" s="195">
        <v>17330</v>
      </c>
      <c r="N787" s="195">
        <v>28240</v>
      </c>
      <c r="O787" s="195">
        <v>28230</v>
      </c>
      <c r="P787" s="196">
        <v>0.61111111111111105</v>
      </c>
      <c r="Q787" s="196">
        <v>0.65763888888888899</v>
      </c>
      <c r="R787" s="193" t="s">
        <v>42</v>
      </c>
      <c r="S787" s="193" t="s">
        <v>1499</v>
      </c>
      <c r="T787" s="197">
        <f t="shared" si="51"/>
        <v>99</v>
      </c>
      <c r="U787" s="193"/>
      <c r="V787" s="193" t="str">
        <f t="shared" si="52"/>
        <v>Burau</v>
      </c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8"/>
      <c r="AL787" s="18"/>
    </row>
    <row r="788" spans="2:38" ht="15" customHeight="1" x14ac:dyDescent="0.2">
      <c r="B788" s="193">
        <v>1</v>
      </c>
      <c r="C788" s="347" t="s">
        <v>896</v>
      </c>
      <c r="D788" s="193" t="str">
        <f t="shared" si="50"/>
        <v>CPO000729PN</v>
      </c>
      <c r="E788" s="193" t="s">
        <v>46</v>
      </c>
      <c r="F788" s="193" t="s">
        <v>1358</v>
      </c>
      <c r="G788" s="193" t="s">
        <v>1357</v>
      </c>
      <c r="H788" s="193" t="s">
        <v>78</v>
      </c>
      <c r="I788" s="193" t="s">
        <v>41</v>
      </c>
      <c r="J788" s="193" t="str">
        <f t="shared" si="53"/>
        <v>10 Roda</v>
      </c>
      <c r="K788" s="194">
        <v>46079</v>
      </c>
      <c r="L788" s="195">
        <v>26580</v>
      </c>
      <c r="M788" s="195">
        <v>11810</v>
      </c>
      <c r="N788" s="195">
        <v>14770</v>
      </c>
      <c r="O788" s="195">
        <v>14750</v>
      </c>
      <c r="P788" s="196">
        <v>0.61597222222222203</v>
      </c>
      <c r="Q788" s="196">
        <v>0.65902777777777799</v>
      </c>
      <c r="R788" s="193" t="s">
        <v>42</v>
      </c>
      <c r="S788" s="193" t="s">
        <v>1393</v>
      </c>
      <c r="T788" s="197">
        <f t="shared" si="51"/>
        <v>99</v>
      </c>
      <c r="U788" s="193"/>
      <c r="V788" s="193" t="str">
        <f t="shared" si="52"/>
        <v>Burau</v>
      </c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8"/>
      <c r="AL788" s="18"/>
    </row>
    <row r="789" spans="2:38" ht="15" customHeight="1" x14ac:dyDescent="0.2">
      <c r="B789" s="193">
        <v>1</v>
      </c>
      <c r="C789" s="347" t="s">
        <v>897</v>
      </c>
      <c r="D789" s="193" t="str">
        <f t="shared" si="50"/>
        <v>CPO000730PN</v>
      </c>
      <c r="E789" s="193" t="s">
        <v>56</v>
      </c>
      <c r="F789" s="193" t="s">
        <v>1358</v>
      </c>
      <c r="G789" s="193" t="s">
        <v>1357</v>
      </c>
      <c r="H789" s="193" t="s">
        <v>78</v>
      </c>
      <c r="I789" s="193" t="s">
        <v>41</v>
      </c>
      <c r="J789" s="193" t="str">
        <f t="shared" si="53"/>
        <v>10 Roda</v>
      </c>
      <c r="K789" s="194">
        <v>46079</v>
      </c>
      <c r="L789" s="195">
        <v>25010</v>
      </c>
      <c r="M789" s="195">
        <v>10770</v>
      </c>
      <c r="N789" s="195">
        <v>14240</v>
      </c>
      <c r="O789" s="195">
        <v>14210</v>
      </c>
      <c r="P789" s="196">
        <v>0.61736111111111103</v>
      </c>
      <c r="Q789" s="196">
        <v>0.66527777777777797</v>
      </c>
      <c r="R789" s="193" t="s">
        <v>42</v>
      </c>
      <c r="S789" s="193" t="s">
        <v>1781</v>
      </c>
      <c r="T789" s="197">
        <f t="shared" si="51"/>
        <v>99</v>
      </c>
      <c r="U789" s="193"/>
      <c r="V789" s="193" t="str">
        <f t="shared" si="52"/>
        <v>Burau</v>
      </c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8"/>
      <c r="AL789" s="18"/>
    </row>
    <row r="790" spans="2:38" ht="15" customHeight="1" x14ac:dyDescent="0.2">
      <c r="B790" s="193">
        <v>1</v>
      </c>
      <c r="C790" s="347" t="s">
        <v>898</v>
      </c>
      <c r="D790" s="193" t="str">
        <f t="shared" si="50"/>
        <v>CPO000731JAS</v>
      </c>
      <c r="E790" s="193" t="s">
        <v>46</v>
      </c>
      <c r="F790" s="193" t="s">
        <v>1443</v>
      </c>
      <c r="G790" s="193" t="s">
        <v>1364</v>
      </c>
      <c r="H790" s="193" t="s">
        <v>49</v>
      </c>
      <c r="I790" s="193" t="s">
        <v>41</v>
      </c>
      <c r="J790" s="193" t="str">
        <f t="shared" si="53"/>
        <v>10 Roda</v>
      </c>
      <c r="K790" s="194">
        <v>46079</v>
      </c>
      <c r="L790" s="195">
        <v>26780</v>
      </c>
      <c r="M790" s="195">
        <v>11930</v>
      </c>
      <c r="N790" s="195">
        <v>14850</v>
      </c>
      <c r="O790" s="195">
        <v>14820</v>
      </c>
      <c r="P790" s="196">
        <v>0.85208333333333297</v>
      </c>
      <c r="Q790" s="196">
        <v>0.89166666666666705</v>
      </c>
      <c r="R790" s="193" t="s">
        <v>137</v>
      </c>
      <c r="S790" s="193" t="s">
        <v>1393</v>
      </c>
      <c r="T790" s="197">
        <f t="shared" si="51"/>
        <v>68</v>
      </c>
      <c r="U790" s="193" t="s">
        <v>1922</v>
      </c>
      <c r="V790" s="193" t="str">
        <f t="shared" si="52"/>
        <v>Bone Bone</v>
      </c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8"/>
      <c r="AL790" s="18"/>
    </row>
    <row r="791" spans="2:38" ht="15" customHeight="1" x14ac:dyDescent="0.2">
      <c r="B791" s="193">
        <v>1</v>
      </c>
      <c r="C791" s="347" t="s">
        <v>899</v>
      </c>
      <c r="D791" s="193" t="str">
        <f t="shared" ref="D791:D854" si="54">I791&amp;C791&amp;_xlfn.XLOOKUP(H791,$AM$4:$AM$26,$AN$4:$AN$26,"")</f>
        <v>CPO000732JAS</v>
      </c>
      <c r="E791" s="193" t="s">
        <v>70</v>
      </c>
      <c r="F791" s="193" t="s">
        <v>1443</v>
      </c>
      <c r="G791" s="193" t="s">
        <v>1364</v>
      </c>
      <c r="H791" s="193" t="s">
        <v>49</v>
      </c>
      <c r="I791" s="193" t="s">
        <v>41</v>
      </c>
      <c r="J791" s="193" t="str">
        <f t="shared" si="53"/>
        <v>12 Roda</v>
      </c>
      <c r="K791" s="194">
        <v>46079</v>
      </c>
      <c r="L791" s="195">
        <v>45950</v>
      </c>
      <c r="M791" s="195">
        <v>17560</v>
      </c>
      <c r="N791" s="195">
        <v>28390</v>
      </c>
      <c r="O791" s="195">
        <v>28340</v>
      </c>
      <c r="P791" s="196">
        <v>0.90902777777777799</v>
      </c>
      <c r="Q791" s="196">
        <v>0.95069444444444395</v>
      </c>
      <c r="R791" s="193" t="s">
        <v>137</v>
      </c>
      <c r="S791" s="193" t="s">
        <v>1499</v>
      </c>
      <c r="T791" s="197">
        <f t="shared" ref="T791:T854" si="55">IFERROR(_xlfn.XLOOKUP(H791,$AM$4:$AM$18,$AP$4:$AP$18,""),0)</f>
        <v>68</v>
      </c>
      <c r="U791" s="193" t="s">
        <v>1922</v>
      </c>
      <c r="V791" s="193" t="str">
        <f t="shared" ref="V791:V854" si="56">IFERROR(_xlfn.XLOOKUP(H791,$AM$4:$AM$18,$AO$4:$AO$18,""),"")</f>
        <v>Bone Bone</v>
      </c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8"/>
      <c r="AL791" s="18"/>
    </row>
    <row r="792" spans="2:38" ht="15" customHeight="1" x14ac:dyDescent="0.2">
      <c r="B792" s="193">
        <v>1</v>
      </c>
      <c r="C792" s="347" t="s">
        <v>900</v>
      </c>
      <c r="D792" s="193" t="str">
        <f t="shared" si="54"/>
        <v>CPO000733PN</v>
      </c>
      <c r="E792" s="193" t="s">
        <v>56</v>
      </c>
      <c r="F792" s="193" t="s">
        <v>1358</v>
      </c>
      <c r="G792" s="193" t="s">
        <v>1357</v>
      </c>
      <c r="H792" s="193" t="s">
        <v>78</v>
      </c>
      <c r="I792" s="193" t="s">
        <v>41</v>
      </c>
      <c r="J792" s="193" t="str">
        <f t="shared" si="53"/>
        <v>10 Roda</v>
      </c>
      <c r="K792" s="194">
        <v>46080</v>
      </c>
      <c r="L792" s="195">
        <v>24980</v>
      </c>
      <c r="M792" s="195">
        <v>10710</v>
      </c>
      <c r="N792" s="195">
        <v>14270</v>
      </c>
      <c r="O792" s="195">
        <v>14250</v>
      </c>
      <c r="P792" s="196">
        <v>0.54374999999999996</v>
      </c>
      <c r="Q792" s="196">
        <v>0.60347222222222197</v>
      </c>
      <c r="R792" s="193" t="s">
        <v>42</v>
      </c>
      <c r="S792" s="193" t="s">
        <v>1781</v>
      </c>
      <c r="T792" s="197">
        <f t="shared" si="55"/>
        <v>99</v>
      </c>
      <c r="U792" s="193"/>
      <c r="V792" s="193" t="str">
        <f t="shared" si="56"/>
        <v>Burau</v>
      </c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8"/>
      <c r="AL792" s="18"/>
    </row>
    <row r="793" spans="2:38" ht="15" customHeight="1" x14ac:dyDescent="0.2">
      <c r="B793" s="193">
        <v>1</v>
      </c>
      <c r="C793" s="347" t="s">
        <v>901</v>
      </c>
      <c r="D793" s="193" t="str">
        <f t="shared" si="54"/>
        <v>CPO000734PN</v>
      </c>
      <c r="E793" s="193" t="s">
        <v>46</v>
      </c>
      <c r="F793" s="193" t="s">
        <v>1358</v>
      </c>
      <c r="G793" s="193" t="s">
        <v>1357</v>
      </c>
      <c r="H793" s="193" t="s">
        <v>78</v>
      </c>
      <c r="I793" s="193" t="s">
        <v>41</v>
      </c>
      <c r="J793" s="193" t="str">
        <f t="shared" si="53"/>
        <v>10 Roda</v>
      </c>
      <c r="K793" s="194">
        <v>46080</v>
      </c>
      <c r="L793" s="195">
        <v>26680</v>
      </c>
      <c r="M793" s="195">
        <v>11890</v>
      </c>
      <c r="N793" s="195">
        <v>14790</v>
      </c>
      <c r="O793" s="195">
        <v>14780</v>
      </c>
      <c r="P793" s="196">
        <v>0.55833333333333302</v>
      </c>
      <c r="Q793" s="196">
        <v>0.60902777777777795</v>
      </c>
      <c r="R793" s="193" t="s">
        <v>42</v>
      </c>
      <c r="S793" s="193" t="s">
        <v>1393</v>
      </c>
      <c r="T793" s="197">
        <f t="shared" si="55"/>
        <v>99</v>
      </c>
      <c r="U793" s="193"/>
      <c r="V793" s="193" t="str">
        <f t="shared" si="56"/>
        <v>Burau</v>
      </c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8"/>
      <c r="AL793" s="18"/>
    </row>
    <row r="794" spans="2:38" ht="15" customHeight="1" x14ac:dyDescent="0.2">
      <c r="B794" s="193">
        <v>1</v>
      </c>
      <c r="C794" s="347" t="s">
        <v>902</v>
      </c>
      <c r="D794" s="193" t="str">
        <f t="shared" si="54"/>
        <v>CPO000735PN</v>
      </c>
      <c r="E794" s="193" t="s">
        <v>70</v>
      </c>
      <c r="F794" s="193" t="s">
        <v>1358</v>
      </c>
      <c r="G794" s="193" t="s">
        <v>1357</v>
      </c>
      <c r="H794" s="193" t="s">
        <v>78</v>
      </c>
      <c r="I794" s="193" t="s">
        <v>41</v>
      </c>
      <c r="J794" s="193" t="str">
        <f t="shared" si="53"/>
        <v>12 Roda</v>
      </c>
      <c r="K794" s="194">
        <v>46080</v>
      </c>
      <c r="L794" s="195">
        <v>45770</v>
      </c>
      <c r="M794" s="195">
        <v>17490</v>
      </c>
      <c r="N794" s="195">
        <v>28280</v>
      </c>
      <c r="O794" s="195">
        <v>28280</v>
      </c>
      <c r="P794" s="196">
        <v>0.56736111111111098</v>
      </c>
      <c r="Q794" s="196">
        <v>0.62222222222222201</v>
      </c>
      <c r="R794" s="193" t="s">
        <v>42</v>
      </c>
      <c r="S794" s="193" t="s">
        <v>1499</v>
      </c>
      <c r="T794" s="197">
        <f t="shared" si="55"/>
        <v>99</v>
      </c>
      <c r="U794" s="193"/>
      <c r="V794" s="193" t="str">
        <f t="shared" si="56"/>
        <v>Burau</v>
      </c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8"/>
      <c r="AL794" s="18"/>
    </row>
    <row r="795" spans="2:38" ht="15" customHeight="1" x14ac:dyDescent="0.2">
      <c r="B795" s="193">
        <v>1</v>
      </c>
      <c r="C795" s="347" t="s">
        <v>231</v>
      </c>
      <c r="D795" s="193" t="str">
        <f t="shared" si="54"/>
        <v>RBDPL000092BJL</v>
      </c>
      <c r="E795" s="193" t="s">
        <v>232</v>
      </c>
      <c r="F795" s="193" t="s">
        <v>1363</v>
      </c>
      <c r="G795" s="193" t="s">
        <v>1657</v>
      </c>
      <c r="H795" s="193" t="s">
        <v>86</v>
      </c>
      <c r="I795" s="193" t="s">
        <v>3</v>
      </c>
      <c r="J795" s="193" t="str">
        <f t="shared" si="53"/>
        <v>6 Roda</v>
      </c>
      <c r="K795" s="194">
        <v>46081</v>
      </c>
      <c r="L795" s="195">
        <v>13760</v>
      </c>
      <c r="M795" s="195">
        <v>4270</v>
      </c>
      <c r="N795" s="195">
        <v>9490</v>
      </c>
      <c r="O795" s="195"/>
      <c r="P795" s="196">
        <v>0.67361111111111105</v>
      </c>
      <c r="Q795" s="196">
        <v>0.77013888888888904</v>
      </c>
      <c r="R795" s="193" t="s">
        <v>42</v>
      </c>
      <c r="S795" s="193" t="s">
        <v>1467</v>
      </c>
      <c r="T795" s="197">
        <f t="shared" si="55"/>
        <v>562</v>
      </c>
      <c r="U795" s="193" t="s">
        <v>175</v>
      </c>
      <c r="V795" s="193" t="str">
        <f t="shared" si="56"/>
        <v>Palu</v>
      </c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8"/>
      <c r="AL795" s="18"/>
    </row>
    <row r="796" spans="2:38" ht="15" customHeight="1" x14ac:dyDescent="0.2">
      <c r="B796" s="193">
        <v>1</v>
      </c>
      <c r="C796" s="347" t="s">
        <v>233</v>
      </c>
      <c r="D796" s="193" t="str">
        <f t="shared" si="54"/>
        <v>RBDPL000093BJL</v>
      </c>
      <c r="E796" s="193" t="s">
        <v>234</v>
      </c>
      <c r="F796" s="193" t="s">
        <v>1363</v>
      </c>
      <c r="G796" s="193" t="s">
        <v>1657</v>
      </c>
      <c r="H796" s="193" t="s">
        <v>86</v>
      </c>
      <c r="I796" s="193" t="s">
        <v>3</v>
      </c>
      <c r="J796" s="193" t="str">
        <f t="shared" si="53"/>
        <v>6 Roda</v>
      </c>
      <c r="K796" s="194">
        <v>46081</v>
      </c>
      <c r="L796" s="195">
        <v>13510</v>
      </c>
      <c r="M796" s="195">
        <v>4370</v>
      </c>
      <c r="N796" s="195">
        <v>9140</v>
      </c>
      <c r="O796" s="195"/>
      <c r="P796" s="196">
        <v>0.67500000000000004</v>
      </c>
      <c r="Q796" s="196">
        <v>0.74375000000000002</v>
      </c>
      <c r="R796" s="193" t="s">
        <v>42</v>
      </c>
      <c r="S796" s="193" t="s">
        <v>1465</v>
      </c>
      <c r="T796" s="197">
        <f t="shared" si="55"/>
        <v>562</v>
      </c>
      <c r="U796" s="193" t="s">
        <v>175</v>
      </c>
      <c r="V796" s="193" t="str">
        <f t="shared" si="56"/>
        <v>Palu</v>
      </c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8"/>
      <c r="AL796" s="18"/>
    </row>
    <row r="797" spans="2:38" ht="15" customHeight="1" x14ac:dyDescent="0.2">
      <c r="B797" s="193">
        <v>1</v>
      </c>
      <c r="C797" s="347" t="s">
        <v>235</v>
      </c>
      <c r="D797" s="193" t="str">
        <f t="shared" si="54"/>
        <v>RBDPL000094BJL</v>
      </c>
      <c r="E797" s="193" t="s">
        <v>236</v>
      </c>
      <c r="F797" s="193" t="s">
        <v>1363</v>
      </c>
      <c r="G797" s="193" t="s">
        <v>1657</v>
      </c>
      <c r="H797" s="193" t="s">
        <v>86</v>
      </c>
      <c r="I797" s="193" t="s">
        <v>3</v>
      </c>
      <c r="J797" s="193" t="str">
        <f t="shared" si="53"/>
        <v>6 Roda</v>
      </c>
      <c r="K797" s="194">
        <v>46081</v>
      </c>
      <c r="L797" s="195">
        <v>13060</v>
      </c>
      <c r="M797" s="195">
        <v>4000</v>
      </c>
      <c r="N797" s="195">
        <v>9060</v>
      </c>
      <c r="O797" s="195"/>
      <c r="P797" s="196">
        <v>0.67638888888888904</v>
      </c>
      <c r="Q797" s="196">
        <v>0.813194444444444</v>
      </c>
      <c r="R797" s="193" t="s">
        <v>42</v>
      </c>
      <c r="S797" s="193" t="s">
        <v>1466</v>
      </c>
      <c r="T797" s="197">
        <f t="shared" si="55"/>
        <v>562</v>
      </c>
      <c r="U797" s="193" t="s">
        <v>175</v>
      </c>
      <c r="V797" s="193" t="str">
        <f t="shared" si="56"/>
        <v>Palu</v>
      </c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8"/>
      <c r="AL797" s="18"/>
    </row>
    <row r="798" spans="2:38" ht="15" customHeight="1" x14ac:dyDescent="0.2">
      <c r="B798" s="193">
        <v>1</v>
      </c>
      <c r="C798" s="347" t="s">
        <v>237</v>
      </c>
      <c r="D798" s="193" t="str">
        <f t="shared" si="54"/>
        <v>RBDPL000095BJL</v>
      </c>
      <c r="E798" s="193" t="s">
        <v>174</v>
      </c>
      <c r="F798" s="193" t="s">
        <v>1363</v>
      </c>
      <c r="G798" s="193" t="s">
        <v>1657</v>
      </c>
      <c r="H798" s="193" t="s">
        <v>86</v>
      </c>
      <c r="I798" s="193" t="s">
        <v>3</v>
      </c>
      <c r="J798" s="193" t="str">
        <f t="shared" si="53"/>
        <v>6 Roda</v>
      </c>
      <c r="K798" s="194">
        <v>46081</v>
      </c>
      <c r="L798" s="195">
        <v>13620</v>
      </c>
      <c r="M798" s="195">
        <v>4560</v>
      </c>
      <c r="N798" s="195">
        <v>9060</v>
      </c>
      <c r="O798" s="195"/>
      <c r="P798" s="196">
        <v>0.91111111111111098</v>
      </c>
      <c r="Q798" s="196">
        <v>0.94305555555555598</v>
      </c>
      <c r="R798" s="193" t="s">
        <v>137</v>
      </c>
      <c r="S798" s="193" t="s">
        <v>1465</v>
      </c>
      <c r="T798" s="197">
        <f t="shared" si="55"/>
        <v>562</v>
      </c>
      <c r="U798" s="193" t="s">
        <v>175</v>
      </c>
      <c r="V798" s="193" t="str">
        <f t="shared" si="56"/>
        <v>Palu</v>
      </c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8"/>
      <c r="AL798" s="18"/>
    </row>
    <row r="799" spans="2:38" ht="15" customHeight="1" x14ac:dyDescent="0.2">
      <c r="B799" s="193">
        <v>1</v>
      </c>
      <c r="C799" s="347" t="s">
        <v>226</v>
      </c>
      <c r="D799" s="193" t="str">
        <f t="shared" si="54"/>
        <v>CPO000087PN</v>
      </c>
      <c r="E799" s="193" t="s">
        <v>46</v>
      </c>
      <c r="F799" s="193" t="s">
        <v>1358</v>
      </c>
      <c r="G799" s="193" t="s">
        <v>1357</v>
      </c>
      <c r="H799" s="193" t="s">
        <v>78</v>
      </c>
      <c r="I799" s="193" t="s">
        <v>41</v>
      </c>
      <c r="J799" s="193" t="str">
        <f t="shared" si="53"/>
        <v>10 Roda</v>
      </c>
      <c r="K799" s="194">
        <v>46081</v>
      </c>
      <c r="L799" s="195">
        <v>26540</v>
      </c>
      <c r="M799" s="195">
        <v>11780</v>
      </c>
      <c r="N799" s="195">
        <v>14760</v>
      </c>
      <c r="O799" s="195">
        <v>14710</v>
      </c>
      <c r="P799" s="196">
        <v>0.54652777777777795</v>
      </c>
      <c r="Q799" s="196">
        <v>0.61388888888888904</v>
      </c>
      <c r="R799" s="193" t="s">
        <v>42</v>
      </c>
      <c r="S799" s="193" t="s">
        <v>1393</v>
      </c>
      <c r="T799" s="197">
        <f t="shared" si="55"/>
        <v>99</v>
      </c>
      <c r="U799" s="193"/>
      <c r="V799" s="193" t="str">
        <f t="shared" si="56"/>
        <v>Burau</v>
      </c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8"/>
      <c r="AL799" s="18"/>
    </row>
    <row r="800" spans="2:38" ht="15" customHeight="1" x14ac:dyDescent="0.2">
      <c r="B800" s="193">
        <v>1</v>
      </c>
      <c r="C800" s="347" t="s">
        <v>227</v>
      </c>
      <c r="D800" s="193" t="str">
        <f t="shared" si="54"/>
        <v>CPO000088PN</v>
      </c>
      <c r="E800" s="193" t="s">
        <v>56</v>
      </c>
      <c r="F800" s="193" t="s">
        <v>1358</v>
      </c>
      <c r="G800" s="193" t="s">
        <v>1357</v>
      </c>
      <c r="H800" s="193" t="s">
        <v>78</v>
      </c>
      <c r="I800" s="193" t="s">
        <v>41</v>
      </c>
      <c r="J800" s="193" t="str">
        <f t="shared" ref="J800:J863" si="57">IF(MIN(L800,M800)&lt;=5000,"6 Roda",IF(MIN(L800,M800)&lt;=13800,"10 Roda","12 Roda"))</f>
        <v>10 Roda</v>
      </c>
      <c r="K800" s="194">
        <v>46081</v>
      </c>
      <c r="L800" s="195">
        <v>25000</v>
      </c>
      <c r="M800" s="195">
        <v>10740</v>
      </c>
      <c r="N800" s="195">
        <v>14260</v>
      </c>
      <c r="O800" s="195">
        <v>14260</v>
      </c>
      <c r="P800" s="196">
        <v>0.55069444444444504</v>
      </c>
      <c r="Q800" s="196">
        <v>0.69374999999999998</v>
      </c>
      <c r="R800" s="193" t="s">
        <v>42</v>
      </c>
      <c r="S800" s="193" t="s">
        <v>1781</v>
      </c>
      <c r="T800" s="197">
        <f t="shared" si="55"/>
        <v>99</v>
      </c>
      <c r="U800" s="193"/>
      <c r="V800" s="193" t="str">
        <f t="shared" si="56"/>
        <v>Burau</v>
      </c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8"/>
      <c r="AL800" s="18"/>
    </row>
    <row r="801" spans="2:38" ht="15" customHeight="1" x14ac:dyDescent="0.2">
      <c r="B801" s="193">
        <v>1</v>
      </c>
      <c r="C801" s="347" t="s">
        <v>228</v>
      </c>
      <c r="D801" s="193" t="str">
        <f t="shared" si="54"/>
        <v>CPO000089PN</v>
      </c>
      <c r="E801" s="193" t="s">
        <v>76</v>
      </c>
      <c r="F801" s="193" t="s">
        <v>1358</v>
      </c>
      <c r="G801" s="193" t="s">
        <v>1357</v>
      </c>
      <c r="H801" s="193" t="s">
        <v>78</v>
      </c>
      <c r="I801" s="193" t="s">
        <v>41</v>
      </c>
      <c r="J801" s="193" t="str">
        <f t="shared" si="57"/>
        <v>12 Roda</v>
      </c>
      <c r="K801" s="194">
        <v>46081</v>
      </c>
      <c r="L801" s="195">
        <v>45810</v>
      </c>
      <c r="M801" s="195">
        <v>17570</v>
      </c>
      <c r="N801" s="195">
        <v>28240</v>
      </c>
      <c r="O801" s="195">
        <v>28230</v>
      </c>
      <c r="P801" s="196">
        <v>0.59861111111111098</v>
      </c>
      <c r="Q801" s="196">
        <v>0.843055555555556</v>
      </c>
      <c r="R801" s="193" t="s">
        <v>42</v>
      </c>
      <c r="S801" s="193" t="s">
        <v>1372</v>
      </c>
      <c r="T801" s="197">
        <f t="shared" si="55"/>
        <v>99</v>
      </c>
      <c r="U801" s="193"/>
      <c r="V801" s="193" t="str">
        <f t="shared" si="56"/>
        <v>Burau</v>
      </c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8"/>
      <c r="AL801" s="18"/>
    </row>
    <row r="802" spans="2:38" ht="15" customHeight="1" x14ac:dyDescent="0.2">
      <c r="B802" s="193">
        <v>1</v>
      </c>
      <c r="C802" s="347" t="s">
        <v>229</v>
      </c>
      <c r="D802" s="193" t="str">
        <f t="shared" si="54"/>
        <v>CPO000090PN</v>
      </c>
      <c r="E802" s="193" t="s">
        <v>84</v>
      </c>
      <c r="F802" s="193" t="s">
        <v>1358</v>
      </c>
      <c r="G802" s="193" t="s">
        <v>1357</v>
      </c>
      <c r="H802" s="193" t="s">
        <v>78</v>
      </c>
      <c r="I802" s="193" t="s">
        <v>41</v>
      </c>
      <c r="J802" s="193" t="str">
        <f t="shared" si="57"/>
        <v>10 Roda</v>
      </c>
      <c r="K802" s="194">
        <v>46081</v>
      </c>
      <c r="L802" s="195">
        <v>26570</v>
      </c>
      <c r="M802" s="195">
        <v>12140</v>
      </c>
      <c r="N802" s="195">
        <v>14430</v>
      </c>
      <c r="O802" s="195">
        <v>14360</v>
      </c>
      <c r="P802" s="196">
        <v>0.60069444444444398</v>
      </c>
      <c r="Q802" s="196">
        <v>0.69166666666666698</v>
      </c>
      <c r="R802" s="193" t="s">
        <v>42</v>
      </c>
      <c r="S802" s="193" t="s">
        <v>1397</v>
      </c>
      <c r="T802" s="197">
        <f t="shared" si="55"/>
        <v>99</v>
      </c>
      <c r="U802" s="193"/>
      <c r="V802" s="193" t="str">
        <f t="shared" si="56"/>
        <v>Burau</v>
      </c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8"/>
      <c r="AL802" s="18"/>
    </row>
    <row r="803" spans="2:38" ht="15" customHeight="1" x14ac:dyDescent="0.2">
      <c r="B803" s="193">
        <v>1</v>
      </c>
      <c r="C803" s="347" t="s">
        <v>230</v>
      </c>
      <c r="D803" s="193" t="str">
        <f t="shared" si="54"/>
        <v>CPO000091PN</v>
      </c>
      <c r="E803" s="193" t="s">
        <v>70</v>
      </c>
      <c r="F803" s="193" t="s">
        <v>1358</v>
      </c>
      <c r="G803" s="193" t="s">
        <v>1357</v>
      </c>
      <c r="H803" s="193" t="s">
        <v>78</v>
      </c>
      <c r="I803" s="193" t="s">
        <v>41</v>
      </c>
      <c r="J803" s="193" t="str">
        <f t="shared" si="57"/>
        <v>12 Roda</v>
      </c>
      <c r="K803" s="194">
        <v>46081</v>
      </c>
      <c r="L803" s="195">
        <v>45620</v>
      </c>
      <c r="M803" s="195">
        <v>17410</v>
      </c>
      <c r="N803" s="195">
        <v>28210</v>
      </c>
      <c r="O803" s="195">
        <v>28210</v>
      </c>
      <c r="P803" s="196">
        <v>0.60208333333333297</v>
      </c>
      <c r="Q803" s="196">
        <v>0.87291666666666701</v>
      </c>
      <c r="R803" s="193" t="s">
        <v>42</v>
      </c>
      <c r="S803" s="193" t="s">
        <v>1499</v>
      </c>
      <c r="T803" s="197">
        <f t="shared" si="55"/>
        <v>99</v>
      </c>
      <c r="U803" s="193"/>
      <c r="V803" s="193" t="str">
        <f t="shared" si="56"/>
        <v>Burau</v>
      </c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8"/>
      <c r="AL803" s="18"/>
    </row>
    <row r="804" spans="2:38" ht="15" customHeight="1" x14ac:dyDescent="0.2">
      <c r="B804" s="193">
        <v>1</v>
      </c>
      <c r="C804" s="347" t="s">
        <v>908</v>
      </c>
      <c r="D804" s="193" t="str">
        <f t="shared" si="54"/>
        <v>CPO000741PN</v>
      </c>
      <c r="E804" s="193" t="s">
        <v>76</v>
      </c>
      <c r="F804" s="193" t="s">
        <v>1358</v>
      </c>
      <c r="G804" s="193" t="s">
        <v>1357</v>
      </c>
      <c r="H804" s="193" t="s">
        <v>78</v>
      </c>
      <c r="I804" s="193" t="s">
        <v>41</v>
      </c>
      <c r="J804" s="193" t="str">
        <f t="shared" si="57"/>
        <v>12 Roda</v>
      </c>
      <c r="K804" s="194">
        <v>46084</v>
      </c>
      <c r="L804" s="195">
        <v>45770</v>
      </c>
      <c r="M804" s="195">
        <v>17460</v>
      </c>
      <c r="N804" s="195">
        <v>28310</v>
      </c>
      <c r="O804" s="195">
        <v>28350</v>
      </c>
      <c r="P804" s="196">
        <v>0.59652777777777799</v>
      </c>
      <c r="Q804" s="196">
        <v>0.67291666666666705</v>
      </c>
      <c r="R804" s="193" t="s">
        <v>137</v>
      </c>
      <c r="S804" s="193" t="s">
        <v>1372</v>
      </c>
      <c r="T804" s="197">
        <f t="shared" si="55"/>
        <v>99</v>
      </c>
      <c r="U804" s="193"/>
      <c r="V804" s="193" t="str">
        <f t="shared" si="56"/>
        <v>Burau</v>
      </c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8"/>
      <c r="AL804" s="18"/>
    </row>
    <row r="805" spans="2:38" ht="15" customHeight="1" x14ac:dyDescent="0.2">
      <c r="B805" s="193">
        <v>1</v>
      </c>
      <c r="C805" s="347" t="s">
        <v>909</v>
      </c>
      <c r="D805" s="193" t="str">
        <f t="shared" si="54"/>
        <v>CPO000742PN</v>
      </c>
      <c r="E805" s="193" t="s">
        <v>46</v>
      </c>
      <c r="F805" s="193" t="s">
        <v>1358</v>
      </c>
      <c r="G805" s="193" t="s">
        <v>1357</v>
      </c>
      <c r="H805" s="193" t="s">
        <v>78</v>
      </c>
      <c r="I805" s="193" t="s">
        <v>41</v>
      </c>
      <c r="J805" s="193" t="str">
        <f t="shared" si="57"/>
        <v>10 Roda</v>
      </c>
      <c r="K805" s="194">
        <v>46084</v>
      </c>
      <c r="L805" s="195">
        <v>26480</v>
      </c>
      <c r="M805" s="195">
        <v>11800</v>
      </c>
      <c r="N805" s="195">
        <v>14680</v>
      </c>
      <c r="O805" s="195">
        <v>14650</v>
      </c>
      <c r="P805" s="196">
        <v>0.62291666666666701</v>
      </c>
      <c r="Q805" s="196">
        <v>0.71458333333333302</v>
      </c>
      <c r="R805" s="193" t="s">
        <v>42</v>
      </c>
      <c r="S805" s="193" t="s">
        <v>1393</v>
      </c>
      <c r="T805" s="197">
        <f t="shared" si="55"/>
        <v>99</v>
      </c>
      <c r="U805" s="193"/>
      <c r="V805" s="193" t="str">
        <f t="shared" si="56"/>
        <v>Burau</v>
      </c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8"/>
      <c r="AL805" s="18"/>
    </row>
    <row r="806" spans="2:38" ht="15" customHeight="1" x14ac:dyDescent="0.2">
      <c r="B806" s="193">
        <v>1</v>
      </c>
      <c r="C806" s="347" t="s">
        <v>661</v>
      </c>
      <c r="D806" s="193" t="str">
        <f t="shared" si="54"/>
        <v>CPO000512KMP</v>
      </c>
      <c r="E806" s="193" t="s">
        <v>76</v>
      </c>
      <c r="F806" s="193" t="s">
        <v>1454</v>
      </c>
      <c r="G806" s="193" t="s">
        <v>1352</v>
      </c>
      <c r="H806" s="193" t="s">
        <v>59</v>
      </c>
      <c r="I806" s="193" t="s">
        <v>41</v>
      </c>
      <c r="J806" s="193" t="str">
        <f t="shared" si="57"/>
        <v>12 Roda</v>
      </c>
      <c r="K806" s="194">
        <v>46043</v>
      </c>
      <c r="L806" s="195">
        <v>45840</v>
      </c>
      <c r="M806" s="195">
        <v>17460</v>
      </c>
      <c r="N806" s="195">
        <v>28380</v>
      </c>
      <c r="O806" s="195">
        <v>28440</v>
      </c>
      <c r="P806" s="196">
        <v>0.49166666666666697</v>
      </c>
      <c r="Q806" s="196">
        <v>0.56458333333333299</v>
      </c>
      <c r="R806" s="193" t="s">
        <v>137</v>
      </c>
      <c r="S806" s="193" t="s">
        <v>1372</v>
      </c>
      <c r="T806" s="197">
        <f t="shared" si="55"/>
        <v>53</v>
      </c>
      <c r="U806" s="193" t="s">
        <v>1922</v>
      </c>
      <c r="V806" s="193" t="str">
        <f t="shared" si="56"/>
        <v>Masamba</v>
      </c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8"/>
      <c r="AL806" s="18"/>
    </row>
    <row r="807" spans="2:38" ht="15" customHeight="1" x14ac:dyDescent="0.2">
      <c r="B807" s="193">
        <v>1</v>
      </c>
      <c r="C807" s="347" t="s">
        <v>911</v>
      </c>
      <c r="D807" s="193" t="str">
        <f t="shared" si="54"/>
        <v>CPO000744PN</v>
      </c>
      <c r="E807" s="193" t="s">
        <v>56</v>
      </c>
      <c r="F807" s="193" t="s">
        <v>1358</v>
      </c>
      <c r="G807" s="193" t="s">
        <v>1357</v>
      </c>
      <c r="H807" s="193" t="s">
        <v>78</v>
      </c>
      <c r="I807" s="193" t="s">
        <v>41</v>
      </c>
      <c r="J807" s="193" t="str">
        <f t="shared" si="57"/>
        <v>10 Roda</v>
      </c>
      <c r="K807" s="194">
        <v>46084</v>
      </c>
      <c r="L807" s="195">
        <v>25030</v>
      </c>
      <c r="M807" s="195">
        <v>10740</v>
      </c>
      <c r="N807" s="195">
        <v>14290</v>
      </c>
      <c r="O807" s="195">
        <v>14250</v>
      </c>
      <c r="P807" s="196">
        <v>0.62708333333333299</v>
      </c>
      <c r="Q807" s="196">
        <v>0.71180555555555602</v>
      </c>
      <c r="R807" s="193" t="s">
        <v>42</v>
      </c>
      <c r="S807" s="193" t="s">
        <v>1781</v>
      </c>
      <c r="T807" s="197">
        <f t="shared" si="55"/>
        <v>99</v>
      </c>
      <c r="U807" s="193"/>
      <c r="V807" s="193" t="str">
        <f t="shared" si="56"/>
        <v>Burau</v>
      </c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8"/>
      <c r="AL807" s="18"/>
    </row>
    <row r="808" spans="2:38" ht="15" customHeight="1" x14ac:dyDescent="0.2">
      <c r="B808" s="193">
        <v>1</v>
      </c>
      <c r="C808" s="347" t="s">
        <v>912</v>
      </c>
      <c r="D808" s="193" t="str">
        <f t="shared" si="54"/>
        <v>CPO000745PN</v>
      </c>
      <c r="E808" s="193" t="s">
        <v>84</v>
      </c>
      <c r="F808" s="193" t="s">
        <v>1358</v>
      </c>
      <c r="G808" s="193" t="s">
        <v>1357</v>
      </c>
      <c r="H808" s="193" t="s">
        <v>78</v>
      </c>
      <c r="I808" s="193" t="s">
        <v>41</v>
      </c>
      <c r="J808" s="193" t="str">
        <f t="shared" si="57"/>
        <v>10 Roda</v>
      </c>
      <c r="K808" s="194">
        <v>46084</v>
      </c>
      <c r="L808" s="195">
        <v>26620</v>
      </c>
      <c r="M808" s="195">
        <v>12190</v>
      </c>
      <c r="N808" s="195">
        <v>14430</v>
      </c>
      <c r="O808" s="195">
        <v>14470</v>
      </c>
      <c r="P808" s="196">
        <v>0.62847222222222199</v>
      </c>
      <c r="Q808" s="196">
        <v>0.71388888888888902</v>
      </c>
      <c r="R808" s="193" t="s">
        <v>42</v>
      </c>
      <c r="S808" s="193" t="s">
        <v>1397</v>
      </c>
      <c r="T808" s="197">
        <f t="shared" si="55"/>
        <v>99</v>
      </c>
      <c r="U808" s="193"/>
      <c r="V808" s="193" t="str">
        <f t="shared" si="56"/>
        <v>Burau</v>
      </c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8"/>
      <c r="AL808" s="18"/>
    </row>
    <row r="809" spans="2:38" ht="15" customHeight="1" x14ac:dyDescent="0.2">
      <c r="B809" s="193">
        <v>1</v>
      </c>
      <c r="C809" s="347" t="s">
        <v>913</v>
      </c>
      <c r="D809" s="193" t="str">
        <f t="shared" si="54"/>
        <v>CPO000746PN</v>
      </c>
      <c r="E809" s="193" t="s">
        <v>56</v>
      </c>
      <c r="F809" s="193" t="s">
        <v>1358</v>
      </c>
      <c r="G809" s="193" t="s">
        <v>1357</v>
      </c>
      <c r="H809" s="193" t="s">
        <v>78</v>
      </c>
      <c r="I809" s="193" t="s">
        <v>41</v>
      </c>
      <c r="J809" s="193" t="str">
        <f t="shared" si="57"/>
        <v>10 Roda</v>
      </c>
      <c r="K809" s="194">
        <v>46085</v>
      </c>
      <c r="L809" s="195">
        <v>24980</v>
      </c>
      <c r="M809" s="195">
        <v>10680</v>
      </c>
      <c r="N809" s="195">
        <v>14300</v>
      </c>
      <c r="O809" s="195">
        <v>14290</v>
      </c>
      <c r="P809" s="196">
        <v>0.561805555555556</v>
      </c>
      <c r="Q809" s="196">
        <v>0.61944444444444502</v>
      </c>
      <c r="R809" s="193" t="s">
        <v>137</v>
      </c>
      <c r="S809" s="193" t="s">
        <v>1781</v>
      </c>
      <c r="T809" s="197">
        <f t="shared" si="55"/>
        <v>99</v>
      </c>
      <c r="U809" s="193"/>
      <c r="V809" s="193" t="str">
        <f t="shared" si="56"/>
        <v>Burau</v>
      </c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8"/>
      <c r="AL809" s="18"/>
    </row>
    <row r="810" spans="2:38" ht="15" customHeight="1" x14ac:dyDescent="0.2">
      <c r="B810" s="193">
        <v>1</v>
      </c>
      <c r="C810" s="347" t="s">
        <v>914</v>
      </c>
      <c r="D810" s="193" t="str">
        <f t="shared" si="54"/>
        <v>CPO000747PN</v>
      </c>
      <c r="E810" s="193" t="s">
        <v>46</v>
      </c>
      <c r="F810" s="193" t="s">
        <v>1358</v>
      </c>
      <c r="G810" s="193" t="s">
        <v>1357</v>
      </c>
      <c r="H810" s="193" t="s">
        <v>78</v>
      </c>
      <c r="I810" s="193" t="s">
        <v>41</v>
      </c>
      <c r="J810" s="193" t="str">
        <f t="shared" si="57"/>
        <v>10 Roda</v>
      </c>
      <c r="K810" s="194">
        <v>46085</v>
      </c>
      <c r="L810" s="195">
        <v>26490</v>
      </c>
      <c r="M810" s="195">
        <v>11920</v>
      </c>
      <c r="N810" s="195">
        <v>14570</v>
      </c>
      <c r="O810" s="195">
        <v>14570</v>
      </c>
      <c r="P810" s="196">
        <v>0.57430555555555596</v>
      </c>
      <c r="Q810" s="196">
        <v>0.64791666666666703</v>
      </c>
      <c r="R810" s="193" t="s">
        <v>137</v>
      </c>
      <c r="S810" s="193" t="s">
        <v>1393</v>
      </c>
      <c r="T810" s="197">
        <f t="shared" si="55"/>
        <v>99</v>
      </c>
      <c r="U810" s="193"/>
      <c r="V810" s="193" t="str">
        <f t="shared" si="56"/>
        <v>Burau</v>
      </c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8"/>
      <c r="AL810" s="18"/>
    </row>
    <row r="811" spans="2:38" ht="15" customHeight="1" x14ac:dyDescent="0.2">
      <c r="B811" s="193">
        <v>1</v>
      </c>
      <c r="C811" s="347" t="s">
        <v>664</v>
      </c>
      <c r="D811" s="193" t="str">
        <f t="shared" si="54"/>
        <v>CPO000515KMP</v>
      </c>
      <c r="E811" s="193" t="s">
        <v>76</v>
      </c>
      <c r="F811" s="193" t="s">
        <v>1454</v>
      </c>
      <c r="G811" s="193" t="s">
        <v>1352</v>
      </c>
      <c r="H811" s="193" t="s">
        <v>59</v>
      </c>
      <c r="I811" s="193" t="s">
        <v>41</v>
      </c>
      <c r="J811" s="193" t="str">
        <f t="shared" si="57"/>
        <v>12 Roda</v>
      </c>
      <c r="K811" s="194">
        <v>46043</v>
      </c>
      <c r="L811" s="195">
        <v>45800</v>
      </c>
      <c r="M811" s="195">
        <v>17420</v>
      </c>
      <c r="N811" s="195">
        <v>28380</v>
      </c>
      <c r="O811" s="195">
        <v>28440</v>
      </c>
      <c r="P811" s="196">
        <v>0.70416666666666705</v>
      </c>
      <c r="Q811" s="196">
        <v>0.79583333333333295</v>
      </c>
      <c r="R811" s="193" t="s">
        <v>42</v>
      </c>
      <c r="S811" s="193" t="s">
        <v>1372</v>
      </c>
      <c r="T811" s="197">
        <f t="shared" si="55"/>
        <v>53</v>
      </c>
      <c r="U811" s="193" t="s">
        <v>1922</v>
      </c>
      <c r="V811" s="193" t="str">
        <f t="shared" si="56"/>
        <v>Masamba</v>
      </c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8"/>
      <c r="AL811" s="18"/>
    </row>
    <row r="812" spans="2:38" ht="15" customHeight="1" x14ac:dyDescent="0.2">
      <c r="B812" s="193">
        <v>1</v>
      </c>
      <c r="C812" s="347" t="s">
        <v>694</v>
      </c>
      <c r="D812" s="193" t="str">
        <f t="shared" si="54"/>
        <v>CPO000540JAS</v>
      </c>
      <c r="E812" s="193" t="s">
        <v>70</v>
      </c>
      <c r="F812" s="193" t="s">
        <v>1441</v>
      </c>
      <c r="G812" s="193" t="s">
        <v>1354</v>
      </c>
      <c r="H812" s="193" t="s">
        <v>49</v>
      </c>
      <c r="I812" s="193" t="s">
        <v>41</v>
      </c>
      <c r="J812" s="193" t="str">
        <f t="shared" si="57"/>
        <v>12 Roda</v>
      </c>
      <c r="K812" s="194">
        <v>46050</v>
      </c>
      <c r="L812" s="195">
        <v>45750</v>
      </c>
      <c r="M812" s="195">
        <v>17370</v>
      </c>
      <c r="N812" s="195">
        <v>28380</v>
      </c>
      <c r="O812" s="195">
        <v>28360</v>
      </c>
      <c r="P812" s="196">
        <v>0.60208333333333297</v>
      </c>
      <c r="Q812" s="196">
        <v>0.65763888888888899</v>
      </c>
      <c r="R812" s="193" t="s">
        <v>42</v>
      </c>
      <c r="S812" s="193" t="s">
        <v>1499</v>
      </c>
      <c r="T812" s="197">
        <f t="shared" si="55"/>
        <v>68</v>
      </c>
      <c r="U812" s="193" t="s">
        <v>1922</v>
      </c>
      <c r="V812" s="193" t="str">
        <f t="shared" si="56"/>
        <v>Bone Bone</v>
      </c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8"/>
      <c r="AL812" s="18"/>
    </row>
    <row r="813" spans="2:38" ht="15" customHeight="1" x14ac:dyDescent="0.2">
      <c r="B813" s="193">
        <v>1</v>
      </c>
      <c r="C813" s="347" t="s">
        <v>917</v>
      </c>
      <c r="D813" s="193" t="str">
        <f t="shared" si="54"/>
        <v>CPO000750PN</v>
      </c>
      <c r="E813" s="193" t="s">
        <v>84</v>
      </c>
      <c r="F813" s="193" t="s">
        <v>1358</v>
      </c>
      <c r="G813" s="193" t="s">
        <v>1357</v>
      </c>
      <c r="H813" s="193" t="s">
        <v>78</v>
      </c>
      <c r="I813" s="193" t="s">
        <v>41</v>
      </c>
      <c r="J813" s="193" t="str">
        <f t="shared" si="57"/>
        <v>10 Roda</v>
      </c>
      <c r="K813" s="194">
        <v>46085</v>
      </c>
      <c r="L813" s="195">
        <v>26680</v>
      </c>
      <c r="M813" s="195">
        <v>12260</v>
      </c>
      <c r="N813" s="195">
        <v>14420</v>
      </c>
      <c r="O813" s="195">
        <v>14440</v>
      </c>
      <c r="P813" s="196">
        <v>0.57847222222222205</v>
      </c>
      <c r="Q813" s="196">
        <v>0.65277777777777801</v>
      </c>
      <c r="R813" s="193" t="s">
        <v>137</v>
      </c>
      <c r="S813" s="193" t="s">
        <v>1397</v>
      </c>
      <c r="T813" s="197">
        <f t="shared" si="55"/>
        <v>99</v>
      </c>
      <c r="U813" s="193"/>
      <c r="V813" s="193" t="str">
        <f t="shared" si="56"/>
        <v>Burau</v>
      </c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8"/>
      <c r="AL813" s="18"/>
    </row>
    <row r="814" spans="2:38" ht="15" customHeight="1" x14ac:dyDescent="0.2">
      <c r="B814" s="193">
        <v>1</v>
      </c>
      <c r="C814" s="347" t="s">
        <v>918</v>
      </c>
      <c r="D814" s="193" t="str">
        <f t="shared" si="54"/>
        <v>RBDPL000751BJL</v>
      </c>
      <c r="E814" s="193" t="s">
        <v>236</v>
      </c>
      <c r="F814" s="193" t="s">
        <v>1363</v>
      </c>
      <c r="G814" s="193" t="s">
        <v>1657</v>
      </c>
      <c r="H814" s="193" t="s">
        <v>86</v>
      </c>
      <c r="I814" s="193" t="s">
        <v>3</v>
      </c>
      <c r="J814" s="193" t="str">
        <f t="shared" si="57"/>
        <v>6 Roda</v>
      </c>
      <c r="K814" s="194">
        <v>46086</v>
      </c>
      <c r="L814" s="195">
        <v>13080</v>
      </c>
      <c r="M814" s="195">
        <v>4020</v>
      </c>
      <c r="N814" s="195">
        <v>9060</v>
      </c>
      <c r="O814" s="195"/>
      <c r="P814" s="196">
        <v>0.35347222222222202</v>
      </c>
      <c r="Q814" s="196">
        <v>0.37916666666666698</v>
      </c>
      <c r="R814" s="193" t="s">
        <v>137</v>
      </c>
      <c r="S814" s="193" t="s">
        <v>1466</v>
      </c>
      <c r="T814" s="197">
        <f t="shared" si="55"/>
        <v>562</v>
      </c>
      <c r="U814" s="193" t="s">
        <v>175</v>
      </c>
      <c r="V814" s="193" t="str">
        <f t="shared" si="56"/>
        <v>Palu</v>
      </c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8"/>
      <c r="AL814" s="18"/>
    </row>
    <row r="815" spans="2:38" ht="15" customHeight="1" x14ac:dyDescent="0.2">
      <c r="B815" s="193">
        <v>1</v>
      </c>
      <c r="C815" s="347" t="s">
        <v>919</v>
      </c>
      <c r="D815" s="193" t="str">
        <f t="shared" si="54"/>
        <v>CPO000752PN</v>
      </c>
      <c r="E815" s="193" t="s">
        <v>56</v>
      </c>
      <c r="F815" s="193" t="s">
        <v>1358</v>
      </c>
      <c r="G815" s="193" t="s">
        <v>1357</v>
      </c>
      <c r="H815" s="193" t="s">
        <v>78</v>
      </c>
      <c r="I815" s="193" t="s">
        <v>41</v>
      </c>
      <c r="J815" s="193" t="str">
        <f t="shared" si="57"/>
        <v>10 Roda</v>
      </c>
      <c r="K815" s="194">
        <v>46086</v>
      </c>
      <c r="L815" s="195">
        <v>25070</v>
      </c>
      <c r="M815" s="195">
        <v>10750</v>
      </c>
      <c r="N815" s="195">
        <v>14320</v>
      </c>
      <c r="O815" s="195">
        <v>14320</v>
      </c>
      <c r="P815" s="196">
        <v>0.53333333333333299</v>
      </c>
      <c r="Q815" s="196">
        <v>0.59236111111111101</v>
      </c>
      <c r="R815" s="193" t="s">
        <v>137</v>
      </c>
      <c r="S815" s="193" t="s">
        <v>1781</v>
      </c>
      <c r="T815" s="197">
        <f t="shared" si="55"/>
        <v>99</v>
      </c>
      <c r="U815" s="193"/>
      <c r="V815" s="193" t="str">
        <f t="shared" si="56"/>
        <v>Burau</v>
      </c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8"/>
      <c r="AL815" s="18"/>
    </row>
    <row r="816" spans="2:38" ht="15" customHeight="1" x14ac:dyDescent="0.2">
      <c r="B816" s="193">
        <v>1</v>
      </c>
      <c r="C816" s="347" t="s">
        <v>920</v>
      </c>
      <c r="D816" s="193" t="str">
        <f t="shared" si="54"/>
        <v>CPO000753PN</v>
      </c>
      <c r="E816" s="193" t="s">
        <v>46</v>
      </c>
      <c r="F816" s="193" t="s">
        <v>1358</v>
      </c>
      <c r="G816" s="193" t="s">
        <v>1357</v>
      </c>
      <c r="H816" s="193" t="s">
        <v>78</v>
      </c>
      <c r="I816" s="193" t="s">
        <v>41</v>
      </c>
      <c r="J816" s="193" t="str">
        <f t="shared" si="57"/>
        <v>10 Roda</v>
      </c>
      <c r="K816" s="194">
        <v>46086</v>
      </c>
      <c r="L816" s="195">
        <v>26640</v>
      </c>
      <c r="M816" s="195">
        <v>11870</v>
      </c>
      <c r="N816" s="195">
        <v>14770</v>
      </c>
      <c r="O816" s="195">
        <v>14770</v>
      </c>
      <c r="P816" s="196">
        <v>0.53472222222222199</v>
      </c>
      <c r="Q816" s="196">
        <v>0.60763888888888895</v>
      </c>
      <c r="R816" s="193" t="s">
        <v>137</v>
      </c>
      <c r="S816" s="193" t="s">
        <v>1393</v>
      </c>
      <c r="T816" s="197">
        <f t="shared" si="55"/>
        <v>99</v>
      </c>
      <c r="U816" s="193"/>
      <c r="V816" s="193" t="str">
        <f t="shared" si="56"/>
        <v>Burau</v>
      </c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8"/>
      <c r="AL816" s="18"/>
    </row>
    <row r="817" spans="2:38" ht="15" customHeight="1" x14ac:dyDescent="0.2">
      <c r="B817" s="193">
        <v>1</v>
      </c>
      <c r="C817" s="347" t="s">
        <v>921</v>
      </c>
      <c r="D817" s="193" t="str">
        <f t="shared" si="54"/>
        <v>CPO000754PN</v>
      </c>
      <c r="E817" s="193" t="s">
        <v>84</v>
      </c>
      <c r="F817" s="193" t="s">
        <v>1358</v>
      </c>
      <c r="G817" s="193" t="s">
        <v>1357</v>
      </c>
      <c r="H817" s="193" t="s">
        <v>78</v>
      </c>
      <c r="I817" s="193" t="s">
        <v>41</v>
      </c>
      <c r="J817" s="193" t="str">
        <f t="shared" si="57"/>
        <v>10 Roda</v>
      </c>
      <c r="K817" s="194">
        <v>46086</v>
      </c>
      <c r="L817" s="195">
        <v>26610</v>
      </c>
      <c r="M817" s="195">
        <v>12140</v>
      </c>
      <c r="N817" s="195">
        <v>14470</v>
      </c>
      <c r="O817" s="195">
        <v>14510</v>
      </c>
      <c r="P817" s="196">
        <v>0.58611111111111103</v>
      </c>
      <c r="Q817" s="196">
        <v>0.63124999999999998</v>
      </c>
      <c r="R817" s="193" t="s">
        <v>137</v>
      </c>
      <c r="S817" s="193" t="s">
        <v>1397</v>
      </c>
      <c r="T817" s="197">
        <f t="shared" si="55"/>
        <v>99</v>
      </c>
      <c r="U817" s="193"/>
      <c r="V817" s="193" t="str">
        <f t="shared" si="56"/>
        <v>Burau</v>
      </c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8"/>
      <c r="AL817" s="18"/>
    </row>
    <row r="818" spans="2:38" ht="15" customHeight="1" x14ac:dyDescent="0.2">
      <c r="B818" s="193">
        <v>1</v>
      </c>
      <c r="C818" s="347" t="s">
        <v>922</v>
      </c>
      <c r="D818" s="193" t="str">
        <f t="shared" si="54"/>
        <v>CPO000755PN</v>
      </c>
      <c r="E818" s="193" t="s">
        <v>76</v>
      </c>
      <c r="F818" s="193" t="s">
        <v>1358</v>
      </c>
      <c r="G818" s="193" t="s">
        <v>1357</v>
      </c>
      <c r="H818" s="193" t="s">
        <v>78</v>
      </c>
      <c r="I818" s="193" t="s">
        <v>41</v>
      </c>
      <c r="J818" s="193" t="str">
        <f t="shared" si="57"/>
        <v>12 Roda</v>
      </c>
      <c r="K818" s="194">
        <v>46086</v>
      </c>
      <c r="L818" s="195">
        <v>45800</v>
      </c>
      <c r="M818" s="195">
        <v>17490</v>
      </c>
      <c r="N818" s="195">
        <v>28310</v>
      </c>
      <c r="O818" s="195">
        <v>28370</v>
      </c>
      <c r="P818" s="196">
        <v>0.58680555555555602</v>
      </c>
      <c r="Q818" s="196">
        <v>0.63958333333333295</v>
      </c>
      <c r="R818" s="193" t="s">
        <v>137</v>
      </c>
      <c r="S818" s="193" t="s">
        <v>1372</v>
      </c>
      <c r="T818" s="197">
        <f t="shared" si="55"/>
        <v>99</v>
      </c>
      <c r="U818" s="193"/>
      <c r="V818" s="193" t="str">
        <f t="shared" si="56"/>
        <v>Burau</v>
      </c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8"/>
      <c r="AL818" s="18"/>
    </row>
    <row r="819" spans="2:38" ht="15" customHeight="1" x14ac:dyDescent="0.2">
      <c r="B819" s="193">
        <v>1</v>
      </c>
      <c r="C819" s="347" t="s">
        <v>923</v>
      </c>
      <c r="D819" s="193" t="str">
        <f t="shared" si="54"/>
        <v>CPO000756PN</v>
      </c>
      <c r="E819" s="193" t="s">
        <v>70</v>
      </c>
      <c r="F819" s="193" t="s">
        <v>1358</v>
      </c>
      <c r="G819" s="193" t="s">
        <v>1357</v>
      </c>
      <c r="H819" s="193" t="s">
        <v>78</v>
      </c>
      <c r="I819" s="193" t="s">
        <v>41</v>
      </c>
      <c r="J819" s="193" t="str">
        <f t="shared" si="57"/>
        <v>12 Roda</v>
      </c>
      <c r="K819" s="194">
        <v>46086</v>
      </c>
      <c r="L819" s="195">
        <v>45820</v>
      </c>
      <c r="M819" s="195">
        <v>17550</v>
      </c>
      <c r="N819" s="195">
        <v>28270</v>
      </c>
      <c r="O819" s="195">
        <v>28270</v>
      </c>
      <c r="P819" s="196">
        <v>0.61527777777777803</v>
      </c>
      <c r="Q819" s="196">
        <v>0.67430555555555605</v>
      </c>
      <c r="R819" s="193" t="s">
        <v>137</v>
      </c>
      <c r="S819" s="193" t="s">
        <v>1499</v>
      </c>
      <c r="T819" s="197">
        <f t="shared" si="55"/>
        <v>99</v>
      </c>
      <c r="U819" s="193"/>
      <c r="V819" s="193" t="str">
        <f t="shared" si="56"/>
        <v>Burau</v>
      </c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8"/>
      <c r="AL819" s="18"/>
    </row>
    <row r="820" spans="2:38" ht="15" customHeight="1" x14ac:dyDescent="0.2">
      <c r="B820" s="193">
        <v>1</v>
      </c>
      <c r="C820" s="347" t="s">
        <v>924</v>
      </c>
      <c r="D820" s="193" t="str">
        <f t="shared" si="54"/>
        <v>RBDPL000757BJL</v>
      </c>
      <c r="E820" s="193" t="s">
        <v>174</v>
      </c>
      <c r="F820" s="193" t="s">
        <v>1363</v>
      </c>
      <c r="G820" s="193" t="s">
        <v>1657</v>
      </c>
      <c r="H820" s="193" t="s">
        <v>86</v>
      </c>
      <c r="I820" s="193" t="s">
        <v>3</v>
      </c>
      <c r="J820" s="193" t="str">
        <f t="shared" si="57"/>
        <v>6 Roda</v>
      </c>
      <c r="K820" s="194">
        <v>46087</v>
      </c>
      <c r="L820" s="195">
        <v>13400</v>
      </c>
      <c r="M820" s="195">
        <v>4350</v>
      </c>
      <c r="N820" s="195">
        <v>9050</v>
      </c>
      <c r="O820" s="195"/>
      <c r="P820" s="196">
        <v>0.41319444444444398</v>
      </c>
      <c r="Q820" s="196">
        <v>0.44166666666666698</v>
      </c>
      <c r="R820" s="193" t="s">
        <v>137</v>
      </c>
      <c r="S820" s="193" t="s">
        <v>1465</v>
      </c>
      <c r="T820" s="197">
        <f t="shared" si="55"/>
        <v>562</v>
      </c>
      <c r="U820" s="193" t="s">
        <v>175</v>
      </c>
      <c r="V820" s="193" t="str">
        <f t="shared" si="56"/>
        <v>Palu</v>
      </c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8"/>
      <c r="AL820" s="18"/>
    </row>
    <row r="821" spans="2:38" ht="15" customHeight="1" x14ac:dyDescent="0.2">
      <c r="B821" s="193">
        <v>1</v>
      </c>
      <c r="C821" s="347" t="s">
        <v>925</v>
      </c>
      <c r="D821" s="193" t="str">
        <f t="shared" si="54"/>
        <v>RBDPL000758BJL</v>
      </c>
      <c r="E821" s="193" t="s">
        <v>839</v>
      </c>
      <c r="F821" s="193" t="s">
        <v>1363</v>
      </c>
      <c r="G821" s="193" t="s">
        <v>1657</v>
      </c>
      <c r="H821" s="193" t="s">
        <v>86</v>
      </c>
      <c r="I821" s="193" t="s">
        <v>3</v>
      </c>
      <c r="J821" s="193" t="str">
        <f t="shared" si="57"/>
        <v>6 Roda</v>
      </c>
      <c r="K821" s="194">
        <v>46087</v>
      </c>
      <c r="L821" s="195">
        <v>12990</v>
      </c>
      <c r="M821" s="195">
        <v>3800</v>
      </c>
      <c r="N821" s="195">
        <v>9190</v>
      </c>
      <c r="O821" s="195"/>
      <c r="P821" s="196">
        <v>0.42013888888888901</v>
      </c>
      <c r="Q821" s="196">
        <v>0.45763888888888898</v>
      </c>
      <c r="R821" s="193" t="s">
        <v>137</v>
      </c>
      <c r="S821" s="193" t="s">
        <v>1472</v>
      </c>
      <c r="T821" s="197">
        <f t="shared" si="55"/>
        <v>562</v>
      </c>
      <c r="U821" s="193" t="s">
        <v>175</v>
      </c>
      <c r="V821" s="193" t="str">
        <f t="shared" si="56"/>
        <v>Palu</v>
      </c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8"/>
      <c r="AL821" s="18"/>
    </row>
    <row r="822" spans="2:38" ht="15" customHeight="1" x14ac:dyDescent="0.2">
      <c r="B822" s="193">
        <v>1</v>
      </c>
      <c r="C822" s="347" t="s">
        <v>926</v>
      </c>
      <c r="D822" s="193" t="str">
        <f t="shared" si="54"/>
        <v>CPO000759PN</v>
      </c>
      <c r="E822" s="193" t="s">
        <v>56</v>
      </c>
      <c r="F822" s="193" t="s">
        <v>1358</v>
      </c>
      <c r="G822" s="193" t="s">
        <v>1357</v>
      </c>
      <c r="H822" s="193" t="s">
        <v>78</v>
      </c>
      <c r="I822" s="193" t="s">
        <v>41</v>
      </c>
      <c r="J822" s="193" t="str">
        <f t="shared" si="57"/>
        <v>10 Roda</v>
      </c>
      <c r="K822" s="194">
        <v>46087</v>
      </c>
      <c r="L822" s="195">
        <v>25020</v>
      </c>
      <c r="M822" s="195">
        <v>10700</v>
      </c>
      <c r="N822" s="195">
        <v>14320</v>
      </c>
      <c r="O822" s="195">
        <v>14320</v>
      </c>
      <c r="P822" s="196">
        <v>0.49375000000000002</v>
      </c>
      <c r="Q822" s="196">
        <v>0.61180555555555605</v>
      </c>
      <c r="R822" s="193" t="s">
        <v>137</v>
      </c>
      <c r="S822" s="193" t="s">
        <v>1781</v>
      </c>
      <c r="T822" s="197">
        <f t="shared" si="55"/>
        <v>99</v>
      </c>
      <c r="U822" s="193"/>
      <c r="V822" s="193" t="str">
        <f t="shared" si="56"/>
        <v>Burau</v>
      </c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8"/>
      <c r="AL822" s="18"/>
    </row>
    <row r="823" spans="2:38" ht="15" customHeight="1" x14ac:dyDescent="0.2">
      <c r="B823" s="193">
        <v>1</v>
      </c>
      <c r="C823" s="347" t="s">
        <v>927</v>
      </c>
      <c r="D823" s="193" t="str">
        <f t="shared" si="54"/>
        <v>CPO000760PN</v>
      </c>
      <c r="E823" s="193" t="s">
        <v>76</v>
      </c>
      <c r="F823" s="193" t="s">
        <v>1358</v>
      </c>
      <c r="G823" s="193" t="s">
        <v>1357</v>
      </c>
      <c r="H823" s="193" t="s">
        <v>78</v>
      </c>
      <c r="I823" s="193" t="s">
        <v>41</v>
      </c>
      <c r="J823" s="193" t="str">
        <f t="shared" si="57"/>
        <v>12 Roda</v>
      </c>
      <c r="K823" s="194">
        <v>46087</v>
      </c>
      <c r="L823" s="195">
        <v>45730</v>
      </c>
      <c r="M823" s="195">
        <v>17420</v>
      </c>
      <c r="N823" s="195">
        <v>28310</v>
      </c>
      <c r="O823" s="195">
        <v>28290</v>
      </c>
      <c r="P823" s="196">
        <v>0.54374999999999996</v>
      </c>
      <c r="Q823" s="196">
        <v>0.62291666666666701</v>
      </c>
      <c r="R823" s="193" t="s">
        <v>137</v>
      </c>
      <c r="S823" s="193" t="s">
        <v>1372</v>
      </c>
      <c r="T823" s="197">
        <f t="shared" si="55"/>
        <v>99</v>
      </c>
      <c r="U823" s="193"/>
      <c r="V823" s="193" t="str">
        <f t="shared" si="56"/>
        <v>Burau</v>
      </c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8"/>
      <c r="AL823" s="18"/>
    </row>
    <row r="824" spans="2:38" ht="15" customHeight="1" x14ac:dyDescent="0.2">
      <c r="B824" s="193">
        <v>1</v>
      </c>
      <c r="C824" s="347" t="s">
        <v>928</v>
      </c>
      <c r="D824" s="193" t="str">
        <f t="shared" si="54"/>
        <v>CPO000761PN</v>
      </c>
      <c r="E824" s="193" t="s">
        <v>84</v>
      </c>
      <c r="F824" s="193" t="s">
        <v>1358</v>
      </c>
      <c r="G824" s="193" t="s">
        <v>1357</v>
      </c>
      <c r="H824" s="193" t="s">
        <v>78</v>
      </c>
      <c r="I824" s="193" t="s">
        <v>41</v>
      </c>
      <c r="J824" s="193" t="str">
        <f t="shared" si="57"/>
        <v>10 Roda</v>
      </c>
      <c r="K824" s="194">
        <v>46087</v>
      </c>
      <c r="L824" s="195">
        <v>26760</v>
      </c>
      <c r="M824" s="195">
        <v>12250</v>
      </c>
      <c r="N824" s="195">
        <v>14510</v>
      </c>
      <c r="O824" s="195">
        <v>14530</v>
      </c>
      <c r="P824" s="196">
        <v>0.56666666666666698</v>
      </c>
      <c r="Q824" s="196">
        <v>0.61736111111111103</v>
      </c>
      <c r="R824" s="193" t="s">
        <v>137</v>
      </c>
      <c r="S824" s="193" t="s">
        <v>1397</v>
      </c>
      <c r="T824" s="197">
        <f t="shared" si="55"/>
        <v>99</v>
      </c>
      <c r="U824" s="193"/>
      <c r="V824" s="193" t="str">
        <f t="shared" si="56"/>
        <v>Burau</v>
      </c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8"/>
      <c r="AL824" s="18"/>
    </row>
    <row r="825" spans="2:38" ht="15" customHeight="1" x14ac:dyDescent="0.2">
      <c r="B825" s="193">
        <v>1</v>
      </c>
      <c r="C825" s="347" t="s">
        <v>929</v>
      </c>
      <c r="D825" s="193" t="str">
        <f t="shared" si="54"/>
        <v>CPO000762PN</v>
      </c>
      <c r="E825" s="193" t="s">
        <v>70</v>
      </c>
      <c r="F825" s="193" t="s">
        <v>1358</v>
      </c>
      <c r="G825" s="193" t="s">
        <v>1357</v>
      </c>
      <c r="H825" s="193" t="s">
        <v>78</v>
      </c>
      <c r="I825" s="193" t="s">
        <v>41</v>
      </c>
      <c r="J825" s="193" t="str">
        <f t="shared" si="57"/>
        <v>12 Roda</v>
      </c>
      <c r="K825" s="194">
        <v>46087</v>
      </c>
      <c r="L825" s="195">
        <v>45780</v>
      </c>
      <c r="M825" s="195">
        <v>17470</v>
      </c>
      <c r="N825" s="195">
        <v>28310</v>
      </c>
      <c r="O825" s="195">
        <v>28300</v>
      </c>
      <c r="P825" s="196">
        <v>0.57013888888888897</v>
      </c>
      <c r="Q825" s="196">
        <v>0.65833333333333299</v>
      </c>
      <c r="R825" s="193" t="s">
        <v>137</v>
      </c>
      <c r="S825" s="193" t="s">
        <v>1499</v>
      </c>
      <c r="T825" s="197">
        <f t="shared" si="55"/>
        <v>99</v>
      </c>
      <c r="U825" s="193"/>
      <c r="V825" s="193" t="str">
        <f t="shared" si="56"/>
        <v>Burau</v>
      </c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8"/>
      <c r="AL825" s="18"/>
    </row>
    <row r="826" spans="2:38" ht="15" customHeight="1" x14ac:dyDescent="0.2">
      <c r="B826" s="193">
        <v>1</v>
      </c>
      <c r="C826" s="347" t="s">
        <v>930</v>
      </c>
      <c r="D826" s="193" t="str">
        <f t="shared" si="54"/>
        <v>RBDPL000763HSA</v>
      </c>
      <c r="E826" s="193" t="s">
        <v>931</v>
      </c>
      <c r="F826" s="193" t="s">
        <v>1456</v>
      </c>
      <c r="G826" s="193" t="s">
        <v>1645</v>
      </c>
      <c r="H826" s="193" t="s">
        <v>103</v>
      </c>
      <c r="I826" s="193" t="s">
        <v>3</v>
      </c>
      <c r="J826" s="193" t="str">
        <f t="shared" si="57"/>
        <v>6 Roda</v>
      </c>
      <c r="K826" s="194">
        <v>46087</v>
      </c>
      <c r="L826" s="195">
        <v>13760</v>
      </c>
      <c r="M826" s="195">
        <v>4140</v>
      </c>
      <c r="N826" s="195">
        <v>9620</v>
      </c>
      <c r="O826" s="195"/>
      <c r="P826" s="196">
        <v>0.62222222222222201</v>
      </c>
      <c r="Q826" s="196">
        <v>0.65277777777777801</v>
      </c>
      <c r="R826" s="193" t="s">
        <v>137</v>
      </c>
      <c r="S826" s="193" t="s">
        <v>1377</v>
      </c>
      <c r="T826" s="197">
        <f t="shared" si="55"/>
        <v>360</v>
      </c>
      <c r="U826" s="193" t="s">
        <v>932</v>
      </c>
      <c r="V826" s="193" t="str">
        <f t="shared" si="56"/>
        <v>Makassar</v>
      </c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8"/>
      <c r="AL826" s="18"/>
    </row>
    <row r="827" spans="2:38" ht="15" customHeight="1" x14ac:dyDescent="0.2">
      <c r="B827" s="193">
        <v>1</v>
      </c>
      <c r="C827" s="347" t="s">
        <v>933</v>
      </c>
      <c r="D827" s="193" t="str">
        <f t="shared" si="54"/>
        <v>RBDPL000765HSA</v>
      </c>
      <c r="E827" s="193" t="s">
        <v>934</v>
      </c>
      <c r="F827" s="193" t="s">
        <v>1456</v>
      </c>
      <c r="G827" s="193" t="s">
        <v>1645</v>
      </c>
      <c r="H827" s="193" t="s">
        <v>103</v>
      </c>
      <c r="I827" s="193" t="s">
        <v>3</v>
      </c>
      <c r="J827" s="193" t="str">
        <f t="shared" si="57"/>
        <v>6 Roda</v>
      </c>
      <c r="K827" s="194">
        <v>46087</v>
      </c>
      <c r="L827" s="195">
        <v>13150</v>
      </c>
      <c r="M827" s="195">
        <v>3830</v>
      </c>
      <c r="N827" s="195">
        <v>9320</v>
      </c>
      <c r="O827" s="195"/>
      <c r="P827" s="196">
        <v>0.62708333333333299</v>
      </c>
      <c r="Q827" s="196">
        <v>0.68263888888888902</v>
      </c>
      <c r="R827" s="193" t="s">
        <v>137</v>
      </c>
      <c r="S827" s="193" t="s">
        <v>1382</v>
      </c>
      <c r="T827" s="197">
        <f t="shared" si="55"/>
        <v>360</v>
      </c>
      <c r="U827" s="193" t="s">
        <v>932</v>
      </c>
      <c r="V827" s="193" t="str">
        <f t="shared" si="56"/>
        <v>Makassar</v>
      </c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8"/>
      <c r="AL827" s="18"/>
    </row>
    <row r="828" spans="2:38" ht="15" customHeight="1" x14ac:dyDescent="0.2">
      <c r="B828" s="193">
        <v>1</v>
      </c>
      <c r="C828" s="347" t="s">
        <v>935</v>
      </c>
      <c r="D828" s="193" t="str">
        <f t="shared" si="54"/>
        <v>RBDPL000766HSA</v>
      </c>
      <c r="E828" s="193" t="s">
        <v>936</v>
      </c>
      <c r="F828" s="193" t="s">
        <v>1456</v>
      </c>
      <c r="G828" s="193" t="s">
        <v>1645</v>
      </c>
      <c r="H828" s="193" t="s">
        <v>103</v>
      </c>
      <c r="I828" s="193" t="s">
        <v>3</v>
      </c>
      <c r="J828" s="193" t="str">
        <f t="shared" si="57"/>
        <v>6 Roda</v>
      </c>
      <c r="K828" s="194">
        <v>46087</v>
      </c>
      <c r="L828" s="195">
        <v>14300</v>
      </c>
      <c r="M828" s="195">
        <v>4140</v>
      </c>
      <c r="N828" s="195">
        <v>10160</v>
      </c>
      <c r="O828" s="195"/>
      <c r="P828" s="196">
        <v>0.62847222222222199</v>
      </c>
      <c r="Q828" s="196">
        <v>0.7</v>
      </c>
      <c r="R828" s="193" t="s">
        <v>137</v>
      </c>
      <c r="S828" s="193" t="s">
        <v>1385</v>
      </c>
      <c r="T828" s="197">
        <f t="shared" si="55"/>
        <v>360</v>
      </c>
      <c r="U828" s="193" t="s">
        <v>932</v>
      </c>
      <c r="V828" s="193" t="str">
        <f t="shared" si="56"/>
        <v>Makassar</v>
      </c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8"/>
      <c r="AL828" s="18"/>
    </row>
    <row r="829" spans="2:38" ht="15" customHeight="1" x14ac:dyDescent="0.2">
      <c r="B829" s="193">
        <v>1</v>
      </c>
      <c r="C829" s="347" t="s">
        <v>937</v>
      </c>
      <c r="D829" s="193" t="str">
        <f t="shared" si="54"/>
        <v>RBDPL000767HSA</v>
      </c>
      <c r="E829" s="193" t="s">
        <v>938</v>
      </c>
      <c r="F829" s="193" t="s">
        <v>1456</v>
      </c>
      <c r="G829" s="193" t="s">
        <v>1645</v>
      </c>
      <c r="H829" s="193" t="s">
        <v>103</v>
      </c>
      <c r="I829" s="193" t="s">
        <v>3</v>
      </c>
      <c r="J829" s="193" t="str">
        <f t="shared" si="57"/>
        <v>6 Roda</v>
      </c>
      <c r="K829" s="194">
        <v>46087</v>
      </c>
      <c r="L829" s="195">
        <v>13390</v>
      </c>
      <c r="M829" s="195">
        <v>3890</v>
      </c>
      <c r="N829" s="195">
        <v>9500</v>
      </c>
      <c r="O829" s="195"/>
      <c r="P829" s="196">
        <v>0.63124999999999998</v>
      </c>
      <c r="Q829" s="196">
        <v>0.66041666666666698</v>
      </c>
      <c r="R829" s="193" t="s">
        <v>137</v>
      </c>
      <c r="S829" s="193" t="s">
        <v>1384</v>
      </c>
      <c r="T829" s="197">
        <f t="shared" si="55"/>
        <v>360</v>
      </c>
      <c r="U829" s="193" t="s">
        <v>932</v>
      </c>
      <c r="V829" s="193" t="str">
        <f t="shared" si="56"/>
        <v>Makassar</v>
      </c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8"/>
      <c r="AL829" s="18"/>
    </row>
    <row r="830" spans="2:38" ht="15" customHeight="1" x14ac:dyDescent="0.2">
      <c r="B830" s="193">
        <v>1</v>
      </c>
      <c r="C830" s="347" t="s">
        <v>939</v>
      </c>
      <c r="D830" s="193" t="str">
        <f t="shared" si="54"/>
        <v>RBDPL000768HSA</v>
      </c>
      <c r="E830" s="193" t="s">
        <v>940</v>
      </c>
      <c r="F830" s="193" t="s">
        <v>1456</v>
      </c>
      <c r="G830" s="193" t="s">
        <v>1645</v>
      </c>
      <c r="H830" s="193" t="s">
        <v>103</v>
      </c>
      <c r="I830" s="193" t="s">
        <v>3</v>
      </c>
      <c r="J830" s="193" t="str">
        <f t="shared" si="57"/>
        <v>6 Roda</v>
      </c>
      <c r="K830" s="194">
        <v>46087</v>
      </c>
      <c r="L830" s="195">
        <v>13490</v>
      </c>
      <c r="M830" s="195">
        <v>3940</v>
      </c>
      <c r="N830" s="195">
        <v>9550</v>
      </c>
      <c r="O830" s="195"/>
      <c r="P830" s="196">
        <v>0.64305555555555605</v>
      </c>
      <c r="Q830" s="196">
        <v>0.67986111111111103</v>
      </c>
      <c r="R830" s="193" t="s">
        <v>137</v>
      </c>
      <c r="S830" s="193" t="s">
        <v>1383</v>
      </c>
      <c r="T830" s="197">
        <f t="shared" si="55"/>
        <v>360</v>
      </c>
      <c r="U830" s="193" t="s">
        <v>932</v>
      </c>
      <c r="V830" s="193" t="str">
        <f t="shared" si="56"/>
        <v>Makassar</v>
      </c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8"/>
      <c r="AL830" s="18"/>
    </row>
    <row r="831" spans="2:38" ht="15" customHeight="1" x14ac:dyDescent="0.2">
      <c r="B831" s="193">
        <v>1</v>
      </c>
      <c r="C831" s="347" t="s">
        <v>941</v>
      </c>
      <c r="D831" s="193" t="str">
        <f t="shared" si="54"/>
        <v>CPO000769PN</v>
      </c>
      <c r="E831" s="193" t="s">
        <v>46</v>
      </c>
      <c r="F831" s="193" t="s">
        <v>1358</v>
      </c>
      <c r="G831" s="193" t="s">
        <v>1357</v>
      </c>
      <c r="H831" s="193" t="s">
        <v>78</v>
      </c>
      <c r="I831" s="193" t="s">
        <v>41</v>
      </c>
      <c r="J831" s="193" t="str">
        <f t="shared" si="57"/>
        <v>10 Roda</v>
      </c>
      <c r="K831" s="194">
        <v>46087</v>
      </c>
      <c r="L831" s="195">
        <v>12970</v>
      </c>
      <c r="M831" s="195">
        <v>11890</v>
      </c>
      <c r="N831" s="195">
        <v>1080</v>
      </c>
      <c r="O831" s="195">
        <v>700</v>
      </c>
      <c r="P831" s="196">
        <v>0.68611111111111101</v>
      </c>
      <c r="Q831" s="196">
        <v>0.70833333333333304</v>
      </c>
      <c r="R831" s="193" t="s">
        <v>137</v>
      </c>
      <c r="S831" s="193" t="s">
        <v>1393</v>
      </c>
      <c r="T831" s="197">
        <f t="shared" si="55"/>
        <v>99</v>
      </c>
      <c r="U831" s="193"/>
      <c r="V831" s="193" t="str">
        <f t="shared" si="56"/>
        <v>Burau</v>
      </c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8"/>
      <c r="AL831" s="18"/>
    </row>
    <row r="832" spans="2:38" ht="15" customHeight="1" x14ac:dyDescent="0.2">
      <c r="B832" s="193">
        <v>1</v>
      </c>
      <c r="C832" s="347" t="s">
        <v>942</v>
      </c>
      <c r="D832" s="193" t="str">
        <f t="shared" si="54"/>
        <v>RBDPL000770BJL</v>
      </c>
      <c r="E832" s="193" t="s">
        <v>211</v>
      </c>
      <c r="F832" s="193" t="s">
        <v>1363</v>
      </c>
      <c r="G832" s="193" t="s">
        <v>1657</v>
      </c>
      <c r="H832" s="193" t="s">
        <v>86</v>
      </c>
      <c r="I832" s="193" t="s">
        <v>3</v>
      </c>
      <c r="J832" s="193" t="str">
        <f t="shared" si="57"/>
        <v>6 Roda</v>
      </c>
      <c r="K832" s="194">
        <v>46088</v>
      </c>
      <c r="L832" s="195">
        <v>13000</v>
      </c>
      <c r="M832" s="195">
        <v>3960</v>
      </c>
      <c r="N832" s="195">
        <v>9040</v>
      </c>
      <c r="O832" s="195"/>
      <c r="P832" s="196">
        <v>0.85624999999999996</v>
      </c>
      <c r="Q832" s="196">
        <v>0.93055555555555602</v>
      </c>
      <c r="R832" s="193" t="s">
        <v>42</v>
      </c>
      <c r="S832" s="193" t="s">
        <v>1473</v>
      </c>
      <c r="T832" s="197">
        <f t="shared" si="55"/>
        <v>562</v>
      </c>
      <c r="U832" s="193" t="s">
        <v>175</v>
      </c>
      <c r="V832" s="193" t="str">
        <f t="shared" si="56"/>
        <v>Palu</v>
      </c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8"/>
      <c r="AL832" s="18"/>
    </row>
    <row r="833" spans="2:38" ht="15" customHeight="1" x14ac:dyDescent="0.2">
      <c r="B833" s="193">
        <v>1</v>
      </c>
      <c r="C833" s="347" t="s">
        <v>943</v>
      </c>
      <c r="D833" s="193" t="str">
        <f t="shared" si="54"/>
        <v>RBDPL000772BJL</v>
      </c>
      <c r="E833" s="193" t="s">
        <v>236</v>
      </c>
      <c r="F833" s="193" t="s">
        <v>1363</v>
      </c>
      <c r="G833" s="193" t="s">
        <v>1657</v>
      </c>
      <c r="H833" s="193" t="s">
        <v>86</v>
      </c>
      <c r="I833" s="193" t="s">
        <v>3</v>
      </c>
      <c r="J833" s="193" t="str">
        <f t="shared" si="57"/>
        <v>6 Roda</v>
      </c>
      <c r="K833" s="194">
        <v>46090</v>
      </c>
      <c r="L833" s="195">
        <v>13100</v>
      </c>
      <c r="M833" s="195">
        <v>4020</v>
      </c>
      <c r="N833" s="195">
        <v>9080</v>
      </c>
      <c r="O833" s="195"/>
      <c r="P833" s="196">
        <v>0.36319444444444399</v>
      </c>
      <c r="Q833" s="196">
        <v>0.46111111111111103</v>
      </c>
      <c r="R833" s="193" t="s">
        <v>42</v>
      </c>
      <c r="S833" s="193" t="s">
        <v>1466</v>
      </c>
      <c r="T833" s="197">
        <f t="shared" si="55"/>
        <v>562</v>
      </c>
      <c r="U833" s="193" t="s">
        <v>175</v>
      </c>
      <c r="V833" s="193" t="str">
        <f t="shared" si="56"/>
        <v>Palu</v>
      </c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8"/>
      <c r="AL833" s="18"/>
    </row>
    <row r="834" spans="2:38" ht="15" customHeight="1" x14ac:dyDescent="0.2">
      <c r="B834" s="193">
        <v>1</v>
      </c>
      <c r="C834" s="347" t="s">
        <v>944</v>
      </c>
      <c r="D834" s="193" t="str">
        <f t="shared" si="54"/>
        <v>RBDPL000774HSA</v>
      </c>
      <c r="E834" s="193" t="s">
        <v>940</v>
      </c>
      <c r="F834" s="193" t="s">
        <v>1365</v>
      </c>
      <c r="G834" s="193" t="s">
        <v>1646</v>
      </c>
      <c r="H834" s="193" t="s">
        <v>103</v>
      </c>
      <c r="I834" s="193" t="s">
        <v>3</v>
      </c>
      <c r="J834" s="193" t="str">
        <f t="shared" si="57"/>
        <v>6 Roda</v>
      </c>
      <c r="K834" s="194">
        <v>46090</v>
      </c>
      <c r="L834" s="195">
        <v>13640</v>
      </c>
      <c r="M834" s="195">
        <v>4080</v>
      </c>
      <c r="N834" s="195">
        <v>9560</v>
      </c>
      <c r="O834" s="195"/>
      <c r="P834" s="196">
        <v>0.67986111111111103</v>
      </c>
      <c r="Q834" s="196">
        <v>0.69930555555555596</v>
      </c>
      <c r="R834" s="193" t="s">
        <v>137</v>
      </c>
      <c r="S834" s="193" t="s">
        <v>1383</v>
      </c>
      <c r="T834" s="197">
        <f t="shared" si="55"/>
        <v>360</v>
      </c>
      <c r="U834" s="193" t="s">
        <v>932</v>
      </c>
      <c r="V834" s="193" t="str">
        <f t="shared" si="56"/>
        <v>Makassar</v>
      </c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8"/>
      <c r="AL834" s="18"/>
    </row>
    <row r="835" spans="2:38" ht="15" customHeight="1" x14ac:dyDescent="0.2">
      <c r="B835" s="193">
        <v>1</v>
      </c>
      <c r="C835" s="347" t="s">
        <v>945</v>
      </c>
      <c r="D835" s="193" t="str">
        <f t="shared" si="54"/>
        <v>RBDPL000775HSA</v>
      </c>
      <c r="E835" s="193" t="s">
        <v>934</v>
      </c>
      <c r="F835" s="193" t="s">
        <v>1365</v>
      </c>
      <c r="G835" s="193" t="s">
        <v>1646</v>
      </c>
      <c r="H835" s="193" t="s">
        <v>103</v>
      </c>
      <c r="I835" s="193" t="s">
        <v>3</v>
      </c>
      <c r="J835" s="193" t="str">
        <f t="shared" si="57"/>
        <v>6 Roda</v>
      </c>
      <c r="K835" s="194">
        <v>46090</v>
      </c>
      <c r="L835" s="195">
        <v>13230</v>
      </c>
      <c r="M835" s="195">
        <v>3910</v>
      </c>
      <c r="N835" s="195">
        <v>9320</v>
      </c>
      <c r="O835" s="195"/>
      <c r="P835" s="196">
        <v>0.68125000000000002</v>
      </c>
      <c r="Q835" s="196">
        <v>0.70277777777777795</v>
      </c>
      <c r="R835" s="193" t="s">
        <v>137</v>
      </c>
      <c r="S835" s="193" t="s">
        <v>1382</v>
      </c>
      <c r="T835" s="197">
        <f t="shared" si="55"/>
        <v>360</v>
      </c>
      <c r="U835" s="193" t="s">
        <v>932</v>
      </c>
      <c r="V835" s="193" t="str">
        <f t="shared" si="56"/>
        <v>Makassar</v>
      </c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8"/>
      <c r="AL835" s="18"/>
    </row>
    <row r="836" spans="2:38" ht="15" customHeight="1" x14ac:dyDescent="0.2">
      <c r="B836" s="193">
        <v>1</v>
      </c>
      <c r="C836" s="347" t="s">
        <v>946</v>
      </c>
      <c r="D836" s="193" t="str">
        <f t="shared" si="54"/>
        <v>RBDPL000776HSA</v>
      </c>
      <c r="E836" s="193" t="s">
        <v>936</v>
      </c>
      <c r="F836" s="193" t="s">
        <v>1365</v>
      </c>
      <c r="G836" s="193" t="s">
        <v>1646</v>
      </c>
      <c r="H836" s="193" t="s">
        <v>103</v>
      </c>
      <c r="I836" s="193" t="s">
        <v>3</v>
      </c>
      <c r="J836" s="193" t="str">
        <f t="shared" si="57"/>
        <v>6 Roda</v>
      </c>
      <c r="K836" s="194">
        <v>46090</v>
      </c>
      <c r="L836" s="195">
        <v>14350</v>
      </c>
      <c r="M836" s="195">
        <v>4190</v>
      </c>
      <c r="N836" s="195">
        <v>10160</v>
      </c>
      <c r="O836" s="195"/>
      <c r="P836" s="196">
        <v>0.68194444444444502</v>
      </c>
      <c r="Q836" s="196">
        <v>0.71319444444444502</v>
      </c>
      <c r="R836" s="193" t="s">
        <v>137</v>
      </c>
      <c r="S836" s="193" t="s">
        <v>1385</v>
      </c>
      <c r="T836" s="197">
        <f t="shared" si="55"/>
        <v>360</v>
      </c>
      <c r="U836" s="193" t="s">
        <v>932</v>
      </c>
      <c r="V836" s="193" t="str">
        <f t="shared" si="56"/>
        <v>Makassar</v>
      </c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8"/>
      <c r="AL836" s="18"/>
    </row>
    <row r="837" spans="2:38" ht="15" customHeight="1" x14ac:dyDescent="0.2">
      <c r="B837" s="193">
        <v>1</v>
      </c>
      <c r="C837" s="347" t="s">
        <v>947</v>
      </c>
      <c r="D837" s="193" t="str">
        <f t="shared" si="54"/>
        <v>RBDPL000777HSA</v>
      </c>
      <c r="E837" s="193" t="s">
        <v>938</v>
      </c>
      <c r="F837" s="193" t="s">
        <v>1365</v>
      </c>
      <c r="G837" s="193" t="s">
        <v>1646</v>
      </c>
      <c r="H837" s="193" t="s">
        <v>103</v>
      </c>
      <c r="I837" s="193" t="s">
        <v>3</v>
      </c>
      <c r="J837" s="193" t="str">
        <f t="shared" si="57"/>
        <v>6 Roda</v>
      </c>
      <c r="K837" s="194">
        <v>46090</v>
      </c>
      <c r="L837" s="195">
        <v>13470</v>
      </c>
      <c r="M837" s="195">
        <v>3970</v>
      </c>
      <c r="N837" s="195">
        <v>9500</v>
      </c>
      <c r="O837" s="195"/>
      <c r="P837" s="196">
        <v>0.68333333333333302</v>
      </c>
      <c r="Q837" s="196">
        <v>0.719444444444444</v>
      </c>
      <c r="R837" s="193" t="s">
        <v>137</v>
      </c>
      <c r="S837" s="193" t="s">
        <v>1384</v>
      </c>
      <c r="T837" s="197">
        <f t="shared" si="55"/>
        <v>360</v>
      </c>
      <c r="U837" s="193" t="s">
        <v>932</v>
      </c>
      <c r="V837" s="193" t="str">
        <f t="shared" si="56"/>
        <v>Makassar</v>
      </c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8"/>
      <c r="AL837" s="18"/>
    </row>
    <row r="838" spans="2:38" ht="15" customHeight="1" x14ac:dyDescent="0.2">
      <c r="B838" s="193">
        <v>1</v>
      </c>
      <c r="C838" s="347" t="s">
        <v>948</v>
      </c>
      <c r="D838" s="193" t="str">
        <f t="shared" si="54"/>
        <v>RBDPL000778HSA</v>
      </c>
      <c r="E838" s="193" t="s">
        <v>931</v>
      </c>
      <c r="F838" s="193" t="s">
        <v>1365</v>
      </c>
      <c r="G838" s="193" t="s">
        <v>1646</v>
      </c>
      <c r="H838" s="193" t="s">
        <v>103</v>
      </c>
      <c r="I838" s="193" t="s">
        <v>3</v>
      </c>
      <c r="J838" s="193" t="str">
        <f t="shared" si="57"/>
        <v>6 Roda</v>
      </c>
      <c r="K838" s="194">
        <v>46090</v>
      </c>
      <c r="L838" s="195">
        <v>13800</v>
      </c>
      <c r="M838" s="195">
        <v>4180</v>
      </c>
      <c r="N838" s="195">
        <v>9620</v>
      </c>
      <c r="O838" s="195"/>
      <c r="P838" s="196">
        <v>0.68402777777777801</v>
      </c>
      <c r="Q838" s="196">
        <v>0.72708333333333297</v>
      </c>
      <c r="R838" s="193" t="s">
        <v>137</v>
      </c>
      <c r="S838" s="193" t="s">
        <v>1377</v>
      </c>
      <c r="T838" s="197">
        <f t="shared" si="55"/>
        <v>360</v>
      </c>
      <c r="U838" s="193" t="s">
        <v>932</v>
      </c>
      <c r="V838" s="193" t="str">
        <f t="shared" si="56"/>
        <v>Makassar</v>
      </c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8"/>
      <c r="AL838" s="18"/>
    </row>
    <row r="839" spans="2:38" ht="15" customHeight="1" x14ac:dyDescent="0.2">
      <c r="B839" s="193">
        <v>1</v>
      </c>
      <c r="C839" s="347" t="s">
        <v>949</v>
      </c>
      <c r="D839" s="193" t="str">
        <f t="shared" si="54"/>
        <v>RBDPL000779BJL</v>
      </c>
      <c r="E839" s="193" t="s">
        <v>950</v>
      </c>
      <c r="F839" s="193" t="s">
        <v>1363</v>
      </c>
      <c r="G839" s="193" t="s">
        <v>1657</v>
      </c>
      <c r="H839" s="193" t="s">
        <v>86</v>
      </c>
      <c r="I839" s="193" t="s">
        <v>3</v>
      </c>
      <c r="J839" s="193" t="str">
        <f t="shared" si="57"/>
        <v>6 Roda</v>
      </c>
      <c r="K839" s="194">
        <v>46090</v>
      </c>
      <c r="L839" s="195">
        <v>12970</v>
      </c>
      <c r="M839" s="195">
        <v>3800</v>
      </c>
      <c r="N839" s="195">
        <v>9170</v>
      </c>
      <c r="O839" s="195"/>
      <c r="P839" s="196">
        <v>0.79305555555555596</v>
      </c>
      <c r="Q839" s="196">
        <v>0.80833333333333302</v>
      </c>
      <c r="R839" s="193" t="s">
        <v>137</v>
      </c>
      <c r="S839" s="193" t="s">
        <v>1472</v>
      </c>
      <c r="T839" s="197">
        <f t="shared" si="55"/>
        <v>562</v>
      </c>
      <c r="U839" s="193" t="s">
        <v>175</v>
      </c>
      <c r="V839" s="193" t="str">
        <f t="shared" si="56"/>
        <v>Palu</v>
      </c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8"/>
      <c r="AL839" s="18"/>
    </row>
    <row r="840" spans="2:38" ht="15" customHeight="1" x14ac:dyDescent="0.2">
      <c r="B840" s="193">
        <v>1</v>
      </c>
      <c r="C840" s="347" t="s">
        <v>951</v>
      </c>
      <c r="D840" s="193" t="str">
        <f t="shared" si="54"/>
        <v>RBDPL000780BJL</v>
      </c>
      <c r="E840" s="193" t="s">
        <v>174</v>
      </c>
      <c r="F840" s="193" t="s">
        <v>1363</v>
      </c>
      <c r="G840" s="193" t="s">
        <v>1657</v>
      </c>
      <c r="H840" s="193" t="s">
        <v>86</v>
      </c>
      <c r="I840" s="193" t="s">
        <v>3</v>
      </c>
      <c r="J840" s="193" t="str">
        <f t="shared" si="57"/>
        <v>6 Roda</v>
      </c>
      <c r="K840" s="194">
        <v>46090</v>
      </c>
      <c r="L840" s="195">
        <v>13520</v>
      </c>
      <c r="M840" s="195">
        <v>4360</v>
      </c>
      <c r="N840" s="195">
        <v>9160</v>
      </c>
      <c r="O840" s="195"/>
      <c r="P840" s="196">
        <v>0.79444444444444395</v>
      </c>
      <c r="Q840" s="196">
        <v>0.81874999999999998</v>
      </c>
      <c r="R840" s="193" t="s">
        <v>137</v>
      </c>
      <c r="S840" s="193" t="s">
        <v>1465</v>
      </c>
      <c r="T840" s="197">
        <f t="shared" si="55"/>
        <v>562</v>
      </c>
      <c r="U840" s="193" t="s">
        <v>175</v>
      </c>
      <c r="V840" s="193" t="str">
        <f t="shared" si="56"/>
        <v>Palu</v>
      </c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8"/>
      <c r="AL840" s="18"/>
    </row>
    <row r="841" spans="2:38" ht="15" customHeight="1" x14ac:dyDescent="0.2">
      <c r="B841" s="193">
        <v>1</v>
      </c>
      <c r="C841" s="347" t="s">
        <v>953</v>
      </c>
      <c r="D841" s="193" t="str">
        <f t="shared" si="54"/>
        <v>RBDPL000781BJL</v>
      </c>
      <c r="E841" s="193" t="s">
        <v>954</v>
      </c>
      <c r="F841" s="193" t="s">
        <v>1363</v>
      </c>
      <c r="G841" s="193" t="s">
        <v>1657</v>
      </c>
      <c r="H841" s="193" t="s">
        <v>86</v>
      </c>
      <c r="I841" s="193" t="s">
        <v>3</v>
      </c>
      <c r="J841" s="193" t="str">
        <f t="shared" si="57"/>
        <v>6 Roda</v>
      </c>
      <c r="K841" s="194">
        <v>46090</v>
      </c>
      <c r="L841" s="195">
        <v>13550</v>
      </c>
      <c r="M841" s="195">
        <v>4540</v>
      </c>
      <c r="N841" s="195">
        <v>9010</v>
      </c>
      <c r="O841" s="195"/>
      <c r="P841" s="196">
        <v>0.95555555555555605</v>
      </c>
      <c r="Q841" s="196">
        <v>0.97499999999999998</v>
      </c>
      <c r="R841" s="193" t="s">
        <v>137</v>
      </c>
      <c r="S841" s="193" t="s">
        <v>1465</v>
      </c>
      <c r="T841" s="197">
        <f t="shared" si="55"/>
        <v>562</v>
      </c>
      <c r="U841" s="193" t="s">
        <v>175</v>
      </c>
      <c r="V841" s="193" t="str">
        <f t="shared" si="56"/>
        <v>Palu</v>
      </c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8"/>
      <c r="AL841" s="18"/>
    </row>
    <row r="842" spans="2:38" ht="15" customHeight="1" x14ac:dyDescent="0.2">
      <c r="B842" s="193">
        <v>1</v>
      </c>
      <c r="C842" s="347" t="s">
        <v>955</v>
      </c>
      <c r="D842" s="193" t="str">
        <f t="shared" si="54"/>
        <v>RBDPL000782SCM</v>
      </c>
      <c r="E842" s="193" t="s">
        <v>76</v>
      </c>
      <c r="F842" s="193" t="s">
        <v>1366</v>
      </c>
      <c r="G842" s="193" t="s">
        <v>1651</v>
      </c>
      <c r="H842" s="193" t="s">
        <v>107</v>
      </c>
      <c r="I842" s="193" t="s">
        <v>3</v>
      </c>
      <c r="J842" s="193" t="str">
        <f t="shared" si="57"/>
        <v>12 Roda</v>
      </c>
      <c r="K842" s="194">
        <v>46092</v>
      </c>
      <c r="L842" s="195">
        <v>17510</v>
      </c>
      <c r="M842" s="195">
        <v>46440</v>
      </c>
      <c r="N842" s="195">
        <v>28930</v>
      </c>
      <c r="O842" s="195"/>
      <c r="P842" s="196">
        <v>0.64652777777777803</v>
      </c>
      <c r="Q842" s="196">
        <v>0.69930555555555596</v>
      </c>
      <c r="R842" s="193" t="s">
        <v>137</v>
      </c>
      <c r="S842" s="193" t="s">
        <v>1372</v>
      </c>
      <c r="T842" s="197">
        <f t="shared" si="55"/>
        <v>400</v>
      </c>
      <c r="U842" s="193" t="s">
        <v>69</v>
      </c>
      <c r="V842" s="193" t="str">
        <f t="shared" si="56"/>
        <v>Gowa</v>
      </c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8"/>
      <c r="AL842" s="18"/>
    </row>
    <row r="843" spans="2:38" ht="15" customHeight="1" x14ac:dyDescent="0.2">
      <c r="B843" s="193">
        <v>1</v>
      </c>
      <c r="C843" s="347" t="s">
        <v>956</v>
      </c>
      <c r="D843" s="193" t="str">
        <f t="shared" si="54"/>
        <v>RBDPL000783SCM</v>
      </c>
      <c r="E843" s="193" t="s">
        <v>84</v>
      </c>
      <c r="F843" s="193" t="s">
        <v>1366</v>
      </c>
      <c r="G843" s="193" t="s">
        <v>1651</v>
      </c>
      <c r="H843" s="193" t="s">
        <v>107</v>
      </c>
      <c r="I843" s="193" t="s">
        <v>3</v>
      </c>
      <c r="J843" s="193" t="str">
        <f t="shared" si="57"/>
        <v>10 Roda</v>
      </c>
      <c r="K843" s="194">
        <v>46092</v>
      </c>
      <c r="L843" s="195">
        <v>12230</v>
      </c>
      <c r="M843" s="195">
        <v>27060</v>
      </c>
      <c r="N843" s="195">
        <v>14830</v>
      </c>
      <c r="O843" s="195"/>
      <c r="P843" s="196">
        <v>0.64791666666666703</v>
      </c>
      <c r="Q843" s="196">
        <v>0.67986111111111103</v>
      </c>
      <c r="R843" s="193" t="s">
        <v>137</v>
      </c>
      <c r="S843" s="193" t="s">
        <v>1397</v>
      </c>
      <c r="T843" s="197">
        <f t="shared" si="55"/>
        <v>400</v>
      </c>
      <c r="U843" s="193" t="s">
        <v>69</v>
      </c>
      <c r="V843" s="193" t="str">
        <f t="shared" si="56"/>
        <v>Gowa</v>
      </c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8"/>
      <c r="AL843" s="18"/>
    </row>
    <row r="844" spans="2:38" ht="15" customHeight="1" x14ac:dyDescent="0.2">
      <c r="B844" s="193">
        <v>1</v>
      </c>
      <c r="C844" s="347" t="s">
        <v>957</v>
      </c>
      <c r="D844" s="193" t="str">
        <f t="shared" si="54"/>
        <v>RBDPL000787SCM</v>
      </c>
      <c r="E844" s="193" t="s">
        <v>958</v>
      </c>
      <c r="F844" s="193" t="s">
        <v>1366</v>
      </c>
      <c r="G844" s="193" t="s">
        <v>1651</v>
      </c>
      <c r="H844" s="193" t="s">
        <v>107</v>
      </c>
      <c r="I844" s="193" t="s">
        <v>3</v>
      </c>
      <c r="J844" s="193" t="str">
        <f t="shared" si="57"/>
        <v>6 Roda</v>
      </c>
      <c r="K844" s="194">
        <v>46092</v>
      </c>
      <c r="L844" s="195">
        <v>13590</v>
      </c>
      <c r="M844" s="195">
        <v>4190</v>
      </c>
      <c r="N844" s="195">
        <v>9400</v>
      </c>
      <c r="O844" s="195"/>
      <c r="P844" s="196">
        <v>0.78958333333333297</v>
      </c>
      <c r="Q844" s="196">
        <v>0.83125000000000004</v>
      </c>
      <c r="R844" s="193" t="s">
        <v>137</v>
      </c>
      <c r="S844" s="193" t="s">
        <v>1388</v>
      </c>
      <c r="T844" s="197">
        <f t="shared" si="55"/>
        <v>400</v>
      </c>
      <c r="U844" s="193" t="s">
        <v>175</v>
      </c>
      <c r="V844" s="193" t="str">
        <f t="shared" si="56"/>
        <v>Gowa</v>
      </c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8"/>
      <c r="AL844" s="18"/>
    </row>
    <row r="845" spans="2:38" ht="15" customHeight="1" x14ac:dyDescent="0.2">
      <c r="B845" s="193">
        <v>1</v>
      </c>
      <c r="C845" s="347" t="s">
        <v>961</v>
      </c>
      <c r="D845" s="193" t="str">
        <f t="shared" si="54"/>
        <v>RBDPL000788SCM</v>
      </c>
      <c r="E845" s="193" t="s">
        <v>962</v>
      </c>
      <c r="F845" s="193" t="s">
        <v>1366</v>
      </c>
      <c r="G845" s="193" t="s">
        <v>1651</v>
      </c>
      <c r="H845" s="193" t="s">
        <v>107</v>
      </c>
      <c r="I845" s="193" t="s">
        <v>3</v>
      </c>
      <c r="J845" s="193" t="str">
        <f t="shared" si="57"/>
        <v>6 Roda</v>
      </c>
      <c r="K845" s="194">
        <v>46093</v>
      </c>
      <c r="L845" s="195">
        <v>4510</v>
      </c>
      <c r="M845" s="195">
        <v>13490</v>
      </c>
      <c r="N845" s="195">
        <v>8980</v>
      </c>
      <c r="O845" s="195"/>
      <c r="P845" s="196">
        <v>0.84236111111111101</v>
      </c>
      <c r="Q845" s="196">
        <v>0.88194444444444398</v>
      </c>
      <c r="R845" s="193" t="s">
        <v>137</v>
      </c>
      <c r="S845" s="193" t="s">
        <v>1398</v>
      </c>
      <c r="T845" s="197">
        <f t="shared" si="55"/>
        <v>400</v>
      </c>
      <c r="U845" s="193" t="s">
        <v>175</v>
      </c>
      <c r="V845" s="193" t="str">
        <f t="shared" si="56"/>
        <v>Gowa</v>
      </c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8"/>
      <c r="AL845" s="18"/>
    </row>
    <row r="846" spans="2:38" ht="15" customHeight="1" x14ac:dyDescent="0.2">
      <c r="B846" s="193">
        <v>1</v>
      </c>
      <c r="C846" s="347" t="s">
        <v>963</v>
      </c>
      <c r="D846" s="193" t="str">
        <f t="shared" si="54"/>
        <v>RBDPL000789SCM</v>
      </c>
      <c r="E846" s="193" t="s">
        <v>473</v>
      </c>
      <c r="F846" s="193" t="s">
        <v>1366</v>
      </c>
      <c r="G846" s="193" t="s">
        <v>1651</v>
      </c>
      <c r="H846" s="193" t="s">
        <v>107</v>
      </c>
      <c r="I846" s="193" t="s">
        <v>3</v>
      </c>
      <c r="J846" s="193" t="str">
        <f t="shared" si="57"/>
        <v>6 Roda</v>
      </c>
      <c r="K846" s="194">
        <v>46093</v>
      </c>
      <c r="L846" s="195">
        <v>4350</v>
      </c>
      <c r="M846" s="195">
        <v>14580</v>
      </c>
      <c r="N846" s="195">
        <v>10230</v>
      </c>
      <c r="O846" s="195"/>
      <c r="P846" s="196">
        <v>0.91180555555555598</v>
      </c>
      <c r="Q846" s="196">
        <v>0.94652777777777797</v>
      </c>
      <c r="R846" s="193" t="s">
        <v>137</v>
      </c>
      <c r="S846" s="193" t="s">
        <v>1474</v>
      </c>
      <c r="T846" s="197">
        <f t="shared" si="55"/>
        <v>400</v>
      </c>
      <c r="U846" s="193" t="s">
        <v>175</v>
      </c>
      <c r="V846" s="193" t="str">
        <f t="shared" si="56"/>
        <v>Gowa</v>
      </c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8"/>
      <c r="AL846" s="18"/>
    </row>
    <row r="847" spans="2:38" ht="15" customHeight="1" x14ac:dyDescent="0.2">
      <c r="B847" s="193">
        <v>1</v>
      </c>
      <c r="C847" s="347" t="s">
        <v>964</v>
      </c>
      <c r="D847" s="193" t="str">
        <f t="shared" si="54"/>
        <v>RBDPL000790HSA</v>
      </c>
      <c r="E847" s="193" t="s">
        <v>931</v>
      </c>
      <c r="F847" s="193" t="s">
        <v>1365</v>
      </c>
      <c r="G847" s="193" t="s">
        <v>1646</v>
      </c>
      <c r="H847" s="193" t="s">
        <v>103</v>
      </c>
      <c r="I847" s="193" t="s">
        <v>3</v>
      </c>
      <c r="J847" s="193" t="str">
        <f t="shared" si="57"/>
        <v>6 Roda</v>
      </c>
      <c r="K847" s="194">
        <v>46094</v>
      </c>
      <c r="L847" s="195">
        <v>4150</v>
      </c>
      <c r="M847" s="195">
        <v>13750</v>
      </c>
      <c r="N847" s="195">
        <v>9600</v>
      </c>
      <c r="O847" s="195"/>
      <c r="P847" s="196">
        <v>0.62777777777777799</v>
      </c>
      <c r="Q847" s="196">
        <v>0.67986111111111103</v>
      </c>
      <c r="R847" s="193" t="s">
        <v>42</v>
      </c>
      <c r="S847" s="193" t="s">
        <v>1377</v>
      </c>
      <c r="T847" s="197">
        <f t="shared" si="55"/>
        <v>360</v>
      </c>
      <c r="U847" s="193" t="s">
        <v>932</v>
      </c>
      <c r="V847" s="193" t="str">
        <f t="shared" si="56"/>
        <v>Makassar</v>
      </c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8"/>
      <c r="AL847" s="18"/>
    </row>
    <row r="848" spans="2:38" ht="15" customHeight="1" x14ac:dyDescent="0.2">
      <c r="B848" s="193">
        <v>1</v>
      </c>
      <c r="C848" s="347" t="s">
        <v>965</v>
      </c>
      <c r="D848" s="193" t="str">
        <f t="shared" si="54"/>
        <v>RBDPL000791HSA</v>
      </c>
      <c r="E848" s="193" t="s">
        <v>966</v>
      </c>
      <c r="F848" s="193" t="s">
        <v>1365</v>
      </c>
      <c r="G848" s="193" t="s">
        <v>1646</v>
      </c>
      <c r="H848" s="193" t="s">
        <v>103</v>
      </c>
      <c r="I848" s="193" t="s">
        <v>3</v>
      </c>
      <c r="J848" s="193" t="str">
        <f t="shared" si="57"/>
        <v>6 Roda</v>
      </c>
      <c r="K848" s="194">
        <v>46094</v>
      </c>
      <c r="L848" s="195">
        <v>3900</v>
      </c>
      <c r="M848" s="195">
        <v>13420</v>
      </c>
      <c r="N848" s="195">
        <v>9520</v>
      </c>
      <c r="O848" s="195"/>
      <c r="P848" s="196">
        <v>0.62986111111111098</v>
      </c>
      <c r="Q848" s="196">
        <v>0.70694444444444504</v>
      </c>
      <c r="R848" s="193" t="s">
        <v>42</v>
      </c>
      <c r="S848" s="193" t="s">
        <v>1475</v>
      </c>
      <c r="T848" s="197">
        <f t="shared" si="55"/>
        <v>360</v>
      </c>
      <c r="U848" s="193" t="s">
        <v>932</v>
      </c>
      <c r="V848" s="193" t="str">
        <f t="shared" si="56"/>
        <v>Makassar</v>
      </c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8"/>
      <c r="AL848" s="18"/>
    </row>
    <row r="849" spans="2:38" ht="15" customHeight="1" x14ac:dyDescent="0.2">
      <c r="B849" s="193">
        <v>1</v>
      </c>
      <c r="C849" s="347" t="s">
        <v>967</v>
      </c>
      <c r="D849" s="193" t="str">
        <f t="shared" si="54"/>
        <v>RBDPL000792SCM</v>
      </c>
      <c r="E849" s="193" t="s">
        <v>962</v>
      </c>
      <c r="F849" s="193" t="s">
        <v>1366</v>
      </c>
      <c r="G849" s="193" t="s">
        <v>1651</v>
      </c>
      <c r="H849" s="193" t="s">
        <v>107</v>
      </c>
      <c r="I849" s="193" t="s">
        <v>3</v>
      </c>
      <c r="J849" s="193" t="str">
        <f t="shared" si="57"/>
        <v>6 Roda</v>
      </c>
      <c r="K849" s="194">
        <v>46094</v>
      </c>
      <c r="L849" s="195">
        <v>4510</v>
      </c>
      <c r="M849" s="195">
        <v>13660</v>
      </c>
      <c r="N849" s="195">
        <v>9150</v>
      </c>
      <c r="O849" s="195"/>
      <c r="P849" s="196">
        <v>0.69722222222222197</v>
      </c>
      <c r="Q849" s="196">
        <v>0.73263888888888895</v>
      </c>
      <c r="R849" s="193" t="s">
        <v>42</v>
      </c>
      <c r="S849" s="193" t="s">
        <v>1398</v>
      </c>
      <c r="T849" s="197">
        <f t="shared" si="55"/>
        <v>400</v>
      </c>
      <c r="U849" s="193" t="s">
        <v>175</v>
      </c>
      <c r="V849" s="193" t="str">
        <f t="shared" si="56"/>
        <v>Gowa</v>
      </c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8"/>
      <c r="AL849" s="18"/>
    </row>
    <row r="850" spans="2:38" ht="15" customHeight="1" x14ac:dyDescent="0.2">
      <c r="B850" s="193">
        <v>1</v>
      </c>
      <c r="C850" s="347" t="s">
        <v>968</v>
      </c>
      <c r="D850" s="193" t="str">
        <f t="shared" si="54"/>
        <v>RBDPL000793SCM</v>
      </c>
      <c r="E850" s="193" t="s">
        <v>969</v>
      </c>
      <c r="F850" s="193" t="s">
        <v>1366</v>
      </c>
      <c r="G850" s="193" t="s">
        <v>1651</v>
      </c>
      <c r="H850" s="193" t="s">
        <v>107</v>
      </c>
      <c r="I850" s="193" t="s">
        <v>3</v>
      </c>
      <c r="J850" s="193" t="str">
        <f t="shared" si="57"/>
        <v>6 Roda</v>
      </c>
      <c r="K850" s="194">
        <v>46095</v>
      </c>
      <c r="L850" s="195">
        <v>3790</v>
      </c>
      <c r="M850" s="195">
        <v>13190</v>
      </c>
      <c r="N850" s="195">
        <v>9400</v>
      </c>
      <c r="O850" s="195"/>
      <c r="P850" s="196">
        <v>0.87708333333333299</v>
      </c>
      <c r="Q850" s="196">
        <v>0.92638888888888904</v>
      </c>
      <c r="R850" s="193" t="s">
        <v>137</v>
      </c>
      <c r="S850" s="193" t="s">
        <v>1476</v>
      </c>
      <c r="T850" s="197">
        <f t="shared" si="55"/>
        <v>400</v>
      </c>
      <c r="U850" s="193" t="s">
        <v>175</v>
      </c>
      <c r="V850" s="193" t="str">
        <f t="shared" si="56"/>
        <v>Gowa</v>
      </c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8"/>
      <c r="AL850" s="18"/>
    </row>
    <row r="851" spans="2:38" ht="15" customHeight="1" x14ac:dyDescent="0.2">
      <c r="B851" s="193">
        <v>1</v>
      </c>
      <c r="C851" s="347" t="s">
        <v>970</v>
      </c>
      <c r="D851" s="193" t="str">
        <f t="shared" si="54"/>
        <v>RBDPL000794SCM</v>
      </c>
      <c r="E851" s="193" t="s">
        <v>962</v>
      </c>
      <c r="F851" s="193" t="s">
        <v>1366</v>
      </c>
      <c r="G851" s="193" t="s">
        <v>1651</v>
      </c>
      <c r="H851" s="193" t="s">
        <v>107</v>
      </c>
      <c r="I851" s="193" t="s">
        <v>3</v>
      </c>
      <c r="J851" s="193" t="str">
        <f t="shared" si="57"/>
        <v>6 Roda</v>
      </c>
      <c r="K851" s="194">
        <v>46095</v>
      </c>
      <c r="L851" s="195">
        <v>4460</v>
      </c>
      <c r="M851" s="195">
        <v>13640</v>
      </c>
      <c r="N851" s="195">
        <v>9180</v>
      </c>
      <c r="O851" s="195"/>
      <c r="P851" s="196">
        <v>0.39861111111111103</v>
      </c>
      <c r="Q851" s="196">
        <v>0.45694444444444399</v>
      </c>
      <c r="R851" s="193" t="s">
        <v>42</v>
      </c>
      <c r="S851" s="193" t="s">
        <v>1398</v>
      </c>
      <c r="T851" s="197">
        <f t="shared" si="55"/>
        <v>400</v>
      </c>
      <c r="U851" s="193" t="s">
        <v>175</v>
      </c>
      <c r="V851" s="193" t="str">
        <f t="shared" si="56"/>
        <v>Gowa</v>
      </c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8"/>
      <c r="AL851" s="18"/>
    </row>
    <row r="852" spans="2:38" ht="15" customHeight="1" x14ac:dyDescent="0.2">
      <c r="B852" s="193">
        <v>1</v>
      </c>
      <c r="C852" s="347" t="s">
        <v>971</v>
      </c>
      <c r="D852" s="193" t="str">
        <f t="shared" si="54"/>
        <v>RBDPL000796DA</v>
      </c>
      <c r="E852" s="193" t="s">
        <v>936</v>
      </c>
      <c r="F852" s="193" t="s">
        <v>1367</v>
      </c>
      <c r="G852" s="193" t="s">
        <v>1653</v>
      </c>
      <c r="H852" s="193" t="s">
        <v>111</v>
      </c>
      <c r="I852" s="193" t="s">
        <v>3</v>
      </c>
      <c r="J852" s="193" t="str">
        <f t="shared" si="57"/>
        <v>6 Roda</v>
      </c>
      <c r="K852" s="194">
        <v>46095</v>
      </c>
      <c r="L852" s="195">
        <v>4160</v>
      </c>
      <c r="M852" s="195">
        <v>13880</v>
      </c>
      <c r="N852" s="195">
        <v>9720</v>
      </c>
      <c r="O852" s="195"/>
      <c r="P852" s="196">
        <v>0.69027777777777799</v>
      </c>
      <c r="Q852" s="196">
        <v>0.73541666666666705</v>
      </c>
      <c r="R852" s="193" t="s">
        <v>137</v>
      </c>
      <c r="S852" s="193" t="s">
        <v>1385</v>
      </c>
      <c r="T852" s="197">
        <f t="shared" si="55"/>
        <v>360</v>
      </c>
      <c r="U852" s="193" t="s">
        <v>932</v>
      </c>
      <c r="V852" s="193" t="str">
        <f t="shared" si="56"/>
        <v>Makassar</v>
      </c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8"/>
      <c r="AL852" s="18"/>
    </row>
    <row r="853" spans="2:38" ht="15" customHeight="1" x14ac:dyDescent="0.2">
      <c r="B853" s="193">
        <v>1</v>
      </c>
      <c r="C853" s="347" t="s">
        <v>972</v>
      </c>
      <c r="D853" s="193" t="str">
        <f t="shared" si="54"/>
        <v>RBDPL000797DA</v>
      </c>
      <c r="E853" s="193" t="s">
        <v>973</v>
      </c>
      <c r="F853" s="193" t="s">
        <v>1367</v>
      </c>
      <c r="G853" s="193" t="s">
        <v>1653</v>
      </c>
      <c r="H853" s="193" t="s">
        <v>111</v>
      </c>
      <c r="I853" s="193" t="s">
        <v>3</v>
      </c>
      <c r="J853" s="193" t="str">
        <f t="shared" si="57"/>
        <v>6 Roda</v>
      </c>
      <c r="K853" s="194">
        <v>46095</v>
      </c>
      <c r="L853" s="195">
        <v>4000</v>
      </c>
      <c r="M853" s="195">
        <v>13320</v>
      </c>
      <c r="N853" s="195">
        <v>9320</v>
      </c>
      <c r="O853" s="195"/>
      <c r="P853" s="196">
        <v>0.69583333333333297</v>
      </c>
      <c r="Q853" s="196">
        <v>0.77430555555555602</v>
      </c>
      <c r="R853" s="193" t="s">
        <v>137</v>
      </c>
      <c r="S853" s="193" t="s">
        <v>1387</v>
      </c>
      <c r="T853" s="197">
        <f t="shared" si="55"/>
        <v>360</v>
      </c>
      <c r="U853" s="193" t="s">
        <v>932</v>
      </c>
      <c r="V853" s="193" t="str">
        <f t="shared" si="56"/>
        <v>Makassar</v>
      </c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8"/>
      <c r="AL853" s="18"/>
    </row>
    <row r="854" spans="2:38" ht="15" customHeight="1" x14ac:dyDescent="0.2">
      <c r="B854" s="193">
        <v>1</v>
      </c>
      <c r="C854" s="347" t="s">
        <v>987</v>
      </c>
      <c r="D854" s="193" t="str">
        <f t="shared" si="54"/>
        <v>RBDPL000795SCM</v>
      </c>
      <c r="E854" s="193" t="s">
        <v>988</v>
      </c>
      <c r="F854" s="193" t="s">
        <v>1366</v>
      </c>
      <c r="G854" s="193" t="s">
        <v>1651</v>
      </c>
      <c r="H854" s="193" t="s">
        <v>107</v>
      </c>
      <c r="I854" s="193" t="s">
        <v>3</v>
      </c>
      <c r="J854" s="193" t="str">
        <f t="shared" si="57"/>
        <v>6 Roda</v>
      </c>
      <c r="K854" s="194">
        <v>46095</v>
      </c>
      <c r="L854" s="195">
        <v>3760</v>
      </c>
      <c r="M854" s="195">
        <v>13220</v>
      </c>
      <c r="N854" s="195">
        <v>9460</v>
      </c>
      <c r="O854" s="195"/>
      <c r="P854" s="196">
        <v>0.47013888888888899</v>
      </c>
      <c r="Q854" s="196">
        <v>0.48958333333333298</v>
      </c>
      <c r="R854" s="193" t="s">
        <v>42</v>
      </c>
      <c r="S854" s="193" t="s">
        <v>1522</v>
      </c>
      <c r="T854" s="197">
        <f t="shared" si="55"/>
        <v>400</v>
      </c>
      <c r="U854" s="193" t="s">
        <v>175</v>
      </c>
      <c r="V854" s="193" t="str">
        <f t="shared" si="56"/>
        <v>Gowa</v>
      </c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8"/>
      <c r="AL854" s="18"/>
    </row>
    <row r="855" spans="2:38" ht="15" customHeight="1" x14ac:dyDescent="0.2">
      <c r="B855" s="193">
        <v>1</v>
      </c>
      <c r="C855" s="347" t="s">
        <v>974</v>
      </c>
      <c r="D855" s="193" t="str">
        <f t="shared" ref="D855:D911" si="58">I855&amp;C855&amp;_xlfn.XLOOKUP(H855,$AM$4:$AM$26,$AN$4:$AN$26,"")</f>
        <v>RBDPL000806HSA</v>
      </c>
      <c r="E855" s="193" t="s">
        <v>936</v>
      </c>
      <c r="F855" s="193" t="s">
        <v>1365</v>
      </c>
      <c r="G855" s="193" t="s">
        <v>1646</v>
      </c>
      <c r="H855" s="193" t="s">
        <v>103</v>
      </c>
      <c r="I855" s="193" t="s">
        <v>3</v>
      </c>
      <c r="J855" s="193" t="str">
        <f t="shared" si="57"/>
        <v>6 Roda</v>
      </c>
      <c r="K855" s="194">
        <v>46097</v>
      </c>
      <c r="L855" s="195">
        <v>4160</v>
      </c>
      <c r="M855" s="195">
        <v>14320</v>
      </c>
      <c r="N855" s="195">
        <v>10160</v>
      </c>
      <c r="O855" s="195"/>
      <c r="P855" s="196">
        <v>0.85347222222222197</v>
      </c>
      <c r="Q855" s="196">
        <v>0.86875000000000002</v>
      </c>
      <c r="R855" s="193" t="s">
        <v>42</v>
      </c>
      <c r="S855" s="193" t="s">
        <v>1385</v>
      </c>
      <c r="T855" s="197">
        <f t="shared" ref="T855:T911" si="59">IFERROR(_xlfn.XLOOKUP(H855,$AM$4:$AM$18,$AP$4:$AP$18,""),0)</f>
        <v>360</v>
      </c>
      <c r="U855" s="193" t="s">
        <v>932</v>
      </c>
      <c r="V855" s="193" t="str">
        <f t="shared" ref="V855:V911" si="60">IFERROR(_xlfn.XLOOKUP(H855,$AM$4:$AM$18,$AO$4:$AO$18,""),"")</f>
        <v>Makassar</v>
      </c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8"/>
      <c r="AL855" s="18"/>
    </row>
    <row r="856" spans="2:38" ht="15" customHeight="1" x14ac:dyDescent="0.2">
      <c r="B856" s="193">
        <v>1</v>
      </c>
      <c r="C856" s="347" t="s">
        <v>975</v>
      </c>
      <c r="D856" s="193" t="str">
        <f t="shared" si="58"/>
        <v>RBDPL000805HSA</v>
      </c>
      <c r="E856" s="193" t="s">
        <v>966</v>
      </c>
      <c r="F856" s="193" t="s">
        <v>1365</v>
      </c>
      <c r="G856" s="193" t="s">
        <v>1646</v>
      </c>
      <c r="H856" s="193" t="s">
        <v>103</v>
      </c>
      <c r="I856" s="193" t="s">
        <v>3</v>
      </c>
      <c r="J856" s="193" t="str">
        <f t="shared" si="57"/>
        <v>6 Roda</v>
      </c>
      <c r="K856" s="194">
        <v>46097</v>
      </c>
      <c r="L856" s="195">
        <v>3890</v>
      </c>
      <c r="M856" s="195">
        <v>13410</v>
      </c>
      <c r="N856" s="195">
        <v>9520</v>
      </c>
      <c r="O856" s="195"/>
      <c r="P856" s="196">
        <v>0.69583333333333297</v>
      </c>
      <c r="Q856" s="196">
        <v>0.72986111111111096</v>
      </c>
      <c r="R856" s="193" t="s">
        <v>42</v>
      </c>
      <c r="S856" s="193" t="s">
        <v>1475</v>
      </c>
      <c r="T856" s="197">
        <f t="shared" si="59"/>
        <v>360</v>
      </c>
      <c r="U856" s="193" t="s">
        <v>932</v>
      </c>
      <c r="V856" s="193" t="str">
        <f t="shared" si="60"/>
        <v>Makassar</v>
      </c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8"/>
      <c r="AL856" s="18"/>
    </row>
    <row r="857" spans="2:38" ht="15" customHeight="1" x14ac:dyDescent="0.2">
      <c r="B857" s="193">
        <v>1</v>
      </c>
      <c r="C857" s="347" t="s">
        <v>976</v>
      </c>
      <c r="D857" s="193" t="str">
        <f t="shared" si="58"/>
        <v>RBDPL000802SCM</v>
      </c>
      <c r="E857" s="193" t="s">
        <v>188</v>
      </c>
      <c r="F857" s="193" t="s">
        <v>1366</v>
      </c>
      <c r="G857" s="193" t="s">
        <v>1651</v>
      </c>
      <c r="H857" s="193" t="s">
        <v>107</v>
      </c>
      <c r="I857" s="193" t="s">
        <v>3</v>
      </c>
      <c r="J857" s="193" t="str">
        <f t="shared" si="57"/>
        <v>6 Roda</v>
      </c>
      <c r="K857" s="194">
        <v>46097</v>
      </c>
      <c r="L857" s="195">
        <v>3880</v>
      </c>
      <c r="M857" s="195">
        <v>13400</v>
      </c>
      <c r="N857" s="195">
        <v>9520</v>
      </c>
      <c r="O857" s="195"/>
      <c r="P857" s="196">
        <v>0.65138888888888902</v>
      </c>
      <c r="Q857" s="196">
        <v>0.68958333333333299</v>
      </c>
      <c r="R857" s="193" t="s">
        <v>137</v>
      </c>
      <c r="S857" s="193" t="s">
        <v>1522</v>
      </c>
      <c r="T857" s="197">
        <f t="shared" si="59"/>
        <v>400</v>
      </c>
      <c r="U857" s="193" t="s">
        <v>175</v>
      </c>
      <c r="V857" s="193" t="str">
        <f t="shared" si="60"/>
        <v>Gowa</v>
      </c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8"/>
      <c r="AL857" s="18"/>
    </row>
    <row r="858" spans="2:38" ht="15" customHeight="1" x14ac:dyDescent="0.2">
      <c r="B858" s="193">
        <v>1</v>
      </c>
      <c r="C858" s="347" t="s">
        <v>977</v>
      </c>
      <c r="D858" s="193" t="str">
        <f t="shared" si="58"/>
        <v>RBDPL000799SCM</v>
      </c>
      <c r="E858" s="193" t="s">
        <v>473</v>
      </c>
      <c r="F858" s="193" t="s">
        <v>1366</v>
      </c>
      <c r="G858" s="193" t="s">
        <v>1651</v>
      </c>
      <c r="H858" s="193" t="s">
        <v>107</v>
      </c>
      <c r="I858" s="193" t="s">
        <v>3</v>
      </c>
      <c r="J858" s="193" t="str">
        <f t="shared" si="57"/>
        <v>6 Roda</v>
      </c>
      <c r="K858" s="194">
        <v>46097</v>
      </c>
      <c r="L858" s="195">
        <v>4310</v>
      </c>
      <c r="M858" s="195">
        <v>14540</v>
      </c>
      <c r="N858" s="195">
        <v>10230</v>
      </c>
      <c r="O858" s="195"/>
      <c r="P858" s="196">
        <v>0.55694444444444502</v>
      </c>
      <c r="Q858" s="196">
        <v>0.57569444444444395</v>
      </c>
      <c r="R858" s="193" t="s">
        <v>137</v>
      </c>
      <c r="S858" s="193" t="s">
        <v>1474</v>
      </c>
      <c r="T858" s="197">
        <f t="shared" si="59"/>
        <v>400</v>
      </c>
      <c r="U858" s="193" t="s">
        <v>175</v>
      </c>
      <c r="V858" s="193" t="str">
        <f t="shared" si="60"/>
        <v>Gowa</v>
      </c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8"/>
      <c r="AL858" s="18"/>
    </row>
    <row r="859" spans="2:38" ht="15" customHeight="1" x14ac:dyDescent="0.2">
      <c r="B859" s="193">
        <v>1</v>
      </c>
      <c r="C859" s="347" t="s">
        <v>978</v>
      </c>
      <c r="D859" s="193" t="str">
        <f t="shared" si="58"/>
        <v>RBDPL000798SCM</v>
      </c>
      <c r="E859" s="193" t="s">
        <v>181</v>
      </c>
      <c r="F859" s="193" t="s">
        <v>1366</v>
      </c>
      <c r="G859" s="193" t="s">
        <v>1651</v>
      </c>
      <c r="H859" s="193" t="s">
        <v>107</v>
      </c>
      <c r="I859" s="193" t="s">
        <v>3</v>
      </c>
      <c r="J859" s="193" t="str">
        <f t="shared" si="57"/>
        <v>6 Roda</v>
      </c>
      <c r="K859" s="194">
        <v>46097</v>
      </c>
      <c r="L859" s="195">
        <v>3940</v>
      </c>
      <c r="M859" s="195">
        <v>13590</v>
      </c>
      <c r="N859" s="195">
        <v>9650</v>
      </c>
      <c r="O859" s="195"/>
      <c r="P859" s="196">
        <v>0.46458333333333302</v>
      </c>
      <c r="Q859" s="196">
        <v>0.50208333333333299</v>
      </c>
      <c r="R859" s="193" t="s">
        <v>137</v>
      </c>
      <c r="S859" s="193" t="s">
        <v>1477</v>
      </c>
      <c r="T859" s="197">
        <f t="shared" si="59"/>
        <v>400</v>
      </c>
      <c r="U859" s="193" t="s">
        <v>175</v>
      </c>
      <c r="V859" s="193" t="str">
        <f t="shared" si="60"/>
        <v>Gowa</v>
      </c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8"/>
      <c r="AL859" s="18"/>
    </row>
    <row r="860" spans="2:38" ht="15" customHeight="1" x14ac:dyDescent="0.2">
      <c r="B860" s="193">
        <v>1</v>
      </c>
      <c r="C860" s="347" t="s">
        <v>979</v>
      </c>
      <c r="D860" s="193" t="str">
        <f t="shared" si="58"/>
        <v>RBDPL000803SCM</v>
      </c>
      <c r="E860" s="193" t="s">
        <v>46</v>
      </c>
      <c r="F860" s="193" t="s">
        <v>1366</v>
      </c>
      <c r="G860" s="193" t="s">
        <v>1651</v>
      </c>
      <c r="H860" s="193" t="s">
        <v>107</v>
      </c>
      <c r="I860" s="193" t="s">
        <v>3</v>
      </c>
      <c r="J860" s="193" t="str">
        <f t="shared" si="57"/>
        <v>10 Roda</v>
      </c>
      <c r="K860" s="194">
        <v>46097</v>
      </c>
      <c r="L860" s="195">
        <v>11930</v>
      </c>
      <c r="M860" s="195">
        <v>27010</v>
      </c>
      <c r="N860" s="195">
        <v>15080</v>
      </c>
      <c r="O860" s="195"/>
      <c r="P860" s="196">
        <v>0.69166666666666698</v>
      </c>
      <c r="Q860" s="196">
        <v>0.72152777777777799</v>
      </c>
      <c r="R860" s="193" t="s">
        <v>42</v>
      </c>
      <c r="S860" s="193" t="s">
        <v>1393</v>
      </c>
      <c r="T860" s="197">
        <f t="shared" si="59"/>
        <v>400</v>
      </c>
      <c r="U860" s="193" t="s">
        <v>69</v>
      </c>
      <c r="V860" s="193" t="str">
        <f t="shared" si="60"/>
        <v>Gowa</v>
      </c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8"/>
      <c r="AL860" s="18"/>
    </row>
    <row r="861" spans="2:38" ht="15" customHeight="1" x14ac:dyDescent="0.2">
      <c r="B861" s="193">
        <v>1</v>
      </c>
      <c r="C861" s="347" t="s">
        <v>980</v>
      </c>
      <c r="D861" s="193" t="str">
        <f t="shared" si="58"/>
        <v>RBDPL000801SCM</v>
      </c>
      <c r="E861" s="193" t="s">
        <v>56</v>
      </c>
      <c r="F861" s="193" t="s">
        <v>1366</v>
      </c>
      <c r="G861" s="193" t="s">
        <v>1651</v>
      </c>
      <c r="H861" s="193" t="s">
        <v>107</v>
      </c>
      <c r="I861" s="193" t="s">
        <v>3</v>
      </c>
      <c r="J861" s="193" t="str">
        <f t="shared" si="57"/>
        <v>10 Roda</v>
      </c>
      <c r="K861" s="194">
        <v>46097</v>
      </c>
      <c r="L861" s="195">
        <v>10780</v>
      </c>
      <c r="M861" s="195">
        <v>25300</v>
      </c>
      <c r="N861" s="195">
        <v>14520</v>
      </c>
      <c r="O861" s="195"/>
      <c r="P861" s="196">
        <v>0.61736111111111103</v>
      </c>
      <c r="Q861" s="196">
        <v>0.70763888888888904</v>
      </c>
      <c r="R861" s="193" t="s">
        <v>137</v>
      </c>
      <c r="S861" s="193" t="s">
        <v>1781</v>
      </c>
      <c r="T861" s="197">
        <f t="shared" si="59"/>
        <v>400</v>
      </c>
      <c r="U861" s="193" t="s">
        <v>69</v>
      </c>
      <c r="V861" s="193" t="str">
        <f t="shared" si="60"/>
        <v>Gowa</v>
      </c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8"/>
      <c r="AL861" s="18"/>
    </row>
    <row r="862" spans="2:38" ht="15" customHeight="1" x14ac:dyDescent="0.2">
      <c r="B862" s="193">
        <v>1</v>
      </c>
      <c r="C862" s="347" t="s">
        <v>981</v>
      </c>
      <c r="D862" s="193" t="str">
        <f t="shared" si="58"/>
        <v>RBDPL000804DA</v>
      </c>
      <c r="E862" s="193" t="s">
        <v>931</v>
      </c>
      <c r="F862" s="193" t="s">
        <v>1367</v>
      </c>
      <c r="G862" s="193" t="s">
        <v>1653</v>
      </c>
      <c r="H862" s="193" t="s">
        <v>111</v>
      </c>
      <c r="I862" s="193" t="s">
        <v>3</v>
      </c>
      <c r="J862" s="193" t="str">
        <f t="shared" si="57"/>
        <v>6 Roda</v>
      </c>
      <c r="K862" s="194">
        <v>46097</v>
      </c>
      <c r="L862" s="195">
        <v>4170</v>
      </c>
      <c r="M862" s="195">
        <v>13790</v>
      </c>
      <c r="N862" s="195">
        <v>9620</v>
      </c>
      <c r="O862" s="195"/>
      <c r="P862" s="196">
        <v>0.69444444444444398</v>
      </c>
      <c r="Q862" s="196">
        <v>0.73611111111111105</v>
      </c>
      <c r="R862" s="193" t="s">
        <v>42</v>
      </c>
      <c r="S862" s="193" t="s">
        <v>1377</v>
      </c>
      <c r="T862" s="197">
        <f t="shared" si="59"/>
        <v>360</v>
      </c>
      <c r="U862" s="193" t="s">
        <v>932</v>
      </c>
      <c r="V862" s="193" t="str">
        <f t="shared" si="60"/>
        <v>Makassar</v>
      </c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8"/>
      <c r="AL862" s="18"/>
    </row>
    <row r="863" spans="2:38" ht="15" customHeight="1" x14ac:dyDescent="0.2">
      <c r="B863" s="193">
        <v>1</v>
      </c>
      <c r="C863" s="347" t="s">
        <v>982</v>
      </c>
      <c r="D863" s="193" t="str">
        <f t="shared" si="58"/>
        <v>RBDPL000807DA</v>
      </c>
      <c r="E863" s="193" t="s">
        <v>983</v>
      </c>
      <c r="F863" s="193" t="s">
        <v>1367</v>
      </c>
      <c r="G863" s="193" t="s">
        <v>1653</v>
      </c>
      <c r="H863" s="193" t="s">
        <v>111</v>
      </c>
      <c r="I863" s="193" t="s">
        <v>3</v>
      </c>
      <c r="J863" s="193" t="str">
        <f t="shared" si="57"/>
        <v>6 Roda</v>
      </c>
      <c r="K863" s="194">
        <v>46098</v>
      </c>
      <c r="L863" s="195">
        <v>4000</v>
      </c>
      <c r="M863" s="195">
        <v>13290</v>
      </c>
      <c r="N863" s="195">
        <v>9290</v>
      </c>
      <c r="O863" s="195"/>
      <c r="P863" s="196">
        <v>0.54722222222222205</v>
      </c>
      <c r="Q863" s="196">
        <v>0.58333333333333304</v>
      </c>
      <c r="R863" s="193" t="s">
        <v>137</v>
      </c>
      <c r="S863" s="193" t="s">
        <v>1387</v>
      </c>
      <c r="T863" s="197">
        <f t="shared" si="59"/>
        <v>360</v>
      </c>
      <c r="U863" s="193" t="s">
        <v>932</v>
      </c>
      <c r="V863" s="193" t="str">
        <f t="shared" si="60"/>
        <v>Makassar</v>
      </c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8"/>
      <c r="AL863" s="18"/>
    </row>
    <row r="864" spans="2:38" ht="15" customHeight="1" x14ac:dyDescent="0.2">
      <c r="B864" s="193">
        <v>1</v>
      </c>
      <c r="C864" s="347" t="s">
        <v>984</v>
      </c>
      <c r="D864" s="193" t="str">
        <f t="shared" si="58"/>
        <v>RBDPL000808DA</v>
      </c>
      <c r="E864" s="193" t="s">
        <v>163</v>
      </c>
      <c r="F864" s="193" t="s">
        <v>1367</v>
      </c>
      <c r="G864" s="193" t="s">
        <v>1653</v>
      </c>
      <c r="H864" s="193" t="s">
        <v>111</v>
      </c>
      <c r="I864" s="193" t="s">
        <v>3</v>
      </c>
      <c r="J864" s="193" t="str">
        <f t="shared" ref="J864:J911" si="61">IF(MIN(L864,M864)&lt;=5000,"6 Roda",IF(MIN(L864,M864)&lt;=13800,"10 Roda","12 Roda"))</f>
        <v>6 Roda</v>
      </c>
      <c r="K864" s="194">
        <v>46098</v>
      </c>
      <c r="L864" s="195">
        <v>3840</v>
      </c>
      <c r="M864" s="195">
        <v>14000</v>
      </c>
      <c r="N864" s="195">
        <v>10160</v>
      </c>
      <c r="O864" s="195"/>
      <c r="P864" s="196">
        <v>0.54791666666666705</v>
      </c>
      <c r="Q864" s="196">
        <v>0.58680555555555602</v>
      </c>
      <c r="R864" s="193" t="s">
        <v>137</v>
      </c>
      <c r="S864" s="193" t="s">
        <v>1480</v>
      </c>
      <c r="T864" s="197">
        <f t="shared" si="59"/>
        <v>360</v>
      </c>
      <c r="U864" s="193" t="s">
        <v>932</v>
      </c>
      <c r="V864" s="193" t="str">
        <f t="shared" si="60"/>
        <v>Makassar</v>
      </c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8"/>
      <c r="AL864" s="18"/>
    </row>
    <row r="865" spans="2:38" ht="15" customHeight="1" x14ac:dyDescent="0.2">
      <c r="B865" s="193">
        <v>1</v>
      </c>
      <c r="C865" s="347" t="s">
        <v>985</v>
      </c>
      <c r="D865" s="193" t="str">
        <f t="shared" si="58"/>
        <v>RBDPL000809DA</v>
      </c>
      <c r="E865" s="193" t="s">
        <v>938</v>
      </c>
      <c r="F865" s="193" t="s">
        <v>1367</v>
      </c>
      <c r="G865" s="193" t="s">
        <v>1653</v>
      </c>
      <c r="H865" s="193" t="s">
        <v>111</v>
      </c>
      <c r="I865" s="193" t="s">
        <v>3</v>
      </c>
      <c r="J865" s="193" t="str">
        <f t="shared" si="61"/>
        <v>6 Roda</v>
      </c>
      <c r="K865" s="194">
        <v>46098</v>
      </c>
      <c r="L865" s="195">
        <v>3920</v>
      </c>
      <c r="M865" s="195">
        <v>13430</v>
      </c>
      <c r="N865" s="195">
        <v>9510</v>
      </c>
      <c r="O865" s="195"/>
      <c r="P865" s="196">
        <v>0.59236111111111101</v>
      </c>
      <c r="Q865" s="196">
        <v>0.61250000000000004</v>
      </c>
      <c r="R865" s="193" t="s">
        <v>137</v>
      </c>
      <c r="S865" s="193" t="s">
        <v>1384</v>
      </c>
      <c r="T865" s="197">
        <f t="shared" si="59"/>
        <v>360</v>
      </c>
      <c r="U865" s="193" t="s">
        <v>932</v>
      </c>
      <c r="V865" s="193" t="str">
        <f t="shared" si="60"/>
        <v>Makassar</v>
      </c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8"/>
      <c r="AL865" s="18"/>
    </row>
    <row r="866" spans="2:38" ht="15" customHeight="1" x14ac:dyDescent="0.2">
      <c r="B866" s="193">
        <v>1</v>
      </c>
      <c r="C866" s="347" t="s">
        <v>986</v>
      </c>
      <c r="D866" s="193" t="str">
        <f t="shared" si="58"/>
        <v>RBDPL000811SCM</v>
      </c>
      <c r="E866" s="193" t="s">
        <v>151</v>
      </c>
      <c r="F866" s="193" t="s">
        <v>1366</v>
      </c>
      <c r="G866" s="193" t="s">
        <v>1651</v>
      </c>
      <c r="H866" s="193" t="s">
        <v>107</v>
      </c>
      <c r="I866" s="193" t="s">
        <v>3</v>
      </c>
      <c r="J866" s="193" t="str">
        <f t="shared" si="61"/>
        <v>6 Roda</v>
      </c>
      <c r="K866" s="194">
        <v>46099</v>
      </c>
      <c r="L866" s="195">
        <v>4190</v>
      </c>
      <c r="M866" s="195">
        <v>13660</v>
      </c>
      <c r="N866" s="195">
        <v>9470</v>
      </c>
      <c r="O866" s="195"/>
      <c r="P866" s="196">
        <v>0.56597222222222199</v>
      </c>
      <c r="Q866" s="196">
        <v>0.58958333333333302</v>
      </c>
      <c r="R866" s="193" t="s">
        <v>137</v>
      </c>
      <c r="S866" s="193" t="s">
        <v>1388</v>
      </c>
      <c r="T866" s="197">
        <f t="shared" si="59"/>
        <v>400</v>
      </c>
      <c r="U866" s="193" t="s">
        <v>175</v>
      </c>
      <c r="V866" s="193" t="str">
        <f t="shared" si="60"/>
        <v>Gowa</v>
      </c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8"/>
      <c r="AL866" s="18"/>
    </row>
    <row r="867" spans="2:38" ht="15" customHeight="1" x14ac:dyDescent="0.2">
      <c r="B867" s="193">
        <v>1</v>
      </c>
      <c r="C867" s="347" t="s">
        <v>989</v>
      </c>
      <c r="D867" s="193" t="str">
        <f t="shared" si="58"/>
        <v>RBDPL000812DA</v>
      </c>
      <c r="E867" s="193" t="s">
        <v>938</v>
      </c>
      <c r="F867" s="193" t="s">
        <v>1367</v>
      </c>
      <c r="G867" s="193" t="s">
        <v>1653</v>
      </c>
      <c r="H867" s="193" t="s">
        <v>111</v>
      </c>
      <c r="I867" s="193" t="s">
        <v>3</v>
      </c>
      <c r="J867" s="193" t="str">
        <f t="shared" si="61"/>
        <v>6 Roda</v>
      </c>
      <c r="K867" s="194">
        <v>46106</v>
      </c>
      <c r="L867" s="195">
        <v>3950</v>
      </c>
      <c r="M867" s="195">
        <v>13010</v>
      </c>
      <c r="N867" s="195">
        <v>9060</v>
      </c>
      <c r="O867" s="195"/>
      <c r="P867" s="196">
        <v>0.561805555555556</v>
      </c>
      <c r="Q867" s="196">
        <v>0.57986111111111105</v>
      </c>
      <c r="R867" s="193" t="s">
        <v>42</v>
      </c>
      <c r="S867" s="193" t="s">
        <v>1384</v>
      </c>
      <c r="T867" s="197">
        <f t="shared" si="59"/>
        <v>360</v>
      </c>
      <c r="U867" s="193" t="s">
        <v>932</v>
      </c>
      <c r="V867" s="193" t="str">
        <f t="shared" si="60"/>
        <v>Makassar</v>
      </c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8"/>
      <c r="AL867" s="18"/>
    </row>
    <row r="868" spans="2:38" ht="15" customHeight="1" x14ac:dyDescent="0.2">
      <c r="B868" s="193">
        <v>1</v>
      </c>
      <c r="C868" s="347" t="s">
        <v>990</v>
      </c>
      <c r="D868" s="193" t="str">
        <f t="shared" si="58"/>
        <v>RBDPL000813DA</v>
      </c>
      <c r="E868" s="193" t="s">
        <v>991</v>
      </c>
      <c r="F868" s="193" t="s">
        <v>1367</v>
      </c>
      <c r="G868" s="193" t="s">
        <v>1653</v>
      </c>
      <c r="H868" s="193" t="s">
        <v>111</v>
      </c>
      <c r="I868" s="193" t="s">
        <v>3</v>
      </c>
      <c r="J868" s="193" t="str">
        <f t="shared" si="61"/>
        <v>6 Roda</v>
      </c>
      <c r="K868" s="194">
        <v>46106</v>
      </c>
      <c r="L868" s="195">
        <v>4780</v>
      </c>
      <c r="M868" s="195">
        <v>15170</v>
      </c>
      <c r="N868" s="195">
        <v>10390</v>
      </c>
      <c r="O868" s="195"/>
      <c r="P868" s="196">
        <v>0.57222222222222197</v>
      </c>
      <c r="Q868" s="196">
        <v>0.75972222222222197</v>
      </c>
      <c r="R868" s="193" t="s">
        <v>42</v>
      </c>
      <c r="S868" s="193" t="s">
        <v>1478</v>
      </c>
      <c r="T868" s="197">
        <f t="shared" si="59"/>
        <v>360</v>
      </c>
      <c r="U868" s="193" t="s">
        <v>932</v>
      </c>
      <c r="V868" s="193" t="str">
        <f t="shared" si="60"/>
        <v>Makassar</v>
      </c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8"/>
      <c r="AL868" s="18"/>
    </row>
    <row r="869" spans="2:38" ht="15" customHeight="1" x14ac:dyDescent="0.2">
      <c r="B869" s="193">
        <v>1</v>
      </c>
      <c r="C869" s="347" t="s">
        <v>992</v>
      </c>
      <c r="D869" s="193" t="str">
        <f t="shared" si="58"/>
        <v>RBDPL000814DA</v>
      </c>
      <c r="E869" s="193" t="s">
        <v>983</v>
      </c>
      <c r="F869" s="193" t="s">
        <v>1367</v>
      </c>
      <c r="G869" s="193" t="s">
        <v>1653</v>
      </c>
      <c r="H869" s="193" t="s">
        <v>111</v>
      </c>
      <c r="I869" s="193" t="s">
        <v>3</v>
      </c>
      <c r="J869" s="193" t="str">
        <f t="shared" si="61"/>
        <v>6 Roda</v>
      </c>
      <c r="K869" s="194">
        <v>46106</v>
      </c>
      <c r="L869" s="195">
        <v>3990</v>
      </c>
      <c r="M869" s="195">
        <v>13340</v>
      </c>
      <c r="N869" s="195">
        <v>9350</v>
      </c>
      <c r="O869" s="195"/>
      <c r="P869" s="196">
        <v>0.57847222222222205</v>
      </c>
      <c r="Q869" s="196">
        <v>0.59861111111111098</v>
      </c>
      <c r="R869" s="193" t="s">
        <v>42</v>
      </c>
      <c r="S869" s="193" t="s">
        <v>1387</v>
      </c>
      <c r="T869" s="197">
        <f t="shared" si="59"/>
        <v>360</v>
      </c>
      <c r="U869" s="193" t="s">
        <v>932</v>
      </c>
      <c r="V869" s="193" t="str">
        <f t="shared" si="60"/>
        <v>Makassar</v>
      </c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8"/>
      <c r="AL869" s="18"/>
    </row>
    <row r="870" spans="2:38" ht="15" customHeight="1" x14ac:dyDescent="0.2">
      <c r="B870" s="193">
        <v>1</v>
      </c>
      <c r="C870" s="347" t="s">
        <v>993</v>
      </c>
      <c r="D870" s="193" t="str">
        <f t="shared" si="58"/>
        <v>RBDPL000815DA</v>
      </c>
      <c r="E870" s="193" t="s">
        <v>934</v>
      </c>
      <c r="F870" s="193" t="s">
        <v>1367</v>
      </c>
      <c r="G870" s="193" t="s">
        <v>1653</v>
      </c>
      <c r="H870" s="193" t="s">
        <v>111</v>
      </c>
      <c r="I870" s="193" t="s">
        <v>3</v>
      </c>
      <c r="J870" s="193" t="str">
        <f t="shared" si="61"/>
        <v>6 Roda</v>
      </c>
      <c r="K870" s="194">
        <v>46106</v>
      </c>
      <c r="L870" s="195">
        <v>3910</v>
      </c>
      <c r="M870" s="195">
        <v>13240</v>
      </c>
      <c r="N870" s="195">
        <v>9330</v>
      </c>
      <c r="O870" s="195"/>
      <c r="P870" s="196">
        <v>0.62083333333333302</v>
      </c>
      <c r="Q870" s="196">
        <v>0.64027777777777795</v>
      </c>
      <c r="R870" s="193" t="s">
        <v>42</v>
      </c>
      <c r="S870" s="193" t="s">
        <v>1382</v>
      </c>
      <c r="T870" s="197">
        <f t="shared" si="59"/>
        <v>360</v>
      </c>
      <c r="U870" s="193" t="s">
        <v>932</v>
      </c>
      <c r="V870" s="193" t="str">
        <f t="shared" si="60"/>
        <v>Makassar</v>
      </c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8"/>
      <c r="AL870" s="18"/>
    </row>
    <row r="871" spans="2:38" ht="15" customHeight="1" x14ac:dyDescent="0.2">
      <c r="B871" s="193">
        <v>1</v>
      </c>
      <c r="C871" s="347" t="s">
        <v>994</v>
      </c>
      <c r="D871" s="193" t="str">
        <f t="shared" si="58"/>
        <v>RBDPL000816SCM</v>
      </c>
      <c r="E871" s="193" t="s">
        <v>46</v>
      </c>
      <c r="F871" s="193" t="s">
        <v>1366</v>
      </c>
      <c r="G871" s="193" t="s">
        <v>1651</v>
      </c>
      <c r="H871" s="193" t="s">
        <v>107</v>
      </c>
      <c r="I871" s="193" t="s">
        <v>3</v>
      </c>
      <c r="J871" s="193" t="str">
        <f t="shared" si="61"/>
        <v>10 Roda</v>
      </c>
      <c r="K871" s="194">
        <v>46106</v>
      </c>
      <c r="L871" s="195">
        <v>11920</v>
      </c>
      <c r="M871" s="195">
        <v>27040</v>
      </c>
      <c r="N871" s="195">
        <v>15120</v>
      </c>
      <c r="O871" s="195"/>
      <c r="P871" s="196">
        <v>0.63194444444444398</v>
      </c>
      <c r="Q871" s="196">
        <v>0.66111111111111098</v>
      </c>
      <c r="R871" s="193" t="s">
        <v>42</v>
      </c>
      <c r="S871" s="193" t="s">
        <v>1393</v>
      </c>
      <c r="T871" s="197">
        <f t="shared" si="59"/>
        <v>400</v>
      </c>
      <c r="U871" s="193" t="s">
        <v>69</v>
      </c>
      <c r="V871" s="193" t="str">
        <f t="shared" si="60"/>
        <v>Gowa</v>
      </c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8"/>
      <c r="AL871" s="18"/>
    </row>
    <row r="872" spans="2:38" ht="15" customHeight="1" x14ac:dyDescent="0.2">
      <c r="B872" s="193">
        <v>1</v>
      </c>
      <c r="C872" s="347" t="s">
        <v>995</v>
      </c>
      <c r="D872" s="193" t="str">
        <f t="shared" si="58"/>
        <v>RBDPL000817SCM</v>
      </c>
      <c r="E872" s="193" t="s">
        <v>56</v>
      </c>
      <c r="F872" s="193" t="s">
        <v>1366</v>
      </c>
      <c r="G872" s="193" t="s">
        <v>1651</v>
      </c>
      <c r="H872" s="193" t="s">
        <v>107</v>
      </c>
      <c r="I872" s="193" t="s">
        <v>3</v>
      </c>
      <c r="J872" s="193" t="str">
        <f t="shared" si="61"/>
        <v>10 Roda</v>
      </c>
      <c r="K872" s="194">
        <v>46106</v>
      </c>
      <c r="L872" s="195">
        <v>10770</v>
      </c>
      <c r="M872" s="195">
        <v>25320</v>
      </c>
      <c r="N872" s="195">
        <v>14550</v>
      </c>
      <c r="O872" s="195"/>
      <c r="P872" s="196">
        <v>0.63819444444444395</v>
      </c>
      <c r="Q872" s="196">
        <v>0.68472222222222201</v>
      </c>
      <c r="R872" s="193" t="s">
        <v>42</v>
      </c>
      <c r="S872" s="193" t="s">
        <v>1781</v>
      </c>
      <c r="T872" s="197">
        <f t="shared" si="59"/>
        <v>400</v>
      </c>
      <c r="U872" s="193" t="s">
        <v>69</v>
      </c>
      <c r="V872" s="193" t="str">
        <f t="shared" si="60"/>
        <v>Gowa</v>
      </c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8"/>
      <c r="AL872" s="18"/>
    </row>
    <row r="873" spans="2:38" ht="15" customHeight="1" x14ac:dyDescent="0.2">
      <c r="B873" s="193">
        <v>1</v>
      </c>
      <c r="C873" s="347" t="s">
        <v>996</v>
      </c>
      <c r="D873" s="193" t="str">
        <f t="shared" si="58"/>
        <v>RBDPL000818DA</v>
      </c>
      <c r="E873" s="193" t="s">
        <v>997</v>
      </c>
      <c r="F873" s="193" t="s">
        <v>1367</v>
      </c>
      <c r="G873" s="193" t="s">
        <v>1653</v>
      </c>
      <c r="H873" s="193" t="s">
        <v>111</v>
      </c>
      <c r="I873" s="193" t="s">
        <v>3</v>
      </c>
      <c r="J873" s="193" t="str">
        <f t="shared" si="61"/>
        <v>6 Roda</v>
      </c>
      <c r="K873" s="194">
        <v>46106</v>
      </c>
      <c r="L873" s="195">
        <v>3800</v>
      </c>
      <c r="M873" s="195">
        <v>13390</v>
      </c>
      <c r="N873" s="195">
        <v>9590</v>
      </c>
      <c r="O873" s="195"/>
      <c r="P873" s="196">
        <v>0.719444444444444</v>
      </c>
      <c r="Q873" s="196">
        <v>0.74375000000000002</v>
      </c>
      <c r="R873" s="193" t="s">
        <v>42</v>
      </c>
      <c r="S873" s="193" t="s">
        <v>1376</v>
      </c>
      <c r="T873" s="197">
        <f t="shared" si="59"/>
        <v>360</v>
      </c>
      <c r="U873" s="193" t="s">
        <v>932</v>
      </c>
      <c r="V873" s="193" t="str">
        <f t="shared" si="60"/>
        <v>Makassar</v>
      </c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8"/>
      <c r="AL873" s="18"/>
    </row>
    <row r="874" spans="2:38" ht="15" customHeight="1" x14ac:dyDescent="0.2">
      <c r="B874" s="193">
        <v>1</v>
      </c>
      <c r="C874" s="347" t="s">
        <v>998</v>
      </c>
      <c r="D874" s="193" t="str">
        <f t="shared" si="58"/>
        <v>RBDPL000819BJL</v>
      </c>
      <c r="E874" s="193" t="s">
        <v>174</v>
      </c>
      <c r="F874" s="193" t="s">
        <v>1363</v>
      </c>
      <c r="G874" s="193" t="s">
        <v>1657</v>
      </c>
      <c r="H874" s="193" t="s">
        <v>86</v>
      </c>
      <c r="I874" s="193" t="s">
        <v>3</v>
      </c>
      <c r="J874" s="193" t="str">
        <f t="shared" si="61"/>
        <v>6 Roda</v>
      </c>
      <c r="K874" s="194">
        <v>46106</v>
      </c>
      <c r="L874" s="195">
        <v>4290</v>
      </c>
      <c r="M874" s="195">
        <v>13460</v>
      </c>
      <c r="N874" s="195">
        <v>9170</v>
      </c>
      <c r="O874" s="195"/>
      <c r="P874" s="196">
        <v>0.80833333333333302</v>
      </c>
      <c r="Q874" s="196">
        <v>0.82638888888888895</v>
      </c>
      <c r="R874" s="193" t="s">
        <v>137</v>
      </c>
      <c r="S874" s="193" t="s">
        <v>1465</v>
      </c>
      <c r="T874" s="197">
        <f t="shared" si="59"/>
        <v>562</v>
      </c>
      <c r="U874" s="193" t="s">
        <v>175</v>
      </c>
      <c r="V874" s="193" t="str">
        <f t="shared" si="60"/>
        <v>Palu</v>
      </c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8"/>
      <c r="AL874" s="18"/>
    </row>
    <row r="875" spans="2:38" ht="15" customHeight="1" x14ac:dyDescent="0.2">
      <c r="B875" s="193">
        <v>1</v>
      </c>
      <c r="C875" s="347" t="s">
        <v>999</v>
      </c>
      <c r="D875" s="193" t="str">
        <f t="shared" si="58"/>
        <v>RBDPL000820DA</v>
      </c>
      <c r="E875" s="193" t="s">
        <v>938</v>
      </c>
      <c r="F875" s="193" t="s">
        <v>1367</v>
      </c>
      <c r="G875" s="193" t="s">
        <v>1653</v>
      </c>
      <c r="H875" s="193" t="s">
        <v>111</v>
      </c>
      <c r="I875" s="193" t="s">
        <v>3</v>
      </c>
      <c r="J875" s="193" t="str">
        <f t="shared" si="61"/>
        <v>6 Roda</v>
      </c>
      <c r="K875" s="194">
        <v>46106</v>
      </c>
      <c r="L875" s="195">
        <v>3950</v>
      </c>
      <c r="M875" s="195">
        <v>13440</v>
      </c>
      <c r="N875" s="195">
        <v>9490</v>
      </c>
      <c r="O875" s="195"/>
      <c r="P875" s="196">
        <v>0.88124999999999998</v>
      </c>
      <c r="Q875" s="196">
        <v>0.9</v>
      </c>
      <c r="R875" s="193" t="s">
        <v>137</v>
      </c>
      <c r="S875" s="193" t="s">
        <v>1384</v>
      </c>
      <c r="T875" s="197">
        <f t="shared" si="59"/>
        <v>360</v>
      </c>
      <c r="U875" s="193" t="s">
        <v>932</v>
      </c>
      <c r="V875" s="193" t="str">
        <f t="shared" si="60"/>
        <v>Makassar</v>
      </c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8"/>
      <c r="AL875" s="18"/>
    </row>
    <row r="876" spans="2:38" ht="15" customHeight="1" x14ac:dyDescent="0.2">
      <c r="B876" s="193">
        <v>1</v>
      </c>
      <c r="C876" s="347" t="s">
        <v>1000</v>
      </c>
      <c r="D876" s="193" t="str">
        <f t="shared" si="58"/>
        <v>RBDPL000821BJL</v>
      </c>
      <c r="E876" s="193" t="s">
        <v>954</v>
      </c>
      <c r="F876" s="193" t="s">
        <v>1363</v>
      </c>
      <c r="G876" s="193" t="s">
        <v>1657</v>
      </c>
      <c r="H876" s="193" t="s">
        <v>86</v>
      </c>
      <c r="I876" s="193" t="s">
        <v>3</v>
      </c>
      <c r="J876" s="193" t="str">
        <f t="shared" si="61"/>
        <v>6 Roda</v>
      </c>
      <c r="K876" s="194">
        <v>46106</v>
      </c>
      <c r="L876" s="195">
        <v>4290</v>
      </c>
      <c r="M876" s="195">
        <v>13350</v>
      </c>
      <c r="N876" s="195">
        <v>9060</v>
      </c>
      <c r="O876" s="195"/>
      <c r="P876" s="196">
        <v>0.95833333333333304</v>
      </c>
      <c r="Q876" s="196">
        <v>0.98472222222222205</v>
      </c>
      <c r="R876" s="193" t="s">
        <v>137</v>
      </c>
      <c r="S876" s="193" t="s">
        <v>1465</v>
      </c>
      <c r="T876" s="197">
        <f t="shared" si="59"/>
        <v>562</v>
      </c>
      <c r="U876" s="193" t="s">
        <v>175</v>
      </c>
      <c r="V876" s="193" t="str">
        <f t="shared" si="60"/>
        <v>Palu</v>
      </c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8"/>
      <c r="AL876" s="18"/>
    </row>
    <row r="877" spans="2:38" ht="15" customHeight="1" x14ac:dyDescent="0.2">
      <c r="B877" s="193">
        <v>1</v>
      </c>
      <c r="C877" s="347" t="s">
        <v>1001</v>
      </c>
      <c r="D877" s="193" t="str">
        <f t="shared" si="58"/>
        <v>RBDPL000823DA</v>
      </c>
      <c r="E877" s="193" t="s">
        <v>147</v>
      </c>
      <c r="F877" s="193" t="s">
        <v>1367</v>
      </c>
      <c r="G877" s="193" t="s">
        <v>1653</v>
      </c>
      <c r="H877" s="193" t="s">
        <v>111</v>
      </c>
      <c r="I877" s="193" t="s">
        <v>3</v>
      </c>
      <c r="J877" s="193" t="str">
        <f t="shared" si="61"/>
        <v>6 Roda</v>
      </c>
      <c r="K877" s="194">
        <v>46107</v>
      </c>
      <c r="L877" s="195">
        <v>3870</v>
      </c>
      <c r="M877" s="195">
        <v>14030</v>
      </c>
      <c r="N877" s="195">
        <v>10160</v>
      </c>
      <c r="O877" s="195"/>
      <c r="P877" s="196">
        <v>0.59861111111111098</v>
      </c>
      <c r="Q877" s="196">
        <v>0.63680555555555596</v>
      </c>
      <c r="R877" s="193" t="s">
        <v>42</v>
      </c>
      <c r="S877" s="193" t="s">
        <v>1373</v>
      </c>
      <c r="T877" s="197">
        <f t="shared" si="59"/>
        <v>360</v>
      </c>
      <c r="U877" s="193" t="s">
        <v>932</v>
      </c>
      <c r="V877" s="193" t="str">
        <f t="shared" si="60"/>
        <v>Makassar</v>
      </c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8"/>
      <c r="AL877" s="18"/>
    </row>
    <row r="878" spans="2:38" ht="15" customHeight="1" x14ac:dyDescent="0.2">
      <c r="B878" s="193">
        <v>1</v>
      </c>
      <c r="C878" s="347" t="s">
        <v>1002</v>
      </c>
      <c r="D878" s="193" t="str">
        <f t="shared" si="58"/>
        <v>RBDPL000822SCM</v>
      </c>
      <c r="E878" s="193" t="s">
        <v>962</v>
      </c>
      <c r="F878" s="193" t="s">
        <v>1366</v>
      </c>
      <c r="G878" s="193" t="s">
        <v>1651</v>
      </c>
      <c r="H878" s="193" t="s">
        <v>107</v>
      </c>
      <c r="I878" s="193" t="s">
        <v>3</v>
      </c>
      <c r="J878" s="193" t="str">
        <f t="shared" si="61"/>
        <v>6 Roda</v>
      </c>
      <c r="K878" s="194">
        <v>46107</v>
      </c>
      <c r="L878" s="195">
        <v>4560</v>
      </c>
      <c r="M878" s="195">
        <v>13700</v>
      </c>
      <c r="N878" s="195">
        <v>9140</v>
      </c>
      <c r="O878" s="195"/>
      <c r="P878" s="196">
        <v>0.36527777777777798</v>
      </c>
      <c r="Q878" s="196">
        <v>0.39236111111111099</v>
      </c>
      <c r="R878" s="193" t="s">
        <v>42</v>
      </c>
      <c r="S878" s="193" t="s">
        <v>1398</v>
      </c>
      <c r="T878" s="197">
        <f t="shared" si="59"/>
        <v>400</v>
      </c>
      <c r="U878" s="193" t="s">
        <v>175</v>
      </c>
      <c r="V878" s="193" t="str">
        <f t="shared" si="60"/>
        <v>Gowa</v>
      </c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8"/>
      <c r="AL878" s="18"/>
    </row>
    <row r="879" spans="2:38" ht="15" customHeight="1" x14ac:dyDescent="0.2">
      <c r="B879" s="193">
        <v>1</v>
      </c>
      <c r="C879" s="347" t="s">
        <v>1003</v>
      </c>
      <c r="D879" s="193" t="str">
        <f t="shared" si="58"/>
        <v>RBDPL000824SCM</v>
      </c>
      <c r="E879" s="193" t="s">
        <v>236</v>
      </c>
      <c r="F879" s="193" t="s">
        <v>1366</v>
      </c>
      <c r="G879" s="193" t="s">
        <v>1651</v>
      </c>
      <c r="H879" s="193" t="s">
        <v>107</v>
      </c>
      <c r="I879" s="193" t="s">
        <v>3</v>
      </c>
      <c r="J879" s="193" t="str">
        <f t="shared" si="61"/>
        <v>6 Roda</v>
      </c>
      <c r="K879" s="194">
        <v>46107</v>
      </c>
      <c r="L879" s="195">
        <v>4020</v>
      </c>
      <c r="M879" s="195">
        <v>13080</v>
      </c>
      <c r="N879" s="195">
        <v>9060</v>
      </c>
      <c r="O879" s="195"/>
      <c r="P879" s="196">
        <v>0.64375000000000004</v>
      </c>
      <c r="Q879" s="196">
        <v>0.68333333333333302</v>
      </c>
      <c r="R879" s="193" t="s">
        <v>42</v>
      </c>
      <c r="S879" s="193" t="s">
        <v>1466</v>
      </c>
      <c r="T879" s="197">
        <f t="shared" si="59"/>
        <v>400</v>
      </c>
      <c r="U879" s="193" t="s">
        <v>175</v>
      </c>
      <c r="V879" s="193" t="str">
        <f t="shared" si="60"/>
        <v>Gowa</v>
      </c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8"/>
      <c r="AL879" s="18"/>
    </row>
    <row r="880" spans="2:38" ht="15" customHeight="1" x14ac:dyDescent="0.2">
      <c r="B880" s="193">
        <v>1</v>
      </c>
      <c r="C880" s="347" t="s">
        <v>1004</v>
      </c>
      <c r="D880" s="193" t="str">
        <f t="shared" si="58"/>
        <v>RBDPL000825SCM</v>
      </c>
      <c r="E880" s="193" t="s">
        <v>84</v>
      </c>
      <c r="F880" s="193" t="s">
        <v>1366</v>
      </c>
      <c r="G880" s="193" t="s">
        <v>1651</v>
      </c>
      <c r="H880" s="193" t="s">
        <v>107</v>
      </c>
      <c r="I880" s="193" t="s">
        <v>3</v>
      </c>
      <c r="J880" s="193" t="str">
        <f t="shared" si="61"/>
        <v>10 Roda</v>
      </c>
      <c r="K880" s="194">
        <v>46107</v>
      </c>
      <c r="L880" s="195">
        <v>12220</v>
      </c>
      <c r="M880" s="195">
        <v>27020</v>
      </c>
      <c r="N880" s="195">
        <v>14800</v>
      </c>
      <c r="O880" s="195"/>
      <c r="P880" s="196">
        <v>0.73263888888888895</v>
      </c>
      <c r="Q880" s="196">
        <v>0.77013888888888904</v>
      </c>
      <c r="R880" s="193" t="s">
        <v>137</v>
      </c>
      <c r="S880" s="193" t="s">
        <v>1397</v>
      </c>
      <c r="T880" s="197">
        <f t="shared" si="59"/>
        <v>400</v>
      </c>
      <c r="U880" s="193" t="s">
        <v>69</v>
      </c>
      <c r="V880" s="193" t="str">
        <f t="shared" si="60"/>
        <v>Gowa</v>
      </c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8"/>
      <c r="AL880" s="18"/>
    </row>
    <row r="881" spans="2:38" ht="15" customHeight="1" x14ac:dyDescent="0.2">
      <c r="B881" s="193">
        <v>1</v>
      </c>
      <c r="C881" s="347" t="s">
        <v>1005</v>
      </c>
      <c r="D881" s="193" t="str">
        <f t="shared" si="58"/>
        <v>RBDPL000827BJL</v>
      </c>
      <c r="E881" s="193" t="s">
        <v>236</v>
      </c>
      <c r="F881" s="193" t="s">
        <v>1363</v>
      </c>
      <c r="G881" s="193" t="s">
        <v>1657</v>
      </c>
      <c r="H881" s="193" t="s">
        <v>86</v>
      </c>
      <c r="I881" s="193" t="s">
        <v>3</v>
      </c>
      <c r="J881" s="193" t="str">
        <f t="shared" si="61"/>
        <v>6 Roda</v>
      </c>
      <c r="K881" s="194">
        <v>46108</v>
      </c>
      <c r="L881" s="195">
        <v>4030</v>
      </c>
      <c r="M881" s="195">
        <v>13080</v>
      </c>
      <c r="N881" s="195">
        <v>9050</v>
      </c>
      <c r="O881" s="195"/>
      <c r="P881" s="196">
        <v>0.374305555555556</v>
      </c>
      <c r="Q881" s="196">
        <v>0.40972222222222199</v>
      </c>
      <c r="R881" s="193" t="s">
        <v>42</v>
      </c>
      <c r="S881" s="193" t="s">
        <v>1466</v>
      </c>
      <c r="T881" s="197">
        <f t="shared" si="59"/>
        <v>562</v>
      </c>
      <c r="U881" s="193" t="s">
        <v>175</v>
      </c>
      <c r="V881" s="193" t="str">
        <f t="shared" si="60"/>
        <v>Palu</v>
      </c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8"/>
      <c r="AL881" s="18"/>
    </row>
    <row r="882" spans="2:38" ht="15" customHeight="1" x14ac:dyDescent="0.2">
      <c r="B882" s="193">
        <v>1</v>
      </c>
      <c r="C882" s="347" t="s">
        <v>1006</v>
      </c>
      <c r="D882" s="193" t="str">
        <f t="shared" si="58"/>
        <v>RBDPL000826SCM</v>
      </c>
      <c r="E882" s="193" t="s">
        <v>962</v>
      </c>
      <c r="F882" s="193" t="s">
        <v>1366</v>
      </c>
      <c r="G882" s="193" t="s">
        <v>1651</v>
      </c>
      <c r="H882" s="193" t="s">
        <v>107</v>
      </c>
      <c r="I882" s="193" t="s">
        <v>3</v>
      </c>
      <c r="J882" s="193" t="str">
        <f t="shared" si="61"/>
        <v>6 Roda</v>
      </c>
      <c r="K882" s="194">
        <v>46108</v>
      </c>
      <c r="L882" s="195">
        <v>4540</v>
      </c>
      <c r="M882" s="195">
        <v>13670</v>
      </c>
      <c r="N882" s="195">
        <v>9130</v>
      </c>
      <c r="O882" s="195"/>
      <c r="P882" s="196">
        <v>0.36249999999999999</v>
      </c>
      <c r="Q882" s="196">
        <v>0.39930555555555602</v>
      </c>
      <c r="R882" s="193" t="s">
        <v>42</v>
      </c>
      <c r="S882" s="193" t="s">
        <v>1398</v>
      </c>
      <c r="T882" s="197">
        <f t="shared" si="59"/>
        <v>400</v>
      </c>
      <c r="U882" s="193" t="s">
        <v>175</v>
      </c>
      <c r="V882" s="193" t="str">
        <f t="shared" si="60"/>
        <v>Gowa</v>
      </c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8"/>
      <c r="AL882" s="18"/>
    </row>
    <row r="883" spans="2:38" ht="15" customHeight="1" x14ac:dyDescent="0.2">
      <c r="B883" s="193">
        <v>1</v>
      </c>
      <c r="C883" s="347" t="s">
        <v>1007</v>
      </c>
      <c r="D883" s="193" t="str">
        <f t="shared" si="58"/>
        <v>RBDPL000828BJL</v>
      </c>
      <c r="E883" s="193" t="s">
        <v>839</v>
      </c>
      <c r="F883" s="193" t="s">
        <v>1363</v>
      </c>
      <c r="G883" s="193" t="s">
        <v>1657</v>
      </c>
      <c r="H883" s="193" t="s">
        <v>86</v>
      </c>
      <c r="I883" s="193" t="s">
        <v>3</v>
      </c>
      <c r="J883" s="193" t="str">
        <f t="shared" si="61"/>
        <v>6 Roda</v>
      </c>
      <c r="K883" s="194">
        <v>46108</v>
      </c>
      <c r="L883" s="195">
        <v>3810</v>
      </c>
      <c r="M883" s="195">
        <v>13010</v>
      </c>
      <c r="N883" s="195">
        <v>9200</v>
      </c>
      <c r="O883" s="195"/>
      <c r="P883" s="196">
        <v>0.57986111111111105</v>
      </c>
      <c r="Q883" s="196">
        <v>0.79861111111111105</v>
      </c>
      <c r="R883" s="193" t="s">
        <v>42</v>
      </c>
      <c r="S883" s="193" t="s">
        <v>1468</v>
      </c>
      <c r="T883" s="197">
        <f t="shared" si="59"/>
        <v>562</v>
      </c>
      <c r="U883" s="193" t="s">
        <v>175</v>
      </c>
      <c r="V883" s="193" t="str">
        <f t="shared" si="60"/>
        <v>Palu</v>
      </c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8"/>
      <c r="AL883" s="18"/>
    </row>
    <row r="884" spans="2:38" ht="15" customHeight="1" x14ac:dyDescent="0.2">
      <c r="B884" s="193">
        <v>1</v>
      </c>
      <c r="C884" s="347" t="s">
        <v>1008</v>
      </c>
      <c r="D884" s="193" t="str">
        <f t="shared" si="58"/>
        <v>RBDPL000829DA</v>
      </c>
      <c r="E884" s="193" t="s">
        <v>938</v>
      </c>
      <c r="F884" s="193" t="s">
        <v>1367</v>
      </c>
      <c r="G884" s="193" t="s">
        <v>1653</v>
      </c>
      <c r="H884" s="193" t="s">
        <v>111</v>
      </c>
      <c r="I884" s="193" t="s">
        <v>3</v>
      </c>
      <c r="J884" s="193" t="str">
        <f t="shared" si="61"/>
        <v>6 Roda</v>
      </c>
      <c r="K884" s="194">
        <v>46108</v>
      </c>
      <c r="L884" s="195">
        <v>3990</v>
      </c>
      <c r="M884" s="195">
        <v>13480</v>
      </c>
      <c r="N884" s="195">
        <v>9490</v>
      </c>
      <c r="O884" s="195"/>
      <c r="P884" s="196">
        <v>0.64236111111111105</v>
      </c>
      <c r="Q884" s="196">
        <v>0.66666666666666696</v>
      </c>
      <c r="R884" s="193" t="s">
        <v>42</v>
      </c>
      <c r="S884" s="193" t="s">
        <v>1384</v>
      </c>
      <c r="T884" s="197">
        <f t="shared" si="59"/>
        <v>360</v>
      </c>
      <c r="U884" s="193" t="s">
        <v>932</v>
      </c>
      <c r="V884" s="193" t="str">
        <f t="shared" si="60"/>
        <v>Makassar</v>
      </c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8"/>
      <c r="AL884" s="18"/>
    </row>
    <row r="885" spans="2:38" ht="15" customHeight="1" x14ac:dyDescent="0.2">
      <c r="B885" s="193">
        <v>1</v>
      </c>
      <c r="C885" s="347" t="s">
        <v>1009</v>
      </c>
      <c r="D885" s="193" t="str">
        <f t="shared" si="58"/>
        <v>RBDPL000830DA</v>
      </c>
      <c r="E885" s="193" t="s">
        <v>934</v>
      </c>
      <c r="F885" s="193" t="s">
        <v>1367</v>
      </c>
      <c r="G885" s="193" t="s">
        <v>1653</v>
      </c>
      <c r="H885" s="193" t="s">
        <v>111</v>
      </c>
      <c r="I885" s="193" t="s">
        <v>3</v>
      </c>
      <c r="J885" s="193" t="str">
        <f t="shared" si="61"/>
        <v>6 Roda</v>
      </c>
      <c r="K885" s="194">
        <v>46108</v>
      </c>
      <c r="L885" s="195">
        <v>3900</v>
      </c>
      <c r="M885" s="195">
        <v>13230</v>
      </c>
      <c r="N885" s="195">
        <v>9330</v>
      </c>
      <c r="O885" s="195"/>
      <c r="P885" s="196">
        <v>0.64375000000000004</v>
      </c>
      <c r="Q885" s="196">
        <v>0.686805555555556</v>
      </c>
      <c r="R885" s="193" t="s">
        <v>42</v>
      </c>
      <c r="S885" s="193" t="s">
        <v>1382</v>
      </c>
      <c r="T885" s="197">
        <f t="shared" si="59"/>
        <v>360</v>
      </c>
      <c r="U885" s="193" t="s">
        <v>932</v>
      </c>
      <c r="V885" s="193" t="str">
        <f t="shared" si="60"/>
        <v>Makassar</v>
      </c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8"/>
      <c r="AL885" s="18"/>
    </row>
    <row r="886" spans="2:38" ht="15" customHeight="1" x14ac:dyDescent="0.2">
      <c r="B886" s="193">
        <v>1</v>
      </c>
      <c r="C886" s="347" t="s">
        <v>1010</v>
      </c>
      <c r="D886" s="193" t="str">
        <f t="shared" si="58"/>
        <v>RBDPL000831HSA</v>
      </c>
      <c r="E886" s="193" t="s">
        <v>940</v>
      </c>
      <c r="F886" s="193" t="s">
        <v>1365</v>
      </c>
      <c r="G886" s="193" t="s">
        <v>1646</v>
      </c>
      <c r="H886" s="193" t="s">
        <v>103</v>
      </c>
      <c r="I886" s="193" t="s">
        <v>3</v>
      </c>
      <c r="J886" s="193" t="str">
        <f t="shared" si="61"/>
        <v>6 Roda</v>
      </c>
      <c r="K886" s="194">
        <v>46108</v>
      </c>
      <c r="L886" s="195">
        <v>3930</v>
      </c>
      <c r="M886" s="195">
        <v>13500</v>
      </c>
      <c r="N886" s="195">
        <v>9570</v>
      </c>
      <c r="O886" s="195"/>
      <c r="P886" s="196">
        <v>0.64444444444444504</v>
      </c>
      <c r="Q886" s="196">
        <v>0.69583333333333297</v>
      </c>
      <c r="R886" s="193" t="s">
        <v>42</v>
      </c>
      <c r="S886" s="193" t="s">
        <v>1383</v>
      </c>
      <c r="T886" s="197">
        <f t="shared" si="59"/>
        <v>360</v>
      </c>
      <c r="U886" s="193" t="s">
        <v>932</v>
      </c>
      <c r="V886" s="193" t="str">
        <f t="shared" si="60"/>
        <v>Makassar</v>
      </c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8"/>
      <c r="AL886" s="18"/>
    </row>
    <row r="887" spans="2:38" ht="15" customHeight="1" x14ac:dyDescent="0.2">
      <c r="B887" s="193">
        <v>1</v>
      </c>
      <c r="C887" s="347" t="s">
        <v>1011</v>
      </c>
      <c r="D887" s="193" t="str">
        <f t="shared" si="58"/>
        <v>RBDPL000832DA</v>
      </c>
      <c r="E887" s="193" t="s">
        <v>983</v>
      </c>
      <c r="F887" s="193" t="s">
        <v>1367</v>
      </c>
      <c r="G887" s="193" t="s">
        <v>1653</v>
      </c>
      <c r="H887" s="193" t="s">
        <v>111</v>
      </c>
      <c r="I887" s="193" t="s">
        <v>3</v>
      </c>
      <c r="J887" s="193" t="str">
        <f t="shared" si="61"/>
        <v>6 Roda</v>
      </c>
      <c r="K887" s="194">
        <v>46108</v>
      </c>
      <c r="L887" s="195">
        <v>4020</v>
      </c>
      <c r="M887" s="195">
        <v>13300</v>
      </c>
      <c r="N887" s="195">
        <v>9280</v>
      </c>
      <c r="O887" s="195"/>
      <c r="P887" s="196">
        <v>0.69236111111111098</v>
      </c>
      <c r="Q887" s="196">
        <v>0.71041666666666703</v>
      </c>
      <c r="R887" s="193" t="s">
        <v>42</v>
      </c>
      <c r="S887" s="193" t="s">
        <v>1387</v>
      </c>
      <c r="T887" s="197">
        <f t="shared" si="59"/>
        <v>360</v>
      </c>
      <c r="U887" s="193" t="s">
        <v>932</v>
      </c>
      <c r="V887" s="193" t="str">
        <f t="shared" si="60"/>
        <v>Makassar</v>
      </c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8"/>
      <c r="AL887" s="18"/>
    </row>
    <row r="888" spans="2:38" ht="15" customHeight="1" x14ac:dyDescent="0.2">
      <c r="B888" s="193">
        <v>1</v>
      </c>
      <c r="C888" s="347" t="s">
        <v>1012</v>
      </c>
      <c r="D888" s="193" t="str">
        <f t="shared" si="58"/>
        <v>RBDPL000833DA</v>
      </c>
      <c r="E888" s="193" t="s">
        <v>997</v>
      </c>
      <c r="F888" s="193" t="s">
        <v>1367</v>
      </c>
      <c r="G888" s="193" t="s">
        <v>1653</v>
      </c>
      <c r="H888" s="193" t="s">
        <v>111</v>
      </c>
      <c r="I888" s="193" t="s">
        <v>3</v>
      </c>
      <c r="J888" s="193" t="str">
        <f t="shared" si="61"/>
        <v>6 Roda</v>
      </c>
      <c r="K888" s="194">
        <v>46108</v>
      </c>
      <c r="L888" s="195">
        <v>3830</v>
      </c>
      <c r="M888" s="195">
        <v>13410</v>
      </c>
      <c r="N888" s="195">
        <v>9580</v>
      </c>
      <c r="O888" s="195"/>
      <c r="P888" s="196">
        <v>0.7</v>
      </c>
      <c r="Q888" s="196">
        <v>0.719444444444444</v>
      </c>
      <c r="R888" s="193" t="s">
        <v>42</v>
      </c>
      <c r="S888" s="193" t="s">
        <v>1376</v>
      </c>
      <c r="T888" s="197">
        <f t="shared" si="59"/>
        <v>360</v>
      </c>
      <c r="U888" s="193" t="s">
        <v>932</v>
      </c>
      <c r="V888" s="193" t="str">
        <f t="shared" si="60"/>
        <v>Makassar</v>
      </c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8"/>
      <c r="AL888" s="18"/>
    </row>
    <row r="889" spans="2:38" ht="15" customHeight="1" x14ac:dyDescent="0.2">
      <c r="B889" s="193">
        <v>1</v>
      </c>
      <c r="C889" s="347" t="s">
        <v>1013</v>
      </c>
      <c r="D889" s="193" t="str">
        <f t="shared" si="58"/>
        <v>RBDPL000834TDJ</v>
      </c>
      <c r="E889" s="193" t="s">
        <v>46</v>
      </c>
      <c r="F889" s="193" t="s">
        <v>1368</v>
      </c>
      <c r="G889" s="193" t="s">
        <v>1658</v>
      </c>
      <c r="H889" s="193" t="s">
        <v>1523</v>
      </c>
      <c r="I889" s="193" t="s">
        <v>3</v>
      </c>
      <c r="J889" s="193" t="str">
        <f t="shared" si="61"/>
        <v>10 Roda</v>
      </c>
      <c r="K889" s="194">
        <v>46108</v>
      </c>
      <c r="L889" s="195">
        <v>11900</v>
      </c>
      <c r="M889" s="195">
        <v>26950</v>
      </c>
      <c r="N889" s="195">
        <v>15050</v>
      </c>
      <c r="O889" s="195"/>
      <c r="P889" s="196">
        <v>0.70347222222222205</v>
      </c>
      <c r="Q889" s="196">
        <v>0.76666666666666705</v>
      </c>
      <c r="R889" s="193" t="s">
        <v>42</v>
      </c>
      <c r="S889" s="193" t="s">
        <v>1393</v>
      </c>
      <c r="T889" s="197">
        <f t="shared" si="59"/>
        <v>473</v>
      </c>
      <c r="U889" s="193" t="s">
        <v>69</v>
      </c>
      <c r="V889" s="193" t="str">
        <f t="shared" si="60"/>
        <v>Siumbatu</v>
      </c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8"/>
      <c r="AL889" s="18"/>
    </row>
    <row r="890" spans="2:38" ht="15" customHeight="1" x14ac:dyDescent="0.2">
      <c r="B890" s="193">
        <v>1</v>
      </c>
      <c r="C890" s="347" t="s">
        <v>1014</v>
      </c>
      <c r="D890" s="193" t="str">
        <f t="shared" si="58"/>
        <v>RBDPL000835SCM</v>
      </c>
      <c r="E890" s="193" t="s">
        <v>962</v>
      </c>
      <c r="F890" s="193" t="s">
        <v>1366</v>
      </c>
      <c r="G890" s="193" t="s">
        <v>1651</v>
      </c>
      <c r="H890" s="193" t="s">
        <v>107</v>
      </c>
      <c r="I890" s="193" t="s">
        <v>3</v>
      </c>
      <c r="J890" s="193" t="str">
        <f t="shared" si="61"/>
        <v>6 Roda</v>
      </c>
      <c r="K890" s="194">
        <v>46109</v>
      </c>
      <c r="L890" s="195">
        <v>4480</v>
      </c>
      <c r="M890" s="195">
        <v>13630</v>
      </c>
      <c r="N890" s="195">
        <v>9150</v>
      </c>
      <c r="O890" s="195"/>
      <c r="P890" s="196">
        <v>0.40208333333333302</v>
      </c>
      <c r="Q890" s="196">
        <v>0.43125000000000002</v>
      </c>
      <c r="R890" s="193" t="s">
        <v>42</v>
      </c>
      <c r="S890" s="193" t="s">
        <v>1398</v>
      </c>
      <c r="T890" s="197">
        <f t="shared" si="59"/>
        <v>400</v>
      </c>
      <c r="U890" s="193" t="s">
        <v>175</v>
      </c>
      <c r="V890" s="193" t="str">
        <f t="shared" si="60"/>
        <v>Gowa</v>
      </c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8"/>
      <c r="AL890" s="18"/>
    </row>
    <row r="891" spans="2:38" ht="15" customHeight="1" x14ac:dyDescent="0.2">
      <c r="B891" s="193">
        <v>1</v>
      </c>
      <c r="C891" s="347" t="s">
        <v>1015</v>
      </c>
      <c r="D891" s="193" t="str">
        <f t="shared" si="58"/>
        <v>RBDPL000836SCM</v>
      </c>
      <c r="E891" s="193" t="s">
        <v>962</v>
      </c>
      <c r="F891" s="193" t="s">
        <v>1366</v>
      </c>
      <c r="G891" s="193" t="s">
        <v>1651</v>
      </c>
      <c r="H891" s="193" t="s">
        <v>107</v>
      </c>
      <c r="I891" s="193" t="s">
        <v>3</v>
      </c>
      <c r="J891" s="193" t="str">
        <f t="shared" si="61"/>
        <v>6 Roda</v>
      </c>
      <c r="K891" s="194">
        <v>46109</v>
      </c>
      <c r="L891" s="195">
        <v>4480</v>
      </c>
      <c r="M891" s="195">
        <v>13690</v>
      </c>
      <c r="N891" s="195">
        <v>9210</v>
      </c>
      <c r="O891" s="195"/>
      <c r="P891" s="196">
        <v>0.66249999999999998</v>
      </c>
      <c r="Q891" s="196">
        <v>0.68472222222222201</v>
      </c>
      <c r="R891" s="193" t="s">
        <v>137</v>
      </c>
      <c r="S891" s="193" t="s">
        <v>1398</v>
      </c>
      <c r="T891" s="197">
        <f t="shared" si="59"/>
        <v>400</v>
      </c>
      <c r="U891" s="193" t="s">
        <v>175</v>
      </c>
      <c r="V891" s="193" t="str">
        <f t="shared" si="60"/>
        <v>Gowa</v>
      </c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8"/>
      <c r="AL891" s="18"/>
    </row>
    <row r="892" spans="2:38" ht="15" customHeight="1" x14ac:dyDescent="0.2">
      <c r="B892" s="193">
        <v>1</v>
      </c>
      <c r="C892" s="347" t="s">
        <v>1016</v>
      </c>
      <c r="D892" s="193" t="str">
        <f t="shared" si="58"/>
        <v>RBDPL000837HSA</v>
      </c>
      <c r="E892" s="193" t="s">
        <v>56</v>
      </c>
      <c r="F892" s="193" t="s">
        <v>1365</v>
      </c>
      <c r="G892" s="193" t="s">
        <v>1646</v>
      </c>
      <c r="H892" s="193" t="s">
        <v>103</v>
      </c>
      <c r="I892" s="193" t="s">
        <v>3</v>
      </c>
      <c r="J892" s="193" t="str">
        <f t="shared" si="61"/>
        <v>10 Roda</v>
      </c>
      <c r="K892" s="194">
        <v>46109</v>
      </c>
      <c r="L892" s="195">
        <v>10760</v>
      </c>
      <c r="M892" s="195">
        <v>25210</v>
      </c>
      <c r="N892" s="195">
        <v>14450</v>
      </c>
      <c r="O892" s="195"/>
      <c r="P892" s="196">
        <v>0.70694444444444504</v>
      </c>
      <c r="Q892" s="196">
        <v>0.74166666666666703</v>
      </c>
      <c r="R892" s="193" t="s">
        <v>137</v>
      </c>
      <c r="S892" s="193" t="s">
        <v>1781</v>
      </c>
      <c r="T892" s="197">
        <f t="shared" si="59"/>
        <v>360</v>
      </c>
      <c r="U892" s="193" t="s">
        <v>69</v>
      </c>
      <c r="V892" s="193" t="str">
        <f t="shared" si="60"/>
        <v>Makassar</v>
      </c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8"/>
      <c r="AL892" s="18"/>
    </row>
    <row r="893" spans="2:38" ht="15" customHeight="1" x14ac:dyDescent="0.2">
      <c r="B893" s="193">
        <v>1</v>
      </c>
      <c r="C893" s="347" t="s">
        <v>1017</v>
      </c>
      <c r="D893" s="193" t="str">
        <f t="shared" si="58"/>
        <v>RBDPL000838HSA</v>
      </c>
      <c r="E893" s="193" t="s">
        <v>84</v>
      </c>
      <c r="F893" s="193" t="s">
        <v>1365</v>
      </c>
      <c r="G893" s="193" t="s">
        <v>1646</v>
      </c>
      <c r="H893" s="193" t="s">
        <v>103</v>
      </c>
      <c r="I893" s="193" t="s">
        <v>3</v>
      </c>
      <c r="J893" s="193" t="str">
        <f t="shared" si="61"/>
        <v>10 Roda</v>
      </c>
      <c r="K893" s="194">
        <v>46109</v>
      </c>
      <c r="L893" s="195">
        <v>12250</v>
      </c>
      <c r="M893" s="195">
        <v>27020</v>
      </c>
      <c r="N893" s="195">
        <v>14770</v>
      </c>
      <c r="O893" s="195"/>
      <c r="P893" s="196">
        <v>0.719444444444444</v>
      </c>
      <c r="Q893" s="196">
        <v>0.75</v>
      </c>
      <c r="R893" s="193" t="s">
        <v>137</v>
      </c>
      <c r="S893" s="193" t="s">
        <v>1397</v>
      </c>
      <c r="T893" s="197">
        <f t="shared" si="59"/>
        <v>360</v>
      </c>
      <c r="U893" s="193" t="s">
        <v>69</v>
      </c>
      <c r="V893" s="193" t="str">
        <f t="shared" si="60"/>
        <v>Makassar</v>
      </c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8"/>
      <c r="AL893" s="18"/>
    </row>
    <row r="894" spans="2:38" ht="15" customHeight="1" x14ac:dyDescent="0.2">
      <c r="B894" s="193">
        <v>1</v>
      </c>
      <c r="C894" s="347" t="s">
        <v>1018</v>
      </c>
      <c r="D894" s="193" t="str">
        <f t="shared" si="58"/>
        <v>RBDPL000839BJL</v>
      </c>
      <c r="E894" s="193" t="s">
        <v>839</v>
      </c>
      <c r="F894" s="193" t="s">
        <v>1363</v>
      </c>
      <c r="G894" s="193" t="s">
        <v>1657</v>
      </c>
      <c r="H894" s="193" t="s">
        <v>86</v>
      </c>
      <c r="I894" s="193" t="s">
        <v>3</v>
      </c>
      <c r="J894" s="193" t="str">
        <f t="shared" si="61"/>
        <v>6 Roda</v>
      </c>
      <c r="K894" s="194">
        <v>46109</v>
      </c>
      <c r="L894" s="195">
        <v>3800</v>
      </c>
      <c r="M894" s="195">
        <v>13050</v>
      </c>
      <c r="N894" s="195">
        <v>9250</v>
      </c>
      <c r="O894" s="195"/>
      <c r="P894" s="196">
        <v>0.80763888888888902</v>
      </c>
      <c r="Q894" s="196">
        <v>0.83958333333333302</v>
      </c>
      <c r="R894" s="193" t="s">
        <v>137</v>
      </c>
      <c r="S894" s="193" t="s">
        <v>1468</v>
      </c>
      <c r="T894" s="197">
        <f t="shared" si="59"/>
        <v>562</v>
      </c>
      <c r="U894" s="193" t="s">
        <v>175</v>
      </c>
      <c r="V894" s="193" t="str">
        <f t="shared" si="60"/>
        <v>Palu</v>
      </c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8"/>
      <c r="AL894" s="18"/>
    </row>
    <row r="895" spans="2:38" ht="15" customHeight="1" x14ac:dyDescent="0.2">
      <c r="B895" s="193">
        <v>1</v>
      </c>
      <c r="C895" s="347" t="s">
        <v>1019</v>
      </c>
      <c r="D895" s="193" t="str">
        <f t="shared" si="58"/>
        <v>RBDPL000840DA</v>
      </c>
      <c r="E895" s="193" t="s">
        <v>174</v>
      </c>
      <c r="F895" s="193" t="s">
        <v>1367</v>
      </c>
      <c r="G895" s="193" t="s">
        <v>1653</v>
      </c>
      <c r="H895" s="193" t="s">
        <v>111</v>
      </c>
      <c r="I895" s="193" t="s">
        <v>3</v>
      </c>
      <c r="J895" s="193" t="str">
        <f t="shared" si="61"/>
        <v>6 Roda</v>
      </c>
      <c r="K895" s="194">
        <v>46109</v>
      </c>
      <c r="L895" s="195">
        <v>4310</v>
      </c>
      <c r="M895" s="195">
        <v>13400</v>
      </c>
      <c r="N895" s="195">
        <v>9090</v>
      </c>
      <c r="O895" s="195"/>
      <c r="P895" s="196">
        <v>0.82361111111111096</v>
      </c>
      <c r="Q895" s="196">
        <v>0.85347222222222197</v>
      </c>
      <c r="R895" s="193" t="s">
        <v>137</v>
      </c>
      <c r="S895" s="193" t="s">
        <v>1465</v>
      </c>
      <c r="T895" s="197">
        <f t="shared" si="59"/>
        <v>360</v>
      </c>
      <c r="U895" s="193" t="s">
        <v>175</v>
      </c>
      <c r="V895" s="193" t="str">
        <f t="shared" si="60"/>
        <v>Makassar</v>
      </c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8"/>
      <c r="AL895" s="18"/>
    </row>
    <row r="896" spans="2:38" ht="15" customHeight="1" x14ac:dyDescent="0.2">
      <c r="B896" s="193">
        <v>1</v>
      </c>
      <c r="C896" s="347" t="s">
        <v>1020</v>
      </c>
      <c r="D896" s="193" t="str">
        <f t="shared" si="58"/>
        <v>RBDPL000841DA</v>
      </c>
      <c r="E896" s="193" t="s">
        <v>1021</v>
      </c>
      <c r="F896" s="193" t="s">
        <v>1367</v>
      </c>
      <c r="G896" s="193" t="s">
        <v>1653</v>
      </c>
      <c r="H896" s="193" t="s">
        <v>111</v>
      </c>
      <c r="I896" s="193" t="s">
        <v>3</v>
      </c>
      <c r="J896" s="193" t="str">
        <f t="shared" si="61"/>
        <v>6 Roda</v>
      </c>
      <c r="K896" s="194">
        <v>46111</v>
      </c>
      <c r="L896" s="195">
        <v>4010</v>
      </c>
      <c r="M896" s="195">
        <v>13500</v>
      </c>
      <c r="N896" s="195">
        <v>9490</v>
      </c>
      <c r="O896" s="195"/>
      <c r="P896" s="196">
        <v>0.40138888888888902</v>
      </c>
      <c r="Q896" s="196">
        <v>0.44861111111111102</v>
      </c>
      <c r="R896" s="193" t="s">
        <v>137</v>
      </c>
      <c r="S896" s="193" t="s">
        <v>1384</v>
      </c>
      <c r="T896" s="197">
        <f t="shared" si="59"/>
        <v>360</v>
      </c>
      <c r="U896" s="193" t="s">
        <v>932</v>
      </c>
      <c r="V896" s="193" t="str">
        <f t="shared" si="60"/>
        <v>Makassar</v>
      </c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8"/>
      <c r="AL896" s="18"/>
    </row>
    <row r="897" spans="2:42" ht="15" customHeight="1" x14ac:dyDescent="0.2">
      <c r="B897" s="193">
        <v>1</v>
      </c>
      <c r="C897" s="347" t="s">
        <v>1022</v>
      </c>
      <c r="D897" s="193" t="str">
        <f t="shared" si="58"/>
        <v>RBDPL000842BJL</v>
      </c>
      <c r="E897" s="193" t="s">
        <v>1023</v>
      </c>
      <c r="F897" s="193" t="s">
        <v>1363</v>
      </c>
      <c r="G897" s="193" t="s">
        <v>1657</v>
      </c>
      <c r="H897" s="193" t="s">
        <v>86</v>
      </c>
      <c r="I897" s="193" t="s">
        <v>3</v>
      </c>
      <c r="J897" s="193" t="str">
        <f t="shared" si="61"/>
        <v>6 Roda</v>
      </c>
      <c r="K897" s="194">
        <v>46111</v>
      </c>
      <c r="L897" s="195">
        <v>4320</v>
      </c>
      <c r="M897" s="195">
        <v>13870</v>
      </c>
      <c r="N897" s="195">
        <v>9550</v>
      </c>
      <c r="O897" s="195"/>
      <c r="P897" s="196">
        <v>0.40347222222222201</v>
      </c>
      <c r="Q897" s="196">
        <v>0.46041666666666697</v>
      </c>
      <c r="R897" s="193" t="s">
        <v>137</v>
      </c>
      <c r="S897" s="193" t="s">
        <v>1467</v>
      </c>
      <c r="T897" s="197">
        <f t="shared" si="59"/>
        <v>562</v>
      </c>
      <c r="U897" s="193" t="s">
        <v>175</v>
      </c>
      <c r="V897" s="193" t="str">
        <f t="shared" si="60"/>
        <v>Palu</v>
      </c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8"/>
      <c r="AL897" s="18"/>
    </row>
    <row r="898" spans="2:42" ht="15" customHeight="1" x14ac:dyDescent="0.2">
      <c r="B898" s="193">
        <v>1</v>
      </c>
      <c r="C898" s="347" t="s">
        <v>1024</v>
      </c>
      <c r="D898" s="193" t="str">
        <f t="shared" si="58"/>
        <v>RBDPL000843DA</v>
      </c>
      <c r="E898" s="193" t="s">
        <v>973</v>
      </c>
      <c r="F898" s="193" t="s">
        <v>1367</v>
      </c>
      <c r="G898" s="193" t="s">
        <v>1653</v>
      </c>
      <c r="H898" s="193" t="s">
        <v>111</v>
      </c>
      <c r="I898" s="193" t="s">
        <v>3</v>
      </c>
      <c r="J898" s="193" t="str">
        <f t="shared" si="61"/>
        <v>6 Roda</v>
      </c>
      <c r="K898" s="194">
        <v>46111</v>
      </c>
      <c r="L898" s="195">
        <v>4070</v>
      </c>
      <c r="M898" s="195">
        <v>13370</v>
      </c>
      <c r="N898" s="195">
        <v>9300</v>
      </c>
      <c r="O898" s="195"/>
      <c r="P898" s="196">
        <v>0.44374999999999998</v>
      </c>
      <c r="Q898" s="196">
        <v>0.47430555555555598</v>
      </c>
      <c r="R898" s="193" t="s">
        <v>137</v>
      </c>
      <c r="S898" s="193" t="s">
        <v>1387</v>
      </c>
      <c r="T898" s="197">
        <f t="shared" si="59"/>
        <v>360</v>
      </c>
      <c r="U898" s="193" t="s">
        <v>932</v>
      </c>
      <c r="V898" s="193" t="str">
        <f t="shared" si="60"/>
        <v>Makassar</v>
      </c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8"/>
      <c r="AL898" s="18"/>
    </row>
    <row r="899" spans="2:42" ht="15" customHeight="1" x14ac:dyDescent="0.2">
      <c r="B899" s="193">
        <v>1</v>
      </c>
      <c r="C899" s="347" t="s">
        <v>1025</v>
      </c>
      <c r="D899" s="193" t="str">
        <f t="shared" si="58"/>
        <v>RBDPL000844DA</v>
      </c>
      <c r="E899" s="193" t="s">
        <v>997</v>
      </c>
      <c r="F899" s="193" t="s">
        <v>1367</v>
      </c>
      <c r="G899" s="193" t="s">
        <v>1653</v>
      </c>
      <c r="H899" s="193" t="s">
        <v>111</v>
      </c>
      <c r="I899" s="193" t="s">
        <v>3</v>
      </c>
      <c r="J899" s="193" t="str">
        <f t="shared" si="61"/>
        <v>6 Roda</v>
      </c>
      <c r="K899" s="194">
        <v>46111</v>
      </c>
      <c r="L899" s="195">
        <v>3840</v>
      </c>
      <c r="M899" s="195">
        <v>13420</v>
      </c>
      <c r="N899" s="195">
        <v>9580</v>
      </c>
      <c r="O899" s="195"/>
      <c r="P899" s="196">
        <v>0.44513888888888897</v>
      </c>
      <c r="Q899" s="196">
        <v>0.49097222222222198</v>
      </c>
      <c r="R899" s="193" t="s">
        <v>137</v>
      </c>
      <c r="S899" s="193" t="s">
        <v>1376</v>
      </c>
      <c r="T899" s="197">
        <f t="shared" si="59"/>
        <v>360</v>
      </c>
      <c r="U899" s="193" t="s">
        <v>932</v>
      </c>
      <c r="V899" s="193" t="str">
        <f t="shared" si="60"/>
        <v>Makassar</v>
      </c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8"/>
      <c r="AL899" s="18"/>
    </row>
    <row r="900" spans="2:42" ht="15" customHeight="1" x14ac:dyDescent="0.2">
      <c r="B900" s="193">
        <v>1</v>
      </c>
      <c r="C900" s="347" t="s">
        <v>1026</v>
      </c>
      <c r="D900" s="193" t="str">
        <f t="shared" si="58"/>
        <v>RBDPL000845DA</v>
      </c>
      <c r="E900" s="193" t="s">
        <v>1027</v>
      </c>
      <c r="F900" s="193" t="s">
        <v>1369</v>
      </c>
      <c r="G900" s="193" t="s">
        <v>1654</v>
      </c>
      <c r="H900" s="193" t="s">
        <v>111</v>
      </c>
      <c r="I900" s="193" t="s">
        <v>3</v>
      </c>
      <c r="J900" s="193" t="str">
        <f t="shared" si="61"/>
        <v>6 Roda</v>
      </c>
      <c r="K900" s="194">
        <v>46111</v>
      </c>
      <c r="L900" s="195">
        <v>3900</v>
      </c>
      <c r="M900" s="195">
        <v>13190</v>
      </c>
      <c r="N900" s="195">
        <v>9290</v>
      </c>
      <c r="O900" s="195"/>
      <c r="P900" s="196">
        <v>0.49861111111111101</v>
      </c>
      <c r="Q900" s="196">
        <v>0.52361111111111103</v>
      </c>
      <c r="R900" s="193" t="s">
        <v>137</v>
      </c>
      <c r="S900" s="193" t="s">
        <v>1382</v>
      </c>
      <c r="T900" s="197">
        <f t="shared" si="59"/>
        <v>360</v>
      </c>
      <c r="U900" s="193" t="s">
        <v>932</v>
      </c>
      <c r="V900" s="193" t="str">
        <f t="shared" si="60"/>
        <v>Makassar</v>
      </c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8"/>
      <c r="AL900" s="18"/>
    </row>
    <row r="901" spans="2:42" ht="15" customHeight="1" x14ac:dyDescent="0.2">
      <c r="B901" s="193">
        <v>1</v>
      </c>
      <c r="C901" s="347" t="s">
        <v>1028</v>
      </c>
      <c r="D901" s="193" t="str">
        <f t="shared" si="58"/>
        <v>RBDPL000846BJL</v>
      </c>
      <c r="E901" s="193" t="s">
        <v>174</v>
      </c>
      <c r="F901" s="193" t="s">
        <v>1363</v>
      </c>
      <c r="G901" s="193" t="s">
        <v>1657</v>
      </c>
      <c r="H901" s="193" t="s">
        <v>86</v>
      </c>
      <c r="I901" s="193" t="s">
        <v>3</v>
      </c>
      <c r="J901" s="193" t="str">
        <f t="shared" si="61"/>
        <v>6 Roda</v>
      </c>
      <c r="K901" s="194">
        <v>46111</v>
      </c>
      <c r="L901" s="195">
        <v>4490</v>
      </c>
      <c r="M901" s="195">
        <v>13540</v>
      </c>
      <c r="N901" s="195">
        <v>9050</v>
      </c>
      <c r="O901" s="195"/>
      <c r="P901" s="196">
        <v>0.5</v>
      </c>
      <c r="Q901" s="196">
        <v>0.53263888888888899</v>
      </c>
      <c r="R901" s="193" t="s">
        <v>137</v>
      </c>
      <c r="S901" s="193" t="s">
        <v>1465</v>
      </c>
      <c r="T901" s="197">
        <f t="shared" si="59"/>
        <v>562</v>
      </c>
      <c r="U901" s="193" t="s">
        <v>175</v>
      </c>
      <c r="V901" s="193" t="str">
        <f t="shared" si="60"/>
        <v>Palu</v>
      </c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8"/>
      <c r="AL901" s="18"/>
    </row>
    <row r="902" spans="2:42" ht="15" customHeight="1" x14ac:dyDescent="0.2">
      <c r="B902" s="193">
        <v>1</v>
      </c>
      <c r="C902" s="347" t="s">
        <v>1029</v>
      </c>
      <c r="D902" s="193" t="str">
        <f t="shared" si="58"/>
        <v>RBDPL000847DA</v>
      </c>
      <c r="E902" s="193" t="s">
        <v>940</v>
      </c>
      <c r="F902" s="193" t="s">
        <v>1369</v>
      </c>
      <c r="G902" s="193" t="s">
        <v>1654</v>
      </c>
      <c r="H902" s="193" t="s">
        <v>111</v>
      </c>
      <c r="I902" s="193" t="s">
        <v>3</v>
      </c>
      <c r="J902" s="193" t="str">
        <f t="shared" si="61"/>
        <v>6 Roda</v>
      </c>
      <c r="K902" s="194">
        <v>46111</v>
      </c>
      <c r="L902" s="195">
        <v>4030</v>
      </c>
      <c r="M902" s="195">
        <v>13540</v>
      </c>
      <c r="N902" s="195">
        <v>9510</v>
      </c>
      <c r="O902" s="195"/>
      <c r="P902" s="196">
        <v>0.50972222222222197</v>
      </c>
      <c r="Q902" s="196">
        <v>0.54652777777777795</v>
      </c>
      <c r="R902" s="193" t="s">
        <v>137</v>
      </c>
      <c r="S902" s="193" t="s">
        <v>1383</v>
      </c>
      <c r="T902" s="197">
        <f t="shared" si="59"/>
        <v>360</v>
      </c>
      <c r="U902" s="193" t="s">
        <v>932</v>
      </c>
      <c r="V902" s="193" t="str">
        <f t="shared" si="60"/>
        <v>Makassar</v>
      </c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8"/>
      <c r="AL902" s="18"/>
    </row>
    <row r="903" spans="2:42" ht="15" customHeight="1" x14ac:dyDescent="0.2">
      <c r="B903" s="193">
        <v>1</v>
      </c>
      <c r="C903" s="347" t="s">
        <v>1030</v>
      </c>
      <c r="D903" s="193" t="str">
        <f t="shared" si="58"/>
        <v>RBDPL000848DA</v>
      </c>
      <c r="E903" s="193" t="s">
        <v>147</v>
      </c>
      <c r="F903" s="193" t="s">
        <v>1369</v>
      </c>
      <c r="G903" s="193" t="s">
        <v>1654</v>
      </c>
      <c r="H903" s="193" t="s">
        <v>111</v>
      </c>
      <c r="I903" s="193" t="s">
        <v>3</v>
      </c>
      <c r="J903" s="193" t="str">
        <f t="shared" si="61"/>
        <v>6 Roda</v>
      </c>
      <c r="K903" s="194">
        <v>46111</v>
      </c>
      <c r="L903" s="195">
        <v>3990</v>
      </c>
      <c r="M903" s="195">
        <v>14090</v>
      </c>
      <c r="N903" s="195">
        <v>10100</v>
      </c>
      <c r="O903" s="195"/>
      <c r="P903" s="196">
        <v>0.53125</v>
      </c>
      <c r="Q903" s="196">
        <v>0.55833333333333302</v>
      </c>
      <c r="R903" s="193" t="s">
        <v>137</v>
      </c>
      <c r="S903" s="193" t="s">
        <v>1373</v>
      </c>
      <c r="T903" s="197">
        <f t="shared" si="59"/>
        <v>360</v>
      </c>
      <c r="U903" s="193" t="s">
        <v>932</v>
      </c>
      <c r="V903" s="193" t="str">
        <f t="shared" si="60"/>
        <v>Makassar</v>
      </c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8"/>
      <c r="AL903" s="18"/>
    </row>
    <row r="904" spans="2:42" ht="15" customHeight="1" x14ac:dyDescent="0.2">
      <c r="B904" s="193">
        <v>1</v>
      </c>
      <c r="C904" s="347" t="s">
        <v>1031</v>
      </c>
      <c r="D904" s="193" t="str">
        <f t="shared" si="58"/>
        <v>RBDPL000849HSA</v>
      </c>
      <c r="E904" s="193" t="s">
        <v>1032</v>
      </c>
      <c r="F904" s="193" t="s">
        <v>1365</v>
      </c>
      <c r="G904" s="193" t="s">
        <v>1646</v>
      </c>
      <c r="H904" s="193" t="s">
        <v>103</v>
      </c>
      <c r="I904" s="193" t="s">
        <v>3</v>
      </c>
      <c r="J904" s="193" t="str">
        <f t="shared" si="61"/>
        <v>6 Roda</v>
      </c>
      <c r="K904" s="194">
        <v>46111</v>
      </c>
      <c r="L904" s="195">
        <v>4130</v>
      </c>
      <c r="M904" s="195">
        <v>14290</v>
      </c>
      <c r="N904" s="195">
        <v>10160</v>
      </c>
      <c r="O904" s="195"/>
      <c r="P904" s="196">
        <v>0.63333333333333297</v>
      </c>
      <c r="Q904" s="196">
        <v>0.66527777777777797</v>
      </c>
      <c r="R904" s="193" t="s">
        <v>137</v>
      </c>
      <c r="S904" s="193" t="s">
        <v>1385</v>
      </c>
      <c r="T904" s="197">
        <f t="shared" si="59"/>
        <v>360</v>
      </c>
      <c r="U904" s="193" t="s">
        <v>932</v>
      </c>
      <c r="V904" s="193" t="str">
        <f t="shared" si="60"/>
        <v>Makassar</v>
      </c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8"/>
      <c r="AL904" s="18"/>
    </row>
    <row r="905" spans="2:42" ht="15" customHeight="1" x14ac:dyDescent="0.2">
      <c r="B905" s="193">
        <v>1</v>
      </c>
      <c r="C905" s="347" t="s">
        <v>695</v>
      </c>
      <c r="D905" s="193" t="str">
        <f t="shared" si="58"/>
        <v>CPO000541JAS</v>
      </c>
      <c r="E905" s="193" t="s">
        <v>76</v>
      </c>
      <c r="F905" s="193" t="s">
        <v>1441</v>
      </c>
      <c r="G905" s="193" t="s">
        <v>1354</v>
      </c>
      <c r="H905" s="193" t="s">
        <v>49</v>
      </c>
      <c r="I905" s="193" t="s">
        <v>41</v>
      </c>
      <c r="J905" s="193" t="str">
        <f t="shared" si="61"/>
        <v>12 Roda</v>
      </c>
      <c r="K905" s="194">
        <v>46050</v>
      </c>
      <c r="L905" s="195">
        <v>45970</v>
      </c>
      <c r="M905" s="195">
        <v>17590</v>
      </c>
      <c r="N905" s="195">
        <v>28380</v>
      </c>
      <c r="O905" s="195">
        <v>28320</v>
      </c>
      <c r="P905" s="196">
        <v>0.60833333333333295</v>
      </c>
      <c r="Q905" s="196">
        <v>0.65625</v>
      </c>
      <c r="R905" s="193" t="s">
        <v>42</v>
      </c>
      <c r="S905" s="193" t="s">
        <v>1372</v>
      </c>
      <c r="T905" s="197">
        <f t="shared" si="59"/>
        <v>68</v>
      </c>
      <c r="U905" s="193" t="s">
        <v>1922</v>
      </c>
      <c r="V905" s="193" t="str">
        <f t="shared" si="60"/>
        <v>Bone Bone</v>
      </c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8"/>
      <c r="AL905" s="18"/>
    </row>
    <row r="906" spans="2:42" ht="15" customHeight="1" x14ac:dyDescent="0.2">
      <c r="B906" s="193">
        <v>1</v>
      </c>
      <c r="C906" s="347" t="s">
        <v>1214</v>
      </c>
      <c r="D906" s="193" t="str">
        <f t="shared" si="58"/>
        <v>CPO000850JAS</v>
      </c>
      <c r="E906" s="193" t="s">
        <v>76</v>
      </c>
      <c r="F906" s="193" t="s">
        <v>1445</v>
      </c>
      <c r="G906" s="193" t="s">
        <v>1727</v>
      </c>
      <c r="H906" s="193" t="s">
        <v>49</v>
      </c>
      <c r="I906" s="193" t="s">
        <v>41</v>
      </c>
      <c r="J906" s="193" t="str">
        <f t="shared" si="61"/>
        <v>12 Roda</v>
      </c>
      <c r="K906" s="194">
        <v>46111</v>
      </c>
      <c r="L906" s="195">
        <v>46210</v>
      </c>
      <c r="M906" s="195">
        <v>17570</v>
      </c>
      <c r="N906" s="195">
        <v>28640</v>
      </c>
      <c r="O906" s="195">
        <v>28740</v>
      </c>
      <c r="P906" s="196">
        <v>0.6972222222222223</v>
      </c>
      <c r="Q906" s="196">
        <v>0.79513888888888884</v>
      </c>
      <c r="R906" s="193" t="s">
        <v>42</v>
      </c>
      <c r="S906" s="193" t="s">
        <v>1372</v>
      </c>
      <c r="T906" s="197">
        <f t="shared" si="59"/>
        <v>68</v>
      </c>
      <c r="U906" s="193" t="s">
        <v>1922</v>
      </c>
      <c r="V906" s="193" t="str">
        <f t="shared" si="60"/>
        <v>Bone Bone</v>
      </c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8"/>
      <c r="AL906" s="18"/>
    </row>
    <row r="907" spans="2:42" ht="15" customHeight="1" x14ac:dyDescent="0.2">
      <c r="B907" s="193">
        <v>1</v>
      </c>
      <c r="C907" s="347" t="s">
        <v>1033</v>
      </c>
      <c r="D907" s="193" t="str">
        <f t="shared" si="58"/>
        <v>RBDPL000853HSA</v>
      </c>
      <c r="E907" s="193" t="s">
        <v>1034</v>
      </c>
      <c r="F907" s="193" t="s">
        <v>1365</v>
      </c>
      <c r="G907" s="193" t="s">
        <v>1646</v>
      </c>
      <c r="H907" s="193" t="s">
        <v>103</v>
      </c>
      <c r="I907" s="193" t="s">
        <v>3</v>
      </c>
      <c r="J907" s="193" t="str">
        <f t="shared" si="61"/>
        <v>6 Roda</v>
      </c>
      <c r="K907" s="194">
        <v>46112</v>
      </c>
      <c r="L907" s="195">
        <v>3820</v>
      </c>
      <c r="M907" s="195">
        <v>13240</v>
      </c>
      <c r="N907" s="195">
        <v>9420</v>
      </c>
      <c r="O907" s="195"/>
      <c r="P907" s="196">
        <v>0.43125000000000002</v>
      </c>
      <c r="Q907" s="196">
        <v>0.44583333333333303</v>
      </c>
      <c r="R907" s="193" t="s">
        <v>137</v>
      </c>
      <c r="S907" s="193" t="s">
        <v>1381</v>
      </c>
      <c r="T907" s="197">
        <f t="shared" si="59"/>
        <v>360</v>
      </c>
      <c r="U907" s="193" t="s">
        <v>932</v>
      </c>
      <c r="V907" s="193" t="str">
        <f t="shared" si="60"/>
        <v>Makassar</v>
      </c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8"/>
      <c r="AL907" s="18"/>
      <c r="AP907" s="3" t="s">
        <v>1646</v>
      </c>
    </row>
    <row r="908" spans="2:42" ht="15" customHeight="1" x14ac:dyDescent="0.2">
      <c r="B908" s="193">
        <v>1</v>
      </c>
      <c r="C908" s="347" t="s">
        <v>1215</v>
      </c>
      <c r="D908" s="193" t="str">
        <f t="shared" si="58"/>
        <v>CPO000854JAS</v>
      </c>
      <c r="E908" s="193" t="s">
        <v>70</v>
      </c>
      <c r="F908" s="193" t="s">
        <v>1445</v>
      </c>
      <c r="G908" s="193" t="s">
        <v>1727</v>
      </c>
      <c r="H908" s="193" t="s">
        <v>49</v>
      </c>
      <c r="I908" s="193" t="s">
        <v>41</v>
      </c>
      <c r="J908" s="193" t="str">
        <f t="shared" si="61"/>
        <v>12 Roda</v>
      </c>
      <c r="K908" s="194">
        <v>46112</v>
      </c>
      <c r="L908" s="195">
        <v>46120</v>
      </c>
      <c r="M908" s="195">
        <v>17870</v>
      </c>
      <c r="N908" s="195">
        <v>28250</v>
      </c>
      <c r="O908" s="195">
        <v>28410</v>
      </c>
      <c r="P908" s="196">
        <v>0.53194444444444444</v>
      </c>
      <c r="Q908" s="196">
        <v>0.60277777777777775</v>
      </c>
      <c r="R908" s="193" t="s">
        <v>137</v>
      </c>
      <c r="S908" s="193" t="s">
        <v>1499</v>
      </c>
      <c r="T908" s="197">
        <f t="shared" si="59"/>
        <v>68</v>
      </c>
      <c r="U908" s="193" t="s">
        <v>1922</v>
      </c>
      <c r="V908" s="193" t="str">
        <f t="shared" si="60"/>
        <v>Bone Bone</v>
      </c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8"/>
      <c r="AL908" s="18"/>
    </row>
    <row r="909" spans="2:42" ht="15" customHeight="1" x14ac:dyDescent="0.2">
      <c r="B909" s="193">
        <v>1</v>
      </c>
      <c r="C909" s="347" t="s">
        <v>1216</v>
      </c>
      <c r="D909" s="193" t="str">
        <f t="shared" si="58"/>
        <v>CPO000855JAS</v>
      </c>
      <c r="E909" s="193" t="s">
        <v>76</v>
      </c>
      <c r="F909" s="193" t="s">
        <v>1445</v>
      </c>
      <c r="G909" s="193" t="s">
        <v>1727</v>
      </c>
      <c r="H909" s="193" t="s">
        <v>49</v>
      </c>
      <c r="I909" s="193" t="s">
        <v>41</v>
      </c>
      <c r="J909" s="193" t="str">
        <f t="shared" si="61"/>
        <v>12 Roda</v>
      </c>
      <c r="K909" s="194">
        <v>46112</v>
      </c>
      <c r="L909" s="195">
        <v>46120</v>
      </c>
      <c r="M909" s="195">
        <v>17770</v>
      </c>
      <c r="N909" s="195">
        <v>28350</v>
      </c>
      <c r="O909" s="195">
        <v>28560</v>
      </c>
      <c r="P909" s="196">
        <v>0.55625000000000002</v>
      </c>
      <c r="Q909" s="196">
        <v>0.60347222222222219</v>
      </c>
      <c r="R909" s="193" t="s">
        <v>137</v>
      </c>
      <c r="S909" s="193" t="s">
        <v>1372</v>
      </c>
      <c r="T909" s="197">
        <f t="shared" si="59"/>
        <v>68</v>
      </c>
      <c r="U909" s="193" t="s">
        <v>1922</v>
      </c>
      <c r="V909" s="193" t="str">
        <f t="shared" si="60"/>
        <v>Bone Bone</v>
      </c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8"/>
      <c r="AL909" s="18"/>
    </row>
    <row r="910" spans="2:42" ht="15" customHeight="1" x14ac:dyDescent="0.2">
      <c r="B910" s="193">
        <v>1</v>
      </c>
      <c r="C910" s="347" t="s">
        <v>1217</v>
      </c>
      <c r="D910" s="193" t="str">
        <f t="shared" si="58"/>
        <v>CPO000857JAS</v>
      </c>
      <c r="E910" s="193" t="s">
        <v>76</v>
      </c>
      <c r="F910" s="193" t="s">
        <v>1445</v>
      </c>
      <c r="G910" s="193" t="s">
        <v>1727</v>
      </c>
      <c r="H910" s="193" t="s">
        <v>49</v>
      </c>
      <c r="I910" s="193" t="s">
        <v>41</v>
      </c>
      <c r="J910" s="193" t="str">
        <f t="shared" si="61"/>
        <v>12 Roda</v>
      </c>
      <c r="K910" s="194">
        <v>46112</v>
      </c>
      <c r="L910" s="195">
        <v>46150</v>
      </c>
      <c r="M910" s="195">
        <v>17550</v>
      </c>
      <c r="N910" s="195">
        <v>28600</v>
      </c>
      <c r="O910" s="195">
        <v>28260</v>
      </c>
      <c r="P910" s="196">
        <v>0.88194444444444453</v>
      </c>
      <c r="Q910" s="196">
        <v>0.9472222222222223</v>
      </c>
      <c r="R910" s="193" t="s">
        <v>42</v>
      </c>
      <c r="S910" s="193" t="s">
        <v>1372</v>
      </c>
      <c r="T910" s="197">
        <f t="shared" si="59"/>
        <v>68</v>
      </c>
      <c r="U910" s="193" t="s">
        <v>1922</v>
      </c>
      <c r="V910" s="193" t="str">
        <f t="shared" si="60"/>
        <v>Bone Bone</v>
      </c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8"/>
      <c r="AL910" s="18"/>
    </row>
    <row r="911" spans="2:42" ht="15" customHeight="1" x14ac:dyDescent="0.2">
      <c r="B911" s="193">
        <v>1</v>
      </c>
      <c r="C911" s="347" t="s">
        <v>1213</v>
      </c>
      <c r="D911" s="193" t="str">
        <f t="shared" si="58"/>
        <v>CPO000851JAS</v>
      </c>
      <c r="E911" s="193" t="s">
        <v>70</v>
      </c>
      <c r="F911" s="193" t="s">
        <v>1445</v>
      </c>
      <c r="G911" s="193" t="s">
        <v>1727</v>
      </c>
      <c r="H911" s="193" t="s">
        <v>49</v>
      </c>
      <c r="I911" s="193" t="s">
        <v>41</v>
      </c>
      <c r="J911" s="193" t="str">
        <f t="shared" si="61"/>
        <v>12 Roda</v>
      </c>
      <c r="K911" s="194">
        <v>46111</v>
      </c>
      <c r="L911" s="195">
        <v>46080</v>
      </c>
      <c r="M911" s="195">
        <v>17700</v>
      </c>
      <c r="N911" s="195">
        <v>28380</v>
      </c>
      <c r="O911" s="195">
        <v>28650</v>
      </c>
      <c r="P911" s="196">
        <v>0.71319444444444446</v>
      </c>
      <c r="Q911" s="196">
        <v>0.79861111111111116</v>
      </c>
      <c r="R911" s="193" t="s">
        <v>42</v>
      </c>
      <c r="S911" s="193" t="s">
        <v>1499</v>
      </c>
      <c r="T911" s="197">
        <f t="shared" si="59"/>
        <v>68</v>
      </c>
      <c r="U911" s="193" t="s">
        <v>1922</v>
      </c>
      <c r="V911" s="193" t="str">
        <f t="shared" si="60"/>
        <v>Bone Bone</v>
      </c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8"/>
      <c r="AL911" s="18"/>
    </row>
    <row r="912" spans="2:42" ht="15" customHeight="1" x14ac:dyDescent="0.2">
      <c r="B912" s="193">
        <v>1</v>
      </c>
      <c r="C912" s="347" t="s">
        <v>1035</v>
      </c>
      <c r="D912" s="193" t="str">
        <f t="shared" ref="D912:D941" si="62">I912&amp;C912&amp;_xlfn.XLOOKUP(H912,$AM$4:$AM$26,$AN$4:$AN$26,"")</f>
        <v>RBDPL000858SCM</v>
      </c>
      <c r="E912" s="193" t="s">
        <v>958</v>
      </c>
      <c r="F912" s="193" t="s">
        <v>1366</v>
      </c>
      <c r="G912" s="193" t="s">
        <v>1651</v>
      </c>
      <c r="H912" s="193" t="s">
        <v>107</v>
      </c>
      <c r="I912" s="193" t="s">
        <v>3</v>
      </c>
      <c r="J912" s="193" t="str">
        <f t="shared" ref="J912:J924" si="63">IF(MIN(L912,M912)&lt;=5000,"6 Roda",IF(MIN(L912,M912)&lt;=13800,"10 Roda","12 Roda"))</f>
        <v>6 Roda</v>
      </c>
      <c r="K912" s="194">
        <v>46113</v>
      </c>
      <c r="L912" s="195">
        <v>4210</v>
      </c>
      <c r="M912" s="195">
        <v>13700</v>
      </c>
      <c r="N912" s="195">
        <v>9490</v>
      </c>
      <c r="O912" s="195"/>
      <c r="P912" s="196">
        <v>0.47986111111111102</v>
      </c>
      <c r="Q912" s="196">
        <v>0.51319444444444395</v>
      </c>
      <c r="R912" s="193" t="s">
        <v>137</v>
      </c>
      <c r="S912" s="193" t="s">
        <v>1388</v>
      </c>
      <c r="T912" s="197">
        <f t="shared" ref="T912:T942" si="64">IFERROR(_xlfn.XLOOKUP(H912,$AM$4:$AM$18,$AP$4:$AP$18,""),0)</f>
        <v>400</v>
      </c>
      <c r="U912" s="193" t="s">
        <v>175</v>
      </c>
      <c r="V912" s="193" t="str">
        <f t="shared" ref="V912:V942" si="65">IFERROR(_xlfn.XLOOKUP(H912,$AM$4:$AM$18,$AO$4:$AO$18,""),"")</f>
        <v>Gowa</v>
      </c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8"/>
      <c r="AL912" s="18"/>
      <c r="AP912" s="3" t="s">
        <v>1651</v>
      </c>
    </row>
    <row r="913" spans="2:42" ht="15" customHeight="1" x14ac:dyDescent="0.2">
      <c r="B913" s="193">
        <v>1</v>
      </c>
      <c r="C913" s="347" t="s">
        <v>1036</v>
      </c>
      <c r="D913" s="193" t="str">
        <f t="shared" si="62"/>
        <v>RBDPL000868DA</v>
      </c>
      <c r="E913" s="193" t="s">
        <v>997</v>
      </c>
      <c r="F913" s="193" t="s">
        <v>1369</v>
      </c>
      <c r="G913" s="193" t="s">
        <v>1654</v>
      </c>
      <c r="H913" s="193" t="s">
        <v>111</v>
      </c>
      <c r="I913" s="193" t="s">
        <v>3</v>
      </c>
      <c r="J913" s="193" t="str">
        <f t="shared" si="63"/>
        <v>6 Roda</v>
      </c>
      <c r="K913" s="194">
        <v>46113</v>
      </c>
      <c r="L913" s="195">
        <v>3840</v>
      </c>
      <c r="M913" s="195">
        <v>13430</v>
      </c>
      <c r="N913" s="195">
        <v>9590</v>
      </c>
      <c r="O913" s="195"/>
      <c r="P913" s="196">
        <v>0.86736111111111103</v>
      </c>
      <c r="Q913" s="196">
        <v>0.89375000000000004</v>
      </c>
      <c r="R913" s="193" t="s">
        <v>42</v>
      </c>
      <c r="S913" s="193" t="s">
        <v>1376</v>
      </c>
      <c r="T913" s="197">
        <f t="shared" si="64"/>
        <v>360</v>
      </c>
      <c r="U913" s="193" t="s">
        <v>932</v>
      </c>
      <c r="V913" s="193" t="str">
        <f t="shared" si="65"/>
        <v>Makassar</v>
      </c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8"/>
      <c r="AL913" s="18"/>
      <c r="AP913" s="3" t="s">
        <v>1654</v>
      </c>
    </row>
    <row r="914" spans="2:42" ht="15" customHeight="1" x14ac:dyDescent="0.2">
      <c r="B914" s="193">
        <v>1</v>
      </c>
      <c r="C914" s="347" t="s">
        <v>1037</v>
      </c>
      <c r="D914" s="193" t="str">
        <f t="shared" si="62"/>
        <v>RBDPL000867DA</v>
      </c>
      <c r="E914" s="193" t="s">
        <v>983</v>
      </c>
      <c r="F914" s="193" t="s">
        <v>1369</v>
      </c>
      <c r="G914" s="193" t="s">
        <v>1654</v>
      </c>
      <c r="H914" s="193" t="s">
        <v>111</v>
      </c>
      <c r="I914" s="193" t="s">
        <v>3</v>
      </c>
      <c r="J914" s="193" t="str">
        <f t="shared" si="63"/>
        <v>6 Roda</v>
      </c>
      <c r="K914" s="194">
        <v>46113</v>
      </c>
      <c r="L914" s="195">
        <v>4060</v>
      </c>
      <c r="M914" s="195">
        <v>13340</v>
      </c>
      <c r="N914" s="195">
        <v>9280</v>
      </c>
      <c r="O914" s="195"/>
      <c r="P914" s="196">
        <v>0.86597222222222203</v>
      </c>
      <c r="Q914" s="196">
        <v>0.89027777777777795</v>
      </c>
      <c r="R914" s="193" t="s">
        <v>42</v>
      </c>
      <c r="S914" s="193" t="s">
        <v>1387</v>
      </c>
      <c r="T914" s="197">
        <f t="shared" si="64"/>
        <v>360</v>
      </c>
      <c r="U914" s="193" t="s">
        <v>932</v>
      </c>
      <c r="V914" s="193" t="str">
        <f t="shared" si="65"/>
        <v>Makassar</v>
      </c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8"/>
      <c r="AL914" s="18"/>
      <c r="AP914" s="3" t="s">
        <v>1654</v>
      </c>
    </row>
    <row r="915" spans="2:42" ht="15" customHeight="1" x14ac:dyDescent="0.2">
      <c r="B915" s="193">
        <v>1</v>
      </c>
      <c r="C915" s="347" t="s">
        <v>1038</v>
      </c>
      <c r="D915" s="193" t="str">
        <f t="shared" si="62"/>
        <v>RBDPL000866DA</v>
      </c>
      <c r="E915" s="193" t="s">
        <v>936</v>
      </c>
      <c r="F915" s="193" t="s">
        <v>1369</v>
      </c>
      <c r="G915" s="193" t="s">
        <v>1654</v>
      </c>
      <c r="H915" s="193" t="s">
        <v>111</v>
      </c>
      <c r="I915" s="193" t="s">
        <v>3</v>
      </c>
      <c r="J915" s="193" t="str">
        <f t="shared" si="63"/>
        <v>6 Roda</v>
      </c>
      <c r="K915" s="194">
        <v>46113</v>
      </c>
      <c r="L915" s="195">
        <v>4160</v>
      </c>
      <c r="M915" s="195">
        <v>14320</v>
      </c>
      <c r="N915" s="195">
        <v>10160</v>
      </c>
      <c r="O915" s="195"/>
      <c r="P915" s="196">
        <v>0.84236111111111101</v>
      </c>
      <c r="Q915" s="196">
        <v>0.86805555555555602</v>
      </c>
      <c r="R915" s="193" t="s">
        <v>42</v>
      </c>
      <c r="S915" s="193" t="s">
        <v>1385</v>
      </c>
      <c r="T915" s="197">
        <f t="shared" si="64"/>
        <v>360</v>
      </c>
      <c r="U915" s="193" t="s">
        <v>932</v>
      </c>
      <c r="V915" s="193" t="str">
        <f t="shared" si="65"/>
        <v>Makassar</v>
      </c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8"/>
      <c r="AL915" s="18"/>
      <c r="AP915" s="3" t="s">
        <v>1654</v>
      </c>
    </row>
    <row r="916" spans="2:42" ht="15" customHeight="1" x14ac:dyDescent="0.2">
      <c r="B916" s="193">
        <v>1</v>
      </c>
      <c r="C916" s="347" t="s">
        <v>1039</v>
      </c>
      <c r="D916" s="193" t="str">
        <f t="shared" si="62"/>
        <v>RBDPL000865DA</v>
      </c>
      <c r="E916" s="193" t="s">
        <v>938</v>
      </c>
      <c r="F916" s="193" t="s">
        <v>1369</v>
      </c>
      <c r="G916" s="193" t="s">
        <v>1654</v>
      </c>
      <c r="H916" s="193" t="s">
        <v>111</v>
      </c>
      <c r="I916" s="193" t="s">
        <v>3</v>
      </c>
      <c r="J916" s="193" t="str">
        <f t="shared" si="63"/>
        <v>6 Roda</v>
      </c>
      <c r="K916" s="194">
        <v>46113</v>
      </c>
      <c r="L916" s="195">
        <v>3940</v>
      </c>
      <c r="M916" s="195">
        <v>13430</v>
      </c>
      <c r="N916" s="195">
        <v>9490</v>
      </c>
      <c r="O916" s="195"/>
      <c r="P916" s="196">
        <v>0.84027777777777801</v>
      </c>
      <c r="Q916" s="196">
        <v>0.86250000000000004</v>
      </c>
      <c r="R916" s="193" t="s">
        <v>42</v>
      </c>
      <c r="S916" s="193" t="s">
        <v>1384</v>
      </c>
      <c r="T916" s="197">
        <f t="shared" si="64"/>
        <v>360</v>
      </c>
      <c r="U916" s="193" t="s">
        <v>932</v>
      </c>
      <c r="V916" s="193" t="str">
        <f t="shared" si="65"/>
        <v>Makassar</v>
      </c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8"/>
      <c r="AL916" s="18"/>
      <c r="AP916" s="3" t="s">
        <v>1654</v>
      </c>
    </row>
    <row r="917" spans="2:42" ht="15" customHeight="1" x14ac:dyDescent="0.2">
      <c r="B917" s="193">
        <v>1</v>
      </c>
      <c r="C917" s="347" t="s">
        <v>1040</v>
      </c>
      <c r="D917" s="193" t="str">
        <f t="shared" si="62"/>
        <v>RBDPL000864DA</v>
      </c>
      <c r="E917" s="193" t="s">
        <v>934</v>
      </c>
      <c r="F917" s="193" t="s">
        <v>1369</v>
      </c>
      <c r="G917" s="193" t="s">
        <v>1654</v>
      </c>
      <c r="H917" s="193" t="s">
        <v>111</v>
      </c>
      <c r="I917" s="193" t="s">
        <v>3</v>
      </c>
      <c r="J917" s="193" t="str">
        <f t="shared" si="63"/>
        <v>6 Roda</v>
      </c>
      <c r="K917" s="194">
        <v>46113</v>
      </c>
      <c r="L917" s="195">
        <v>3870</v>
      </c>
      <c r="M917" s="195">
        <v>13190</v>
      </c>
      <c r="N917" s="195">
        <v>9320</v>
      </c>
      <c r="O917" s="195"/>
      <c r="P917" s="196">
        <v>0.75138888888888899</v>
      </c>
      <c r="Q917" s="196">
        <v>0.77638888888888902</v>
      </c>
      <c r="R917" s="193" t="s">
        <v>42</v>
      </c>
      <c r="S917" s="193" t="s">
        <v>1382</v>
      </c>
      <c r="T917" s="197">
        <f t="shared" si="64"/>
        <v>360</v>
      </c>
      <c r="U917" s="193" t="s">
        <v>932</v>
      </c>
      <c r="V917" s="193" t="str">
        <f t="shared" si="65"/>
        <v>Makassar</v>
      </c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8"/>
      <c r="AL917" s="18"/>
      <c r="AP917" s="3" t="s">
        <v>1654</v>
      </c>
    </row>
    <row r="918" spans="2:42" ht="15" customHeight="1" x14ac:dyDescent="0.2">
      <c r="B918" s="193">
        <v>1</v>
      </c>
      <c r="C918" s="347" t="s">
        <v>1041</v>
      </c>
      <c r="D918" s="193" t="str">
        <f t="shared" si="62"/>
        <v>RBDPL000863DA</v>
      </c>
      <c r="E918" s="193" t="s">
        <v>940</v>
      </c>
      <c r="F918" s="193" t="s">
        <v>1369</v>
      </c>
      <c r="G918" s="193" t="s">
        <v>1654</v>
      </c>
      <c r="H918" s="193" t="s">
        <v>111</v>
      </c>
      <c r="I918" s="193" t="s">
        <v>3</v>
      </c>
      <c r="J918" s="193" t="str">
        <f t="shared" si="63"/>
        <v>6 Roda</v>
      </c>
      <c r="K918" s="194">
        <v>46113</v>
      </c>
      <c r="L918" s="195">
        <v>4010</v>
      </c>
      <c r="M918" s="195">
        <v>13560</v>
      </c>
      <c r="N918" s="195">
        <v>9550</v>
      </c>
      <c r="O918" s="195"/>
      <c r="P918" s="196">
        <v>0.73750000000000004</v>
      </c>
      <c r="Q918" s="196">
        <v>0.75833333333333297</v>
      </c>
      <c r="R918" s="193" t="s">
        <v>42</v>
      </c>
      <c r="S918" s="193" t="s">
        <v>1383</v>
      </c>
      <c r="T918" s="197">
        <f t="shared" si="64"/>
        <v>360</v>
      </c>
      <c r="U918" s="193" t="s">
        <v>932</v>
      </c>
      <c r="V918" s="193" t="str">
        <f t="shared" si="65"/>
        <v>Makassar</v>
      </c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8"/>
      <c r="AL918" s="18"/>
      <c r="AP918" s="3" t="s">
        <v>1654</v>
      </c>
    </row>
    <row r="919" spans="2:42" ht="15" customHeight="1" x14ac:dyDescent="0.2">
      <c r="B919" s="193">
        <v>1</v>
      </c>
      <c r="C919" s="347" t="s">
        <v>1042</v>
      </c>
      <c r="D919" s="193" t="str">
        <f t="shared" si="62"/>
        <v>RBDPL000862HSA</v>
      </c>
      <c r="E919" s="193" t="s">
        <v>56</v>
      </c>
      <c r="F919" s="193" t="s">
        <v>1365</v>
      </c>
      <c r="G919" s="193" t="s">
        <v>1646</v>
      </c>
      <c r="H919" s="193" t="s">
        <v>103</v>
      </c>
      <c r="I919" s="193" t="s">
        <v>3</v>
      </c>
      <c r="J919" s="193" t="str">
        <f t="shared" si="63"/>
        <v>10 Roda</v>
      </c>
      <c r="K919" s="194">
        <v>46113</v>
      </c>
      <c r="L919" s="195">
        <v>10650</v>
      </c>
      <c r="M919" s="195">
        <v>25110</v>
      </c>
      <c r="N919" s="195">
        <v>14460</v>
      </c>
      <c r="O919" s="195"/>
      <c r="P919" s="196">
        <v>0.68958333333333299</v>
      </c>
      <c r="Q919" s="196">
        <v>0.74861111111111101</v>
      </c>
      <c r="R919" s="193" t="s">
        <v>137</v>
      </c>
      <c r="S919" s="193" t="s">
        <v>1781</v>
      </c>
      <c r="T919" s="197">
        <f t="shared" si="64"/>
        <v>360</v>
      </c>
      <c r="U919" s="193" t="s">
        <v>69</v>
      </c>
      <c r="V919" s="193" t="str">
        <f t="shared" si="65"/>
        <v>Makassar</v>
      </c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8"/>
      <c r="AL919" s="18"/>
      <c r="AP919" s="3" t="s">
        <v>1646</v>
      </c>
    </row>
    <row r="920" spans="2:42" ht="15" customHeight="1" x14ac:dyDescent="0.2">
      <c r="B920" s="193">
        <v>1</v>
      </c>
      <c r="C920" s="347" t="s">
        <v>1043</v>
      </c>
      <c r="D920" s="193" t="str">
        <f t="shared" si="62"/>
        <v>RBDPL000861HSA</v>
      </c>
      <c r="E920" s="193" t="s">
        <v>46</v>
      </c>
      <c r="F920" s="193" t="s">
        <v>1365</v>
      </c>
      <c r="G920" s="193" t="s">
        <v>1646</v>
      </c>
      <c r="H920" s="193" t="s">
        <v>103</v>
      </c>
      <c r="I920" s="193" t="s">
        <v>3</v>
      </c>
      <c r="J920" s="193" t="str">
        <f t="shared" si="63"/>
        <v>10 Roda</v>
      </c>
      <c r="K920" s="194">
        <v>46113</v>
      </c>
      <c r="L920" s="195">
        <v>11930</v>
      </c>
      <c r="M920" s="195">
        <v>27020</v>
      </c>
      <c r="N920" s="195">
        <v>15090</v>
      </c>
      <c r="O920" s="195"/>
      <c r="P920" s="196">
        <v>0.68125000000000002</v>
      </c>
      <c r="Q920" s="196">
        <v>0.72708333333333297</v>
      </c>
      <c r="R920" s="193" t="s">
        <v>137</v>
      </c>
      <c r="S920" s="193" t="s">
        <v>1393</v>
      </c>
      <c r="T920" s="197">
        <f t="shared" si="64"/>
        <v>360</v>
      </c>
      <c r="U920" s="193" t="s">
        <v>69</v>
      </c>
      <c r="V920" s="193" t="str">
        <f t="shared" si="65"/>
        <v>Makassar</v>
      </c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8"/>
      <c r="AL920" s="18"/>
      <c r="AP920" s="3" t="s">
        <v>1646</v>
      </c>
    </row>
    <row r="921" spans="2:42" ht="15" customHeight="1" x14ac:dyDescent="0.2">
      <c r="B921" s="193">
        <v>1</v>
      </c>
      <c r="C921" s="347" t="s">
        <v>1219</v>
      </c>
      <c r="D921" s="193" t="str">
        <f t="shared" si="62"/>
        <v>CPO000860JAS</v>
      </c>
      <c r="E921" s="193" t="s">
        <v>76</v>
      </c>
      <c r="F921" s="193" t="s">
        <v>1445</v>
      </c>
      <c r="G921" s="193" t="s">
        <v>1727</v>
      </c>
      <c r="H921" s="193" t="s">
        <v>49</v>
      </c>
      <c r="I921" s="193" t="s">
        <v>41</v>
      </c>
      <c r="J921" s="193" t="str">
        <f t="shared" si="63"/>
        <v>12 Roda</v>
      </c>
      <c r="K921" s="194">
        <v>46113</v>
      </c>
      <c r="L921" s="195">
        <v>46010</v>
      </c>
      <c r="M921" s="195">
        <v>17350</v>
      </c>
      <c r="N921" s="195">
        <v>28660</v>
      </c>
      <c r="O921" s="195">
        <v>28450</v>
      </c>
      <c r="P921" s="196">
        <v>0.50624999999999998</v>
      </c>
      <c r="Q921" s="196">
        <v>0.73263888888888884</v>
      </c>
      <c r="R921" s="193" t="s">
        <v>137</v>
      </c>
      <c r="S921" s="193" t="s">
        <v>1372</v>
      </c>
      <c r="T921" s="197">
        <f t="shared" si="64"/>
        <v>68</v>
      </c>
      <c r="U921" s="193" t="s">
        <v>1922</v>
      </c>
      <c r="V921" s="193" t="str">
        <f t="shared" si="65"/>
        <v>Bone Bone</v>
      </c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8"/>
      <c r="AL921" s="18"/>
    </row>
    <row r="922" spans="2:42" ht="15" customHeight="1" x14ac:dyDescent="0.2">
      <c r="B922" s="193">
        <v>1</v>
      </c>
      <c r="C922" s="347" t="s">
        <v>1220</v>
      </c>
      <c r="D922" s="193" t="str">
        <f t="shared" si="62"/>
        <v>CPO000859JAS</v>
      </c>
      <c r="E922" s="193" t="s">
        <v>70</v>
      </c>
      <c r="F922" s="193" t="s">
        <v>1445</v>
      </c>
      <c r="G922" s="193" t="s">
        <v>1727</v>
      </c>
      <c r="H922" s="193" t="s">
        <v>49</v>
      </c>
      <c r="I922" s="193" t="s">
        <v>41</v>
      </c>
      <c r="J922" s="193" t="str">
        <f t="shared" si="63"/>
        <v>12 Roda</v>
      </c>
      <c r="K922" s="194">
        <v>46113</v>
      </c>
      <c r="L922" s="195">
        <v>45900</v>
      </c>
      <c r="M922" s="195">
        <v>17250</v>
      </c>
      <c r="N922" s="195">
        <v>28650</v>
      </c>
      <c r="O922" s="195">
        <v>28300</v>
      </c>
      <c r="P922" s="196">
        <v>0.50555555555555554</v>
      </c>
      <c r="Q922" s="196">
        <v>0.7284722222222223</v>
      </c>
      <c r="R922" s="193" t="s">
        <v>137</v>
      </c>
      <c r="S922" s="193" t="s">
        <v>1499</v>
      </c>
      <c r="T922" s="197">
        <f t="shared" si="64"/>
        <v>68</v>
      </c>
      <c r="U922" s="193" t="s">
        <v>1922</v>
      </c>
      <c r="V922" s="193" t="str">
        <f t="shared" si="65"/>
        <v>Bone Bone</v>
      </c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8"/>
      <c r="AL922" s="18"/>
    </row>
    <row r="923" spans="2:42" ht="15" customHeight="1" x14ac:dyDescent="0.2">
      <c r="B923" s="193">
        <v>1</v>
      </c>
      <c r="C923" s="347" t="s">
        <v>1044</v>
      </c>
      <c r="D923" s="193" t="str">
        <f t="shared" si="62"/>
        <v>RBDPL000869DA</v>
      </c>
      <c r="E923" s="193" t="s">
        <v>166</v>
      </c>
      <c r="F923" s="193" t="s">
        <v>1369</v>
      </c>
      <c r="G923" s="193" t="s">
        <v>1654</v>
      </c>
      <c r="H923" s="193" t="s">
        <v>111</v>
      </c>
      <c r="I923" s="193" t="s">
        <v>3</v>
      </c>
      <c r="J923" s="193" t="str">
        <f t="shared" si="63"/>
        <v>6 Roda</v>
      </c>
      <c r="K923" s="194">
        <v>46114</v>
      </c>
      <c r="L923" s="195">
        <v>3850</v>
      </c>
      <c r="M923" s="195">
        <v>13280</v>
      </c>
      <c r="N923" s="195">
        <v>9430</v>
      </c>
      <c r="O923" s="195"/>
      <c r="P923" s="196">
        <v>0.42361111111111099</v>
      </c>
      <c r="Q923" s="196">
        <v>0.44305555555555598</v>
      </c>
      <c r="R923" s="193" t="s">
        <v>137</v>
      </c>
      <c r="S923" s="193" t="s">
        <v>1381</v>
      </c>
      <c r="T923" s="197">
        <f t="shared" si="64"/>
        <v>360</v>
      </c>
      <c r="U923" s="193" t="s">
        <v>932</v>
      </c>
      <c r="V923" s="193" t="str">
        <f t="shared" si="65"/>
        <v>Makassar</v>
      </c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8"/>
      <c r="AL923" s="18"/>
      <c r="AP923" s="3" t="s">
        <v>1654</v>
      </c>
    </row>
    <row r="924" spans="2:42" ht="15" customHeight="1" x14ac:dyDescent="0.2">
      <c r="B924" s="193">
        <v>1</v>
      </c>
      <c r="C924" s="347" t="s">
        <v>1045</v>
      </c>
      <c r="D924" s="193" t="str">
        <f t="shared" si="62"/>
        <v>RBDPL000878BJL</v>
      </c>
      <c r="E924" s="193" t="s">
        <v>151</v>
      </c>
      <c r="F924" s="193" t="s">
        <v>1363</v>
      </c>
      <c r="G924" s="193" t="s">
        <v>1657</v>
      </c>
      <c r="H924" s="193" t="s">
        <v>86</v>
      </c>
      <c r="I924" s="193" t="s">
        <v>3</v>
      </c>
      <c r="J924" s="193" t="str">
        <f t="shared" si="63"/>
        <v>6 Roda</v>
      </c>
      <c r="K924" s="194">
        <v>46114</v>
      </c>
      <c r="L924" s="195">
        <v>4180</v>
      </c>
      <c r="M924" s="195">
        <v>13670</v>
      </c>
      <c r="N924" s="195">
        <v>9490</v>
      </c>
      <c r="O924" s="195"/>
      <c r="P924" s="196">
        <v>0.93541666666666701</v>
      </c>
      <c r="Q924" s="196">
        <v>0.97499999999999998</v>
      </c>
      <c r="R924" s="193" t="s">
        <v>42</v>
      </c>
      <c r="S924" s="193" t="s">
        <v>1388</v>
      </c>
      <c r="T924" s="197">
        <f t="shared" si="64"/>
        <v>562</v>
      </c>
      <c r="U924" s="193" t="s">
        <v>175</v>
      </c>
      <c r="V924" s="193" t="str">
        <f t="shared" si="65"/>
        <v>Palu</v>
      </c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8"/>
      <c r="AL924" s="18"/>
      <c r="AP924" s="3" t="s">
        <v>1657</v>
      </c>
    </row>
    <row r="925" spans="2:42" ht="15" customHeight="1" x14ac:dyDescent="0.2">
      <c r="B925" s="193">
        <v>1</v>
      </c>
      <c r="C925" s="347" t="s">
        <v>1046</v>
      </c>
      <c r="D925" s="193" t="str">
        <f t="shared" si="62"/>
        <v>RBDPL000877BJL</v>
      </c>
      <c r="E925" s="193" t="s">
        <v>1047</v>
      </c>
      <c r="F925" s="193" t="s">
        <v>1363</v>
      </c>
      <c r="G925" s="193" t="s">
        <v>1657</v>
      </c>
      <c r="H925" s="193" t="s">
        <v>86</v>
      </c>
      <c r="I925" s="193" t="s">
        <v>3</v>
      </c>
      <c r="J925" s="193" t="str">
        <f t="shared" ref="J925:J983" si="66">IF(MIN(L925,M925)&lt;=5000,"6 Roda",IF(MIN(L925,M925)&lt;=13800,"10 Roda","12 Roda"))</f>
        <v>6 Roda</v>
      </c>
      <c r="K925" s="194">
        <v>46114</v>
      </c>
      <c r="L925" s="195">
        <v>4160</v>
      </c>
      <c r="M925" s="195">
        <v>12670</v>
      </c>
      <c r="N925" s="195">
        <v>8510</v>
      </c>
      <c r="O925" s="195"/>
      <c r="P925" s="196">
        <v>0.92291666666666705</v>
      </c>
      <c r="Q925" s="196">
        <v>0.94930555555555596</v>
      </c>
      <c r="R925" s="193" t="s">
        <v>42</v>
      </c>
      <c r="S925" s="193" t="s">
        <v>1479</v>
      </c>
      <c r="T925" s="197">
        <f t="shared" si="64"/>
        <v>562</v>
      </c>
      <c r="U925" s="193" t="s">
        <v>175</v>
      </c>
      <c r="V925" s="193" t="str">
        <f t="shared" si="65"/>
        <v>Palu</v>
      </c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8"/>
      <c r="AL925" s="18"/>
      <c r="AP925" s="3" t="s">
        <v>1657</v>
      </c>
    </row>
    <row r="926" spans="2:42" ht="15" customHeight="1" x14ac:dyDescent="0.2">
      <c r="B926" s="193">
        <v>1</v>
      </c>
      <c r="C926" s="347" t="s">
        <v>1048</v>
      </c>
      <c r="D926" s="193" t="str">
        <f t="shared" si="62"/>
        <v>RBDPL000876BJL</v>
      </c>
      <c r="E926" s="193" t="s">
        <v>839</v>
      </c>
      <c r="F926" s="193" t="s">
        <v>1363</v>
      </c>
      <c r="G926" s="193" t="s">
        <v>1657</v>
      </c>
      <c r="H926" s="193" t="s">
        <v>86</v>
      </c>
      <c r="I926" s="193" t="s">
        <v>3</v>
      </c>
      <c r="J926" s="193" t="str">
        <f t="shared" si="66"/>
        <v>6 Roda</v>
      </c>
      <c r="K926" s="194">
        <v>46114</v>
      </c>
      <c r="L926" s="195">
        <v>3810</v>
      </c>
      <c r="M926" s="195">
        <v>13070</v>
      </c>
      <c r="N926" s="195">
        <v>9260</v>
      </c>
      <c r="O926" s="195"/>
      <c r="P926" s="196">
        <v>0.88055555555555598</v>
      </c>
      <c r="Q926" s="196">
        <v>0.92430555555555605</v>
      </c>
      <c r="R926" s="193" t="s">
        <v>42</v>
      </c>
      <c r="S926" s="193" t="s">
        <v>1521</v>
      </c>
      <c r="T926" s="197">
        <f t="shared" si="64"/>
        <v>562</v>
      </c>
      <c r="U926" s="193" t="s">
        <v>175</v>
      </c>
      <c r="V926" s="193" t="str">
        <f t="shared" si="65"/>
        <v>Palu</v>
      </c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8"/>
      <c r="AL926" s="18"/>
      <c r="AP926" s="3" t="s">
        <v>1657</v>
      </c>
    </row>
    <row r="927" spans="2:42" ht="15" customHeight="1" x14ac:dyDescent="0.2">
      <c r="B927" s="193">
        <v>1</v>
      </c>
      <c r="C927" s="347" t="s">
        <v>1049</v>
      </c>
      <c r="D927" s="193" t="str">
        <f t="shared" si="62"/>
        <v>RBDPL000874BJL</v>
      </c>
      <c r="E927" s="193" t="s">
        <v>174</v>
      </c>
      <c r="F927" s="193" t="s">
        <v>1363</v>
      </c>
      <c r="G927" s="193" t="s">
        <v>1657</v>
      </c>
      <c r="H927" s="193" t="s">
        <v>86</v>
      </c>
      <c r="I927" s="193" t="s">
        <v>3</v>
      </c>
      <c r="J927" s="193" t="str">
        <f t="shared" si="66"/>
        <v>6 Roda</v>
      </c>
      <c r="K927" s="194">
        <v>46114</v>
      </c>
      <c r="L927" s="195">
        <v>4350</v>
      </c>
      <c r="M927" s="195">
        <v>13480</v>
      </c>
      <c r="N927" s="195">
        <v>9130</v>
      </c>
      <c r="O927" s="195"/>
      <c r="P927" s="196">
        <v>0.84583333333333299</v>
      </c>
      <c r="Q927" s="196">
        <v>0.87083333333333302</v>
      </c>
      <c r="R927" s="193" t="s">
        <v>42</v>
      </c>
      <c r="S927" s="193" t="s">
        <v>1465</v>
      </c>
      <c r="T927" s="197">
        <f t="shared" si="64"/>
        <v>562</v>
      </c>
      <c r="U927" s="193" t="s">
        <v>175</v>
      </c>
      <c r="V927" s="193" t="str">
        <f t="shared" si="65"/>
        <v>Palu</v>
      </c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8"/>
      <c r="AL927" s="18"/>
      <c r="AP927" s="3" t="s">
        <v>1657</v>
      </c>
    </row>
    <row r="928" spans="2:42" ht="15" customHeight="1" x14ac:dyDescent="0.2">
      <c r="B928" s="193">
        <v>1</v>
      </c>
      <c r="C928" s="347" t="s">
        <v>1050</v>
      </c>
      <c r="D928" s="193" t="str">
        <f t="shared" si="62"/>
        <v>RBDPL000870BJL</v>
      </c>
      <c r="E928" s="193" t="s">
        <v>169</v>
      </c>
      <c r="F928" s="193" t="s">
        <v>1363</v>
      </c>
      <c r="G928" s="193" t="s">
        <v>1657</v>
      </c>
      <c r="H928" s="193" t="s">
        <v>86</v>
      </c>
      <c r="I928" s="193" t="s">
        <v>3</v>
      </c>
      <c r="J928" s="193" t="str">
        <f t="shared" si="66"/>
        <v>6 Roda</v>
      </c>
      <c r="K928" s="194">
        <v>46114</v>
      </c>
      <c r="L928" s="195">
        <v>3980</v>
      </c>
      <c r="M928" s="195">
        <v>13510</v>
      </c>
      <c r="N928" s="195">
        <v>9530</v>
      </c>
      <c r="O928" s="195"/>
      <c r="P928" s="196">
        <v>0.68958333333333299</v>
      </c>
      <c r="Q928" s="196">
        <v>0.70694444444444504</v>
      </c>
      <c r="R928" s="193" t="s">
        <v>42</v>
      </c>
      <c r="S928" s="193" t="s">
        <v>1378</v>
      </c>
      <c r="T928" s="197">
        <f t="shared" si="64"/>
        <v>562</v>
      </c>
      <c r="U928" s="193" t="s">
        <v>175</v>
      </c>
      <c r="V928" s="193" t="str">
        <f t="shared" si="65"/>
        <v>Palu</v>
      </c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8"/>
      <c r="AL928" s="18"/>
      <c r="AP928" s="3" t="s">
        <v>1657</v>
      </c>
    </row>
    <row r="929" spans="2:42" ht="15" customHeight="1" x14ac:dyDescent="0.2">
      <c r="B929" s="193">
        <v>1</v>
      </c>
      <c r="C929" s="347" t="s">
        <v>1053</v>
      </c>
      <c r="D929" s="193" t="str">
        <f t="shared" si="62"/>
        <v>RBDPL000875HSA</v>
      </c>
      <c r="E929" s="193" t="s">
        <v>147</v>
      </c>
      <c r="F929" s="193" t="s">
        <v>1365</v>
      </c>
      <c r="G929" s="193" t="s">
        <v>1646</v>
      </c>
      <c r="H929" s="193" t="s">
        <v>103</v>
      </c>
      <c r="I929" s="193" t="s">
        <v>3</v>
      </c>
      <c r="J929" s="193" t="str">
        <f t="shared" si="66"/>
        <v>6 Roda</v>
      </c>
      <c r="K929" s="194">
        <v>46114</v>
      </c>
      <c r="L929" s="195">
        <v>3980</v>
      </c>
      <c r="M929" s="195">
        <v>14100</v>
      </c>
      <c r="N929" s="195">
        <v>10120</v>
      </c>
      <c r="O929" s="195"/>
      <c r="P929" s="196">
        <v>0.87916666666666698</v>
      </c>
      <c r="Q929" s="196">
        <v>0.91319444444444398</v>
      </c>
      <c r="R929" s="193" t="s">
        <v>42</v>
      </c>
      <c r="S929" s="193" t="s">
        <v>1373</v>
      </c>
      <c r="T929" s="197">
        <f t="shared" si="64"/>
        <v>360</v>
      </c>
      <c r="U929" s="193" t="s">
        <v>932</v>
      </c>
      <c r="V929" s="193" t="str">
        <f t="shared" si="65"/>
        <v>Makassar</v>
      </c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8"/>
      <c r="AL929" s="18"/>
      <c r="AP929" s="3" t="s">
        <v>1646</v>
      </c>
    </row>
    <row r="930" spans="2:42" ht="15" customHeight="1" x14ac:dyDescent="0.2">
      <c r="B930" s="193">
        <v>1</v>
      </c>
      <c r="C930" s="347" t="s">
        <v>1054</v>
      </c>
      <c r="D930" s="193" t="str">
        <f t="shared" si="62"/>
        <v>RBDPL000872HSA</v>
      </c>
      <c r="E930" s="193" t="s">
        <v>76</v>
      </c>
      <c r="F930" s="193" t="s">
        <v>1370</v>
      </c>
      <c r="G930" s="193" t="s">
        <v>1649</v>
      </c>
      <c r="H930" s="193" t="s">
        <v>103</v>
      </c>
      <c r="I930" s="193" t="s">
        <v>3</v>
      </c>
      <c r="J930" s="193" t="str">
        <f t="shared" si="66"/>
        <v>12 Roda</v>
      </c>
      <c r="K930" s="194">
        <v>46114</v>
      </c>
      <c r="L930" s="195">
        <v>17510</v>
      </c>
      <c r="M930" s="195">
        <v>46430</v>
      </c>
      <c r="N930" s="195">
        <v>28920</v>
      </c>
      <c r="O930" s="195"/>
      <c r="P930" s="196">
        <v>0.75347222222222199</v>
      </c>
      <c r="Q930" s="196">
        <v>0.79861111111111105</v>
      </c>
      <c r="R930" s="193" t="s">
        <v>42</v>
      </c>
      <c r="S930" s="193" t="s">
        <v>1372</v>
      </c>
      <c r="T930" s="197">
        <f t="shared" si="64"/>
        <v>360</v>
      </c>
      <c r="U930" s="193" t="s">
        <v>69</v>
      </c>
      <c r="V930" s="193" t="str">
        <f t="shared" si="65"/>
        <v>Makassar</v>
      </c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8"/>
      <c r="AL930" s="18"/>
      <c r="AP930" s="3" t="s">
        <v>1649</v>
      </c>
    </row>
    <row r="931" spans="2:42" ht="15" customHeight="1" x14ac:dyDescent="0.2">
      <c r="B931" s="193">
        <v>1</v>
      </c>
      <c r="C931" s="347" t="s">
        <v>1055</v>
      </c>
      <c r="D931" s="193" t="str">
        <f t="shared" si="62"/>
        <v>RBDPL000871HSA</v>
      </c>
      <c r="E931" s="193" t="s">
        <v>931</v>
      </c>
      <c r="F931" s="193" t="s">
        <v>1365</v>
      </c>
      <c r="G931" s="193" t="s">
        <v>1646</v>
      </c>
      <c r="H931" s="193" t="s">
        <v>103</v>
      </c>
      <c r="I931" s="193" t="s">
        <v>3</v>
      </c>
      <c r="J931" s="193" t="str">
        <f t="shared" si="66"/>
        <v>6 Roda</v>
      </c>
      <c r="K931" s="194">
        <v>46114</v>
      </c>
      <c r="L931" s="195">
        <v>4150</v>
      </c>
      <c r="M931" s="195">
        <v>13780</v>
      </c>
      <c r="N931" s="195">
        <v>9630</v>
      </c>
      <c r="O931" s="195"/>
      <c r="P931" s="196">
        <v>0.73402777777777795</v>
      </c>
      <c r="Q931" s="196">
        <v>0.77013888888888904</v>
      </c>
      <c r="R931" s="193" t="s">
        <v>42</v>
      </c>
      <c r="S931" s="193" t="s">
        <v>1377</v>
      </c>
      <c r="T931" s="197">
        <f t="shared" si="64"/>
        <v>360</v>
      </c>
      <c r="U931" s="193" t="s">
        <v>932</v>
      </c>
      <c r="V931" s="193" t="str">
        <f t="shared" si="65"/>
        <v>Makassar</v>
      </c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8"/>
      <c r="AL931" s="18"/>
      <c r="AP931" s="3" t="s">
        <v>1646</v>
      </c>
    </row>
    <row r="932" spans="2:42" ht="15" customHeight="1" x14ac:dyDescent="0.2">
      <c r="B932" s="193">
        <v>1</v>
      </c>
      <c r="C932" s="347" t="s">
        <v>1056</v>
      </c>
      <c r="D932" s="193" t="str">
        <f t="shared" si="62"/>
        <v>RBDPL000873DA</v>
      </c>
      <c r="E932" s="193" t="s">
        <v>70</v>
      </c>
      <c r="F932" s="193" t="s">
        <v>1369</v>
      </c>
      <c r="G932" s="193" t="s">
        <v>1654</v>
      </c>
      <c r="H932" s="193" t="s">
        <v>111</v>
      </c>
      <c r="I932" s="193" t="s">
        <v>3</v>
      </c>
      <c r="J932" s="193" t="str">
        <f t="shared" si="66"/>
        <v>12 Roda</v>
      </c>
      <c r="K932" s="194">
        <v>46114</v>
      </c>
      <c r="L932" s="195">
        <v>17460</v>
      </c>
      <c r="M932" s="195">
        <v>46390</v>
      </c>
      <c r="N932" s="195">
        <v>28930</v>
      </c>
      <c r="O932" s="195"/>
      <c r="P932" s="196">
        <v>0.78402777777777799</v>
      </c>
      <c r="Q932" s="196">
        <v>0.84236111111111101</v>
      </c>
      <c r="R932" s="193" t="s">
        <v>42</v>
      </c>
      <c r="S932" s="193" t="s">
        <v>1499</v>
      </c>
      <c r="T932" s="197">
        <f t="shared" si="64"/>
        <v>360</v>
      </c>
      <c r="U932" s="193" t="s">
        <v>69</v>
      </c>
      <c r="V932" s="193" t="str">
        <f t="shared" si="65"/>
        <v>Makassar</v>
      </c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8"/>
      <c r="AL932" s="18"/>
      <c r="AP932" s="3" t="s">
        <v>1654</v>
      </c>
    </row>
    <row r="933" spans="2:42" ht="15" customHeight="1" x14ac:dyDescent="0.2">
      <c r="B933" s="193">
        <v>1</v>
      </c>
      <c r="C933" s="347" t="s">
        <v>238</v>
      </c>
      <c r="D933" s="193" t="str">
        <f t="shared" si="62"/>
        <v>CPO000096JAS</v>
      </c>
      <c r="E933" s="193" t="s">
        <v>84</v>
      </c>
      <c r="F933" s="193" t="s">
        <v>1445</v>
      </c>
      <c r="G933" s="193" t="s">
        <v>1727</v>
      </c>
      <c r="H933" s="193" t="s">
        <v>49</v>
      </c>
      <c r="I933" s="193" t="s">
        <v>41</v>
      </c>
      <c r="J933" s="193" t="str">
        <f t="shared" si="66"/>
        <v>10 Roda</v>
      </c>
      <c r="K933" s="194">
        <v>46114</v>
      </c>
      <c r="L933" s="195">
        <v>26830</v>
      </c>
      <c r="M933" s="195">
        <v>12210</v>
      </c>
      <c r="N933" s="195">
        <v>14620</v>
      </c>
      <c r="O933" s="195">
        <v>14540</v>
      </c>
      <c r="P933" s="196">
        <v>0.61249999999999993</v>
      </c>
      <c r="Q933" s="196">
        <v>0.74444444444444446</v>
      </c>
      <c r="R933" s="193" t="s">
        <v>137</v>
      </c>
      <c r="S933" s="193" t="s">
        <v>1397</v>
      </c>
      <c r="T933" s="197">
        <f t="shared" si="64"/>
        <v>68</v>
      </c>
      <c r="U933" s="193" t="s">
        <v>1922</v>
      </c>
      <c r="V933" s="193" t="str">
        <f t="shared" si="65"/>
        <v>Bone Bone</v>
      </c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8"/>
      <c r="AL933" s="18"/>
    </row>
    <row r="934" spans="2:42" ht="15" customHeight="1" x14ac:dyDescent="0.2">
      <c r="B934" s="193">
        <v>1</v>
      </c>
      <c r="C934" s="347" t="s">
        <v>1051</v>
      </c>
      <c r="D934" s="193" t="str">
        <f t="shared" si="62"/>
        <v>RBDPL000880BJL</v>
      </c>
      <c r="E934" s="193" t="s">
        <v>1052</v>
      </c>
      <c r="F934" s="193" t="s">
        <v>1363</v>
      </c>
      <c r="G934" s="193" t="s">
        <v>1657</v>
      </c>
      <c r="H934" s="193" t="s">
        <v>86</v>
      </c>
      <c r="I934" s="193" t="s">
        <v>3</v>
      </c>
      <c r="J934" s="193" t="str">
        <f t="shared" si="66"/>
        <v>6 Roda</v>
      </c>
      <c r="K934" s="194">
        <v>46115</v>
      </c>
      <c r="L934" s="195">
        <v>4370</v>
      </c>
      <c r="M934" s="195">
        <v>13380</v>
      </c>
      <c r="N934" s="195">
        <v>9010</v>
      </c>
      <c r="O934" s="195"/>
      <c r="P934" s="196">
        <v>0.95972222222222203</v>
      </c>
      <c r="Q934" s="196">
        <v>9.7222222222222206E-3</v>
      </c>
      <c r="R934" s="193" t="s">
        <v>42</v>
      </c>
      <c r="S934" s="193" t="s">
        <v>1465</v>
      </c>
      <c r="T934" s="197">
        <f t="shared" si="64"/>
        <v>562</v>
      </c>
      <c r="U934" s="193" t="s">
        <v>175</v>
      </c>
      <c r="V934" s="193" t="str">
        <f t="shared" si="65"/>
        <v>Palu</v>
      </c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8"/>
      <c r="AL934" s="18"/>
      <c r="AP934" s="3" t="s">
        <v>1657</v>
      </c>
    </row>
    <row r="935" spans="2:42" ht="15" customHeight="1" x14ac:dyDescent="0.2">
      <c r="B935" s="193">
        <v>1</v>
      </c>
      <c r="C935" s="347" t="s">
        <v>1057</v>
      </c>
      <c r="D935" s="193" t="str">
        <f t="shared" si="62"/>
        <v>RBDPL000881SCM</v>
      </c>
      <c r="E935" s="193" t="s">
        <v>151</v>
      </c>
      <c r="F935" s="193" t="s">
        <v>1366</v>
      </c>
      <c r="G935" s="193" t="s">
        <v>1651</v>
      </c>
      <c r="H935" s="193" t="s">
        <v>107</v>
      </c>
      <c r="I935" s="193" t="s">
        <v>3</v>
      </c>
      <c r="J935" s="193" t="str">
        <f t="shared" si="66"/>
        <v>6 Roda</v>
      </c>
      <c r="K935" s="194">
        <v>46116</v>
      </c>
      <c r="L935" s="195">
        <v>4210</v>
      </c>
      <c r="M935" s="195">
        <v>13720</v>
      </c>
      <c r="N935" s="195">
        <v>9510</v>
      </c>
      <c r="O935" s="195"/>
      <c r="P935" s="196">
        <v>0.39861111111111103</v>
      </c>
      <c r="Q935" s="196">
        <v>0.43472222222222201</v>
      </c>
      <c r="R935" s="193" t="s">
        <v>137</v>
      </c>
      <c r="S935" s="193" t="s">
        <v>1388</v>
      </c>
      <c r="T935" s="197">
        <f t="shared" si="64"/>
        <v>400</v>
      </c>
      <c r="U935" s="193" t="s">
        <v>175</v>
      </c>
      <c r="V935" s="193" t="str">
        <f t="shared" si="65"/>
        <v>Gowa</v>
      </c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8"/>
      <c r="AL935" s="18"/>
      <c r="AP935" s="3" t="s">
        <v>1651</v>
      </c>
    </row>
    <row r="936" spans="2:42" ht="15" customHeight="1" x14ac:dyDescent="0.2">
      <c r="B936" s="193">
        <v>1</v>
      </c>
      <c r="C936" s="347" t="s">
        <v>1058</v>
      </c>
      <c r="D936" s="193" t="str">
        <f t="shared" si="62"/>
        <v>RBDPL000882HSA</v>
      </c>
      <c r="E936" s="193" t="s">
        <v>938</v>
      </c>
      <c r="F936" s="193" t="s">
        <v>1370</v>
      </c>
      <c r="G936" s="193" t="s">
        <v>1649</v>
      </c>
      <c r="H936" s="193" t="s">
        <v>103</v>
      </c>
      <c r="I936" s="193" t="s">
        <v>3</v>
      </c>
      <c r="J936" s="193" t="str">
        <f t="shared" si="66"/>
        <v>6 Roda</v>
      </c>
      <c r="K936" s="194">
        <v>46116</v>
      </c>
      <c r="L936" s="195">
        <v>4010</v>
      </c>
      <c r="M936" s="195">
        <v>13520</v>
      </c>
      <c r="N936" s="195">
        <v>9510</v>
      </c>
      <c r="O936" s="195"/>
      <c r="P936" s="196">
        <v>0.40486111111111101</v>
      </c>
      <c r="Q936" s="196">
        <v>0.44027777777777799</v>
      </c>
      <c r="R936" s="193" t="s">
        <v>137</v>
      </c>
      <c r="S936" s="193" t="s">
        <v>1384</v>
      </c>
      <c r="T936" s="197">
        <f t="shared" si="64"/>
        <v>360</v>
      </c>
      <c r="U936" s="193" t="s">
        <v>932</v>
      </c>
      <c r="V936" s="193" t="str">
        <f t="shared" si="65"/>
        <v>Makassar</v>
      </c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8"/>
      <c r="AL936" s="18"/>
      <c r="AP936" s="3" t="s">
        <v>1649</v>
      </c>
    </row>
    <row r="937" spans="2:42" ht="15" customHeight="1" x14ac:dyDescent="0.2">
      <c r="B937" s="193">
        <v>1</v>
      </c>
      <c r="C937" s="347" t="s">
        <v>1059</v>
      </c>
      <c r="D937" s="193" t="str">
        <f t="shared" si="62"/>
        <v>RBDPL000883BJL</v>
      </c>
      <c r="E937" s="193" t="s">
        <v>1060</v>
      </c>
      <c r="F937" s="193" t="s">
        <v>1363</v>
      </c>
      <c r="G937" s="193" t="s">
        <v>1657</v>
      </c>
      <c r="H937" s="193" t="s">
        <v>86</v>
      </c>
      <c r="I937" s="193" t="s">
        <v>3</v>
      </c>
      <c r="J937" s="193" t="str">
        <f t="shared" si="66"/>
        <v>6 Roda</v>
      </c>
      <c r="K937" s="194">
        <v>46116</v>
      </c>
      <c r="L937" s="195">
        <v>3930</v>
      </c>
      <c r="M937" s="195">
        <v>12950</v>
      </c>
      <c r="N937" s="195">
        <v>9020</v>
      </c>
      <c r="O937" s="195"/>
      <c r="P937" s="196">
        <v>0.44305555555555598</v>
      </c>
      <c r="Q937" s="196">
        <v>0.47777777777777802</v>
      </c>
      <c r="R937" s="193" t="s">
        <v>137</v>
      </c>
      <c r="S937" s="193" t="s">
        <v>1391</v>
      </c>
      <c r="T937" s="197">
        <f t="shared" si="64"/>
        <v>562</v>
      </c>
      <c r="U937" s="193" t="s">
        <v>175</v>
      </c>
      <c r="V937" s="193" t="str">
        <f t="shared" si="65"/>
        <v>Palu</v>
      </c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8"/>
      <c r="AL937" s="18"/>
      <c r="AP937" s="3" t="s">
        <v>1657</v>
      </c>
    </row>
    <row r="938" spans="2:42" ht="15" customHeight="1" x14ac:dyDescent="0.2">
      <c r="B938" s="193">
        <v>1</v>
      </c>
      <c r="C938" s="347" t="s">
        <v>1061</v>
      </c>
      <c r="D938" s="193" t="str">
        <f t="shared" si="62"/>
        <v>RBDPL000884SCM</v>
      </c>
      <c r="E938" s="193" t="s">
        <v>1062</v>
      </c>
      <c r="F938" s="193" t="s">
        <v>1366</v>
      </c>
      <c r="G938" s="193" t="s">
        <v>1651</v>
      </c>
      <c r="H938" s="193" t="s">
        <v>107</v>
      </c>
      <c r="I938" s="193" t="s">
        <v>3</v>
      </c>
      <c r="J938" s="193" t="str">
        <f t="shared" si="66"/>
        <v>6 Roda</v>
      </c>
      <c r="K938" s="194">
        <v>46116</v>
      </c>
      <c r="L938" s="195">
        <v>4100</v>
      </c>
      <c r="M938" s="195">
        <v>13630</v>
      </c>
      <c r="N938" s="195">
        <v>9530</v>
      </c>
      <c r="O938" s="195"/>
      <c r="P938" s="196">
        <v>0.44583333333333303</v>
      </c>
      <c r="Q938" s="196">
        <v>0.47152777777777799</v>
      </c>
      <c r="R938" s="193" t="s">
        <v>137</v>
      </c>
      <c r="S938" s="193" t="s">
        <v>1378</v>
      </c>
      <c r="T938" s="197">
        <f t="shared" si="64"/>
        <v>400</v>
      </c>
      <c r="U938" s="193" t="s">
        <v>175</v>
      </c>
      <c r="V938" s="193" t="str">
        <f t="shared" si="65"/>
        <v>Gowa</v>
      </c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8"/>
      <c r="AL938" s="18"/>
      <c r="AP938" s="3" t="s">
        <v>1651</v>
      </c>
    </row>
    <row r="939" spans="2:42" ht="15" customHeight="1" x14ac:dyDescent="0.2">
      <c r="B939" s="193">
        <v>1</v>
      </c>
      <c r="C939" s="347" t="s">
        <v>1063</v>
      </c>
      <c r="D939" s="193" t="str">
        <f t="shared" si="62"/>
        <v>RBDPL000885HSA</v>
      </c>
      <c r="E939" s="193" t="s">
        <v>1064</v>
      </c>
      <c r="F939" s="193" t="s">
        <v>1370</v>
      </c>
      <c r="G939" s="193" t="s">
        <v>1649</v>
      </c>
      <c r="H939" s="193" t="s">
        <v>103</v>
      </c>
      <c r="I939" s="193" t="s">
        <v>3</v>
      </c>
      <c r="J939" s="193" t="str">
        <f t="shared" si="66"/>
        <v>6 Roda</v>
      </c>
      <c r="K939" s="194">
        <v>46116</v>
      </c>
      <c r="L939" s="195">
        <v>3960</v>
      </c>
      <c r="M939" s="195">
        <v>13520</v>
      </c>
      <c r="N939" s="195">
        <v>9560</v>
      </c>
      <c r="O939" s="195"/>
      <c r="P939" s="196">
        <v>0.47499999999999998</v>
      </c>
      <c r="Q939" s="196">
        <v>0.49375000000000002</v>
      </c>
      <c r="R939" s="193" t="s">
        <v>137</v>
      </c>
      <c r="S939" s="193" t="s">
        <v>1383</v>
      </c>
      <c r="T939" s="197">
        <f t="shared" si="64"/>
        <v>360</v>
      </c>
      <c r="U939" s="193" t="s">
        <v>932</v>
      </c>
      <c r="V939" s="193" t="str">
        <f t="shared" si="65"/>
        <v>Makassar</v>
      </c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8"/>
      <c r="AL939" s="18"/>
      <c r="AP939" s="3" t="s">
        <v>1649</v>
      </c>
    </row>
    <row r="940" spans="2:42" ht="15" customHeight="1" x14ac:dyDescent="0.2">
      <c r="B940" s="193">
        <v>1</v>
      </c>
      <c r="C940" s="347" t="s">
        <v>1065</v>
      </c>
      <c r="D940" s="193" t="str">
        <f t="shared" si="62"/>
        <v>RBDPL000886HSA</v>
      </c>
      <c r="E940" s="193" t="s">
        <v>934</v>
      </c>
      <c r="F940" s="193" t="s">
        <v>1370</v>
      </c>
      <c r="G940" s="193" t="s">
        <v>1649</v>
      </c>
      <c r="H940" s="193" t="s">
        <v>103</v>
      </c>
      <c r="I940" s="193" t="s">
        <v>3</v>
      </c>
      <c r="J940" s="193" t="str">
        <f t="shared" si="66"/>
        <v>6 Roda</v>
      </c>
      <c r="K940" s="194">
        <v>46116</v>
      </c>
      <c r="L940" s="195">
        <v>3910</v>
      </c>
      <c r="M940" s="195">
        <v>13230</v>
      </c>
      <c r="N940" s="195">
        <v>9320</v>
      </c>
      <c r="O940" s="195"/>
      <c r="P940" s="196">
        <v>0.483333333333333</v>
      </c>
      <c r="Q940" s="196">
        <v>0.50277777777777799</v>
      </c>
      <c r="R940" s="193" t="s">
        <v>137</v>
      </c>
      <c r="S940" s="193" t="s">
        <v>1382</v>
      </c>
      <c r="T940" s="197">
        <f t="shared" si="64"/>
        <v>360</v>
      </c>
      <c r="U940" s="193" t="s">
        <v>932</v>
      </c>
      <c r="V940" s="193" t="str">
        <f t="shared" si="65"/>
        <v>Makassar</v>
      </c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8"/>
      <c r="AL940" s="18"/>
      <c r="AP940" s="3" t="s">
        <v>1649</v>
      </c>
    </row>
    <row r="941" spans="2:42" ht="15" customHeight="1" x14ac:dyDescent="0.2">
      <c r="B941" s="193">
        <v>1</v>
      </c>
      <c r="C941" s="347" t="s">
        <v>1066</v>
      </c>
      <c r="D941" s="193" t="str">
        <f t="shared" si="62"/>
        <v>RBDPL000887DA</v>
      </c>
      <c r="E941" s="193" t="s">
        <v>997</v>
      </c>
      <c r="F941" s="193" t="s">
        <v>1369</v>
      </c>
      <c r="G941" s="193" t="s">
        <v>1654</v>
      </c>
      <c r="H941" s="193" t="s">
        <v>111</v>
      </c>
      <c r="I941" s="193" t="s">
        <v>3</v>
      </c>
      <c r="J941" s="193" t="str">
        <f t="shared" si="66"/>
        <v>6 Roda</v>
      </c>
      <c r="K941" s="194">
        <v>46116</v>
      </c>
      <c r="L941" s="195">
        <v>3850</v>
      </c>
      <c r="M941" s="195">
        <v>13430</v>
      </c>
      <c r="N941" s="195">
        <v>9580</v>
      </c>
      <c r="O941" s="195"/>
      <c r="P941" s="196">
        <v>0.49722222222222201</v>
      </c>
      <c r="Q941" s="196">
        <v>0.51388888888888895</v>
      </c>
      <c r="R941" s="193" t="s">
        <v>137</v>
      </c>
      <c r="S941" s="193" t="s">
        <v>1376</v>
      </c>
      <c r="T941" s="197">
        <f t="shared" si="64"/>
        <v>360</v>
      </c>
      <c r="U941" s="193" t="s">
        <v>932</v>
      </c>
      <c r="V941" s="193" t="str">
        <f t="shared" si="65"/>
        <v>Makassar</v>
      </c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8"/>
      <c r="AL941" s="18"/>
      <c r="AP941" s="3" t="s">
        <v>1654</v>
      </c>
    </row>
    <row r="942" spans="2:42" ht="15" customHeight="1" x14ac:dyDescent="0.2">
      <c r="B942" s="193">
        <v>1</v>
      </c>
      <c r="C942" s="347" t="s">
        <v>1067</v>
      </c>
      <c r="D942" s="193" t="str">
        <f t="shared" ref="D942:D1005" si="67">I942&amp;C942&amp;_xlfn.XLOOKUP(H942,$AM$4:$AM$26,$AN$4:$AN$26,"")</f>
        <v>RBDPL000889DA</v>
      </c>
      <c r="E942" s="193" t="s">
        <v>983</v>
      </c>
      <c r="F942" s="193" t="s">
        <v>1369</v>
      </c>
      <c r="G942" s="193" t="s">
        <v>1654</v>
      </c>
      <c r="H942" s="193" t="s">
        <v>111</v>
      </c>
      <c r="I942" s="193" t="s">
        <v>3</v>
      </c>
      <c r="J942" s="193" t="str">
        <f t="shared" si="66"/>
        <v>6 Roda</v>
      </c>
      <c r="K942" s="194">
        <v>46116</v>
      </c>
      <c r="L942" s="195">
        <v>4040</v>
      </c>
      <c r="M942" s="195">
        <v>13350</v>
      </c>
      <c r="N942" s="195">
        <v>9310</v>
      </c>
      <c r="O942" s="195"/>
      <c r="P942" s="196">
        <v>0.56944444444444398</v>
      </c>
      <c r="Q942" s="196">
        <v>0.594444444444444</v>
      </c>
      <c r="R942" s="193" t="s">
        <v>42</v>
      </c>
      <c r="S942" s="193" t="s">
        <v>1387</v>
      </c>
      <c r="T942" s="197">
        <f t="shared" si="64"/>
        <v>360</v>
      </c>
      <c r="U942" s="193" t="s">
        <v>932</v>
      </c>
      <c r="V942" s="193" t="str">
        <f t="shared" si="65"/>
        <v>Makassar</v>
      </c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8"/>
      <c r="AL942" s="18"/>
      <c r="AP942" s="3" t="s">
        <v>1654</v>
      </c>
    </row>
    <row r="943" spans="2:42" ht="15" customHeight="1" x14ac:dyDescent="0.2">
      <c r="B943" s="193">
        <v>1</v>
      </c>
      <c r="C943" s="347" t="s">
        <v>1068</v>
      </c>
      <c r="D943" s="193" t="str">
        <f t="shared" si="67"/>
        <v>RBDPL000888HSA</v>
      </c>
      <c r="E943" s="193" t="s">
        <v>936</v>
      </c>
      <c r="F943" s="193" t="s">
        <v>1371</v>
      </c>
      <c r="G943" s="193" t="s">
        <v>1648</v>
      </c>
      <c r="H943" s="193" t="s">
        <v>103</v>
      </c>
      <c r="I943" s="193" t="s">
        <v>3</v>
      </c>
      <c r="J943" s="193" t="str">
        <f t="shared" si="66"/>
        <v>6 Roda</v>
      </c>
      <c r="K943" s="194">
        <v>46116</v>
      </c>
      <c r="L943" s="195">
        <v>4210</v>
      </c>
      <c r="M943" s="195">
        <v>14370</v>
      </c>
      <c r="N943" s="195">
        <v>10160</v>
      </c>
      <c r="O943" s="195"/>
      <c r="P943" s="196">
        <v>0.56805555555555598</v>
      </c>
      <c r="Q943" s="196">
        <v>0.58888888888888902</v>
      </c>
      <c r="R943" s="193" t="s">
        <v>42</v>
      </c>
      <c r="S943" s="193" t="s">
        <v>1385</v>
      </c>
      <c r="T943" s="197">
        <f t="shared" ref="T943:T1008" si="68">IFERROR(_xlfn.XLOOKUP(H943,$AM$4:$AM$18,$AP$4:$AP$18,""),0)</f>
        <v>360</v>
      </c>
      <c r="U943" s="193" t="s">
        <v>932</v>
      </c>
      <c r="V943" s="193" t="str">
        <f t="shared" ref="V943:V988" si="69">IFERROR(_xlfn.XLOOKUP(H943,$AM$4:$AM$18,$AO$4:$AO$18,""),"")</f>
        <v>Makassar</v>
      </c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8"/>
      <c r="AL943" s="18"/>
      <c r="AP943" s="3" t="s">
        <v>1648</v>
      </c>
    </row>
    <row r="944" spans="2:42" ht="15" customHeight="1" x14ac:dyDescent="0.2">
      <c r="B944" s="193">
        <v>1</v>
      </c>
      <c r="C944" s="347" t="s">
        <v>1069</v>
      </c>
      <c r="D944" s="193" t="str">
        <f t="shared" si="67"/>
        <v>RBDPL000890HSA</v>
      </c>
      <c r="E944" s="193" t="s">
        <v>166</v>
      </c>
      <c r="F944" s="193" t="s">
        <v>1371</v>
      </c>
      <c r="G944" s="193" t="s">
        <v>1648</v>
      </c>
      <c r="H944" s="193" t="s">
        <v>103</v>
      </c>
      <c r="I944" s="193" t="s">
        <v>3</v>
      </c>
      <c r="J944" s="193" t="str">
        <f t="shared" si="66"/>
        <v>6 Roda</v>
      </c>
      <c r="K944" s="194">
        <v>46116</v>
      </c>
      <c r="L944" s="195">
        <v>3860</v>
      </c>
      <c r="M944" s="195">
        <v>13290</v>
      </c>
      <c r="N944" s="195">
        <v>9430</v>
      </c>
      <c r="O944" s="195"/>
      <c r="P944" s="196">
        <v>0.66805555555555596</v>
      </c>
      <c r="Q944" s="196">
        <v>0.68333333333333302</v>
      </c>
      <c r="R944" s="193" t="s">
        <v>42</v>
      </c>
      <c r="S944" s="193" t="s">
        <v>1381</v>
      </c>
      <c r="T944" s="197">
        <f t="shared" si="68"/>
        <v>360</v>
      </c>
      <c r="U944" s="193" t="s">
        <v>932</v>
      </c>
      <c r="V944" s="193" t="str">
        <f t="shared" si="69"/>
        <v>Makassar</v>
      </c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8"/>
      <c r="AL944" s="18"/>
      <c r="AP944" s="3" t="s">
        <v>1648</v>
      </c>
    </row>
    <row r="945" spans="2:42" ht="15" customHeight="1" x14ac:dyDescent="0.2">
      <c r="B945" s="193">
        <v>1</v>
      </c>
      <c r="C945" s="347" t="s">
        <v>240</v>
      </c>
      <c r="D945" s="193" t="str">
        <f t="shared" si="67"/>
        <v>CPO000098JAS</v>
      </c>
      <c r="E945" s="193" t="s">
        <v>84</v>
      </c>
      <c r="F945" s="193" t="s">
        <v>1445</v>
      </c>
      <c r="G945" s="193" t="s">
        <v>1727</v>
      </c>
      <c r="H945" s="193" t="s">
        <v>49</v>
      </c>
      <c r="I945" s="193" t="s">
        <v>41</v>
      </c>
      <c r="J945" s="193" t="str">
        <f t="shared" si="66"/>
        <v>10 Roda</v>
      </c>
      <c r="K945" s="194">
        <v>46116</v>
      </c>
      <c r="L945" s="195">
        <v>26760</v>
      </c>
      <c r="M945" s="195">
        <v>12400</v>
      </c>
      <c r="N945" s="195">
        <v>14360</v>
      </c>
      <c r="O945" s="195">
        <v>14530</v>
      </c>
      <c r="P945" s="196">
        <v>0.36736111111111108</v>
      </c>
      <c r="Q945" s="196">
        <v>0.47916666666666669</v>
      </c>
      <c r="R945" s="193" t="s">
        <v>137</v>
      </c>
      <c r="S945" s="193" t="s">
        <v>1397</v>
      </c>
      <c r="T945" s="197">
        <f t="shared" si="68"/>
        <v>68</v>
      </c>
      <c r="U945" s="193" t="s">
        <v>1922</v>
      </c>
      <c r="V945" s="193" t="str">
        <f t="shared" si="69"/>
        <v>Bone Bone</v>
      </c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8"/>
      <c r="AL945" s="18"/>
    </row>
    <row r="946" spans="2:42" ht="15" customHeight="1" x14ac:dyDescent="0.2">
      <c r="B946" s="193">
        <v>1</v>
      </c>
      <c r="C946" s="347" t="s">
        <v>241</v>
      </c>
      <c r="D946" s="193" t="str">
        <f t="shared" si="67"/>
        <v>CPO000099JAS</v>
      </c>
      <c r="E946" s="193" t="s">
        <v>46</v>
      </c>
      <c r="F946" s="193" t="s">
        <v>1445</v>
      </c>
      <c r="G946" s="193" t="s">
        <v>1727</v>
      </c>
      <c r="H946" s="193" t="s">
        <v>49</v>
      </c>
      <c r="I946" s="193" t="s">
        <v>41</v>
      </c>
      <c r="J946" s="193" t="str">
        <f t="shared" si="66"/>
        <v>10 Roda</v>
      </c>
      <c r="K946" s="194">
        <v>46116</v>
      </c>
      <c r="L946" s="195">
        <v>26660</v>
      </c>
      <c r="M946" s="195">
        <v>11790</v>
      </c>
      <c r="N946" s="195">
        <v>14870</v>
      </c>
      <c r="O946" s="195">
        <v>14830</v>
      </c>
      <c r="P946" s="196">
        <v>0.61249999999999993</v>
      </c>
      <c r="Q946" s="196">
        <v>0.66388888888888886</v>
      </c>
      <c r="R946" s="193" t="s">
        <v>1221</v>
      </c>
      <c r="S946" s="193" t="s">
        <v>1393</v>
      </c>
      <c r="T946" s="197">
        <f t="shared" si="68"/>
        <v>68</v>
      </c>
      <c r="U946" s="193" t="s">
        <v>1922</v>
      </c>
      <c r="V946" s="193" t="str">
        <f t="shared" si="69"/>
        <v>Bone Bone</v>
      </c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8"/>
      <c r="AL946" s="18"/>
    </row>
    <row r="947" spans="2:42" ht="15" customHeight="1" x14ac:dyDescent="0.2">
      <c r="B947" s="193">
        <v>1</v>
      </c>
      <c r="C947" s="347" t="s">
        <v>242</v>
      </c>
      <c r="D947" s="193" t="str">
        <f t="shared" si="67"/>
        <v>CPO000100JAS</v>
      </c>
      <c r="E947" s="193" t="s">
        <v>56</v>
      </c>
      <c r="F947" s="193" t="s">
        <v>1445</v>
      </c>
      <c r="G947" s="193" t="s">
        <v>1727</v>
      </c>
      <c r="H947" s="193" t="s">
        <v>49</v>
      </c>
      <c r="I947" s="193" t="s">
        <v>41</v>
      </c>
      <c r="J947" s="193" t="str">
        <f t="shared" si="66"/>
        <v>10 Roda</v>
      </c>
      <c r="K947" s="194">
        <v>46116</v>
      </c>
      <c r="L947" s="195">
        <v>24980</v>
      </c>
      <c r="M947" s="195">
        <v>10710</v>
      </c>
      <c r="N947" s="195">
        <v>14270</v>
      </c>
      <c r="O947" s="195">
        <v>14230</v>
      </c>
      <c r="P947" s="196">
        <v>0.66319444444444442</v>
      </c>
      <c r="Q947" s="196">
        <v>0.70138888888888884</v>
      </c>
      <c r="R947" s="193" t="s">
        <v>1221</v>
      </c>
      <c r="S947" s="193" t="s">
        <v>1781</v>
      </c>
      <c r="T947" s="197">
        <f t="shared" si="68"/>
        <v>68</v>
      </c>
      <c r="U947" s="193" t="s">
        <v>1922</v>
      </c>
      <c r="V947" s="193" t="str">
        <f t="shared" si="69"/>
        <v>Bone Bone</v>
      </c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8"/>
      <c r="AL947" s="18"/>
    </row>
    <row r="948" spans="2:42" ht="15" customHeight="1" x14ac:dyDescent="0.2">
      <c r="B948" s="193">
        <v>1</v>
      </c>
      <c r="C948" s="347" t="s">
        <v>243</v>
      </c>
      <c r="D948" s="193" t="str">
        <f t="shared" si="67"/>
        <v>CPO000101JAS</v>
      </c>
      <c r="E948" s="193" t="s">
        <v>84</v>
      </c>
      <c r="F948" s="193" t="s">
        <v>1445</v>
      </c>
      <c r="G948" s="193" t="s">
        <v>1727</v>
      </c>
      <c r="H948" s="193" t="s">
        <v>49</v>
      </c>
      <c r="I948" s="193" t="s">
        <v>41</v>
      </c>
      <c r="J948" s="193" t="str">
        <f t="shared" si="66"/>
        <v>10 Roda</v>
      </c>
      <c r="K948" s="194">
        <v>46116</v>
      </c>
      <c r="L948" s="195">
        <v>26670</v>
      </c>
      <c r="M948" s="195">
        <v>12090</v>
      </c>
      <c r="N948" s="195">
        <v>14580</v>
      </c>
      <c r="O948" s="195">
        <v>14280</v>
      </c>
      <c r="P948" s="196">
        <v>0.68819444444444444</v>
      </c>
      <c r="Q948" s="196">
        <v>0.71527777777777779</v>
      </c>
      <c r="R948" s="193" t="s">
        <v>1221</v>
      </c>
      <c r="S948" s="193" t="s">
        <v>1397</v>
      </c>
      <c r="T948" s="197">
        <f t="shared" si="68"/>
        <v>68</v>
      </c>
      <c r="U948" s="193" t="s">
        <v>1922</v>
      </c>
      <c r="V948" s="193" t="str">
        <f t="shared" si="69"/>
        <v>Bone Bone</v>
      </c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8"/>
      <c r="AL948" s="18"/>
    </row>
    <row r="949" spans="2:42" ht="15" customHeight="1" x14ac:dyDescent="0.2">
      <c r="B949" s="193">
        <v>1</v>
      </c>
      <c r="C949" s="347" t="s">
        <v>1070</v>
      </c>
      <c r="D949" s="193" t="str">
        <f t="shared" si="67"/>
        <v>RBDPL000892WIN</v>
      </c>
      <c r="E949" s="193" t="s">
        <v>76</v>
      </c>
      <c r="F949" s="193" t="s">
        <v>1659</v>
      </c>
      <c r="G949" s="193" t="s">
        <v>1660</v>
      </c>
      <c r="H949" s="193" t="s">
        <v>115</v>
      </c>
      <c r="I949" s="193" t="s">
        <v>3</v>
      </c>
      <c r="J949" s="193" t="str">
        <f t="shared" si="66"/>
        <v>12 Roda</v>
      </c>
      <c r="K949" s="194">
        <v>46118</v>
      </c>
      <c r="L949" s="195">
        <v>46130</v>
      </c>
      <c r="M949" s="195">
        <v>17270</v>
      </c>
      <c r="N949" s="195">
        <v>28860</v>
      </c>
      <c r="O949" s="195"/>
      <c r="P949" s="196">
        <v>0.65069444444444502</v>
      </c>
      <c r="Q949" s="196">
        <v>0.70694444444444504</v>
      </c>
      <c r="R949" s="193" t="s">
        <v>42</v>
      </c>
      <c r="S949" s="193" t="s">
        <v>1372</v>
      </c>
      <c r="T949" s="197">
        <f t="shared" si="68"/>
        <v>642</v>
      </c>
      <c r="U949" s="193" t="s">
        <v>69</v>
      </c>
      <c r="V949" s="193" t="str">
        <f t="shared" si="69"/>
        <v>Torobulu</v>
      </c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8"/>
      <c r="AL949" s="18"/>
      <c r="AP949" s="3" t="s">
        <v>1660</v>
      </c>
    </row>
    <row r="950" spans="2:42" ht="15" customHeight="1" x14ac:dyDescent="0.2">
      <c r="B950" s="193">
        <v>1</v>
      </c>
      <c r="C950" s="347" t="s">
        <v>1071</v>
      </c>
      <c r="D950" s="193" t="str">
        <f t="shared" si="67"/>
        <v>RBDPL000895DA</v>
      </c>
      <c r="E950" s="193" t="s">
        <v>147</v>
      </c>
      <c r="F950" s="193" t="s">
        <v>1369</v>
      </c>
      <c r="G950" s="193" t="s">
        <v>1654</v>
      </c>
      <c r="H950" s="193" t="s">
        <v>111</v>
      </c>
      <c r="I950" s="193" t="s">
        <v>3</v>
      </c>
      <c r="J950" s="193" t="str">
        <f t="shared" si="66"/>
        <v>6 Roda</v>
      </c>
      <c r="K950" s="194">
        <v>46118</v>
      </c>
      <c r="L950" s="195">
        <v>14050</v>
      </c>
      <c r="M950" s="195">
        <v>3930</v>
      </c>
      <c r="N950" s="195">
        <v>10120</v>
      </c>
      <c r="O950" s="195"/>
      <c r="P950" s="196">
        <v>0.6875</v>
      </c>
      <c r="Q950" s="196">
        <v>0.72152777777777799</v>
      </c>
      <c r="R950" s="193" t="s">
        <v>137</v>
      </c>
      <c r="S950" s="193" t="s">
        <v>1373</v>
      </c>
      <c r="T950" s="197">
        <f t="shared" si="68"/>
        <v>360</v>
      </c>
      <c r="U950" s="193" t="s">
        <v>932</v>
      </c>
      <c r="V950" s="193" t="str">
        <f t="shared" si="69"/>
        <v>Makassar</v>
      </c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8"/>
      <c r="AL950" s="18"/>
      <c r="AP950" s="3" t="s">
        <v>1654</v>
      </c>
    </row>
    <row r="951" spans="2:42" ht="15" customHeight="1" x14ac:dyDescent="0.2">
      <c r="B951" s="193">
        <v>1</v>
      </c>
      <c r="C951" s="347" t="s">
        <v>1072</v>
      </c>
      <c r="D951" s="193" t="str">
        <f t="shared" si="67"/>
        <v>RBDPL000896DA</v>
      </c>
      <c r="E951" s="193" t="s">
        <v>1073</v>
      </c>
      <c r="F951" s="193" t="s">
        <v>1369</v>
      </c>
      <c r="G951" s="193" t="s">
        <v>1654</v>
      </c>
      <c r="H951" s="193" t="s">
        <v>111</v>
      </c>
      <c r="I951" s="193" t="s">
        <v>3</v>
      </c>
      <c r="J951" s="193" t="str">
        <f t="shared" si="66"/>
        <v>6 Roda</v>
      </c>
      <c r="K951" s="194">
        <v>46118</v>
      </c>
      <c r="L951" s="195">
        <v>12470</v>
      </c>
      <c r="M951" s="195">
        <v>4070</v>
      </c>
      <c r="N951" s="195">
        <v>8400</v>
      </c>
      <c r="O951" s="195"/>
      <c r="P951" s="196">
        <v>0.69236111111111098</v>
      </c>
      <c r="Q951" s="196">
        <v>0.75</v>
      </c>
      <c r="R951" s="193" t="s">
        <v>137</v>
      </c>
      <c r="S951" s="193" t="s">
        <v>1374</v>
      </c>
      <c r="T951" s="197">
        <f t="shared" si="68"/>
        <v>360</v>
      </c>
      <c r="U951" s="193" t="s">
        <v>175</v>
      </c>
      <c r="V951" s="193" t="str">
        <f t="shared" si="69"/>
        <v>Makassar</v>
      </c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8"/>
      <c r="AL951" s="18"/>
      <c r="AP951" s="3" t="s">
        <v>1654</v>
      </c>
    </row>
    <row r="952" spans="2:42" ht="15" customHeight="1" x14ac:dyDescent="0.2">
      <c r="B952" s="193">
        <v>1</v>
      </c>
      <c r="C952" s="347" t="s">
        <v>1074</v>
      </c>
      <c r="D952" s="193" t="str">
        <f t="shared" si="67"/>
        <v>RBDPL000893HSA</v>
      </c>
      <c r="E952" s="193" t="s">
        <v>163</v>
      </c>
      <c r="F952" s="193" t="s">
        <v>1371</v>
      </c>
      <c r="G952" s="193" t="s">
        <v>1648</v>
      </c>
      <c r="H952" s="193" t="s">
        <v>103</v>
      </c>
      <c r="I952" s="193" t="s">
        <v>3</v>
      </c>
      <c r="J952" s="193" t="str">
        <f t="shared" si="66"/>
        <v>6 Roda</v>
      </c>
      <c r="K952" s="194">
        <v>46118</v>
      </c>
      <c r="L952" s="195">
        <v>14030</v>
      </c>
      <c r="M952" s="195">
        <v>3880</v>
      </c>
      <c r="N952" s="195">
        <v>10150</v>
      </c>
      <c r="O952" s="195"/>
      <c r="P952" s="196">
        <v>0.68194444444444502</v>
      </c>
      <c r="Q952" s="196">
        <v>0.71319444444444502</v>
      </c>
      <c r="R952" s="193" t="s">
        <v>137</v>
      </c>
      <c r="S952" s="193" t="s">
        <v>1375</v>
      </c>
      <c r="T952" s="197">
        <f t="shared" si="68"/>
        <v>360</v>
      </c>
      <c r="U952" s="193" t="s">
        <v>932</v>
      </c>
      <c r="V952" s="193" t="str">
        <f t="shared" si="69"/>
        <v>Makassar</v>
      </c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8"/>
      <c r="AL952" s="18"/>
      <c r="AP952" s="3" t="s">
        <v>1648</v>
      </c>
    </row>
    <row r="953" spans="2:42" ht="15" customHeight="1" x14ac:dyDescent="0.2">
      <c r="B953" s="193">
        <v>1</v>
      </c>
      <c r="C953" s="347" t="s">
        <v>1075</v>
      </c>
      <c r="D953" s="193" t="str">
        <f t="shared" si="67"/>
        <v>RBDPL000894HSA</v>
      </c>
      <c r="E953" s="193" t="s">
        <v>997</v>
      </c>
      <c r="F953" s="193" t="s">
        <v>1371</v>
      </c>
      <c r="G953" s="193" t="s">
        <v>1648</v>
      </c>
      <c r="H953" s="193" t="s">
        <v>103</v>
      </c>
      <c r="I953" s="193" t="s">
        <v>3</v>
      </c>
      <c r="J953" s="193" t="str">
        <f t="shared" si="66"/>
        <v>6 Roda</v>
      </c>
      <c r="K953" s="194">
        <v>46118</v>
      </c>
      <c r="L953" s="195">
        <v>13470</v>
      </c>
      <c r="M953" s="195">
        <v>3890</v>
      </c>
      <c r="N953" s="195">
        <v>9580</v>
      </c>
      <c r="O953" s="195"/>
      <c r="P953" s="196">
        <v>0.68541666666666701</v>
      </c>
      <c r="Q953" s="196">
        <v>0.72986111111111096</v>
      </c>
      <c r="R953" s="193" t="s">
        <v>137</v>
      </c>
      <c r="S953" s="193" t="s">
        <v>1376</v>
      </c>
      <c r="T953" s="197">
        <f t="shared" si="68"/>
        <v>360</v>
      </c>
      <c r="U953" s="193" t="s">
        <v>932</v>
      </c>
      <c r="V953" s="193" t="str">
        <f t="shared" si="69"/>
        <v>Makassar</v>
      </c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8"/>
      <c r="AL953" s="18"/>
      <c r="AP953" s="3" t="s">
        <v>1648</v>
      </c>
    </row>
    <row r="954" spans="2:42" ht="15" customHeight="1" x14ac:dyDescent="0.2">
      <c r="B954" s="193">
        <v>1</v>
      </c>
      <c r="C954" s="347" t="s">
        <v>1076</v>
      </c>
      <c r="D954" s="193" t="str">
        <f t="shared" si="67"/>
        <v>RBDPL000897HSA</v>
      </c>
      <c r="E954" s="193" t="s">
        <v>931</v>
      </c>
      <c r="F954" s="193" t="s">
        <v>1371</v>
      </c>
      <c r="G954" s="193" t="s">
        <v>1648</v>
      </c>
      <c r="H954" s="193" t="s">
        <v>103</v>
      </c>
      <c r="I954" s="193" t="s">
        <v>3</v>
      </c>
      <c r="J954" s="193" t="str">
        <f t="shared" si="66"/>
        <v>6 Roda</v>
      </c>
      <c r="K954" s="194">
        <v>46118</v>
      </c>
      <c r="L954" s="195">
        <v>13790</v>
      </c>
      <c r="M954" s="195">
        <v>4170</v>
      </c>
      <c r="N954" s="195">
        <v>9620</v>
      </c>
      <c r="O954" s="195"/>
      <c r="P954" s="196">
        <v>0.72916666666666696</v>
      </c>
      <c r="Q954" s="196">
        <v>0.77500000000000002</v>
      </c>
      <c r="R954" s="193" t="s">
        <v>137</v>
      </c>
      <c r="S954" s="193" t="s">
        <v>1377</v>
      </c>
      <c r="T954" s="197">
        <f t="shared" si="68"/>
        <v>360</v>
      </c>
      <c r="U954" s="193" t="s">
        <v>932</v>
      </c>
      <c r="V954" s="193" t="str">
        <f t="shared" si="69"/>
        <v>Makassar</v>
      </c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8"/>
      <c r="AL954" s="18"/>
      <c r="AP954" s="3" t="s">
        <v>1648</v>
      </c>
    </row>
    <row r="955" spans="2:42" ht="15" customHeight="1" x14ac:dyDescent="0.2">
      <c r="B955" s="193">
        <v>1</v>
      </c>
      <c r="C955" s="347" t="s">
        <v>1077</v>
      </c>
      <c r="D955" s="193" t="str">
        <f t="shared" si="67"/>
        <v>RBDPL000900SCM</v>
      </c>
      <c r="E955" s="193" t="s">
        <v>169</v>
      </c>
      <c r="F955" s="193" t="s">
        <v>1366</v>
      </c>
      <c r="G955" s="193" t="s">
        <v>1651</v>
      </c>
      <c r="H955" s="193" t="s">
        <v>107</v>
      </c>
      <c r="I955" s="193" t="s">
        <v>3</v>
      </c>
      <c r="J955" s="193" t="str">
        <f t="shared" si="66"/>
        <v>6 Roda</v>
      </c>
      <c r="K955" s="194">
        <v>46118</v>
      </c>
      <c r="L955" s="195">
        <v>13610</v>
      </c>
      <c r="M955" s="195">
        <v>4080</v>
      </c>
      <c r="N955" s="195">
        <v>9530</v>
      </c>
      <c r="O955" s="195"/>
      <c r="P955" s="196">
        <v>0.80763888888888902</v>
      </c>
      <c r="Q955" s="196">
        <v>0.82361111111111096</v>
      </c>
      <c r="R955" s="193" t="s">
        <v>137</v>
      </c>
      <c r="S955" s="193" t="s">
        <v>1378</v>
      </c>
      <c r="T955" s="197">
        <f t="shared" si="68"/>
        <v>400</v>
      </c>
      <c r="U955" s="193" t="s">
        <v>932</v>
      </c>
      <c r="V955" s="193" t="str">
        <f t="shared" si="69"/>
        <v>Gowa</v>
      </c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8"/>
      <c r="AL955" s="18"/>
      <c r="AP955" s="3" t="s">
        <v>1651</v>
      </c>
    </row>
    <row r="956" spans="2:42" ht="15" customHeight="1" x14ac:dyDescent="0.2">
      <c r="B956" s="193">
        <v>1</v>
      </c>
      <c r="C956" s="347" t="s">
        <v>1078</v>
      </c>
      <c r="D956" s="193" t="str">
        <f t="shared" si="67"/>
        <v>RBDPL000901BJL</v>
      </c>
      <c r="E956" s="193" t="s">
        <v>153</v>
      </c>
      <c r="F956" s="193" t="s">
        <v>1363</v>
      </c>
      <c r="G956" s="193" t="s">
        <v>1657</v>
      </c>
      <c r="H956" s="193" t="s">
        <v>86</v>
      </c>
      <c r="I956" s="193" t="s">
        <v>3</v>
      </c>
      <c r="J956" s="193" t="str">
        <f t="shared" si="66"/>
        <v>6 Roda</v>
      </c>
      <c r="K956" s="194">
        <v>46118</v>
      </c>
      <c r="L956" s="195">
        <v>13680</v>
      </c>
      <c r="M956" s="195">
        <v>3980</v>
      </c>
      <c r="N956" s="195">
        <v>9700</v>
      </c>
      <c r="O956" s="195"/>
      <c r="P956" s="196">
        <v>0.83472222222222203</v>
      </c>
      <c r="Q956" s="196">
        <v>0.875</v>
      </c>
      <c r="R956" s="193" t="s">
        <v>137</v>
      </c>
      <c r="S956" s="193" t="s">
        <v>1379</v>
      </c>
      <c r="T956" s="197">
        <f t="shared" si="68"/>
        <v>562</v>
      </c>
      <c r="U956" s="193" t="s">
        <v>175</v>
      </c>
      <c r="V956" s="193" t="str">
        <f t="shared" si="69"/>
        <v>Palu</v>
      </c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8"/>
      <c r="AL956" s="18"/>
      <c r="AP956" s="3" t="s">
        <v>1657</v>
      </c>
    </row>
    <row r="957" spans="2:42" ht="15" customHeight="1" x14ac:dyDescent="0.2">
      <c r="B957" s="193">
        <v>1</v>
      </c>
      <c r="C957" s="347" t="s">
        <v>1079</v>
      </c>
      <c r="D957" s="193" t="str">
        <f t="shared" si="67"/>
        <v>RBDPL000902BJL</v>
      </c>
      <c r="E957" s="193" t="s">
        <v>149</v>
      </c>
      <c r="F957" s="193" t="s">
        <v>1363</v>
      </c>
      <c r="G957" s="193" t="s">
        <v>1657</v>
      </c>
      <c r="H957" s="193" t="s">
        <v>86</v>
      </c>
      <c r="I957" s="193" t="s">
        <v>3</v>
      </c>
      <c r="J957" s="193" t="str">
        <f t="shared" si="66"/>
        <v>6 Roda</v>
      </c>
      <c r="K957" s="194">
        <v>46118</v>
      </c>
      <c r="L957" s="195">
        <v>13990</v>
      </c>
      <c r="M957" s="195">
        <v>4030</v>
      </c>
      <c r="N957" s="195">
        <v>9960</v>
      </c>
      <c r="O957" s="195"/>
      <c r="P957" s="196">
        <v>0.83611111111111103</v>
      </c>
      <c r="Q957" s="196">
        <v>0.88958333333333295</v>
      </c>
      <c r="R957" s="193" t="s">
        <v>137</v>
      </c>
      <c r="S957" s="193" t="s">
        <v>1380</v>
      </c>
      <c r="T957" s="197">
        <f t="shared" si="68"/>
        <v>562</v>
      </c>
      <c r="U957" s="193" t="s">
        <v>175</v>
      </c>
      <c r="V957" s="193" t="str">
        <f t="shared" si="69"/>
        <v>Palu</v>
      </c>
      <c r="AP957" s="3" t="s">
        <v>1657</v>
      </c>
    </row>
    <row r="958" spans="2:42" ht="15" customHeight="1" x14ac:dyDescent="0.2">
      <c r="B958" s="193">
        <v>1</v>
      </c>
      <c r="C958" s="347" t="s">
        <v>1080</v>
      </c>
      <c r="D958" s="193" t="str">
        <f t="shared" si="67"/>
        <v>RBDPL000903BJL</v>
      </c>
      <c r="E958" s="193" t="s">
        <v>174</v>
      </c>
      <c r="F958" s="193" t="s">
        <v>1363</v>
      </c>
      <c r="G958" s="193" t="s">
        <v>1657</v>
      </c>
      <c r="H958" s="193" t="s">
        <v>86</v>
      </c>
      <c r="I958" s="193" t="s">
        <v>3</v>
      </c>
      <c r="J958" s="193" t="str">
        <f t="shared" si="66"/>
        <v>6 Roda</v>
      </c>
      <c r="K958" s="194">
        <v>46118</v>
      </c>
      <c r="L958" s="195">
        <v>13280</v>
      </c>
      <c r="M958" s="195">
        <v>4300</v>
      </c>
      <c r="N958" s="195">
        <v>8980</v>
      </c>
      <c r="O958" s="195"/>
      <c r="P958" s="196">
        <v>0.91388888888888897</v>
      </c>
      <c r="Q958" s="196">
        <v>0.92708333333333304</v>
      </c>
      <c r="R958" s="193" t="s">
        <v>137</v>
      </c>
      <c r="S958" s="193" t="s">
        <v>1465</v>
      </c>
      <c r="T958" s="197">
        <f t="shared" si="68"/>
        <v>562</v>
      </c>
      <c r="U958" s="193" t="s">
        <v>175</v>
      </c>
      <c r="V958" s="193" t="str">
        <f t="shared" si="69"/>
        <v>Palu</v>
      </c>
      <c r="AP958" s="3" t="s">
        <v>1657</v>
      </c>
    </row>
    <row r="959" spans="2:42" ht="15" customHeight="1" x14ac:dyDescent="0.2">
      <c r="B959" s="193">
        <v>1</v>
      </c>
      <c r="C959" s="347" t="s">
        <v>1081</v>
      </c>
      <c r="D959" s="193" t="str">
        <f t="shared" si="67"/>
        <v>RBDPL000898BJL</v>
      </c>
      <c r="E959" s="193" t="s">
        <v>174</v>
      </c>
      <c r="F959" s="193" t="s">
        <v>1363</v>
      </c>
      <c r="G959" s="193" t="s">
        <v>1657</v>
      </c>
      <c r="H959" s="193" t="s">
        <v>86</v>
      </c>
      <c r="I959" s="193" t="s">
        <v>3</v>
      </c>
      <c r="J959" s="193" t="str">
        <f t="shared" si="66"/>
        <v>6 Roda</v>
      </c>
      <c r="K959" s="194">
        <v>46118</v>
      </c>
      <c r="L959" s="195">
        <v>13440</v>
      </c>
      <c r="M959" s="195">
        <v>4300</v>
      </c>
      <c r="N959" s="195">
        <v>9140</v>
      </c>
      <c r="O959" s="195"/>
      <c r="P959" s="196">
        <v>0.781944444444444</v>
      </c>
      <c r="Q959" s="196">
        <v>0.80069444444444504</v>
      </c>
      <c r="R959" s="193" t="s">
        <v>137</v>
      </c>
      <c r="S959" s="193" t="s">
        <v>1465</v>
      </c>
      <c r="T959" s="197">
        <f t="shared" si="68"/>
        <v>562</v>
      </c>
      <c r="U959" s="193" t="s">
        <v>175</v>
      </c>
      <c r="V959" s="193" t="str">
        <f t="shared" si="69"/>
        <v>Palu</v>
      </c>
      <c r="AP959" s="3" t="s">
        <v>1657</v>
      </c>
    </row>
    <row r="960" spans="2:42" ht="15" customHeight="1" x14ac:dyDescent="0.2">
      <c r="B960" s="193">
        <v>1</v>
      </c>
      <c r="C960" s="347" t="s">
        <v>1082</v>
      </c>
      <c r="D960" s="193" t="str">
        <f t="shared" si="67"/>
        <v>RBDPL000899BJL</v>
      </c>
      <c r="E960" s="193" t="s">
        <v>1083</v>
      </c>
      <c r="F960" s="193" t="s">
        <v>1363</v>
      </c>
      <c r="G960" s="193" t="s">
        <v>1657</v>
      </c>
      <c r="H960" s="193" t="s">
        <v>86</v>
      </c>
      <c r="I960" s="193" t="s">
        <v>3</v>
      </c>
      <c r="J960" s="193" t="str">
        <f t="shared" si="66"/>
        <v>6 Roda</v>
      </c>
      <c r="K960" s="194">
        <v>46118</v>
      </c>
      <c r="L960" s="195">
        <v>13030</v>
      </c>
      <c r="M960" s="195">
        <v>3780</v>
      </c>
      <c r="N960" s="195">
        <v>9250</v>
      </c>
      <c r="O960" s="195"/>
      <c r="P960" s="196">
        <v>0.8</v>
      </c>
      <c r="Q960" s="196">
        <v>0.82430555555555596</v>
      </c>
      <c r="R960" s="193" t="s">
        <v>137</v>
      </c>
      <c r="S960" s="193" t="s">
        <v>1521</v>
      </c>
      <c r="T960" s="197">
        <f t="shared" si="68"/>
        <v>562</v>
      </c>
      <c r="U960" s="193" t="s">
        <v>175</v>
      </c>
      <c r="V960" s="193" t="str">
        <f t="shared" si="69"/>
        <v>Palu</v>
      </c>
      <c r="AP960" s="3" t="s">
        <v>1657</v>
      </c>
    </row>
    <row r="961" spans="2:42" ht="15" customHeight="1" x14ac:dyDescent="0.2">
      <c r="B961" s="193">
        <v>1</v>
      </c>
      <c r="C961" s="347" t="s">
        <v>244</v>
      </c>
      <c r="D961" s="193" t="str">
        <f t="shared" si="67"/>
        <v>CPO000102JAS</v>
      </c>
      <c r="E961" s="193" t="s">
        <v>56</v>
      </c>
      <c r="F961" s="193" t="s">
        <v>1445</v>
      </c>
      <c r="G961" s="193" t="s">
        <v>1727</v>
      </c>
      <c r="H961" s="193" t="s">
        <v>49</v>
      </c>
      <c r="I961" s="193" t="s">
        <v>41</v>
      </c>
      <c r="J961" s="193" t="str">
        <f t="shared" si="66"/>
        <v>10 Roda</v>
      </c>
      <c r="K961" s="194">
        <v>46118</v>
      </c>
      <c r="L961" s="195">
        <v>24950</v>
      </c>
      <c r="M961" s="195">
        <v>10680</v>
      </c>
      <c r="N961" s="195">
        <v>14270</v>
      </c>
      <c r="O961" s="195">
        <v>14240</v>
      </c>
      <c r="P961" s="196">
        <v>0.59375</v>
      </c>
      <c r="Q961" s="196">
        <v>0.65208333333333335</v>
      </c>
      <c r="R961" s="193" t="s">
        <v>1221</v>
      </c>
      <c r="S961" s="193" t="s">
        <v>1781</v>
      </c>
      <c r="T961" s="197">
        <f t="shared" si="68"/>
        <v>68</v>
      </c>
      <c r="U961" s="193" t="s">
        <v>1922</v>
      </c>
      <c r="V961" s="193" t="str">
        <f t="shared" si="69"/>
        <v>Bone Bone</v>
      </c>
    </row>
    <row r="962" spans="2:42" ht="15" customHeight="1" x14ac:dyDescent="0.2">
      <c r="B962" s="193">
        <v>1</v>
      </c>
      <c r="C962" s="347" t="s">
        <v>245</v>
      </c>
      <c r="D962" s="193" t="str">
        <f t="shared" si="67"/>
        <v>CPO000103JAS</v>
      </c>
      <c r="E962" s="193" t="s">
        <v>84</v>
      </c>
      <c r="F962" s="193" t="s">
        <v>1445</v>
      </c>
      <c r="G962" s="193" t="s">
        <v>1727</v>
      </c>
      <c r="H962" s="193" t="s">
        <v>49</v>
      </c>
      <c r="I962" s="193" t="s">
        <v>41</v>
      </c>
      <c r="J962" s="193" t="str">
        <f t="shared" si="66"/>
        <v>10 Roda</v>
      </c>
      <c r="K962" s="194">
        <v>46118</v>
      </c>
      <c r="L962" s="195">
        <v>26760</v>
      </c>
      <c r="M962" s="195">
        <v>12160</v>
      </c>
      <c r="N962" s="195">
        <v>14600</v>
      </c>
      <c r="O962" s="195">
        <v>14560</v>
      </c>
      <c r="P962" s="196">
        <v>0.62430555555555556</v>
      </c>
      <c r="Q962" s="196">
        <v>0.68194444444444446</v>
      </c>
      <c r="R962" s="193" t="s">
        <v>1221</v>
      </c>
      <c r="S962" s="193" t="s">
        <v>1397</v>
      </c>
      <c r="T962" s="197">
        <f t="shared" si="68"/>
        <v>68</v>
      </c>
      <c r="U962" s="193" t="s">
        <v>1922</v>
      </c>
      <c r="V962" s="193" t="str">
        <f t="shared" si="69"/>
        <v>Bone Bone</v>
      </c>
    </row>
    <row r="963" spans="2:42" ht="15" customHeight="1" x14ac:dyDescent="0.2">
      <c r="B963" s="193">
        <v>1</v>
      </c>
      <c r="C963" s="347" t="s">
        <v>246</v>
      </c>
      <c r="D963" s="193" t="str">
        <f t="shared" si="67"/>
        <v>CPO000104JAS</v>
      </c>
      <c r="E963" s="193" t="s">
        <v>70</v>
      </c>
      <c r="F963" s="193" t="s">
        <v>1445</v>
      </c>
      <c r="G963" s="193" t="s">
        <v>1727</v>
      </c>
      <c r="H963" s="193" t="s">
        <v>49</v>
      </c>
      <c r="I963" s="193" t="s">
        <v>41</v>
      </c>
      <c r="J963" s="193" t="str">
        <f t="shared" si="66"/>
        <v>12 Roda</v>
      </c>
      <c r="K963" s="194">
        <v>46118</v>
      </c>
      <c r="L963" s="195">
        <v>45800</v>
      </c>
      <c r="M963" s="195">
        <v>17350</v>
      </c>
      <c r="N963" s="195">
        <v>28450</v>
      </c>
      <c r="O963" s="195">
        <v>28400</v>
      </c>
      <c r="P963" s="196">
        <v>0.79583333333333339</v>
      </c>
      <c r="Q963" s="196">
        <v>0.83194444444444438</v>
      </c>
      <c r="R963" s="193" t="s">
        <v>137</v>
      </c>
      <c r="S963" s="193" t="s">
        <v>1499</v>
      </c>
      <c r="T963" s="197">
        <f t="shared" si="68"/>
        <v>68</v>
      </c>
      <c r="U963" s="193" t="s">
        <v>1922</v>
      </c>
      <c r="V963" s="193" t="str">
        <f t="shared" si="69"/>
        <v>Bone Bone</v>
      </c>
    </row>
    <row r="964" spans="2:42" ht="15" customHeight="1" x14ac:dyDescent="0.2">
      <c r="B964" s="193">
        <v>1</v>
      </c>
      <c r="C964" s="347" t="s">
        <v>1084</v>
      </c>
      <c r="D964" s="193" t="str">
        <f t="shared" si="67"/>
        <v>RBDPL000904DA</v>
      </c>
      <c r="E964" s="193" t="s">
        <v>166</v>
      </c>
      <c r="F964" s="193" t="s">
        <v>1369</v>
      </c>
      <c r="G964" s="193" t="s">
        <v>1654</v>
      </c>
      <c r="H964" s="193" t="s">
        <v>111</v>
      </c>
      <c r="I964" s="193" t="s">
        <v>3</v>
      </c>
      <c r="J964" s="193" t="str">
        <f t="shared" si="66"/>
        <v>6 Roda</v>
      </c>
      <c r="K964" s="194">
        <v>46119</v>
      </c>
      <c r="L964" s="195">
        <v>13320</v>
      </c>
      <c r="M964" s="195">
        <v>3870</v>
      </c>
      <c r="N964" s="195">
        <v>9450</v>
      </c>
      <c r="O964" s="195"/>
      <c r="P964" s="196">
        <v>0.43611111111111101</v>
      </c>
      <c r="Q964" s="196">
        <v>0.46527777777777801</v>
      </c>
      <c r="R964" s="193" t="s">
        <v>137</v>
      </c>
      <c r="S964" s="193" t="s">
        <v>1381</v>
      </c>
      <c r="T964" s="197">
        <f t="shared" si="68"/>
        <v>360</v>
      </c>
      <c r="U964" s="193" t="s">
        <v>932</v>
      </c>
      <c r="V964" s="193" t="str">
        <f t="shared" si="69"/>
        <v>Makassar</v>
      </c>
      <c r="AP964" s="3" t="s">
        <v>1654</v>
      </c>
    </row>
    <row r="965" spans="2:42" ht="15" customHeight="1" x14ac:dyDescent="0.2">
      <c r="B965" s="193">
        <v>1</v>
      </c>
      <c r="C965" s="347" t="s">
        <v>1085</v>
      </c>
      <c r="D965" s="193" t="str">
        <f t="shared" si="67"/>
        <v>RBDPL000905DA</v>
      </c>
      <c r="E965" s="193" t="s">
        <v>934</v>
      </c>
      <c r="F965" s="193" t="s">
        <v>1369</v>
      </c>
      <c r="G965" s="193" t="s">
        <v>1654</v>
      </c>
      <c r="H965" s="193" t="s">
        <v>111</v>
      </c>
      <c r="I965" s="193" t="s">
        <v>3</v>
      </c>
      <c r="J965" s="193" t="str">
        <f t="shared" si="66"/>
        <v>6 Roda</v>
      </c>
      <c r="K965" s="194">
        <v>46119</v>
      </c>
      <c r="L965" s="195">
        <v>13220</v>
      </c>
      <c r="M965" s="195">
        <v>3910</v>
      </c>
      <c r="N965" s="195">
        <v>9310</v>
      </c>
      <c r="O965" s="195"/>
      <c r="P965" s="196">
        <v>0.43888888888888899</v>
      </c>
      <c r="Q965" s="196">
        <v>0.47916666666666702</v>
      </c>
      <c r="R965" s="193" t="s">
        <v>137</v>
      </c>
      <c r="S965" s="193" t="s">
        <v>1382</v>
      </c>
      <c r="T965" s="197">
        <f t="shared" si="68"/>
        <v>360</v>
      </c>
      <c r="U965" s="193" t="s">
        <v>932</v>
      </c>
      <c r="V965" s="193" t="str">
        <f t="shared" si="69"/>
        <v>Makassar</v>
      </c>
      <c r="AP965" s="3" t="s">
        <v>1654</v>
      </c>
    </row>
    <row r="966" spans="2:42" ht="15" customHeight="1" x14ac:dyDescent="0.2">
      <c r="B966" s="193">
        <v>1</v>
      </c>
      <c r="C966" s="347" t="s">
        <v>1086</v>
      </c>
      <c r="D966" s="193" t="str">
        <f t="shared" si="67"/>
        <v>RBDPL000906DA</v>
      </c>
      <c r="E966" s="193" t="s">
        <v>940</v>
      </c>
      <c r="F966" s="193" t="s">
        <v>1369</v>
      </c>
      <c r="G966" s="193" t="s">
        <v>1654</v>
      </c>
      <c r="H966" s="193" t="s">
        <v>111</v>
      </c>
      <c r="I966" s="193" t="s">
        <v>3</v>
      </c>
      <c r="J966" s="193" t="str">
        <f t="shared" si="66"/>
        <v>6 Roda</v>
      </c>
      <c r="K966" s="194">
        <v>46119</v>
      </c>
      <c r="L966" s="195">
        <v>13580</v>
      </c>
      <c r="M966" s="195">
        <v>4010</v>
      </c>
      <c r="N966" s="195">
        <v>9570</v>
      </c>
      <c r="O966" s="195"/>
      <c r="P966" s="196">
        <v>0.44027777777777799</v>
      </c>
      <c r="Q966" s="196">
        <v>0.49513888888888902</v>
      </c>
      <c r="R966" s="193" t="s">
        <v>137</v>
      </c>
      <c r="S966" s="193" t="s">
        <v>1383</v>
      </c>
      <c r="T966" s="197">
        <f t="shared" si="68"/>
        <v>360</v>
      </c>
      <c r="U966" s="193" t="s">
        <v>932</v>
      </c>
      <c r="V966" s="193" t="str">
        <f t="shared" si="69"/>
        <v>Makassar</v>
      </c>
      <c r="AP966" s="3" t="s">
        <v>1654</v>
      </c>
    </row>
    <row r="967" spans="2:42" ht="15" customHeight="1" x14ac:dyDescent="0.2">
      <c r="B967" s="193">
        <v>1</v>
      </c>
      <c r="C967" s="347" t="s">
        <v>1087</v>
      </c>
      <c r="D967" s="193" t="str">
        <f t="shared" si="67"/>
        <v>RBDPL000907DA</v>
      </c>
      <c r="E967" s="193" t="s">
        <v>938</v>
      </c>
      <c r="F967" s="193" t="s">
        <v>1369</v>
      </c>
      <c r="G967" s="193" t="s">
        <v>1654</v>
      </c>
      <c r="H967" s="193" t="s">
        <v>111</v>
      </c>
      <c r="I967" s="193" t="s">
        <v>3</v>
      </c>
      <c r="J967" s="193" t="str">
        <f t="shared" si="66"/>
        <v>6 Roda</v>
      </c>
      <c r="K967" s="194">
        <v>46119</v>
      </c>
      <c r="L967" s="195">
        <v>13510</v>
      </c>
      <c r="M967" s="195">
        <v>3990</v>
      </c>
      <c r="N967" s="195">
        <v>9520</v>
      </c>
      <c r="O967" s="195"/>
      <c r="P967" s="196">
        <v>0.44166666666666698</v>
      </c>
      <c r="Q967" s="196">
        <v>0.51041666666666696</v>
      </c>
      <c r="R967" s="193" t="s">
        <v>137</v>
      </c>
      <c r="S967" s="193" t="s">
        <v>1384</v>
      </c>
      <c r="T967" s="197">
        <f t="shared" si="68"/>
        <v>360</v>
      </c>
      <c r="U967" s="193" t="s">
        <v>932</v>
      </c>
      <c r="V967" s="193" t="str">
        <f t="shared" si="69"/>
        <v>Makassar</v>
      </c>
      <c r="AP967" s="3" t="s">
        <v>1654</v>
      </c>
    </row>
    <row r="968" spans="2:42" ht="15" customHeight="1" x14ac:dyDescent="0.2">
      <c r="B968" s="193">
        <v>1</v>
      </c>
      <c r="C968" s="347" t="s">
        <v>1088</v>
      </c>
      <c r="D968" s="193" t="str">
        <f t="shared" si="67"/>
        <v>RBDPL000910DA</v>
      </c>
      <c r="E968" s="193" t="s">
        <v>936</v>
      </c>
      <c r="F968" s="193" t="s">
        <v>1369</v>
      </c>
      <c r="G968" s="193" t="s">
        <v>1654</v>
      </c>
      <c r="H968" s="193" t="s">
        <v>111</v>
      </c>
      <c r="I968" s="193" t="s">
        <v>3</v>
      </c>
      <c r="J968" s="193" t="str">
        <f t="shared" si="66"/>
        <v>6 Roda</v>
      </c>
      <c r="K968" s="194">
        <v>46119</v>
      </c>
      <c r="L968" s="195">
        <v>14350</v>
      </c>
      <c r="M968" s="195">
        <v>4200</v>
      </c>
      <c r="N968" s="195">
        <v>10150</v>
      </c>
      <c r="O968" s="195"/>
      <c r="P968" s="196">
        <v>0.61388888888888904</v>
      </c>
      <c r="Q968" s="196">
        <v>0.63472222222222197</v>
      </c>
      <c r="R968" s="193" t="s">
        <v>137</v>
      </c>
      <c r="S968" s="193" t="s">
        <v>1385</v>
      </c>
      <c r="T968" s="197">
        <f t="shared" si="68"/>
        <v>360</v>
      </c>
      <c r="U968" s="193" t="s">
        <v>932</v>
      </c>
      <c r="V968" s="193" t="str">
        <f t="shared" si="69"/>
        <v>Makassar</v>
      </c>
      <c r="AP968" s="3" t="s">
        <v>1654</v>
      </c>
    </row>
    <row r="969" spans="2:42" ht="15" customHeight="1" x14ac:dyDescent="0.2">
      <c r="B969" s="193">
        <v>1</v>
      </c>
      <c r="C969" s="347" t="s">
        <v>1089</v>
      </c>
      <c r="D969" s="193" t="str">
        <f t="shared" si="67"/>
        <v>RBDPL000911DA</v>
      </c>
      <c r="E969" s="193" t="s">
        <v>147</v>
      </c>
      <c r="F969" s="193" t="s">
        <v>1369</v>
      </c>
      <c r="G969" s="193" t="s">
        <v>1654</v>
      </c>
      <c r="H969" s="193" t="s">
        <v>111</v>
      </c>
      <c r="I969" s="193" t="s">
        <v>3</v>
      </c>
      <c r="J969" s="193" t="str">
        <f t="shared" si="66"/>
        <v>6 Roda</v>
      </c>
      <c r="K969" s="194">
        <v>46119</v>
      </c>
      <c r="L969" s="195">
        <v>14060</v>
      </c>
      <c r="M969" s="195">
        <v>3950</v>
      </c>
      <c r="N969" s="195">
        <v>10110</v>
      </c>
      <c r="O969" s="195"/>
      <c r="P969" s="196">
        <v>0.72152777777777799</v>
      </c>
      <c r="Q969" s="196">
        <v>0.73680555555555605</v>
      </c>
      <c r="R969" s="193" t="s">
        <v>42</v>
      </c>
      <c r="S969" s="193" t="s">
        <v>1373</v>
      </c>
      <c r="T969" s="197">
        <f t="shared" si="68"/>
        <v>360</v>
      </c>
      <c r="U969" s="193" t="s">
        <v>932</v>
      </c>
      <c r="V969" s="193" t="str">
        <f t="shared" si="69"/>
        <v>Makassar</v>
      </c>
      <c r="AP969" s="3" t="s">
        <v>1654</v>
      </c>
    </row>
    <row r="970" spans="2:42" ht="15" customHeight="1" x14ac:dyDescent="0.2">
      <c r="B970" s="193">
        <v>1</v>
      </c>
      <c r="C970" s="347" t="s">
        <v>1090</v>
      </c>
      <c r="D970" s="193" t="str">
        <f t="shared" si="67"/>
        <v>RBDPL000908SCM</v>
      </c>
      <c r="E970" s="193" t="s">
        <v>194</v>
      </c>
      <c r="F970" s="193" t="s">
        <v>1366</v>
      </c>
      <c r="G970" s="193" t="s">
        <v>1651</v>
      </c>
      <c r="H970" s="193" t="s">
        <v>107</v>
      </c>
      <c r="I970" s="193" t="s">
        <v>3</v>
      </c>
      <c r="J970" s="193" t="str">
        <f t="shared" si="66"/>
        <v>6 Roda</v>
      </c>
      <c r="K970" s="194">
        <v>46119</v>
      </c>
      <c r="L970" s="195">
        <v>13150</v>
      </c>
      <c r="M970" s="195">
        <v>3750</v>
      </c>
      <c r="N970" s="195">
        <v>9400</v>
      </c>
      <c r="O970" s="195"/>
      <c r="P970" s="196">
        <v>0.54166666666666696</v>
      </c>
      <c r="Q970" s="196">
        <v>0.58125000000000004</v>
      </c>
      <c r="R970" s="193" t="s">
        <v>137</v>
      </c>
      <c r="S970" s="193" t="s">
        <v>1476</v>
      </c>
      <c r="T970" s="197">
        <f t="shared" si="68"/>
        <v>400</v>
      </c>
      <c r="U970" s="193" t="s">
        <v>175</v>
      </c>
      <c r="V970" s="193" t="str">
        <f t="shared" si="69"/>
        <v>Gowa</v>
      </c>
      <c r="AP970" s="3" t="s">
        <v>1651</v>
      </c>
    </row>
    <row r="971" spans="2:42" ht="15" customHeight="1" x14ac:dyDescent="0.2">
      <c r="B971" s="193">
        <v>1</v>
      </c>
      <c r="C971" s="347" t="s">
        <v>1091</v>
      </c>
      <c r="D971" s="193" t="str">
        <f t="shared" si="67"/>
        <v>RBDPL000909BJL</v>
      </c>
      <c r="E971" s="193" t="s">
        <v>1092</v>
      </c>
      <c r="F971" s="193" t="s">
        <v>1363</v>
      </c>
      <c r="G971" s="193" t="s">
        <v>1657</v>
      </c>
      <c r="H971" s="193" t="s">
        <v>86</v>
      </c>
      <c r="I971" s="193" t="s">
        <v>3</v>
      </c>
      <c r="J971" s="193" t="str">
        <f t="shared" si="66"/>
        <v>6 Roda</v>
      </c>
      <c r="K971" s="194">
        <v>46119</v>
      </c>
      <c r="L971" s="195">
        <v>13420</v>
      </c>
      <c r="M971" s="195">
        <v>4090</v>
      </c>
      <c r="N971" s="195">
        <v>9330</v>
      </c>
      <c r="O971" s="195"/>
      <c r="P971" s="196">
        <v>0.58888888888888902</v>
      </c>
      <c r="Q971" s="196">
        <v>0.60763888888888895</v>
      </c>
      <c r="R971" s="193" t="s">
        <v>137</v>
      </c>
      <c r="S971" s="193" t="s">
        <v>1386</v>
      </c>
      <c r="T971" s="197">
        <f t="shared" si="68"/>
        <v>562</v>
      </c>
      <c r="U971" s="193" t="s">
        <v>175</v>
      </c>
      <c r="V971" s="193" t="str">
        <f t="shared" si="69"/>
        <v>Palu</v>
      </c>
      <c r="AP971" s="3" t="s">
        <v>1657</v>
      </c>
    </row>
    <row r="972" spans="2:42" ht="15" customHeight="1" x14ac:dyDescent="0.2">
      <c r="B972" s="193">
        <v>1</v>
      </c>
      <c r="C972" s="347" t="s">
        <v>1093</v>
      </c>
      <c r="D972" s="193" t="str">
        <f t="shared" si="67"/>
        <v>RBDPL000912HSA</v>
      </c>
      <c r="E972" s="193" t="s">
        <v>983</v>
      </c>
      <c r="F972" s="193" t="s">
        <v>1371</v>
      </c>
      <c r="G972" s="193" t="s">
        <v>1648</v>
      </c>
      <c r="H972" s="193" t="s">
        <v>103</v>
      </c>
      <c r="I972" s="193" t="s">
        <v>3</v>
      </c>
      <c r="J972" s="193" t="str">
        <f t="shared" si="66"/>
        <v>6 Roda</v>
      </c>
      <c r="K972" s="194">
        <v>46119</v>
      </c>
      <c r="L972" s="195">
        <v>13350</v>
      </c>
      <c r="M972" s="195">
        <v>4050</v>
      </c>
      <c r="N972" s="195">
        <v>9300</v>
      </c>
      <c r="O972" s="195"/>
      <c r="P972" s="196">
        <v>0.80277777777777803</v>
      </c>
      <c r="Q972" s="196">
        <v>0.81874999999999998</v>
      </c>
      <c r="R972" s="193" t="s">
        <v>42</v>
      </c>
      <c r="S972" s="193" t="s">
        <v>1387</v>
      </c>
      <c r="T972" s="197">
        <f t="shared" si="68"/>
        <v>360</v>
      </c>
      <c r="U972" s="193" t="s">
        <v>932</v>
      </c>
      <c r="V972" s="193" t="str">
        <f t="shared" si="69"/>
        <v>Makassar</v>
      </c>
      <c r="AP972" s="3" t="s">
        <v>1648</v>
      </c>
    </row>
    <row r="973" spans="2:42" ht="15" customHeight="1" x14ac:dyDescent="0.2">
      <c r="B973" s="193">
        <v>1</v>
      </c>
      <c r="C973" s="347" t="s">
        <v>247</v>
      </c>
      <c r="D973" s="193" t="str">
        <f t="shared" si="67"/>
        <v>CPO000105JAS</v>
      </c>
      <c r="E973" s="193" t="s">
        <v>70</v>
      </c>
      <c r="F973" s="193" t="s">
        <v>1445</v>
      </c>
      <c r="G973" s="193" t="s">
        <v>1727</v>
      </c>
      <c r="H973" s="193" t="s">
        <v>49</v>
      </c>
      <c r="I973" s="193" t="s">
        <v>41</v>
      </c>
      <c r="J973" s="193" t="str">
        <f t="shared" si="66"/>
        <v>12 Roda</v>
      </c>
      <c r="K973" s="194">
        <v>46119</v>
      </c>
      <c r="L973" s="195">
        <v>45850</v>
      </c>
      <c r="M973" s="195">
        <v>17360</v>
      </c>
      <c r="N973" s="195">
        <v>28490</v>
      </c>
      <c r="O973" s="195">
        <v>28530</v>
      </c>
      <c r="P973" s="196">
        <v>0.45416666666666666</v>
      </c>
      <c r="Q973" s="196">
        <v>0.59513888888888888</v>
      </c>
      <c r="R973" s="193" t="s">
        <v>137</v>
      </c>
      <c r="S973" s="193" t="s">
        <v>1499</v>
      </c>
      <c r="T973" s="197">
        <f t="shared" si="68"/>
        <v>68</v>
      </c>
      <c r="U973" s="193" t="s">
        <v>1922</v>
      </c>
      <c r="V973" s="193" t="str">
        <f t="shared" si="69"/>
        <v>Bone Bone</v>
      </c>
    </row>
    <row r="974" spans="2:42" ht="15" customHeight="1" x14ac:dyDescent="0.2">
      <c r="B974" s="193">
        <v>1</v>
      </c>
      <c r="C974" s="347" t="s">
        <v>248</v>
      </c>
      <c r="D974" s="193" t="str">
        <f t="shared" si="67"/>
        <v>CPO000106JAS</v>
      </c>
      <c r="E974" s="193" t="s">
        <v>56</v>
      </c>
      <c r="F974" s="193" t="s">
        <v>1445</v>
      </c>
      <c r="G974" s="193" t="s">
        <v>1727</v>
      </c>
      <c r="H974" s="193" t="s">
        <v>49</v>
      </c>
      <c r="I974" s="193" t="s">
        <v>41</v>
      </c>
      <c r="J974" s="193" t="str">
        <f t="shared" si="66"/>
        <v>10 Roda</v>
      </c>
      <c r="K974" s="194">
        <v>46119</v>
      </c>
      <c r="L974" s="195">
        <v>24910</v>
      </c>
      <c r="M974" s="195">
        <v>10610</v>
      </c>
      <c r="N974" s="195">
        <v>14300</v>
      </c>
      <c r="O974" s="195">
        <v>14260</v>
      </c>
      <c r="P974" s="196">
        <v>0.53749999999999998</v>
      </c>
      <c r="Q974" s="196">
        <v>0.60555555555555551</v>
      </c>
      <c r="R974" s="193" t="s">
        <v>137</v>
      </c>
      <c r="S974" s="193" t="s">
        <v>1781</v>
      </c>
      <c r="T974" s="197">
        <f t="shared" si="68"/>
        <v>68</v>
      </c>
      <c r="U974" s="193" t="s">
        <v>1922</v>
      </c>
      <c r="V974" s="193" t="str">
        <f t="shared" si="69"/>
        <v>Bone Bone</v>
      </c>
    </row>
    <row r="975" spans="2:42" ht="15" customHeight="1" x14ac:dyDescent="0.2">
      <c r="B975" s="193">
        <v>1</v>
      </c>
      <c r="C975" s="347" t="s">
        <v>249</v>
      </c>
      <c r="D975" s="193" t="str">
        <f t="shared" si="67"/>
        <v>CPO000107JAS</v>
      </c>
      <c r="E975" s="193" t="s">
        <v>84</v>
      </c>
      <c r="F975" s="193" t="s">
        <v>1445</v>
      </c>
      <c r="G975" s="193" t="s">
        <v>1727</v>
      </c>
      <c r="H975" s="193" t="s">
        <v>49</v>
      </c>
      <c r="I975" s="193" t="s">
        <v>41</v>
      </c>
      <c r="J975" s="193" t="str">
        <f t="shared" si="66"/>
        <v>10 Roda</v>
      </c>
      <c r="K975" s="194">
        <v>46119</v>
      </c>
      <c r="L975" s="195">
        <v>26730</v>
      </c>
      <c r="M975" s="195">
        <v>12140</v>
      </c>
      <c r="N975" s="195">
        <v>14590</v>
      </c>
      <c r="O975" s="195">
        <v>14560</v>
      </c>
      <c r="P975" s="196">
        <v>0.55347222222222225</v>
      </c>
      <c r="Q975" s="196">
        <v>0.60763888888888895</v>
      </c>
      <c r="R975" s="193" t="s">
        <v>137</v>
      </c>
      <c r="S975" s="193" t="s">
        <v>1397</v>
      </c>
      <c r="T975" s="197">
        <f t="shared" si="68"/>
        <v>68</v>
      </c>
      <c r="U975" s="193" t="s">
        <v>1922</v>
      </c>
      <c r="V975" s="193" t="str">
        <f t="shared" si="69"/>
        <v>Bone Bone</v>
      </c>
    </row>
    <row r="976" spans="2:42" ht="15" customHeight="1" x14ac:dyDescent="0.2">
      <c r="B976" s="193">
        <v>1</v>
      </c>
      <c r="C976" s="347" t="s">
        <v>251</v>
      </c>
      <c r="D976" s="193" t="str">
        <f t="shared" si="67"/>
        <v>CPO000109JAS</v>
      </c>
      <c r="E976" s="193" t="s">
        <v>84</v>
      </c>
      <c r="F976" s="193" t="s">
        <v>1445</v>
      </c>
      <c r="G976" s="193" t="s">
        <v>1727</v>
      </c>
      <c r="H976" s="193" t="s">
        <v>49</v>
      </c>
      <c r="I976" s="193" t="s">
        <v>41</v>
      </c>
      <c r="J976" s="193" t="str">
        <f t="shared" si="66"/>
        <v>10 Roda</v>
      </c>
      <c r="K976" s="194">
        <v>46119</v>
      </c>
      <c r="L976" s="195">
        <v>26700</v>
      </c>
      <c r="M976" s="195">
        <v>12120</v>
      </c>
      <c r="N976" s="195">
        <v>14580</v>
      </c>
      <c r="O976" s="195">
        <v>14550</v>
      </c>
      <c r="P976" s="196">
        <v>0.84166666666666667</v>
      </c>
      <c r="Q976" s="196">
        <v>0.87777777777777777</v>
      </c>
      <c r="R976" s="193" t="s">
        <v>1221</v>
      </c>
      <c r="S976" s="193" t="s">
        <v>1397</v>
      </c>
      <c r="T976" s="197">
        <f t="shared" si="68"/>
        <v>68</v>
      </c>
      <c r="U976" s="193" t="s">
        <v>1922</v>
      </c>
      <c r="V976" s="193" t="str">
        <f t="shared" si="69"/>
        <v>Bone Bone</v>
      </c>
    </row>
    <row r="977" spans="2:42" ht="15" customHeight="1" x14ac:dyDescent="0.2">
      <c r="B977" s="193">
        <v>1</v>
      </c>
      <c r="C977" s="347" t="s">
        <v>250</v>
      </c>
      <c r="D977" s="193" t="str">
        <f t="shared" si="67"/>
        <v>CPO000108JAS</v>
      </c>
      <c r="E977" s="193" t="s">
        <v>70</v>
      </c>
      <c r="F977" s="193" t="s">
        <v>1445</v>
      </c>
      <c r="G977" s="193" t="s">
        <v>1727</v>
      </c>
      <c r="H977" s="193" t="s">
        <v>49</v>
      </c>
      <c r="I977" s="193" t="s">
        <v>41</v>
      </c>
      <c r="J977" s="193" t="str">
        <f t="shared" si="66"/>
        <v>12 Roda</v>
      </c>
      <c r="K977" s="194">
        <v>46119</v>
      </c>
      <c r="L977" s="195">
        <v>45760</v>
      </c>
      <c r="M977" s="195">
        <v>17290</v>
      </c>
      <c r="N977" s="195">
        <v>28470</v>
      </c>
      <c r="O977" s="195">
        <v>28410</v>
      </c>
      <c r="P977" s="196">
        <v>0.84027777777777779</v>
      </c>
      <c r="Q977" s="196">
        <v>0.87638888888888899</v>
      </c>
      <c r="R977" s="193" t="s">
        <v>1221</v>
      </c>
      <c r="S977" s="193" t="s">
        <v>1499</v>
      </c>
      <c r="T977" s="197">
        <f t="shared" si="68"/>
        <v>68</v>
      </c>
      <c r="U977" s="193" t="s">
        <v>1922</v>
      </c>
      <c r="V977" s="193" t="str">
        <f t="shared" si="69"/>
        <v>Bone Bone</v>
      </c>
    </row>
    <row r="978" spans="2:42" ht="15" customHeight="1" x14ac:dyDescent="0.2">
      <c r="B978" s="193">
        <v>1</v>
      </c>
      <c r="C978" s="347" t="s">
        <v>1241</v>
      </c>
      <c r="D978" s="193" t="str">
        <f t="shared" si="67"/>
        <v>RBDPL000918BJL</v>
      </c>
      <c r="E978" s="193" t="s">
        <v>151</v>
      </c>
      <c r="F978" s="193" t="s">
        <v>1363</v>
      </c>
      <c r="G978" s="193" t="s">
        <v>1657</v>
      </c>
      <c r="H978" s="193" t="s">
        <v>86</v>
      </c>
      <c r="I978" s="193" t="s">
        <v>3</v>
      </c>
      <c r="J978" s="193" t="str">
        <f t="shared" si="66"/>
        <v>6 Roda</v>
      </c>
      <c r="K978" s="194">
        <v>46120</v>
      </c>
      <c r="L978" s="195">
        <v>4290</v>
      </c>
      <c r="M978" s="195">
        <v>13740</v>
      </c>
      <c r="N978" s="195">
        <v>9450</v>
      </c>
      <c r="O978" s="195"/>
      <c r="P978" s="196">
        <v>0.8520833333333333</v>
      </c>
      <c r="Q978" s="196">
        <v>0.87152777777777779</v>
      </c>
      <c r="R978" s="193" t="s">
        <v>1264</v>
      </c>
      <c r="S978" s="193" t="s">
        <v>1388</v>
      </c>
      <c r="T978" s="197">
        <f t="shared" si="68"/>
        <v>562</v>
      </c>
      <c r="U978" s="193" t="s">
        <v>175</v>
      </c>
      <c r="V978" s="193" t="str">
        <f t="shared" si="69"/>
        <v>Palu</v>
      </c>
      <c r="AP978" s="3" t="s">
        <v>1657</v>
      </c>
    </row>
    <row r="979" spans="2:42" ht="15" customHeight="1" x14ac:dyDescent="0.2">
      <c r="B979" s="193">
        <v>1</v>
      </c>
      <c r="C979" s="347" t="s">
        <v>1242</v>
      </c>
      <c r="D979" s="193" t="str">
        <f t="shared" si="67"/>
        <v>RBDPL000917BJL</v>
      </c>
      <c r="E979" s="193" t="s">
        <v>174</v>
      </c>
      <c r="F979" s="193" t="s">
        <v>1363</v>
      </c>
      <c r="G979" s="193" t="s">
        <v>1657</v>
      </c>
      <c r="H979" s="193" t="s">
        <v>86</v>
      </c>
      <c r="I979" s="193" t="s">
        <v>3</v>
      </c>
      <c r="J979" s="193" t="str">
        <f t="shared" si="66"/>
        <v>6 Roda</v>
      </c>
      <c r="K979" s="194">
        <v>46120</v>
      </c>
      <c r="L979" s="195">
        <v>4320</v>
      </c>
      <c r="M979" s="195">
        <v>13410</v>
      </c>
      <c r="N979" s="195">
        <v>9090</v>
      </c>
      <c r="O979" s="195"/>
      <c r="P979" s="196">
        <v>0.79166666666666663</v>
      </c>
      <c r="Q979" s="196">
        <v>0.80902777777777779</v>
      </c>
      <c r="R979" s="193" t="s">
        <v>1264</v>
      </c>
      <c r="S979" s="193" t="s">
        <v>1465</v>
      </c>
      <c r="T979" s="197">
        <f t="shared" si="68"/>
        <v>562</v>
      </c>
      <c r="U979" s="193" t="s">
        <v>175</v>
      </c>
      <c r="V979" s="193" t="str">
        <f t="shared" si="69"/>
        <v>Palu</v>
      </c>
      <c r="AP979" s="3" t="s">
        <v>1657</v>
      </c>
    </row>
    <row r="980" spans="2:42" ht="15" customHeight="1" x14ac:dyDescent="0.2">
      <c r="B980" s="193">
        <v>1</v>
      </c>
      <c r="C980" s="347" t="s">
        <v>1243</v>
      </c>
      <c r="D980" s="193" t="str">
        <f t="shared" si="67"/>
        <v>RBDPL000916HSA</v>
      </c>
      <c r="E980" s="193" t="s">
        <v>997</v>
      </c>
      <c r="F980" s="193" t="s">
        <v>1371</v>
      </c>
      <c r="G980" s="193" t="s">
        <v>1648</v>
      </c>
      <c r="H980" s="193" t="s">
        <v>103</v>
      </c>
      <c r="I980" s="193" t="s">
        <v>3</v>
      </c>
      <c r="J980" s="193" t="str">
        <f t="shared" si="66"/>
        <v>6 Roda</v>
      </c>
      <c r="K980" s="194">
        <v>46120</v>
      </c>
      <c r="L980" s="195">
        <v>3910</v>
      </c>
      <c r="M980" s="195">
        <v>13490</v>
      </c>
      <c r="N980" s="195">
        <v>9580</v>
      </c>
      <c r="O980" s="195"/>
      <c r="P980" s="196">
        <v>0.7319444444444444</v>
      </c>
      <c r="Q980" s="196">
        <v>0.74652777777777779</v>
      </c>
      <c r="R980" s="193" t="s">
        <v>1264</v>
      </c>
      <c r="S980" s="193" t="s">
        <v>1376</v>
      </c>
      <c r="T980" s="197">
        <f t="shared" si="68"/>
        <v>360</v>
      </c>
      <c r="U980" s="193" t="s">
        <v>932</v>
      </c>
      <c r="V980" s="193" t="str">
        <f t="shared" si="69"/>
        <v>Makassar</v>
      </c>
      <c r="AP980" s="3" t="s">
        <v>1648</v>
      </c>
    </row>
    <row r="981" spans="2:42" ht="15" customHeight="1" x14ac:dyDescent="0.2">
      <c r="B981" s="193">
        <v>1</v>
      </c>
      <c r="C981" s="347" t="s">
        <v>1244</v>
      </c>
      <c r="D981" s="193" t="str">
        <f t="shared" si="67"/>
        <v>RBDPL000915HSA</v>
      </c>
      <c r="E981" s="193" t="s">
        <v>1238</v>
      </c>
      <c r="F981" s="193" t="s">
        <v>1371</v>
      </c>
      <c r="G981" s="193" t="s">
        <v>1648</v>
      </c>
      <c r="H981" s="193" t="s">
        <v>103</v>
      </c>
      <c r="I981" s="193" t="s">
        <v>3</v>
      </c>
      <c r="J981" s="193" t="str">
        <f t="shared" si="66"/>
        <v>6 Roda</v>
      </c>
      <c r="K981" s="194">
        <v>46120</v>
      </c>
      <c r="L981" s="195">
        <v>3950</v>
      </c>
      <c r="M981" s="195">
        <v>14090</v>
      </c>
      <c r="N981" s="195">
        <v>10140</v>
      </c>
      <c r="O981" s="195"/>
      <c r="P981" s="196">
        <v>0.7006944444444444</v>
      </c>
      <c r="Q981" s="196">
        <v>0.73472222222222217</v>
      </c>
      <c r="R981" s="193" t="s">
        <v>1264</v>
      </c>
      <c r="S981" s="193" t="s">
        <v>1389</v>
      </c>
      <c r="T981" s="197">
        <f t="shared" si="68"/>
        <v>360</v>
      </c>
      <c r="U981" s="193" t="s">
        <v>932</v>
      </c>
      <c r="V981" s="193" t="str">
        <f t="shared" si="69"/>
        <v>Makassar</v>
      </c>
      <c r="AP981" s="3" t="s">
        <v>1648</v>
      </c>
    </row>
    <row r="982" spans="2:42" ht="15" customHeight="1" x14ac:dyDescent="0.2">
      <c r="B982" s="193">
        <v>1</v>
      </c>
      <c r="C982" s="347" t="s">
        <v>1245</v>
      </c>
      <c r="D982" s="193" t="str">
        <f t="shared" si="67"/>
        <v>RBDPL000914DA</v>
      </c>
      <c r="E982" s="193" t="s">
        <v>931</v>
      </c>
      <c r="F982" s="193" t="s">
        <v>1369</v>
      </c>
      <c r="G982" s="193" t="s">
        <v>1654</v>
      </c>
      <c r="H982" s="193" t="s">
        <v>111</v>
      </c>
      <c r="I982" s="193" t="s">
        <v>3</v>
      </c>
      <c r="J982" s="193" t="str">
        <f t="shared" si="66"/>
        <v>6 Roda</v>
      </c>
      <c r="K982" s="194">
        <v>46120</v>
      </c>
      <c r="L982" s="195">
        <v>4170</v>
      </c>
      <c r="M982" s="195">
        <v>13790</v>
      </c>
      <c r="N982" s="195">
        <v>9620</v>
      </c>
      <c r="O982" s="195"/>
      <c r="P982" s="196">
        <v>0.55555555555555558</v>
      </c>
      <c r="Q982" s="196">
        <v>0.58263888888888882</v>
      </c>
      <c r="R982" s="193" t="s">
        <v>1264</v>
      </c>
      <c r="S982" s="193" t="s">
        <v>1377</v>
      </c>
      <c r="T982" s="197">
        <f t="shared" si="68"/>
        <v>360</v>
      </c>
      <c r="U982" s="193" t="s">
        <v>932</v>
      </c>
      <c r="V982" s="193" t="str">
        <f t="shared" si="69"/>
        <v>Makassar</v>
      </c>
      <c r="AP982" s="3" t="s">
        <v>1654</v>
      </c>
    </row>
    <row r="983" spans="2:42" ht="15" customHeight="1" x14ac:dyDescent="0.2">
      <c r="B983" s="193">
        <v>1</v>
      </c>
      <c r="C983" s="347" t="s">
        <v>1246</v>
      </c>
      <c r="D983" s="193" t="str">
        <f t="shared" si="67"/>
        <v>RBDPL000913DA</v>
      </c>
      <c r="E983" s="193" t="s">
        <v>1239</v>
      </c>
      <c r="F983" s="193" t="s">
        <v>1369</v>
      </c>
      <c r="G983" s="193" t="s">
        <v>1654</v>
      </c>
      <c r="H983" s="193" t="s">
        <v>111</v>
      </c>
      <c r="I983" s="193" t="s">
        <v>3</v>
      </c>
      <c r="J983" s="193" t="str">
        <f t="shared" si="66"/>
        <v>12 Roda</v>
      </c>
      <c r="K983" s="194">
        <v>46120</v>
      </c>
      <c r="L983" s="195">
        <v>18960</v>
      </c>
      <c r="M983" s="195">
        <v>42550</v>
      </c>
      <c r="N983" s="195">
        <v>23590</v>
      </c>
      <c r="O983" s="195"/>
      <c r="P983" s="196">
        <v>0.37361111111111112</v>
      </c>
      <c r="Q983" s="196">
        <v>0.72083333333333333</v>
      </c>
      <c r="R983" s="193" t="s">
        <v>1264</v>
      </c>
      <c r="S983" s="193" t="s">
        <v>1783</v>
      </c>
      <c r="T983" s="197">
        <f t="shared" si="68"/>
        <v>360</v>
      </c>
      <c r="U983" s="193" t="s">
        <v>175</v>
      </c>
      <c r="V983" s="193" t="str">
        <f t="shared" si="69"/>
        <v>Makassar</v>
      </c>
      <c r="AP983" s="3" t="s">
        <v>1654</v>
      </c>
    </row>
    <row r="984" spans="2:42" ht="15" customHeight="1" x14ac:dyDescent="0.2">
      <c r="B984" s="193">
        <v>1</v>
      </c>
      <c r="C984" s="347" t="s">
        <v>252</v>
      </c>
      <c r="D984" s="193" t="str">
        <f t="shared" si="67"/>
        <v>CPO000110JAS</v>
      </c>
      <c r="E984" s="193" t="s">
        <v>215</v>
      </c>
      <c r="F984" s="193" t="s">
        <v>1447</v>
      </c>
      <c r="G984" s="193" t="s">
        <v>1728</v>
      </c>
      <c r="H984" s="193" t="s">
        <v>49</v>
      </c>
      <c r="I984" s="193" t="s">
        <v>41</v>
      </c>
      <c r="J984" s="193" t="s">
        <v>1131</v>
      </c>
      <c r="K984" s="194">
        <v>46120</v>
      </c>
      <c r="L984" s="195">
        <v>12840</v>
      </c>
      <c r="M984" s="195">
        <v>3980</v>
      </c>
      <c r="N984" s="195">
        <v>8860</v>
      </c>
      <c r="O984" s="195">
        <v>8820</v>
      </c>
      <c r="P984" s="196"/>
      <c r="Q984" s="196"/>
      <c r="R984" s="193"/>
      <c r="S984" s="193"/>
      <c r="T984" s="197">
        <f t="shared" si="68"/>
        <v>68</v>
      </c>
      <c r="U984" s="193"/>
      <c r="V984" s="193" t="str">
        <f t="shared" si="69"/>
        <v>Bone Bone</v>
      </c>
      <c r="AP984" s="3" t="s">
        <v>1728</v>
      </c>
    </row>
    <row r="985" spans="2:42" ht="15" customHeight="1" x14ac:dyDescent="0.2">
      <c r="B985" s="193">
        <v>1</v>
      </c>
      <c r="C985" s="347" t="s">
        <v>253</v>
      </c>
      <c r="D985" s="193" t="str">
        <f t="shared" si="67"/>
        <v>CPO000111JAS</v>
      </c>
      <c r="E985" s="193" t="s">
        <v>1265</v>
      </c>
      <c r="F985" s="193" t="s">
        <v>1447</v>
      </c>
      <c r="G985" s="193" t="s">
        <v>1728</v>
      </c>
      <c r="H985" s="193" t="s">
        <v>49</v>
      </c>
      <c r="I985" s="193" t="s">
        <v>41</v>
      </c>
      <c r="J985" s="193" t="s">
        <v>1133</v>
      </c>
      <c r="K985" s="194">
        <v>46120</v>
      </c>
      <c r="L985" s="195">
        <v>26830</v>
      </c>
      <c r="M985" s="195">
        <v>8270</v>
      </c>
      <c r="N985" s="195">
        <v>18560</v>
      </c>
      <c r="O985" s="195">
        <v>18500</v>
      </c>
      <c r="P985" s="196"/>
      <c r="Q985" s="196"/>
      <c r="R985" s="193"/>
      <c r="S985" s="193"/>
      <c r="T985" s="197">
        <f t="shared" si="68"/>
        <v>68</v>
      </c>
      <c r="U985" s="193"/>
      <c r="V985" s="193" t="str">
        <f t="shared" si="69"/>
        <v>Bone Bone</v>
      </c>
      <c r="AP985" s="3" t="s">
        <v>1728</v>
      </c>
    </row>
    <row r="986" spans="2:42" ht="15" customHeight="1" x14ac:dyDescent="0.2">
      <c r="B986" s="193">
        <v>1</v>
      </c>
      <c r="C986" s="347" t="s">
        <v>254</v>
      </c>
      <c r="D986" s="193" t="str">
        <f t="shared" si="67"/>
        <v>CPO000112JAS</v>
      </c>
      <c r="E986" s="193" t="s">
        <v>211</v>
      </c>
      <c r="F986" s="193" t="s">
        <v>1447</v>
      </c>
      <c r="G986" s="193" t="s">
        <v>1728</v>
      </c>
      <c r="H986" s="193" t="s">
        <v>49</v>
      </c>
      <c r="I986" s="193" t="s">
        <v>41</v>
      </c>
      <c r="J986" s="193" t="s">
        <v>1131</v>
      </c>
      <c r="K986" s="194">
        <v>46120</v>
      </c>
      <c r="L986" s="195">
        <v>12980</v>
      </c>
      <c r="M986" s="195">
        <v>3950</v>
      </c>
      <c r="N986" s="195">
        <v>9030</v>
      </c>
      <c r="O986" s="195">
        <v>8990</v>
      </c>
      <c r="P986" s="196"/>
      <c r="Q986" s="196"/>
      <c r="R986" s="193"/>
      <c r="S986" s="193"/>
      <c r="T986" s="197">
        <f t="shared" si="68"/>
        <v>68</v>
      </c>
      <c r="U986" s="193"/>
      <c r="V986" s="193" t="str">
        <f t="shared" si="69"/>
        <v>Bone Bone</v>
      </c>
      <c r="AP986" s="3" t="s">
        <v>1728</v>
      </c>
    </row>
    <row r="987" spans="2:42" ht="15" customHeight="1" x14ac:dyDescent="0.2">
      <c r="B987" s="193">
        <v>1</v>
      </c>
      <c r="C987" s="347" t="s">
        <v>255</v>
      </c>
      <c r="D987" s="193" t="str">
        <f t="shared" si="67"/>
        <v>CPO000113JAS</v>
      </c>
      <c r="E987" s="193" t="s">
        <v>156</v>
      </c>
      <c r="F987" s="193" t="s">
        <v>1447</v>
      </c>
      <c r="G987" s="193" t="s">
        <v>1728</v>
      </c>
      <c r="H987" s="193" t="s">
        <v>49</v>
      </c>
      <c r="I987" s="193" t="s">
        <v>41</v>
      </c>
      <c r="J987" s="193" t="s">
        <v>1131</v>
      </c>
      <c r="K987" s="194">
        <v>46120</v>
      </c>
      <c r="L987" s="195">
        <v>14040</v>
      </c>
      <c r="M987" s="195">
        <v>4110</v>
      </c>
      <c r="N987" s="195">
        <v>9930</v>
      </c>
      <c r="O987" s="195">
        <v>9880</v>
      </c>
      <c r="P987" s="196"/>
      <c r="Q987" s="196"/>
      <c r="R987" s="193"/>
      <c r="S987" s="193"/>
      <c r="T987" s="197">
        <f t="shared" si="68"/>
        <v>68</v>
      </c>
      <c r="U987" s="193"/>
      <c r="V987" s="193" t="str">
        <f t="shared" si="69"/>
        <v>Bone Bone</v>
      </c>
      <c r="AP987" s="3" t="s">
        <v>1728</v>
      </c>
    </row>
    <row r="988" spans="2:42" ht="15" customHeight="1" x14ac:dyDescent="0.2">
      <c r="B988" s="193">
        <v>1</v>
      </c>
      <c r="C988" s="347" t="s">
        <v>256</v>
      </c>
      <c r="D988" s="193" t="str">
        <f t="shared" si="67"/>
        <v>CPO000114JAS</v>
      </c>
      <c r="E988" s="193" t="s">
        <v>1266</v>
      </c>
      <c r="F988" s="193" t="s">
        <v>1447</v>
      </c>
      <c r="G988" s="193" t="s">
        <v>1728</v>
      </c>
      <c r="H988" s="193" t="s">
        <v>49</v>
      </c>
      <c r="I988" s="193" t="s">
        <v>41</v>
      </c>
      <c r="J988" s="193" t="s">
        <v>1133</v>
      </c>
      <c r="K988" s="194">
        <v>46120</v>
      </c>
      <c r="L988" s="195">
        <v>28550</v>
      </c>
      <c r="M988" s="195">
        <v>8030</v>
      </c>
      <c r="N988" s="195">
        <v>20520</v>
      </c>
      <c r="O988" s="195">
        <v>20470</v>
      </c>
      <c r="P988" s="196"/>
      <c r="Q988" s="196"/>
      <c r="R988" s="193"/>
      <c r="S988" s="193"/>
      <c r="T988" s="197">
        <f t="shared" si="68"/>
        <v>68</v>
      </c>
      <c r="U988" s="193"/>
      <c r="V988" s="193" t="str">
        <f t="shared" si="69"/>
        <v>Bone Bone</v>
      </c>
      <c r="AP988" s="3" t="s">
        <v>1728</v>
      </c>
    </row>
    <row r="989" spans="2:42" ht="15" customHeight="1" x14ac:dyDescent="0.2">
      <c r="B989" s="193">
        <v>1</v>
      </c>
      <c r="C989" s="347" t="s">
        <v>257</v>
      </c>
      <c r="D989" s="193" t="str">
        <f t="shared" si="67"/>
        <v>CPO000115JAS</v>
      </c>
      <c r="E989" s="193" t="s">
        <v>1267</v>
      </c>
      <c r="F989" s="193" t="s">
        <v>1447</v>
      </c>
      <c r="G989" s="193" t="s">
        <v>1728</v>
      </c>
      <c r="H989" s="193" t="s">
        <v>49</v>
      </c>
      <c r="I989" s="193" t="s">
        <v>41</v>
      </c>
      <c r="J989" s="193" t="s">
        <v>1131</v>
      </c>
      <c r="K989" s="194">
        <v>46120</v>
      </c>
      <c r="L989" s="195">
        <v>12720</v>
      </c>
      <c r="M989" s="195">
        <v>3800</v>
      </c>
      <c r="N989" s="195">
        <v>8920</v>
      </c>
      <c r="O989" s="195">
        <v>8880</v>
      </c>
      <c r="P989" s="196"/>
      <c r="Q989" s="196"/>
      <c r="R989" s="193"/>
      <c r="S989" s="193"/>
      <c r="T989" s="197">
        <f t="shared" si="68"/>
        <v>68</v>
      </c>
      <c r="U989" s="193"/>
      <c r="V989" s="193" t="s">
        <v>68</v>
      </c>
      <c r="AP989" s="3" t="s">
        <v>1728</v>
      </c>
    </row>
    <row r="990" spans="2:42" ht="15" customHeight="1" x14ac:dyDescent="0.2">
      <c r="B990" s="193">
        <v>1</v>
      </c>
      <c r="C990" s="347" t="s">
        <v>258</v>
      </c>
      <c r="D990" s="193" t="str">
        <f t="shared" si="67"/>
        <v>CPO000116JAS</v>
      </c>
      <c r="E990" s="193" t="s">
        <v>56</v>
      </c>
      <c r="F990" s="193" t="s">
        <v>1445</v>
      </c>
      <c r="G990" s="193" t="s">
        <v>1727</v>
      </c>
      <c r="H990" s="193" t="s">
        <v>49</v>
      </c>
      <c r="I990" s="193" t="s">
        <v>41</v>
      </c>
      <c r="J990" s="193" t="s">
        <v>1131</v>
      </c>
      <c r="K990" s="194">
        <v>46120</v>
      </c>
      <c r="L990" s="195">
        <v>24960</v>
      </c>
      <c r="M990" s="195">
        <v>10720</v>
      </c>
      <c r="N990" s="195">
        <v>14240</v>
      </c>
      <c r="O990" s="195">
        <v>14190</v>
      </c>
      <c r="P990" s="196">
        <v>0.5854166666666667</v>
      </c>
      <c r="Q990" s="196">
        <v>0.6118055555555556</v>
      </c>
      <c r="R990" s="193" t="s">
        <v>42</v>
      </c>
      <c r="S990" s="193"/>
      <c r="T990" s="197"/>
      <c r="U990" s="193"/>
      <c r="V990" s="193" t="s">
        <v>68</v>
      </c>
    </row>
    <row r="991" spans="2:42" ht="15" customHeight="1" x14ac:dyDescent="0.2">
      <c r="B991" s="193">
        <v>1</v>
      </c>
      <c r="C991" s="347" t="s">
        <v>259</v>
      </c>
      <c r="D991" s="193" t="str">
        <f t="shared" si="67"/>
        <v>CPO000117JAS</v>
      </c>
      <c r="E991" s="193" t="s">
        <v>738</v>
      </c>
      <c r="F991" s="193" t="s">
        <v>1447</v>
      </c>
      <c r="G991" s="193" t="s">
        <v>1728</v>
      </c>
      <c r="H991" s="193" t="s">
        <v>49</v>
      </c>
      <c r="I991" s="193" t="s">
        <v>41</v>
      </c>
      <c r="J991" s="193" t="s">
        <v>1131</v>
      </c>
      <c r="K991" s="194">
        <v>46120</v>
      </c>
      <c r="L991" s="195">
        <v>12300</v>
      </c>
      <c r="M991" s="195">
        <v>3720</v>
      </c>
      <c r="N991" s="195">
        <v>8580</v>
      </c>
      <c r="O991" s="195">
        <v>8550</v>
      </c>
      <c r="P991" s="196"/>
      <c r="Q991" s="196"/>
      <c r="R991" s="193"/>
      <c r="S991" s="193"/>
      <c r="T991" s="197">
        <f t="shared" si="68"/>
        <v>68</v>
      </c>
      <c r="U991" s="193"/>
      <c r="V991" s="193" t="s">
        <v>68</v>
      </c>
      <c r="AP991" s="3" t="s">
        <v>1728</v>
      </c>
    </row>
    <row r="992" spans="2:42" ht="15" customHeight="1" x14ac:dyDescent="0.2">
      <c r="B992" s="193">
        <v>1</v>
      </c>
      <c r="C992" s="347" t="s">
        <v>260</v>
      </c>
      <c r="D992" s="193" t="str">
        <f t="shared" si="67"/>
        <v>CPO000118JAS</v>
      </c>
      <c r="E992" s="193" t="s">
        <v>70</v>
      </c>
      <c r="F992" s="193" t="s">
        <v>1445</v>
      </c>
      <c r="G992" s="193" t="s">
        <v>1727</v>
      </c>
      <c r="H992" s="193" t="s">
        <v>49</v>
      </c>
      <c r="I992" s="193" t="s">
        <v>41</v>
      </c>
      <c r="J992" s="193" t="s">
        <v>1131</v>
      </c>
      <c r="K992" s="194">
        <v>46120</v>
      </c>
      <c r="L992" s="195">
        <v>45850</v>
      </c>
      <c r="M992" s="195">
        <v>17410</v>
      </c>
      <c r="N992" s="195">
        <v>28440</v>
      </c>
      <c r="O992" s="195">
        <v>28330</v>
      </c>
      <c r="P992" s="196">
        <v>0.6</v>
      </c>
      <c r="Q992" s="196">
        <v>0.65069444444444446</v>
      </c>
      <c r="R992" s="193" t="s">
        <v>42</v>
      </c>
      <c r="S992" s="193"/>
      <c r="T992" s="197"/>
      <c r="U992" s="193"/>
      <c r="V992" s="193" t="s">
        <v>68</v>
      </c>
    </row>
    <row r="993" spans="2:42" ht="15" customHeight="1" x14ac:dyDescent="0.2">
      <c r="B993" s="193">
        <v>1</v>
      </c>
      <c r="C993" s="347" t="s">
        <v>261</v>
      </c>
      <c r="D993" s="193" t="str">
        <f t="shared" si="67"/>
        <v>CPO000119JAS</v>
      </c>
      <c r="E993" s="193" t="s">
        <v>186</v>
      </c>
      <c r="F993" s="193" t="s">
        <v>1447</v>
      </c>
      <c r="G993" s="193" t="s">
        <v>1728</v>
      </c>
      <c r="H993" s="193" t="s">
        <v>49</v>
      </c>
      <c r="I993" s="193" t="s">
        <v>41</v>
      </c>
      <c r="J993" s="193" t="s">
        <v>1131</v>
      </c>
      <c r="K993" s="194">
        <v>46120</v>
      </c>
      <c r="L993" s="195">
        <v>13390</v>
      </c>
      <c r="M993" s="195">
        <v>3920</v>
      </c>
      <c r="N993" s="195">
        <v>9470</v>
      </c>
      <c r="O993" s="195">
        <v>9440</v>
      </c>
      <c r="P993" s="196"/>
      <c r="Q993" s="196"/>
      <c r="R993" s="193"/>
      <c r="S993" s="193"/>
      <c r="T993" s="197">
        <f t="shared" si="68"/>
        <v>68</v>
      </c>
      <c r="U993" s="193"/>
      <c r="V993" s="193" t="s">
        <v>68</v>
      </c>
      <c r="AP993" s="3" t="s">
        <v>1728</v>
      </c>
    </row>
    <row r="994" spans="2:42" ht="15" customHeight="1" x14ac:dyDescent="0.2">
      <c r="B994" s="193">
        <v>1</v>
      </c>
      <c r="C994" s="347" t="s">
        <v>262</v>
      </c>
      <c r="D994" s="193" t="str">
        <f t="shared" si="67"/>
        <v>CPO000120JAS</v>
      </c>
      <c r="E994" s="193" t="s">
        <v>1268</v>
      </c>
      <c r="F994" s="193" t="s">
        <v>1447</v>
      </c>
      <c r="G994" s="193" t="s">
        <v>1728</v>
      </c>
      <c r="H994" s="193" t="s">
        <v>49</v>
      </c>
      <c r="I994" s="193" t="s">
        <v>41</v>
      </c>
      <c r="J994" s="193" t="s">
        <v>1131</v>
      </c>
      <c r="K994" s="194">
        <v>46120</v>
      </c>
      <c r="L994" s="195">
        <v>13490</v>
      </c>
      <c r="M994" s="195">
        <v>3860</v>
      </c>
      <c r="N994" s="195">
        <v>9630</v>
      </c>
      <c r="O994" s="195">
        <v>9540</v>
      </c>
      <c r="P994" s="196"/>
      <c r="Q994" s="196"/>
      <c r="R994" s="193"/>
      <c r="S994" s="193"/>
      <c r="T994" s="197">
        <f t="shared" si="68"/>
        <v>68</v>
      </c>
      <c r="U994" s="193"/>
      <c r="V994" s="193" t="s">
        <v>68</v>
      </c>
      <c r="AP994" s="3" t="s">
        <v>1728</v>
      </c>
    </row>
    <row r="995" spans="2:42" ht="15" customHeight="1" x14ac:dyDescent="0.2">
      <c r="B995" s="193">
        <v>1</v>
      </c>
      <c r="C995" s="347" t="s">
        <v>263</v>
      </c>
      <c r="D995" s="193" t="str">
        <f t="shared" si="67"/>
        <v>CPO000121JAS</v>
      </c>
      <c r="E995" s="193" t="s">
        <v>1269</v>
      </c>
      <c r="F995" s="193" t="s">
        <v>1447</v>
      </c>
      <c r="G995" s="193" t="s">
        <v>1728</v>
      </c>
      <c r="H995" s="193" t="s">
        <v>49</v>
      </c>
      <c r="I995" s="193" t="s">
        <v>41</v>
      </c>
      <c r="J995" s="193" t="s">
        <v>1131</v>
      </c>
      <c r="K995" s="194">
        <v>46120</v>
      </c>
      <c r="L995" s="195">
        <v>13190</v>
      </c>
      <c r="M995" s="195">
        <v>4130</v>
      </c>
      <c r="N995" s="195">
        <v>9060</v>
      </c>
      <c r="O995" s="195">
        <v>9030</v>
      </c>
      <c r="P995" s="196"/>
      <c r="Q995" s="196"/>
      <c r="R995" s="193"/>
      <c r="S995" s="193"/>
      <c r="T995" s="197">
        <f t="shared" si="68"/>
        <v>68</v>
      </c>
      <c r="U995" s="193"/>
      <c r="V995" s="193" t="s">
        <v>68</v>
      </c>
      <c r="AP995" s="3" t="s">
        <v>1728</v>
      </c>
    </row>
    <row r="996" spans="2:42" ht="15" customHeight="1" x14ac:dyDescent="0.2">
      <c r="B996" s="193">
        <v>1</v>
      </c>
      <c r="C996" s="347" t="s">
        <v>264</v>
      </c>
      <c r="D996" s="193" t="str">
        <f t="shared" si="67"/>
        <v>CPO000122JAS</v>
      </c>
      <c r="E996" s="193" t="s">
        <v>1270</v>
      </c>
      <c r="F996" s="193" t="s">
        <v>1447</v>
      </c>
      <c r="G996" s="193" t="s">
        <v>1728</v>
      </c>
      <c r="H996" s="193" t="s">
        <v>49</v>
      </c>
      <c r="I996" s="193" t="s">
        <v>41</v>
      </c>
      <c r="J996" s="193" t="s">
        <v>1131</v>
      </c>
      <c r="K996" s="194">
        <v>46120</v>
      </c>
      <c r="L996" s="195">
        <v>13870</v>
      </c>
      <c r="M996" s="195">
        <v>3940</v>
      </c>
      <c r="N996" s="195">
        <v>9930</v>
      </c>
      <c r="O996" s="195">
        <v>9890</v>
      </c>
      <c r="P996" s="196"/>
      <c r="Q996" s="196"/>
      <c r="R996" s="193"/>
      <c r="S996" s="193"/>
      <c r="T996" s="197">
        <f t="shared" si="68"/>
        <v>68</v>
      </c>
      <c r="U996" s="193"/>
      <c r="V996" s="193" t="s">
        <v>68</v>
      </c>
      <c r="AP996" s="3" t="s">
        <v>1728</v>
      </c>
    </row>
    <row r="997" spans="2:42" ht="15" customHeight="1" x14ac:dyDescent="0.2">
      <c r="B997" s="193">
        <v>1</v>
      </c>
      <c r="C997" s="347" t="s">
        <v>265</v>
      </c>
      <c r="D997" s="193" t="str">
        <f t="shared" si="67"/>
        <v>CPO000123JAS</v>
      </c>
      <c r="E997" s="193" t="s">
        <v>177</v>
      </c>
      <c r="F997" s="193" t="s">
        <v>1447</v>
      </c>
      <c r="G997" s="193" t="s">
        <v>1728</v>
      </c>
      <c r="H997" s="193" t="s">
        <v>49</v>
      </c>
      <c r="I997" s="193" t="s">
        <v>41</v>
      </c>
      <c r="J997" s="193" t="s">
        <v>1131</v>
      </c>
      <c r="K997" s="194">
        <v>46120</v>
      </c>
      <c r="L997" s="195">
        <v>13820</v>
      </c>
      <c r="M997" s="195">
        <v>4150</v>
      </c>
      <c r="N997" s="195">
        <v>9670</v>
      </c>
      <c r="O997" s="195">
        <v>9620</v>
      </c>
      <c r="P997" s="196"/>
      <c r="Q997" s="196"/>
      <c r="R997" s="193"/>
      <c r="S997" s="193"/>
      <c r="T997" s="197">
        <f t="shared" si="68"/>
        <v>68</v>
      </c>
      <c r="U997" s="193"/>
      <c r="V997" s="193" t="s">
        <v>68</v>
      </c>
      <c r="AP997" s="3" t="s">
        <v>1728</v>
      </c>
    </row>
    <row r="998" spans="2:42" ht="15" customHeight="1" x14ac:dyDescent="0.2">
      <c r="B998" s="193">
        <v>1</v>
      </c>
      <c r="C998" s="347" t="s">
        <v>266</v>
      </c>
      <c r="D998" s="193" t="str">
        <f t="shared" si="67"/>
        <v>CPO000124JAS</v>
      </c>
      <c r="E998" s="193" t="s">
        <v>1271</v>
      </c>
      <c r="F998" s="193" t="s">
        <v>1447</v>
      </c>
      <c r="G998" s="193" t="s">
        <v>1728</v>
      </c>
      <c r="H998" s="193" t="s">
        <v>49</v>
      </c>
      <c r="I998" s="193" t="s">
        <v>41</v>
      </c>
      <c r="J998" s="193" t="s">
        <v>1131</v>
      </c>
      <c r="K998" s="194">
        <v>46120</v>
      </c>
      <c r="L998" s="195">
        <v>13370</v>
      </c>
      <c r="M998" s="195">
        <v>4000</v>
      </c>
      <c r="N998" s="195">
        <v>9370</v>
      </c>
      <c r="O998" s="195">
        <v>9360</v>
      </c>
      <c r="P998" s="196"/>
      <c r="Q998" s="196"/>
      <c r="R998" s="193"/>
      <c r="S998" s="193"/>
      <c r="T998" s="197">
        <f t="shared" si="68"/>
        <v>68</v>
      </c>
      <c r="U998" s="193"/>
      <c r="V998" s="193" t="s">
        <v>68</v>
      </c>
      <c r="AP998" s="3" t="s">
        <v>1728</v>
      </c>
    </row>
    <row r="999" spans="2:42" ht="15" customHeight="1" x14ac:dyDescent="0.2">
      <c r="B999" s="193">
        <v>1</v>
      </c>
      <c r="C999" s="347" t="s">
        <v>267</v>
      </c>
      <c r="D999" s="193" t="str">
        <f t="shared" si="67"/>
        <v>CPO000125JAS</v>
      </c>
      <c r="E999" s="193" t="s">
        <v>46</v>
      </c>
      <c r="F999" s="193" t="s">
        <v>1447</v>
      </c>
      <c r="G999" s="193" t="s">
        <v>1728</v>
      </c>
      <c r="H999" s="193" t="s">
        <v>49</v>
      </c>
      <c r="I999" s="193" t="s">
        <v>41</v>
      </c>
      <c r="J999" s="193" t="s">
        <v>1132</v>
      </c>
      <c r="K999" s="194">
        <v>46120</v>
      </c>
      <c r="L999" s="195">
        <v>26690</v>
      </c>
      <c r="M999" s="195">
        <v>11860</v>
      </c>
      <c r="N999" s="195">
        <v>14830</v>
      </c>
      <c r="O999" s="195">
        <v>14800</v>
      </c>
      <c r="P999" s="196"/>
      <c r="Q999" s="196"/>
      <c r="R999" s="193"/>
      <c r="S999" s="193" t="s">
        <v>1393</v>
      </c>
      <c r="T999" s="197">
        <f t="shared" si="68"/>
        <v>68</v>
      </c>
      <c r="U999" s="193"/>
      <c r="V999" s="193" t="s">
        <v>68</v>
      </c>
      <c r="AP999" s="3" t="s">
        <v>1728</v>
      </c>
    </row>
    <row r="1000" spans="2:42" ht="15" customHeight="1" x14ac:dyDescent="0.2">
      <c r="B1000" s="193">
        <v>1</v>
      </c>
      <c r="C1000" s="347" t="s">
        <v>268</v>
      </c>
      <c r="D1000" s="193" t="str">
        <f t="shared" si="67"/>
        <v>CPO000126JAS</v>
      </c>
      <c r="E1000" s="193" t="s">
        <v>215</v>
      </c>
      <c r="F1000" s="193" t="s">
        <v>1447</v>
      </c>
      <c r="G1000" s="193" t="s">
        <v>1728</v>
      </c>
      <c r="H1000" s="193" t="s">
        <v>49</v>
      </c>
      <c r="I1000" s="193" t="s">
        <v>41</v>
      </c>
      <c r="J1000" s="193" t="s">
        <v>1131</v>
      </c>
      <c r="K1000" s="194">
        <v>46120</v>
      </c>
      <c r="L1000" s="195">
        <v>12760</v>
      </c>
      <c r="M1000" s="195">
        <v>3960</v>
      </c>
      <c r="N1000" s="195">
        <v>8800</v>
      </c>
      <c r="O1000" s="195">
        <v>8760</v>
      </c>
      <c r="P1000" s="196"/>
      <c r="Q1000" s="196"/>
      <c r="R1000" s="193"/>
      <c r="S1000" s="193"/>
      <c r="T1000" s="197">
        <f t="shared" si="68"/>
        <v>68</v>
      </c>
      <c r="U1000" s="193"/>
      <c r="V1000" s="193" t="s">
        <v>68</v>
      </c>
      <c r="AP1000" s="3" t="s">
        <v>1728</v>
      </c>
    </row>
    <row r="1001" spans="2:42" ht="15" customHeight="1" x14ac:dyDescent="0.2">
      <c r="B1001" s="193">
        <v>1</v>
      </c>
      <c r="C1001" s="347" t="s">
        <v>269</v>
      </c>
      <c r="D1001" s="193" t="str">
        <f t="shared" si="67"/>
        <v>CPO000127JAS</v>
      </c>
      <c r="E1001" s="193" t="s">
        <v>211</v>
      </c>
      <c r="F1001" s="193" t="s">
        <v>1447</v>
      </c>
      <c r="G1001" s="193" t="s">
        <v>1728</v>
      </c>
      <c r="H1001" s="193" t="s">
        <v>49</v>
      </c>
      <c r="I1001" s="193" t="s">
        <v>41</v>
      </c>
      <c r="J1001" s="193" t="s">
        <v>1131</v>
      </c>
      <c r="K1001" s="194">
        <v>46120</v>
      </c>
      <c r="L1001" s="195">
        <v>12950</v>
      </c>
      <c r="M1001" s="195">
        <v>3930</v>
      </c>
      <c r="N1001" s="195">
        <v>9020</v>
      </c>
      <c r="O1001" s="195">
        <v>8990</v>
      </c>
      <c r="P1001" s="196"/>
      <c r="Q1001" s="196"/>
      <c r="R1001" s="193"/>
      <c r="S1001" s="193"/>
      <c r="T1001" s="197">
        <f t="shared" si="68"/>
        <v>68</v>
      </c>
      <c r="U1001" s="193"/>
      <c r="V1001" s="193" t="s">
        <v>68</v>
      </c>
      <c r="AP1001" s="3" t="s">
        <v>1728</v>
      </c>
    </row>
    <row r="1002" spans="2:42" ht="15" customHeight="1" x14ac:dyDescent="0.2">
      <c r="B1002" s="193">
        <v>1</v>
      </c>
      <c r="C1002" s="347" t="s">
        <v>270</v>
      </c>
      <c r="D1002" s="193" t="str">
        <f t="shared" si="67"/>
        <v>CPO000128JAS</v>
      </c>
      <c r="E1002" s="193" t="s">
        <v>84</v>
      </c>
      <c r="F1002" s="193" t="s">
        <v>1447</v>
      </c>
      <c r="G1002" s="193" t="s">
        <v>1728</v>
      </c>
      <c r="H1002" s="193" t="s">
        <v>49</v>
      </c>
      <c r="I1002" s="193" t="s">
        <v>41</v>
      </c>
      <c r="J1002" s="193" t="s">
        <v>1132</v>
      </c>
      <c r="K1002" s="194">
        <v>46120</v>
      </c>
      <c r="L1002" s="195">
        <v>26690</v>
      </c>
      <c r="M1002" s="195">
        <v>12110</v>
      </c>
      <c r="N1002" s="195">
        <v>14580</v>
      </c>
      <c r="O1002" s="195">
        <v>14540</v>
      </c>
      <c r="P1002" s="196"/>
      <c r="Q1002" s="196"/>
      <c r="R1002" s="193"/>
      <c r="S1002" s="193" t="s">
        <v>1397</v>
      </c>
      <c r="T1002" s="197">
        <f t="shared" si="68"/>
        <v>68</v>
      </c>
      <c r="U1002" s="193"/>
      <c r="V1002" s="193" t="s">
        <v>68</v>
      </c>
      <c r="AP1002" s="3" t="s">
        <v>1728</v>
      </c>
    </row>
    <row r="1003" spans="2:42" ht="15" customHeight="1" x14ac:dyDescent="0.2">
      <c r="B1003" s="193">
        <v>1</v>
      </c>
      <c r="C1003" s="347" t="s">
        <v>271</v>
      </c>
      <c r="D1003" s="193" t="str">
        <f t="shared" si="67"/>
        <v>CPO000129JAS</v>
      </c>
      <c r="E1003" s="193" t="s">
        <v>1265</v>
      </c>
      <c r="F1003" s="193" t="s">
        <v>1447</v>
      </c>
      <c r="G1003" s="193" t="s">
        <v>1728</v>
      </c>
      <c r="H1003" s="193" t="s">
        <v>49</v>
      </c>
      <c r="I1003" s="193" t="s">
        <v>41</v>
      </c>
      <c r="J1003" s="193" t="s">
        <v>1133</v>
      </c>
      <c r="K1003" s="194">
        <v>46120</v>
      </c>
      <c r="L1003" s="195">
        <v>26790</v>
      </c>
      <c r="M1003" s="195">
        <v>8260</v>
      </c>
      <c r="N1003" s="195">
        <v>18530</v>
      </c>
      <c r="O1003" s="195">
        <v>18500</v>
      </c>
      <c r="P1003" s="196"/>
      <c r="Q1003" s="196"/>
      <c r="R1003" s="193"/>
      <c r="S1003" s="193"/>
      <c r="T1003" s="197">
        <f t="shared" si="68"/>
        <v>68</v>
      </c>
      <c r="U1003" s="193"/>
      <c r="V1003" s="193" t="s">
        <v>68</v>
      </c>
      <c r="AP1003" s="3" t="s">
        <v>1728</v>
      </c>
    </row>
    <row r="1004" spans="2:42" ht="15" customHeight="1" x14ac:dyDescent="0.2">
      <c r="B1004" s="193">
        <v>1</v>
      </c>
      <c r="C1004" s="347" t="s">
        <v>272</v>
      </c>
      <c r="D1004" s="193" t="str">
        <f t="shared" si="67"/>
        <v>CPO000130JAS</v>
      </c>
      <c r="E1004" s="193" t="s">
        <v>183</v>
      </c>
      <c r="F1004" s="193" t="s">
        <v>1447</v>
      </c>
      <c r="G1004" s="193" t="s">
        <v>1728</v>
      </c>
      <c r="H1004" s="193" t="s">
        <v>49</v>
      </c>
      <c r="I1004" s="193" t="s">
        <v>41</v>
      </c>
      <c r="J1004" s="193" t="s">
        <v>1131</v>
      </c>
      <c r="K1004" s="194">
        <v>46120</v>
      </c>
      <c r="L1004" s="195">
        <v>14090</v>
      </c>
      <c r="M1004" s="195">
        <v>4150</v>
      </c>
      <c r="N1004" s="195">
        <v>9940</v>
      </c>
      <c r="O1004" s="195">
        <v>9920</v>
      </c>
      <c r="P1004" s="196"/>
      <c r="Q1004" s="196"/>
      <c r="R1004" s="193"/>
      <c r="S1004" s="193"/>
      <c r="T1004" s="197">
        <f t="shared" si="68"/>
        <v>68</v>
      </c>
      <c r="U1004" s="193"/>
      <c r="V1004" s="193" t="s">
        <v>68</v>
      </c>
      <c r="AP1004" s="3" t="s">
        <v>1728</v>
      </c>
    </row>
    <row r="1005" spans="2:42" ht="15" customHeight="1" x14ac:dyDescent="0.2">
      <c r="B1005" s="193">
        <v>1</v>
      </c>
      <c r="C1005" s="347" t="s">
        <v>273</v>
      </c>
      <c r="D1005" s="193" t="str">
        <f t="shared" si="67"/>
        <v>CPO000131JAS</v>
      </c>
      <c r="E1005" s="193" t="s">
        <v>156</v>
      </c>
      <c r="F1005" s="193" t="s">
        <v>1447</v>
      </c>
      <c r="G1005" s="193" t="s">
        <v>1728</v>
      </c>
      <c r="H1005" s="193" t="s">
        <v>49</v>
      </c>
      <c r="I1005" s="193" t="s">
        <v>41</v>
      </c>
      <c r="J1005" s="193" t="s">
        <v>1131</v>
      </c>
      <c r="K1005" s="194">
        <v>46120</v>
      </c>
      <c r="L1005" s="195">
        <v>14020</v>
      </c>
      <c r="M1005" s="195">
        <v>4090</v>
      </c>
      <c r="N1005" s="195">
        <v>9930</v>
      </c>
      <c r="O1005" s="195">
        <v>9890</v>
      </c>
      <c r="P1005" s="196"/>
      <c r="Q1005" s="196"/>
      <c r="R1005" s="193"/>
      <c r="S1005" s="193"/>
      <c r="T1005" s="197">
        <f t="shared" si="68"/>
        <v>68</v>
      </c>
      <c r="U1005" s="193"/>
      <c r="V1005" s="193" t="s">
        <v>68</v>
      </c>
      <c r="AP1005" s="3" t="s">
        <v>1728</v>
      </c>
    </row>
    <row r="1006" spans="2:42" ht="15" customHeight="1" x14ac:dyDescent="0.2">
      <c r="B1006" s="193">
        <v>1</v>
      </c>
      <c r="C1006" s="347" t="s">
        <v>274</v>
      </c>
      <c r="D1006" s="193" t="str">
        <f t="shared" ref="D1006:D1069" si="70">I1006&amp;C1006&amp;_xlfn.XLOOKUP(H1006,$AM$4:$AM$26,$AN$4:$AN$26,"")</f>
        <v>CPO000132JAS</v>
      </c>
      <c r="E1006" s="193" t="s">
        <v>1272</v>
      </c>
      <c r="F1006" s="193" t="s">
        <v>1447</v>
      </c>
      <c r="G1006" s="193" t="s">
        <v>1728</v>
      </c>
      <c r="H1006" s="193" t="s">
        <v>49</v>
      </c>
      <c r="I1006" s="193" t="s">
        <v>41</v>
      </c>
      <c r="J1006" s="193" t="s">
        <v>1133</v>
      </c>
      <c r="K1006" s="194">
        <v>46120</v>
      </c>
      <c r="L1006" s="195">
        <v>28550</v>
      </c>
      <c r="M1006" s="195">
        <v>8030</v>
      </c>
      <c r="N1006" s="195">
        <v>20520</v>
      </c>
      <c r="O1006" s="195">
        <v>20460</v>
      </c>
      <c r="P1006" s="196"/>
      <c r="Q1006" s="196"/>
      <c r="R1006" s="193"/>
      <c r="S1006" s="193"/>
      <c r="T1006" s="197">
        <f t="shared" si="68"/>
        <v>68</v>
      </c>
      <c r="U1006" s="193"/>
      <c r="V1006" s="193" t="s">
        <v>68</v>
      </c>
      <c r="AP1006" s="3" t="s">
        <v>1728</v>
      </c>
    </row>
    <row r="1007" spans="2:42" ht="15" customHeight="1" x14ac:dyDescent="0.2">
      <c r="B1007" s="193">
        <v>1</v>
      </c>
      <c r="C1007" s="347" t="s">
        <v>275</v>
      </c>
      <c r="D1007" s="193" t="str">
        <f t="shared" si="70"/>
        <v>CPO000133JAS</v>
      </c>
      <c r="E1007" s="193" t="s">
        <v>738</v>
      </c>
      <c r="F1007" s="193" t="s">
        <v>1447</v>
      </c>
      <c r="G1007" s="193" t="s">
        <v>1728</v>
      </c>
      <c r="H1007" s="193" t="s">
        <v>49</v>
      </c>
      <c r="I1007" s="193" t="s">
        <v>41</v>
      </c>
      <c r="J1007" s="193" t="s">
        <v>1131</v>
      </c>
      <c r="K1007" s="194">
        <v>46120</v>
      </c>
      <c r="L1007" s="195">
        <v>12290</v>
      </c>
      <c r="M1007" s="195">
        <v>3710</v>
      </c>
      <c r="N1007" s="195">
        <v>8580</v>
      </c>
      <c r="O1007" s="195">
        <v>8560</v>
      </c>
      <c r="P1007" s="196"/>
      <c r="Q1007" s="196"/>
      <c r="R1007" s="193"/>
      <c r="S1007" s="193"/>
      <c r="T1007" s="197">
        <f t="shared" si="68"/>
        <v>68</v>
      </c>
      <c r="U1007" s="193"/>
      <c r="V1007" s="193" t="s">
        <v>68</v>
      </c>
      <c r="AP1007" s="3" t="s">
        <v>1728</v>
      </c>
    </row>
    <row r="1008" spans="2:42" ht="15" customHeight="1" x14ac:dyDescent="0.2">
      <c r="B1008" s="193">
        <v>1</v>
      </c>
      <c r="C1008" s="347" t="s">
        <v>276</v>
      </c>
      <c r="D1008" s="193" t="str">
        <f t="shared" si="70"/>
        <v>CPO000134JAS</v>
      </c>
      <c r="E1008" s="193" t="s">
        <v>1278</v>
      </c>
      <c r="F1008" s="193" t="s">
        <v>1447</v>
      </c>
      <c r="G1008" s="193" t="s">
        <v>1728</v>
      </c>
      <c r="H1008" s="193" t="s">
        <v>49</v>
      </c>
      <c r="I1008" s="193" t="s">
        <v>41</v>
      </c>
      <c r="J1008" s="193" t="s">
        <v>1131</v>
      </c>
      <c r="K1008" s="194">
        <v>46120</v>
      </c>
      <c r="L1008" s="195">
        <v>14130</v>
      </c>
      <c r="M1008" s="195">
        <v>4300</v>
      </c>
      <c r="N1008" s="195">
        <v>9830</v>
      </c>
      <c r="O1008" s="195">
        <v>9780</v>
      </c>
      <c r="P1008" s="196"/>
      <c r="Q1008" s="196"/>
      <c r="R1008" s="193"/>
      <c r="S1008" s="193"/>
      <c r="T1008" s="197">
        <f t="shared" si="68"/>
        <v>68</v>
      </c>
      <c r="U1008" s="193"/>
      <c r="V1008" s="193" t="s">
        <v>68</v>
      </c>
      <c r="AP1008" s="3" t="s">
        <v>1728</v>
      </c>
    </row>
    <row r="1009" spans="2:42" ht="15" customHeight="1" x14ac:dyDescent="0.2">
      <c r="B1009" s="193">
        <v>1</v>
      </c>
      <c r="C1009" s="347" t="s">
        <v>277</v>
      </c>
      <c r="D1009" s="193" t="str">
        <f t="shared" si="70"/>
        <v>CPO000135JAS</v>
      </c>
      <c r="E1009" s="193" t="s">
        <v>1273</v>
      </c>
      <c r="F1009" s="193" t="s">
        <v>1447</v>
      </c>
      <c r="G1009" s="193" t="s">
        <v>1728</v>
      </c>
      <c r="H1009" s="193" t="s">
        <v>49</v>
      </c>
      <c r="I1009" s="193" t="s">
        <v>41</v>
      </c>
      <c r="J1009" s="193" t="s">
        <v>1131</v>
      </c>
      <c r="K1009" s="194">
        <v>46120</v>
      </c>
      <c r="L1009" s="195">
        <v>13910</v>
      </c>
      <c r="M1009" s="195">
        <v>4260</v>
      </c>
      <c r="N1009" s="195">
        <v>9650</v>
      </c>
      <c r="O1009" s="195">
        <v>9580</v>
      </c>
      <c r="P1009" s="196"/>
      <c r="Q1009" s="196"/>
      <c r="R1009" s="193"/>
      <c r="S1009" s="193"/>
      <c r="T1009" s="197">
        <f t="shared" ref="T1009:T1072" si="71">IFERROR(_xlfn.XLOOKUP(H1009,$AM$4:$AM$18,$AP$4:$AP$18,""),0)</f>
        <v>68</v>
      </c>
      <c r="U1009" s="193"/>
      <c r="V1009" s="193" t="s">
        <v>68</v>
      </c>
      <c r="AP1009" s="3" t="s">
        <v>1728</v>
      </c>
    </row>
    <row r="1010" spans="2:42" ht="15" customHeight="1" x14ac:dyDescent="0.2">
      <c r="B1010" s="193">
        <v>1</v>
      </c>
      <c r="C1010" s="347" t="s">
        <v>278</v>
      </c>
      <c r="D1010" s="193" t="str">
        <f t="shared" si="70"/>
        <v>CPO000136JAS</v>
      </c>
      <c r="E1010" s="193" t="s">
        <v>1274</v>
      </c>
      <c r="F1010" s="193" t="s">
        <v>1447</v>
      </c>
      <c r="G1010" s="193" t="s">
        <v>1728</v>
      </c>
      <c r="H1010" s="193" t="s">
        <v>49</v>
      </c>
      <c r="I1010" s="193" t="s">
        <v>41</v>
      </c>
      <c r="J1010" s="193" t="s">
        <v>1131</v>
      </c>
      <c r="K1010" s="194">
        <v>46120</v>
      </c>
      <c r="L1010" s="195">
        <v>13330</v>
      </c>
      <c r="M1010" s="195">
        <v>3890</v>
      </c>
      <c r="N1010" s="195">
        <v>9440</v>
      </c>
      <c r="O1010" s="195">
        <v>9340</v>
      </c>
      <c r="P1010" s="196"/>
      <c r="Q1010" s="196"/>
      <c r="R1010" s="193"/>
      <c r="S1010" s="193"/>
      <c r="T1010" s="197">
        <f t="shared" si="71"/>
        <v>68</v>
      </c>
      <c r="U1010" s="193"/>
      <c r="V1010" s="193" t="s">
        <v>68</v>
      </c>
      <c r="AP1010" s="3" t="s">
        <v>1728</v>
      </c>
    </row>
    <row r="1011" spans="2:42" ht="15" customHeight="1" x14ac:dyDescent="0.2">
      <c r="B1011" s="193">
        <v>1</v>
      </c>
      <c r="C1011" s="347" t="s">
        <v>279</v>
      </c>
      <c r="D1011" s="193" t="str">
        <f t="shared" si="70"/>
        <v>CPO000137JAS</v>
      </c>
      <c r="E1011" s="193" t="s">
        <v>1275</v>
      </c>
      <c r="F1011" s="193" t="s">
        <v>1447</v>
      </c>
      <c r="G1011" s="193" t="s">
        <v>1728</v>
      </c>
      <c r="H1011" s="193" t="s">
        <v>49</v>
      </c>
      <c r="I1011" s="193" t="s">
        <v>41</v>
      </c>
      <c r="J1011" s="193" t="s">
        <v>1131</v>
      </c>
      <c r="K1011" s="194">
        <v>46120</v>
      </c>
      <c r="L1011" s="195">
        <v>13980</v>
      </c>
      <c r="M1011" s="195">
        <v>4300</v>
      </c>
      <c r="N1011" s="195">
        <v>9680</v>
      </c>
      <c r="O1011" s="195">
        <v>9610</v>
      </c>
      <c r="P1011" s="196"/>
      <c r="Q1011" s="196"/>
      <c r="R1011" s="193"/>
      <c r="S1011" s="193"/>
      <c r="T1011" s="197">
        <f t="shared" si="71"/>
        <v>68</v>
      </c>
      <c r="U1011" s="193"/>
      <c r="V1011" s="193" t="s">
        <v>68</v>
      </c>
      <c r="AP1011" s="3" t="s">
        <v>1728</v>
      </c>
    </row>
    <row r="1012" spans="2:42" ht="15" customHeight="1" x14ac:dyDescent="0.2">
      <c r="B1012" s="193">
        <v>1</v>
      </c>
      <c r="C1012" s="347" t="s">
        <v>280</v>
      </c>
      <c r="D1012" s="193" t="str">
        <f t="shared" si="70"/>
        <v>CPO000138JAS</v>
      </c>
      <c r="E1012" s="193" t="s">
        <v>1267</v>
      </c>
      <c r="F1012" s="193" t="s">
        <v>1447</v>
      </c>
      <c r="G1012" s="193" t="s">
        <v>1728</v>
      </c>
      <c r="H1012" s="193" t="s">
        <v>49</v>
      </c>
      <c r="I1012" s="193" t="s">
        <v>41</v>
      </c>
      <c r="J1012" s="193" t="s">
        <v>1131</v>
      </c>
      <c r="K1012" s="194">
        <v>46120</v>
      </c>
      <c r="L1012" s="195">
        <v>12710</v>
      </c>
      <c r="M1012" s="195">
        <v>3790</v>
      </c>
      <c r="N1012" s="195">
        <v>8920</v>
      </c>
      <c r="O1012" s="195">
        <v>8890</v>
      </c>
      <c r="P1012" s="196"/>
      <c r="Q1012" s="196"/>
      <c r="R1012" s="193"/>
      <c r="S1012" s="193"/>
      <c r="T1012" s="197">
        <f t="shared" si="71"/>
        <v>68</v>
      </c>
      <c r="U1012" s="193"/>
      <c r="V1012" s="193" t="s">
        <v>68</v>
      </c>
      <c r="AP1012" s="3" t="s">
        <v>1728</v>
      </c>
    </row>
    <row r="1013" spans="2:42" ht="15" customHeight="1" x14ac:dyDescent="0.2">
      <c r="B1013" s="193">
        <v>1</v>
      </c>
      <c r="C1013" s="347" t="s">
        <v>281</v>
      </c>
      <c r="D1013" s="193" t="str">
        <f t="shared" si="70"/>
        <v>CPO000139JAS</v>
      </c>
      <c r="E1013" s="193" t="s">
        <v>186</v>
      </c>
      <c r="F1013" s="193" t="s">
        <v>1447</v>
      </c>
      <c r="G1013" s="193" t="s">
        <v>1728</v>
      </c>
      <c r="H1013" s="193" t="s">
        <v>49</v>
      </c>
      <c r="I1013" s="193" t="s">
        <v>41</v>
      </c>
      <c r="J1013" s="193" t="s">
        <v>1131</v>
      </c>
      <c r="K1013" s="194">
        <v>46120</v>
      </c>
      <c r="L1013" s="195">
        <v>13440</v>
      </c>
      <c r="M1013" s="195">
        <v>3960</v>
      </c>
      <c r="N1013" s="195">
        <v>9480</v>
      </c>
      <c r="O1013" s="195">
        <v>9440</v>
      </c>
      <c r="P1013" s="196"/>
      <c r="Q1013" s="196"/>
      <c r="R1013" s="193"/>
      <c r="S1013" s="193"/>
      <c r="T1013" s="197">
        <f t="shared" si="71"/>
        <v>68</v>
      </c>
      <c r="U1013" s="193"/>
      <c r="V1013" s="193" t="s">
        <v>68</v>
      </c>
      <c r="AP1013" s="3" t="s">
        <v>1728</v>
      </c>
    </row>
    <row r="1014" spans="2:42" ht="15" customHeight="1" x14ac:dyDescent="0.2">
      <c r="B1014" s="193">
        <v>1</v>
      </c>
      <c r="C1014" s="347" t="s">
        <v>282</v>
      </c>
      <c r="D1014" s="193" t="str">
        <f t="shared" si="70"/>
        <v>CPO000140JAS</v>
      </c>
      <c r="E1014" s="193" t="s">
        <v>1268</v>
      </c>
      <c r="F1014" s="193" t="s">
        <v>1447</v>
      </c>
      <c r="G1014" s="193" t="s">
        <v>1728</v>
      </c>
      <c r="H1014" s="193" t="s">
        <v>49</v>
      </c>
      <c r="I1014" s="193" t="s">
        <v>41</v>
      </c>
      <c r="J1014" s="193" t="s">
        <v>1131</v>
      </c>
      <c r="K1014" s="194">
        <v>46120</v>
      </c>
      <c r="L1014" s="195">
        <v>13470</v>
      </c>
      <c r="M1014" s="195">
        <v>3850</v>
      </c>
      <c r="N1014" s="195">
        <v>9620</v>
      </c>
      <c r="O1014" s="195">
        <v>9600</v>
      </c>
      <c r="P1014" s="196"/>
      <c r="Q1014" s="196"/>
      <c r="R1014" s="193"/>
      <c r="S1014" s="193"/>
      <c r="T1014" s="197">
        <f t="shared" si="71"/>
        <v>68</v>
      </c>
      <c r="U1014" s="193"/>
      <c r="V1014" s="193" t="s">
        <v>68</v>
      </c>
      <c r="AP1014" s="3" t="s">
        <v>1728</v>
      </c>
    </row>
    <row r="1015" spans="2:42" ht="15" customHeight="1" x14ac:dyDescent="0.2">
      <c r="B1015" s="193">
        <v>1</v>
      </c>
      <c r="C1015" s="347" t="s">
        <v>283</v>
      </c>
      <c r="D1015" s="193" t="str">
        <f t="shared" si="70"/>
        <v>CPO000141JAS</v>
      </c>
      <c r="E1015" s="193" t="s">
        <v>1269</v>
      </c>
      <c r="F1015" s="193" t="s">
        <v>1447</v>
      </c>
      <c r="G1015" s="193" t="s">
        <v>1728</v>
      </c>
      <c r="H1015" s="193" t="s">
        <v>49</v>
      </c>
      <c r="I1015" s="193" t="s">
        <v>41</v>
      </c>
      <c r="J1015" s="193" t="s">
        <v>1131</v>
      </c>
      <c r="K1015" s="194">
        <v>46120</v>
      </c>
      <c r="L1015" s="195">
        <v>13180</v>
      </c>
      <c r="M1015" s="195">
        <v>4120</v>
      </c>
      <c r="N1015" s="195">
        <v>9060</v>
      </c>
      <c r="O1015" s="195">
        <v>9060</v>
      </c>
      <c r="P1015" s="196"/>
      <c r="Q1015" s="196"/>
      <c r="R1015" s="193"/>
      <c r="S1015" s="193"/>
      <c r="T1015" s="197">
        <f t="shared" si="71"/>
        <v>68</v>
      </c>
      <c r="U1015" s="193"/>
      <c r="V1015" s="193" t="s">
        <v>68</v>
      </c>
      <c r="AP1015" s="3" t="s">
        <v>1728</v>
      </c>
    </row>
    <row r="1016" spans="2:42" ht="15" customHeight="1" x14ac:dyDescent="0.2">
      <c r="B1016" s="193">
        <v>1</v>
      </c>
      <c r="C1016" s="347" t="s">
        <v>284</v>
      </c>
      <c r="D1016" s="193" t="str">
        <f t="shared" si="70"/>
        <v>CPO000142JAS</v>
      </c>
      <c r="E1016" s="193" t="s">
        <v>1276</v>
      </c>
      <c r="F1016" s="193" t="s">
        <v>1447</v>
      </c>
      <c r="G1016" s="193" t="s">
        <v>1728</v>
      </c>
      <c r="H1016" s="193" t="s">
        <v>49</v>
      </c>
      <c r="I1016" s="193" t="s">
        <v>41</v>
      </c>
      <c r="J1016" s="193" t="s">
        <v>1131</v>
      </c>
      <c r="K1016" s="194">
        <v>46120</v>
      </c>
      <c r="L1016" s="195">
        <v>13870</v>
      </c>
      <c r="M1016" s="195">
        <v>3950</v>
      </c>
      <c r="N1016" s="195">
        <v>9920</v>
      </c>
      <c r="O1016" s="195">
        <v>9910</v>
      </c>
      <c r="P1016" s="196"/>
      <c r="Q1016" s="196"/>
      <c r="R1016" s="193"/>
      <c r="S1016" s="193"/>
      <c r="T1016" s="197">
        <f t="shared" si="71"/>
        <v>68</v>
      </c>
      <c r="U1016" s="193"/>
      <c r="V1016" s="193" t="s">
        <v>68</v>
      </c>
      <c r="AP1016" s="3" t="s">
        <v>1728</v>
      </c>
    </row>
    <row r="1017" spans="2:42" ht="15" customHeight="1" x14ac:dyDescent="0.2">
      <c r="B1017" s="193">
        <v>1</v>
      </c>
      <c r="C1017" s="347" t="s">
        <v>285</v>
      </c>
      <c r="D1017" s="193" t="str">
        <f t="shared" si="70"/>
        <v>CPO000143JAS</v>
      </c>
      <c r="E1017" s="193" t="s">
        <v>211</v>
      </c>
      <c r="F1017" s="193" t="s">
        <v>1447</v>
      </c>
      <c r="G1017" s="193" t="s">
        <v>1728</v>
      </c>
      <c r="H1017" s="193" t="s">
        <v>49</v>
      </c>
      <c r="I1017" s="193" t="s">
        <v>41</v>
      </c>
      <c r="J1017" s="193" t="s">
        <v>1131</v>
      </c>
      <c r="K1017" s="194">
        <v>46120</v>
      </c>
      <c r="L1017" s="195">
        <v>12970</v>
      </c>
      <c r="M1017" s="195">
        <v>3950</v>
      </c>
      <c r="N1017" s="195">
        <v>9020</v>
      </c>
      <c r="O1017" s="195">
        <v>8990</v>
      </c>
      <c r="P1017" s="196"/>
      <c r="Q1017" s="196"/>
      <c r="R1017" s="193"/>
      <c r="S1017" s="193"/>
      <c r="T1017" s="197">
        <f t="shared" si="71"/>
        <v>68</v>
      </c>
      <c r="U1017" s="193"/>
      <c r="V1017" s="193" t="s">
        <v>68</v>
      </c>
      <c r="AP1017" s="3" t="s">
        <v>1728</v>
      </c>
    </row>
    <row r="1018" spans="2:42" ht="15" customHeight="1" x14ac:dyDescent="0.2">
      <c r="B1018" s="193">
        <v>1</v>
      </c>
      <c r="C1018" s="347" t="s">
        <v>286</v>
      </c>
      <c r="D1018" s="193" t="str">
        <f t="shared" si="70"/>
        <v>CPO000144JAS</v>
      </c>
      <c r="E1018" s="193" t="s">
        <v>215</v>
      </c>
      <c r="F1018" s="193" t="s">
        <v>1447</v>
      </c>
      <c r="G1018" s="193" t="s">
        <v>1728</v>
      </c>
      <c r="H1018" s="193" t="s">
        <v>49</v>
      </c>
      <c r="I1018" s="193" t="s">
        <v>41</v>
      </c>
      <c r="J1018" s="193" t="s">
        <v>1131</v>
      </c>
      <c r="K1018" s="194">
        <v>46120</v>
      </c>
      <c r="L1018" s="195">
        <v>12790</v>
      </c>
      <c r="M1018" s="195">
        <v>3980</v>
      </c>
      <c r="N1018" s="195">
        <v>8810</v>
      </c>
      <c r="O1018" s="195">
        <v>8750</v>
      </c>
      <c r="P1018" s="196"/>
      <c r="Q1018" s="196"/>
      <c r="R1018" s="193"/>
      <c r="S1018" s="193"/>
      <c r="T1018" s="197">
        <f t="shared" si="71"/>
        <v>68</v>
      </c>
      <c r="U1018" s="193"/>
      <c r="V1018" s="193" t="s">
        <v>68</v>
      </c>
      <c r="AP1018" s="3" t="s">
        <v>1728</v>
      </c>
    </row>
    <row r="1019" spans="2:42" ht="15" customHeight="1" x14ac:dyDescent="0.2">
      <c r="B1019" s="193">
        <v>1</v>
      </c>
      <c r="C1019" s="347" t="s">
        <v>1247</v>
      </c>
      <c r="D1019" s="193" t="str">
        <f t="shared" si="70"/>
        <v>RBDPL000920DA</v>
      </c>
      <c r="E1019" s="193" t="s">
        <v>147</v>
      </c>
      <c r="F1019" s="193" t="s">
        <v>1369</v>
      </c>
      <c r="G1019" s="193" t="s">
        <v>1654</v>
      </c>
      <c r="H1019" s="193" t="s">
        <v>111</v>
      </c>
      <c r="I1019" s="193" t="s">
        <v>3</v>
      </c>
      <c r="J1019" s="193" t="str">
        <f t="shared" ref="J1019:J1031" si="72">IF(MIN(L1019,M1019)&lt;=5000,"6 Roda",IF(MIN(L1019,M1019)&lt;=13800,"10 Roda","12 Roda"))</f>
        <v>6 Roda</v>
      </c>
      <c r="K1019" s="194">
        <v>46121</v>
      </c>
      <c r="L1019" s="195">
        <v>3960</v>
      </c>
      <c r="M1019" s="195">
        <v>14090</v>
      </c>
      <c r="N1019" s="195">
        <v>10130</v>
      </c>
      <c r="O1019" s="195"/>
      <c r="P1019" s="196">
        <v>0.47152777777777777</v>
      </c>
      <c r="Q1019" s="196">
        <v>0.49722222222222223</v>
      </c>
      <c r="R1019" s="193" t="s">
        <v>42</v>
      </c>
      <c r="S1019" s="193" t="s">
        <v>1373</v>
      </c>
      <c r="T1019" s="197">
        <f t="shared" si="71"/>
        <v>360</v>
      </c>
      <c r="U1019" s="193" t="s">
        <v>932</v>
      </c>
      <c r="V1019" s="193" t="str">
        <f t="shared" ref="V1019:V1072" si="73">IFERROR(_xlfn.XLOOKUP(H1019,$AM$4:$AM$18,$AO$4:$AO$18,""),"")</f>
        <v>Makassar</v>
      </c>
      <c r="AP1019" s="3" t="s">
        <v>1654</v>
      </c>
    </row>
    <row r="1020" spans="2:42" ht="15" customHeight="1" x14ac:dyDescent="0.2">
      <c r="B1020" s="193">
        <v>1</v>
      </c>
      <c r="C1020" s="347" t="s">
        <v>1248</v>
      </c>
      <c r="D1020" s="193" t="str">
        <f t="shared" si="70"/>
        <v>RBDPL000921DA</v>
      </c>
      <c r="E1020" s="193" t="s">
        <v>936</v>
      </c>
      <c r="F1020" s="193" t="s">
        <v>1369</v>
      </c>
      <c r="G1020" s="193" t="s">
        <v>1654</v>
      </c>
      <c r="H1020" s="193" t="s">
        <v>111</v>
      </c>
      <c r="I1020" s="193" t="s">
        <v>3</v>
      </c>
      <c r="J1020" s="193" t="str">
        <f t="shared" si="72"/>
        <v>6 Roda</v>
      </c>
      <c r="K1020" s="194">
        <v>46121</v>
      </c>
      <c r="L1020" s="195">
        <v>4200</v>
      </c>
      <c r="M1020" s="195">
        <v>14350</v>
      </c>
      <c r="N1020" s="195">
        <v>10150</v>
      </c>
      <c r="O1020" s="195"/>
      <c r="P1020" s="196">
        <v>0.67638888888888893</v>
      </c>
      <c r="Q1020" s="196">
        <v>0.69236111111111109</v>
      </c>
      <c r="R1020" s="193" t="s">
        <v>42</v>
      </c>
      <c r="S1020" s="193" t="s">
        <v>1385</v>
      </c>
      <c r="T1020" s="197">
        <f t="shared" si="71"/>
        <v>360</v>
      </c>
      <c r="U1020" s="193" t="s">
        <v>932</v>
      </c>
      <c r="V1020" s="193" t="str">
        <f t="shared" si="73"/>
        <v>Makassar</v>
      </c>
      <c r="AP1020" s="3" t="s">
        <v>1654</v>
      </c>
    </row>
    <row r="1021" spans="2:42" ht="15" customHeight="1" x14ac:dyDescent="0.2">
      <c r="B1021" s="193">
        <v>1</v>
      </c>
      <c r="C1021" s="347" t="s">
        <v>1249</v>
      </c>
      <c r="D1021" s="193" t="str">
        <f t="shared" si="70"/>
        <v>RBDPL000924DA</v>
      </c>
      <c r="E1021" s="193" t="s">
        <v>940</v>
      </c>
      <c r="F1021" s="193" t="s">
        <v>1369</v>
      </c>
      <c r="G1021" s="193" t="s">
        <v>1654</v>
      </c>
      <c r="H1021" s="193" t="s">
        <v>111</v>
      </c>
      <c r="I1021" s="193" t="s">
        <v>3</v>
      </c>
      <c r="J1021" s="193" t="str">
        <f t="shared" si="72"/>
        <v>6 Roda</v>
      </c>
      <c r="K1021" s="194">
        <v>46121</v>
      </c>
      <c r="L1021" s="195">
        <v>3990</v>
      </c>
      <c r="M1021" s="195">
        <v>13510</v>
      </c>
      <c r="N1021" s="195">
        <v>9520</v>
      </c>
      <c r="O1021" s="195"/>
      <c r="P1021" s="196">
        <v>0.70624999999999993</v>
      </c>
      <c r="Q1021" s="196">
        <v>0.7284722222222223</v>
      </c>
      <c r="R1021" s="193" t="s">
        <v>137</v>
      </c>
      <c r="S1021" s="193" t="s">
        <v>1383</v>
      </c>
      <c r="T1021" s="197">
        <f t="shared" si="71"/>
        <v>360</v>
      </c>
      <c r="U1021" s="193" t="s">
        <v>932</v>
      </c>
      <c r="V1021" s="193" t="str">
        <f t="shared" si="73"/>
        <v>Makassar</v>
      </c>
      <c r="AP1021" s="3" t="s">
        <v>1654</v>
      </c>
    </row>
    <row r="1022" spans="2:42" ht="15" customHeight="1" x14ac:dyDescent="0.2">
      <c r="B1022" s="193">
        <v>1</v>
      </c>
      <c r="C1022" s="347" t="s">
        <v>1250</v>
      </c>
      <c r="D1022" s="193" t="str">
        <f t="shared" si="70"/>
        <v>RBDPL000925DA</v>
      </c>
      <c r="E1022" s="193" t="s">
        <v>166</v>
      </c>
      <c r="F1022" s="193" t="s">
        <v>1369</v>
      </c>
      <c r="G1022" s="193" t="s">
        <v>1654</v>
      </c>
      <c r="H1022" s="193" t="s">
        <v>111</v>
      </c>
      <c r="I1022" s="193" t="s">
        <v>3</v>
      </c>
      <c r="J1022" s="193" t="str">
        <f t="shared" si="72"/>
        <v>6 Roda</v>
      </c>
      <c r="K1022" s="194">
        <v>46121</v>
      </c>
      <c r="L1022" s="195">
        <v>3860</v>
      </c>
      <c r="M1022" s="195">
        <v>13280</v>
      </c>
      <c r="N1022" s="195">
        <v>9420</v>
      </c>
      <c r="O1022" s="195"/>
      <c r="P1022" s="196">
        <v>0.71944444444444444</v>
      </c>
      <c r="Q1022" s="196">
        <v>0.7402777777777777</v>
      </c>
      <c r="R1022" s="193" t="s">
        <v>137</v>
      </c>
      <c r="S1022" s="193" t="s">
        <v>1390</v>
      </c>
      <c r="T1022" s="197">
        <f t="shared" si="71"/>
        <v>360</v>
      </c>
      <c r="U1022" s="193" t="s">
        <v>932</v>
      </c>
      <c r="V1022" s="193" t="str">
        <f t="shared" si="73"/>
        <v>Makassar</v>
      </c>
      <c r="AP1022" s="3" t="s">
        <v>1654</v>
      </c>
    </row>
    <row r="1023" spans="2:42" ht="15" customHeight="1" x14ac:dyDescent="0.2">
      <c r="B1023" s="193">
        <v>1</v>
      </c>
      <c r="C1023" s="347" t="s">
        <v>1251</v>
      </c>
      <c r="D1023" s="193" t="str">
        <f t="shared" si="70"/>
        <v>RBDPL000922HSA</v>
      </c>
      <c r="E1023" s="193" t="s">
        <v>983</v>
      </c>
      <c r="F1023" s="193" t="s">
        <v>1371</v>
      </c>
      <c r="G1023" s="193" t="s">
        <v>1648</v>
      </c>
      <c r="H1023" s="193" t="s">
        <v>103</v>
      </c>
      <c r="I1023" s="193" t="s">
        <v>3</v>
      </c>
      <c r="J1023" s="193" t="str">
        <f t="shared" si="72"/>
        <v>6 Roda</v>
      </c>
      <c r="K1023" s="194">
        <v>46121</v>
      </c>
      <c r="L1023" s="195">
        <v>4040</v>
      </c>
      <c r="M1023" s="195">
        <v>13350</v>
      </c>
      <c r="N1023" s="195">
        <v>9310</v>
      </c>
      <c r="O1023" s="195"/>
      <c r="P1023" s="196">
        <v>0.6791666666666667</v>
      </c>
      <c r="Q1023" s="196">
        <v>0.70416666666666661</v>
      </c>
      <c r="R1023" s="193" t="s">
        <v>42</v>
      </c>
      <c r="S1023" s="193" t="s">
        <v>1387</v>
      </c>
      <c r="T1023" s="197">
        <f t="shared" si="71"/>
        <v>360</v>
      </c>
      <c r="U1023" s="193" t="s">
        <v>932</v>
      </c>
      <c r="V1023" s="193" t="str">
        <f t="shared" si="73"/>
        <v>Makassar</v>
      </c>
      <c r="AP1023" s="3" t="s">
        <v>1648</v>
      </c>
    </row>
    <row r="1024" spans="2:42" ht="15" customHeight="1" x14ac:dyDescent="0.2">
      <c r="B1024" s="193">
        <v>1</v>
      </c>
      <c r="C1024" s="347" t="s">
        <v>1252</v>
      </c>
      <c r="D1024" s="193" t="str">
        <f t="shared" si="70"/>
        <v>RBDPL000923HSA</v>
      </c>
      <c r="E1024" s="193" t="s">
        <v>938</v>
      </c>
      <c r="F1024" s="193" t="s">
        <v>1371</v>
      </c>
      <c r="G1024" s="193" t="s">
        <v>1648</v>
      </c>
      <c r="H1024" s="193" t="s">
        <v>103</v>
      </c>
      <c r="I1024" s="193" t="s">
        <v>3</v>
      </c>
      <c r="J1024" s="193" t="str">
        <f t="shared" si="72"/>
        <v>6 Roda</v>
      </c>
      <c r="K1024" s="194">
        <v>46121</v>
      </c>
      <c r="L1024" s="195">
        <v>3970</v>
      </c>
      <c r="M1024" s="195">
        <v>13460</v>
      </c>
      <c r="N1024" s="195">
        <v>9490</v>
      </c>
      <c r="O1024" s="195"/>
      <c r="P1024" s="196">
        <v>0.69513888888888886</v>
      </c>
      <c r="Q1024" s="196">
        <v>0.71736111111111101</v>
      </c>
      <c r="R1024" s="193" t="s">
        <v>137</v>
      </c>
      <c r="S1024" s="193" t="s">
        <v>1384</v>
      </c>
      <c r="T1024" s="197">
        <f t="shared" si="71"/>
        <v>360</v>
      </c>
      <c r="U1024" s="193" t="s">
        <v>932</v>
      </c>
      <c r="V1024" s="193" t="str">
        <f t="shared" si="73"/>
        <v>Makassar</v>
      </c>
      <c r="AP1024" s="3" t="s">
        <v>1648</v>
      </c>
    </row>
    <row r="1025" spans="2:42" ht="15" customHeight="1" x14ac:dyDescent="0.2">
      <c r="B1025" s="193">
        <v>1</v>
      </c>
      <c r="C1025" s="347" t="s">
        <v>1253</v>
      </c>
      <c r="D1025" s="193" t="str">
        <f t="shared" si="70"/>
        <v>RBDPL000930HSA</v>
      </c>
      <c r="E1025" s="193" t="s">
        <v>76</v>
      </c>
      <c r="F1025" s="193" t="s">
        <v>1371</v>
      </c>
      <c r="G1025" s="193" t="s">
        <v>1648</v>
      </c>
      <c r="H1025" s="193" t="s">
        <v>103</v>
      </c>
      <c r="I1025" s="193" t="s">
        <v>3</v>
      </c>
      <c r="J1025" s="193" t="str">
        <f t="shared" si="72"/>
        <v>12 Roda</v>
      </c>
      <c r="K1025" s="194">
        <v>46121</v>
      </c>
      <c r="L1025" s="195">
        <v>17340</v>
      </c>
      <c r="M1025" s="195">
        <v>46250</v>
      </c>
      <c r="N1025" s="195">
        <v>28910</v>
      </c>
      <c r="O1025" s="195"/>
      <c r="P1025" s="196">
        <v>0.79791666666666661</v>
      </c>
      <c r="Q1025" s="196">
        <v>0.83333333333333337</v>
      </c>
      <c r="R1025" s="193" t="s">
        <v>137</v>
      </c>
      <c r="S1025" s="193" t="s">
        <v>1372</v>
      </c>
      <c r="T1025" s="197">
        <f t="shared" si="71"/>
        <v>360</v>
      </c>
      <c r="U1025" s="193" t="s">
        <v>69</v>
      </c>
      <c r="V1025" s="193" t="str">
        <f t="shared" si="73"/>
        <v>Makassar</v>
      </c>
      <c r="AP1025" s="3" t="s">
        <v>1648</v>
      </c>
    </row>
    <row r="1026" spans="2:42" ht="15" customHeight="1" x14ac:dyDescent="0.2">
      <c r="B1026" s="193">
        <v>1</v>
      </c>
      <c r="C1026" s="347" t="s">
        <v>1254</v>
      </c>
      <c r="D1026" s="193" t="str">
        <f t="shared" si="70"/>
        <v>RBDPL000926BJL</v>
      </c>
      <c r="E1026" s="193" t="s">
        <v>149</v>
      </c>
      <c r="F1026" s="193" t="s">
        <v>1363</v>
      </c>
      <c r="G1026" s="193" t="s">
        <v>1657</v>
      </c>
      <c r="H1026" s="193" t="s">
        <v>86</v>
      </c>
      <c r="I1026" s="193" t="s">
        <v>3</v>
      </c>
      <c r="J1026" s="193" t="str">
        <f t="shared" si="72"/>
        <v>6 Roda</v>
      </c>
      <c r="K1026" s="194">
        <v>46121</v>
      </c>
      <c r="L1026" s="195">
        <v>4020</v>
      </c>
      <c r="M1026" s="195">
        <v>13970</v>
      </c>
      <c r="N1026" s="195">
        <v>9950</v>
      </c>
      <c r="O1026" s="195"/>
      <c r="P1026" s="196">
        <v>0.73263888888888884</v>
      </c>
      <c r="Q1026" s="196">
        <v>0.75347222222222221</v>
      </c>
      <c r="R1026" s="193" t="s">
        <v>137</v>
      </c>
      <c r="S1026" s="193" t="s">
        <v>1380</v>
      </c>
      <c r="T1026" s="197">
        <f t="shared" si="71"/>
        <v>562</v>
      </c>
      <c r="U1026" s="193" t="s">
        <v>175</v>
      </c>
      <c r="V1026" s="193" t="str">
        <f t="shared" si="73"/>
        <v>Palu</v>
      </c>
      <c r="AP1026" s="3" t="s">
        <v>1657</v>
      </c>
    </row>
    <row r="1027" spans="2:42" ht="15" customHeight="1" x14ac:dyDescent="0.2">
      <c r="B1027" s="193">
        <v>1</v>
      </c>
      <c r="C1027" s="347" t="s">
        <v>1255</v>
      </c>
      <c r="D1027" s="193" t="str">
        <f t="shared" si="70"/>
        <v>RBDPL000927BJL</v>
      </c>
      <c r="E1027" s="193" t="s">
        <v>153</v>
      </c>
      <c r="F1027" s="193" t="s">
        <v>1363</v>
      </c>
      <c r="G1027" s="193" t="s">
        <v>1657</v>
      </c>
      <c r="H1027" s="193" t="s">
        <v>86</v>
      </c>
      <c r="I1027" s="193" t="s">
        <v>3</v>
      </c>
      <c r="J1027" s="193" t="str">
        <f t="shared" si="72"/>
        <v>6 Roda</v>
      </c>
      <c r="K1027" s="194">
        <v>46121</v>
      </c>
      <c r="L1027" s="195">
        <v>3980</v>
      </c>
      <c r="M1027" s="195">
        <v>13670</v>
      </c>
      <c r="N1027" s="195">
        <v>9690</v>
      </c>
      <c r="O1027" s="195"/>
      <c r="P1027" s="196">
        <v>0.74236111111111114</v>
      </c>
      <c r="Q1027" s="196">
        <v>0.7680555555555556</v>
      </c>
      <c r="R1027" s="193" t="s">
        <v>137</v>
      </c>
      <c r="S1027" s="193" t="s">
        <v>1379</v>
      </c>
      <c r="T1027" s="197">
        <f t="shared" si="71"/>
        <v>562</v>
      </c>
      <c r="U1027" s="193" t="s">
        <v>175</v>
      </c>
      <c r="V1027" s="193" t="str">
        <f t="shared" si="73"/>
        <v>Palu</v>
      </c>
      <c r="AP1027" s="3" t="s">
        <v>1657</v>
      </c>
    </row>
    <row r="1028" spans="2:42" ht="15" customHeight="1" x14ac:dyDescent="0.2">
      <c r="B1028" s="193">
        <v>1</v>
      </c>
      <c r="C1028" s="347" t="s">
        <v>1256</v>
      </c>
      <c r="D1028" s="193" t="str">
        <f t="shared" si="70"/>
        <v>RBDPL000928BJL</v>
      </c>
      <c r="E1028" s="193" t="s">
        <v>169</v>
      </c>
      <c r="F1028" s="193" t="s">
        <v>1363</v>
      </c>
      <c r="G1028" s="193" t="s">
        <v>1657</v>
      </c>
      <c r="H1028" s="193" t="s">
        <v>86</v>
      </c>
      <c r="I1028" s="193" t="s">
        <v>3</v>
      </c>
      <c r="J1028" s="193" t="str">
        <f t="shared" si="72"/>
        <v>6 Roda</v>
      </c>
      <c r="K1028" s="194">
        <v>46121</v>
      </c>
      <c r="L1028" s="195">
        <v>4080</v>
      </c>
      <c r="M1028" s="195">
        <v>13600</v>
      </c>
      <c r="N1028" s="195">
        <v>9520</v>
      </c>
      <c r="O1028" s="195"/>
      <c r="P1028" s="196">
        <v>0.75694444444444453</v>
      </c>
      <c r="Q1028" s="196">
        <v>0.78055555555555556</v>
      </c>
      <c r="R1028" s="193" t="s">
        <v>137</v>
      </c>
      <c r="S1028" s="193" t="s">
        <v>1378</v>
      </c>
      <c r="T1028" s="197">
        <f t="shared" si="71"/>
        <v>562</v>
      </c>
      <c r="U1028" s="193" t="s">
        <v>175</v>
      </c>
      <c r="V1028" s="193" t="str">
        <f t="shared" si="73"/>
        <v>Palu</v>
      </c>
      <c r="AP1028" s="3" t="s">
        <v>1657</v>
      </c>
    </row>
    <row r="1029" spans="2:42" ht="15" customHeight="1" x14ac:dyDescent="0.2">
      <c r="B1029" s="193">
        <v>1</v>
      </c>
      <c r="C1029" s="347" t="s">
        <v>1257</v>
      </c>
      <c r="D1029" s="193" t="str">
        <f t="shared" si="70"/>
        <v>RBDPL000929BJL</v>
      </c>
      <c r="E1029" s="193" t="s">
        <v>1060</v>
      </c>
      <c r="F1029" s="193" t="s">
        <v>1363</v>
      </c>
      <c r="G1029" s="193" t="s">
        <v>1657</v>
      </c>
      <c r="H1029" s="193" t="s">
        <v>86</v>
      </c>
      <c r="I1029" s="193" t="s">
        <v>3</v>
      </c>
      <c r="J1029" s="193" t="str">
        <f t="shared" si="72"/>
        <v>6 Roda</v>
      </c>
      <c r="K1029" s="194">
        <v>46121</v>
      </c>
      <c r="L1029" s="195">
        <v>3940</v>
      </c>
      <c r="M1029" s="195">
        <v>12950</v>
      </c>
      <c r="N1029" s="195">
        <v>9010</v>
      </c>
      <c r="O1029" s="195"/>
      <c r="P1029" s="196">
        <v>0.7597222222222223</v>
      </c>
      <c r="Q1029" s="196">
        <v>0.80486111111111114</v>
      </c>
      <c r="R1029" s="193" t="s">
        <v>137</v>
      </c>
      <c r="S1029" s="193" t="s">
        <v>1391</v>
      </c>
      <c r="T1029" s="197">
        <f t="shared" si="71"/>
        <v>562</v>
      </c>
      <c r="U1029" s="193" t="s">
        <v>175</v>
      </c>
      <c r="V1029" s="193" t="str">
        <f t="shared" si="73"/>
        <v>Palu</v>
      </c>
      <c r="AP1029" s="3" t="s">
        <v>1657</v>
      </c>
    </row>
    <row r="1030" spans="2:42" ht="15" customHeight="1" x14ac:dyDescent="0.2">
      <c r="B1030" s="193">
        <v>1</v>
      </c>
      <c r="C1030" s="347" t="s">
        <v>1258</v>
      </c>
      <c r="D1030" s="193" t="str">
        <f t="shared" si="70"/>
        <v>RBDPL000919TDJ</v>
      </c>
      <c r="E1030" s="193" t="s">
        <v>1240</v>
      </c>
      <c r="F1030" s="193" t="s">
        <v>1662</v>
      </c>
      <c r="G1030" s="193" t="s">
        <v>1664</v>
      </c>
      <c r="H1030" s="193" t="s">
        <v>1523</v>
      </c>
      <c r="I1030" s="193" t="s">
        <v>3</v>
      </c>
      <c r="J1030" s="193" t="str">
        <f t="shared" si="72"/>
        <v>6 Roda</v>
      </c>
      <c r="K1030" s="194">
        <v>46121</v>
      </c>
      <c r="L1030" s="195">
        <v>1940</v>
      </c>
      <c r="M1030" s="195">
        <v>2140</v>
      </c>
      <c r="N1030" s="195">
        <v>200</v>
      </c>
      <c r="O1030" s="195"/>
      <c r="P1030" s="196">
        <v>0.36527777777777781</v>
      </c>
      <c r="Q1030" s="196">
        <v>0.3888888888888889</v>
      </c>
      <c r="R1030" s="193" t="s">
        <v>42</v>
      </c>
      <c r="S1030" s="193" t="s">
        <v>1392</v>
      </c>
      <c r="T1030" s="197">
        <f t="shared" si="71"/>
        <v>473</v>
      </c>
      <c r="U1030" s="193" t="s">
        <v>175</v>
      </c>
      <c r="V1030" s="193" t="str">
        <f t="shared" si="73"/>
        <v>Siumbatu</v>
      </c>
      <c r="AP1030" s="3" t="s">
        <v>1664</v>
      </c>
    </row>
    <row r="1031" spans="2:42" ht="15" customHeight="1" x14ac:dyDescent="0.2">
      <c r="B1031" s="193">
        <v>1</v>
      </c>
      <c r="C1031" s="347" t="s">
        <v>1259</v>
      </c>
      <c r="D1031" s="193" t="str">
        <f t="shared" si="70"/>
        <v>RBDPL000931TDJ</v>
      </c>
      <c r="E1031" s="193" t="s">
        <v>46</v>
      </c>
      <c r="F1031" s="193" t="s">
        <v>1666</v>
      </c>
      <c r="G1031" s="193" t="s">
        <v>1665</v>
      </c>
      <c r="H1031" s="193" t="s">
        <v>1523</v>
      </c>
      <c r="I1031" s="193" t="s">
        <v>3</v>
      </c>
      <c r="J1031" s="193" t="str">
        <f t="shared" si="72"/>
        <v>10 Roda</v>
      </c>
      <c r="K1031" s="194">
        <v>46121</v>
      </c>
      <c r="L1031" s="195">
        <v>11860</v>
      </c>
      <c r="M1031" s="195">
        <v>26950</v>
      </c>
      <c r="N1031" s="195">
        <v>15090</v>
      </c>
      <c r="O1031" s="195"/>
      <c r="P1031" s="196">
        <v>0.81458333333333333</v>
      </c>
      <c r="Q1031" s="196">
        <v>0.84861111111111109</v>
      </c>
      <c r="R1031" s="193" t="s">
        <v>137</v>
      </c>
      <c r="S1031" s="193" t="s">
        <v>1393</v>
      </c>
      <c r="T1031" s="197">
        <f t="shared" si="71"/>
        <v>473</v>
      </c>
      <c r="U1031" s="193" t="s">
        <v>69</v>
      </c>
      <c r="V1031" s="193" t="str">
        <f t="shared" si="73"/>
        <v>Siumbatu</v>
      </c>
      <c r="AP1031" s="3" t="s">
        <v>1665</v>
      </c>
    </row>
    <row r="1032" spans="2:42" ht="15" customHeight="1" x14ac:dyDescent="0.2">
      <c r="B1032" s="193">
        <v>1</v>
      </c>
      <c r="C1032" s="347" t="s">
        <v>287</v>
      </c>
      <c r="D1032" s="193" t="str">
        <f t="shared" si="70"/>
        <v>CPO000145JAS</v>
      </c>
      <c r="E1032" s="193" t="s">
        <v>1265</v>
      </c>
      <c r="F1032" s="193" t="s">
        <v>1447</v>
      </c>
      <c r="G1032" s="193" t="s">
        <v>1728</v>
      </c>
      <c r="H1032" s="193" t="s">
        <v>49</v>
      </c>
      <c r="I1032" s="193" t="s">
        <v>41</v>
      </c>
      <c r="J1032" s="193" t="str">
        <f t="shared" ref="J1032:J1045" si="74">IF(MIN(L1032,M1032)&lt;=5000,"6 Roda",IF(MIN(L1032,M1032)&lt;=13800,"10 Roda","12 Roda"))</f>
        <v>10 Roda</v>
      </c>
      <c r="K1032" s="194">
        <v>46121</v>
      </c>
      <c r="L1032" s="195">
        <v>26800</v>
      </c>
      <c r="M1032" s="195">
        <v>8270</v>
      </c>
      <c r="N1032" s="195">
        <v>18530</v>
      </c>
      <c r="O1032" s="195">
        <v>18490</v>
      </c>
      <c r="P1032" s="196"/>
      <c r="Q1032" s="196"/>
      <c r="R1032" s="193"/>
      <c r="S1032" s="193"/>
      <c r="T1032" s="197">
        <f t="shared" si="71"/>
        <v>68</v>
      </c>
      <c r="U1032" s="193"/>
      <c r="V1032" s="193" t="s">
        <v>68</v>
      </c>
      <c r="AP1032" s="3" t="s">
        <v>1728</v>
      </c>
    </row>
    <row r="1033" spans="2:42" ht="15" customHeight="1" x14ac:dyDescent="0.2">
      <c r="B1033" s="193">
        <v>1</v>
      </c>
      <c r="C1033" s="347" t="s">
        <v>288</v>
      </c>
      <c r="D1033" s="193" t="str">
        <f t="shared" si="70"/>
        <v>CPO000146JAS</v>
      </c>
      <c r="E1033" s="193" t="s">
        <v>1271</v>
      </c>
      <c r="F1033" s="193" t="s">
        <v>1447</v>
      </c>
      <c r="G1033" s="193" t="s">
        <v>1728</v>
      </c>
      <c r="H1033" s="193" t="s">
        <v>49</v>
      </c>
      <c r="I1033" s="193" t="s">
        <v>41</v>
      </c>
      <c r="J1033" s="193" t="str">
        <f t="shared" si="74"/>
        <v>6 Roda</v>
      </c>
      <c r="K1033" s="194">
        <v>46121</v>
      </c>
      <c r="L1033" s="195">
        <v>13370</v>
      </c>
      <c r="M1033" s="195">
        <v>3980</v>
      </c>
      <c r="N1033" s="195">
        <v>9390</v>
      </c>
      <c r="O1033" s="195">
        <v>9370</v>
      </c>
      <c r="P1033" s="196"/>
      <c r="Q1033" s="196"/>
      <c r="R1033" s="193"/>
      <c r="S1033" s="193"/>
      <c r="T1033" s="197">
        <f t="shared" si="71"/>
        <v>68</v>
      </c>
      <c r="U1033" s="193"/>
      <c r="V1033" s="193" t="s">
        <v>68</v>
      </c>
      <c r="AP1033" s="3" t="s">
        <v>1728</v>
      </c>
    </row>
    <row r="1034" spans="2:42" ht="15" customHeight="1" x14ac:dyDescent="0.2">
      <c r="B1034" s="193">
        <v>1</v>
      </c>
      <c r="C1034" s="347" t="s">
        <v>289</v>
      </c>
      <c r="D1034" s="193" t="str">
        <f t="shared" si="70"/>
        <v>CPO000147JAS</v>
      </c>
      <c r="E1034" s="193" t="s">
        <v>177</v>
      </c>
      <c r="F1034" s="193" t="s">
        <v>1447</v>
      </c>
      <c r="G1034" s="193" t="s">
        <v>1728</v>
      </c>
      <c r="H1034" s="193" t="s">
        <v>49</v>
      </c>
      <c r="I1034" s="193" t="s">
        <v>41</v>
      </c>
      <c r="J1034" s="193" t="str">
        <f t="shared" si="74"/>
        <v>6 Roda</v>
      </c>
      <c r="K1034" s="194">
        <v>46121</v>
      </c>
      <c r="L1034" s="195">
        <v>13760</v>
      </c>
      <c r="M1034" s="195">
        <v>4140</v>
      </c>
      <c r="N1034" s="195">
        <v>9620</v>
      </c>
      <c r="O1034" s="195">
        <v>9600</v>
      </c>
      <c r="P1034" s="196"/>
      <c r="Q1034" s="196"/>
      <c r="R1034" s="193"/>
      <c r="S1034" s="193"/>
      <c r="T1034" s="197">
        <f t="shared" si="71"/>
        <v>68</v>
      </c>
      <c r="U1034" s="193"/>
      <c r="V1034" s="193" t="s">
        <v>68</v>
      </c>
      <c r="AP1034" s="3" t="s">
        <v>1728</v>
      </c>
    </row>
    <row r="1035" spans="2:42" ht="15" customHeight="1" x14ac:dyDescent="0.2">
      <c r="B1035" s="193">
        <v>1</v>
      </c>
      <c r="C1035" s="347" t="s">
        <v>290</v>
      </c>
      <c r="D1035" s="193" t="str">
        <f t="shared" si="70"/>
        <v>CPO000148JAS</v>
      </c>
      <c r="E1035" s="193" t="s">
        <v>156</v>
      </c>
      <c r="F1035" s="193" t="s">
        <v>1447</v>
      </c>
      <c r="G1035" s="193" t="s">
        <v>1728</v>
      </c>
      <c r="H1035" s="193" t="s">
        <v>49</v>
      </c>
      <c r="I1035" s="193" t="s">
        <v>41</v>
      </c>
      <c r="J1035" s="193" t="str">
        <f t="shared" si="74"/>
        <v>6 Roda</v>
      </c>
      <c r="K1035" s="194">
        <v>46121</v>
      </c>
      <c r="L1035" s="195">
        <v>14030</v>
      </c>
      <c r="M1035" s="195">
        <v>4110</v>
      </c>
      <c r="N1035" s="195">
        <v>9920</v>
      </c>
      <c r="O1035" s="195">
        <v>9890</v>
      </c>
      <c r="P1035" s="196"/>
      <c r="Q1035" s="196"/>
      <c r="R1035" s="193"/>
      <c r="S1035" s="193"/>
      <c r="T1035" s="197">
        <f t="shared" si="71"/>
        <v>68</v>
      </c>
      <c r="U1035" s="193"/>
      <c r="V1035" s="193" t="s">
        <v>68</v>
      </c>
      <c r="AP1035" s="3" t="s">
        <v>1728</v>
      </c>
    </row>
    <row r="1036" spans="2:42" ht="15" customHeight="1" x14ac:dyDescent="0.2">
      <c r="B1036" s="193">
        <v>1</v>
      </c>
      <c r="C1036" s="347" t="s">
        <v>291</v>
      </c>
      <c r="D1036" s="193" t="str">
        <f t="shared" si="70"/>
        <v>CPO000149JAS</v>
      </c>
      <c r="E1036" s="193" t="s">
        <v>1272</v>
      </c>
      <c r="F1036" s="193" t="s">
        <v>1447</v>
      </c>
      <c r="G1036" s="193" t="s">
        <v>1728</v>
      </c>
      <c r="H1036" s="193" t="s">
        <v>49</v>
      </c>
      <c r="I1036" s="193" t="s">
        <v>41</v>
      </c>
      <c r="J1036" s="193" t="str">
        <f t="shared" si="74"/>
        <v>10 Roda</v>
      </c>
      <c r="K1036" s="194">
        <v>46121</v>
      </c>
      <c r="L1036" s="195">
        <v>28560</v>
      </c>
      <c r="M1036" s="195">
        <v>8050</v>
      </c>
      <c r="N1036" s="195">
        <v>20510</v>
      </c>
      <c r="O1036" s="195">
        <v>20460</v>
      </c>
      <c r="P1036" s="196"/>
      <c r="Q1036" s="196"/>
      <c r="R1036" s="193"/>
      <c r="S1036" s="193"/>
      <c r="T1036" s="197">
        <f t="shared" si="71"/>
        <v>68</v>
      </c>
      <c r="U1036" s="193"/>
      <c r="V1036" s="193" t="s">
        <v>68</v>
      </c>
      <c r="AP1036" s="3" t="s">
        <v>1728</v>
      </c>
    </row>
    <row r="1037" spans="2:42" ht="15" customHeight="1" x14ac:dyDescent="0.2">
      <c r="B1037" s="193">
        <v>1</v>
      </c>
      <c r="C1037" s="347" t="s">
        <v>292</v>
      </c>
      <c r="D1037" s="193" t="str">
        <f t="shared" si="70"/>
        <v>CPO000150JAS</v>
      </c>
      <c r="E1037" s="193" t="s">
        <v>738</v>
      </c>
      <c r="F1037" s="193" t="s">
        <v>1447</v>
      </c>
      <c r="G1037" s="193" t="s">
        <v>1728</v>
      </c>
      <c r="H1037" s="193" t="s">
        <v>49</v>
      </c>
      <c r="I1037" s="193" t="s">
        <v>41</v>
      </c>
      <c r="J1037" s="193" t="str">
        <f t="shared" si="74"/>
        <v>6 Roda</v>
      </c>
      <c r="K1037" s="194">
        <v>46121</v>
      </c>
      <c r="L1037" s="195">
        <v>12270</v>
      </c>
      <c r="M1037" s="195">
        <v>3710</v>
      </c>
      <c r="N1037" s="195">
        <v>8560</v>
      </c>
      <c r="O1037" s="195">
        <v>8550</v>
      </c>
      <c r="P1037" s="196"/>
      <c r="Q1037" s="196"/>
      <c r="R1037" s="193"/>
      <c r="S1037" s="193"/>
      <c r="T1037" s="197">
        <f t="shared" si="71"/>
        <v>68</v>
      </c>
      <c r="U1037" s="193"/>
      <c r="V1037" s="193" t="s">
        <v>68</v>
      </c>
      <c r="AP1037" s="3" t="s">
        <v>1728</v>
      </c>
    </row>
    <row r="1038" spans="2:42" ht="15" customHeight="1" x14ac:dyDescent="0.2">
      <c r="B1038" s="193">
        <v>1</v>
      </c>
      <c r="C1038" s="347" t="s">
        <v>293</v>
      </c>
      <c r="D1038" s="193" t="str">
        <f t="shared" si="70"/>
        <v>CPO000151JAS</v>
      </c>
      <c r="E1038" s="193" t="s">
        <v>186</v>
      </c>
      <c r="F1038" s="193" t="s">
        <v>1447</v>
      </c>
      <c r="G1038" s="193" t="s">
        <v>1728</v>
      </c>
      <c r="H1038" s="193" t="s">
        <v>49</v>
      </c>
      <c r="I1038" s="193" t="s">
        <v>41</v>
      </c>
      <c r="J1038" s="193" t="str">
        <f t="shared" si="74"/>
        <v>6 Roda</v>
      </c>
      <c r="K1038" s="194">
        <v>46121</v>
      </c>
      <c r="L1038" s="195">
        <v>13430</v>
      </c>
      <c r="M1038" s="195">
        <v>3950</v>
      </c>
      <c r="N1038" s="195">
        <v>9480</v>
      </c>
      <c r="O1038" s="195">
        <v>9450</v>
      </c>
      <c r="P1038" s="196"/>
      <c r="Q1038" s="196"/>
      <c r="R1038" s="193"/>
      <c r="S1038" s="193"/>
      <c r="T1038" s="197">
        <f t="shared" si="71"/>
        <v>68</v>
      </c>
      <c r="U1038" s="193"/>
      <c r="V1038" s="193" t="s">
        <v>68</v>
      </c>
      <c r="AP1038" s="3" t="s">
        <v>1728</v>
      </c>
    </row>
    <row r="1039" spans="2:42" ht="15" customHeight="1" x14ac:dyDescent="0.2">
      <c r="B1039" s="193">
        <v>1</v>
      </c>
      <c r="C1039" s="347" t="s">
        <v>294</v>
      </c>
      <c r="D1039" s="193" t="str">
        <f t="shared" si="70"/>
        <v>CPO000152JAS</v>
      </c>
      <c r="E1039" s="193" t="s">
        <v>1267</v>
      </c>
      <c r="F1039" s="193" t="s">
        <v>1447</v>
      </c>
      <c r="G1039" s="193" t="s">
        <v>1728</v>
      </c>
      <c r="H1039" s="193" t="s">
        <v>49</v>
      </c>
      <c r="I1039" s="193" t="s">
        <v>41</v>
      </c>
      <c r="J1039" s="193" t="str">
        <f t="shared" si="74"/>
        <v>6 Roda</v>
      </c>
      <c r="K1039" s="194">
        <v>46121</v>
      </c>
      <c r="L1039" s="195">
        <v>12700</v>
      </c>
      <c r="M1039" s="195">
        <v>3790</v>
      </c>
      <c r="N1039" s="195">
        <v>8910</v>
      </c>
      <c r="O1039" s="195">
        <v>8890</v>
      </c>
      <c r="P1039" s="196"/>
      <c r="Q1039" s="196"/>
      <c r="R1039" s="193"/>
      <c r="S1039" s="193"/>
      <c r="T1039" s="197">
        <f t="shared" si="71"/>
        <v>68</v>
      </c>
      <c r="U1039" s="193"/>
      <c r="V1039" s="193" t="s">
        <v>68</v>
      </c>
      <c r="AP1039" s="3" t="s">
        <v>1728</v>
      </c>
    </row>
    <row r="1040" spans="2:42" ht="15" customHeight="1" x14ac:dyDescent="0.2">
      <c r="B1040" s="193">
        <v>1</v>
      </c>
      <c r="C1040" s="347" t="s">
        <v>295</v>
      </c>
      <c r="D1040" s="193" t="str">
        <f t="shared" si="70"/>
        <v>CPO000153JAS</v>
      </c>
      <c r="E1040" s="193" t="s">
        <v>183</v>
      </c>
      <c r="F1040" s="193" t="s">
        <v>1447</v>
      </c>
      <c r="G1040" s="193" t="s">
        <v>1728</v>
      </c>
      <c r="H1040" s="193" t="s">
        <v>49</v>
      </c>
      <c r="I1040" s="193" t="s">
        <v>41</v>
      </c>
      <c r="J1040" s="193" t="str">
        <f t="shared" si="74"/>
        <v>6 Roda</v>
      </c>
      <c r="K1040" s="194">
        <v>46121</v>
      </c>
      <c r="L1040" s="195">
        <v>14080</v>
      </c>
      <c r="M1040" s="195">
        <v>4160</v>
      </c>
      <c r="N1040" s="195">
        <v>9920</v>
      </c>
      <c r="O1040" s="195">
        <v>9910</v>
      </c>
      <c r="P1040" s="196"/>
      <c r="Q1040" s="196"/>
      <c r="R1040" s="193"/>
      <c r="S1040" s="193"/>
      <c r="T1040" s="197">
        <f t="shared" si="71"/>
        <v>68</v>
      </c>
      <c r="U1040" s="193"/>
      <c r="V1040" s="193" t="s">
        <v>68</v>
      </c>
      <c r="AP1040" s="3" t="s">
        <v>1728</v>
      </c>
    </row>
    <row r="1041" spans="2:42" ht="15" customHeight="1" x14ac:dyDescent="0.2">
      <c r="B1041" s="193">
        <v>1</v>
      </c>
      <c r="C1041" s="347" t="s">
        <v>296</v>
      </c>
      <c r="D1041" s="193" t="str">
        <f t="shared" si="70"/>
        <v>CPO000154JAS</v>
      </c>
      <c r="E1041" s="193" t="s">
        <v>1269</v>
      </c>
      <c r="F1041" s="193" t="s">
        <v>1447</v>
      </c>
      <c r="G1041" s="193" t="s">
        <v>1728</v>
      </c>
      <c r="H1041" s="193" t="s">
        <v>49</v>
      </c>
      <c r="I1041" s="193" t="s">
        <v>41</v>
      </c>
      <c r="J1041" s="193" t="str">
        <f t="shared" si="74"/>
        <v>6 Roda</v>
      </c>
      <c r="K1041" s="194">
        <v>46121</v>
      </c>
      <c r="L1041" s="195">
        <v>12390</v>
      </c>
      <c r="M1041" s="195">
        <v>4110</v>
      </c>
      <c r="N1041" s="195">
        <v>8280</v>
      </c>
      <c r="O1041" s="195">
        <v>8250</v>
      </c>
      <c r="P1041" s="196"/>
      <c r="Q1041" s="196"/>
      <c r="R1041" s="193"/>
      <c r="S1041" s="193"/>
      <c r="T1041" s="197">
        <f t="shared" si="71"/>
        <v>68</v>
      </c>
      <c r="U1041" s="193"/>
      <c r="V1041" s="193" t="s">
        <v>68</v>
      </c>
      <c r="AP1041" s="3" t="s">
        <v>1728</v>
      </c>
    </row>
    <row r="1042" spans="2:42" ht="15" customHeight="1" x14ac:dyDescent="0.2">
      <c r="B1042" s="193">
        <v>1</v>
      </c>
      <c r="C1042" s="347" t="s">
        <v>297</v>
      </c>
      <c r="D1042" s="193" t="str">
        <f t="shared" si="70"/>
        <v>CPO000155JAS</v>
      </c>
      <c r="E1042" s="193" t="s">
        <v>1277</v>
      </c>
      <c r="F1042" s="193" t="s">
        <v>1447</v>
      </c>
      <c r="G1042" s="193" t="s">
        <v>1728</v>
      </c>
      <c r="H1042" s="193" t="s">
        <v>49</v>
      </c>
      <c r="I1042" s="193" t="s">
        <v>41</v>
      </c>
      <c r="J1042" s="193" t="str">
        <f t="shared" si="74"/>
        <v>6 Roda</v>
      </c>
      <c r="K1042" s="194">
        <v>46121</v>
      </c>
      <c r="L1042" s="195">
        <v>14110</v>
      </c>
      <c r="M1042" s="195">
        <v>4280</v>
      </c>
      <c r="N1042" s="195">
        <v>9830</v>
      </c>
      <c r="O1042" s="195">
        <v>9790</v>
      </c>
      <c r="P1042" s="196"/>
      <c r="Q1042" s="196"/>
      <c r="R1042" s="193"/>
      <c r="S1042" s="193"/>
      <c r="T1042" s="197">
        <f t="shared" si="71"/>
        <v>68</v>
      </c>
      <c r="U1042" s="193"/>
      <c r="V1042" s="193" t="s">
        <v>68</v>
      </c>
      <c r="AP1042" s="3" t="s">
        <v>1728</v>
      </c>
    </row>
    <row r="1043" spans="2:42" ht="15" customHeight="1" x14ac:dyDescent="0.2">
      <c r="B1043" s="193">
        <v>1</v>
      </c>
      <c r="C1043" s="347" t="s">
        <v>298</v>
      </c>
      <c r="D1043" s="193" t="str">
        <f t="shared" si="70"/>
        <v>CPO000156JAS</v>
      </c>
      <c r="E1043" s="193" t="s">
        <v>1273</v>
      </c>
      <c r="F1043" s="193" t="s">
        <v>1447</v>
      </c>
      <c r="G1043" s="193" t="s">
        <v>1728</v>
      </c>
      <c r="H1043" s="193" t="s">
        <v>49</v>
      </c>
      <c r="I1043" s="193" t="s">
        <v>41</v>
      </c>
      <c r="J1043" s="193" t="str">
        <f t="shared" si="74"/>
        <v>6 Roda</v>
      </c>
      <c r="K1043" s="194">
        <v>46121</v>
      </c>
      <c r="L1043" s="195">
        <v>13880</v>
      </c>
      <c r="M1043" s="195">
        <v>4240</v>
      </c>
      <c r="N1043" s="195">
        <v>9640</v>
      </c>
      <c r="O1043" s="195">
        <v>9600</v>
      </c>
      <c r="P1043" s="196"/>
      <c r="Q1043" s="196"/>
      <c r="R1043" s="193"/>
      <c r="S1043" s="193"/>
      <c r="T1043" s="197">
        <f t="shared" si="71"/>
        <v>68</v>
      </c>
      <c r="U1043" s="193"/>
      <c r="V1043" s="193" t="s">
        <v>68</v>
      </c>
      <c r="AP1043" s="3" t="s">
        <v>1728</v>
      </c>
    </row>
    <row r="1044" spans="2:42" ht="15" customHeight="1" x14ac:dyDescent="0.2">
      <c r="B1044" s="193">
        <v>1</v>
      </c>
      <c r="C1044" s="347" t="s">
        <v>299</v>
      </c>
      <c r="D1044" s="193" t="str">
        <f t="shared" si="70"/>
        <v>CPO000157JAS</v>
      </c>
      <c r="E1044" s="193" t="s">
        <v>1274</v>
      </c>
      <c r="F1044" s="193" t="s">
        <v>1447</v>
      </c>
      <c r="G1044" s="193" t="s">
        <v>1728</v>
      </c>
      <c r="H1044" s="193" t="s">
        <v>49</v>
      </c>
      <c r="I1044" s="193" t="s">
        <v>41</v>
      </c>
      <c r="J1044" s="193" t="str">
        <f t="shared" si="74"/>
        <v>6 Roda</v>
      </c>
      <c r="K1044" s="194">
        <v>46121</v>
      </c>
      <c r="L1044" s="195">
        <v>13320</v>
      </c>
      <c r="M1044" s="195">
        <v>3870</v>
      </c>
      <c r="N1044" s="195">
        <v>9450</v>
      </c>
      <c r="O1044" s="195">
        <v>9410</v>
      </c>
      <c r="P1044" s="196"/>
      <c r="Q1044" s="196"/>
      <c r="R1044" s="193"/>
      <c r="S1044" s="193"/>
      <c r="T1044" s="197">
        <f t="shared" si="71"/>
        <v>68</v>
      </c>
      <c r="U1044" s="193"/>
      <c r="V1044" s="193" t="s">
        <v>68</v>
      </c>
      <c r="AP1044" s="3" t="s">
        <v>1728</v>
      </c>
    </row>
    <row r="1045" spans="2:42" ht="15" customHeight="1" x14ac:dyDescent="0.2">
      <c r="B1045" s="193">
        <v>1</v>
      </c>
      <c r="C1045" s="347" t="s">
        <v>1260</v>
      </c>
      <c r="D1045" s="193" t="str">
        <f t="shared" si="70"/>
        <v>RBDPL000932DA</v>
      </c>
      <c r="E1045" s="193" t="s">
        <v>931</v>
      </c>
      <c r="F1045" s="193" t="s">
        <v>1369</v>
      </c>
      <c r="G1045" s="193" t="s">
        <v>1654</v>
      </c>
      <c r="H1045" s="193" t="s">
        <v>111</v>
      </c>
      <c r="I1045" s="193" t="s">
        <v>3</v>
      </c>
      <c r="J1045" s="193" t="str">
        <f t="shared" si="74"/>
        <v>6 Roda</v>
      </c>
      <c r="K1045" s="194">
        <v>46122</v>
      </c>
      <c r="L1045" s="195">
        <v>4170</v>
      </c>
      <c r="M1045" s="195">
        <v>13800</v>
      </c>
      <c r="N1045" s="195">
        <v>9630</v>
      </c>
      <c r="O1045" s="195"/>
      <c r="P1045" s="196">
        <v>0.36041666666666666</v>
      </c>
      <c r="Q1045" s="196">
        <v>0.3979166666666667</v>
      </c>
      <c r="R1045" s="193" t="s">
        <v>42</v>
      </c>
      <c r="S1045" s="193" t="s">
        <v>1377</v>
      </c>
      <c r="T1045" s="197">
        <f t="shared" si="71"/>
        <v>360</v>
      </c>
      <c r="U1045" s="193" t="s">
        <v>932</v>
      </c>
      <c r="V1045" s="193" t="str">
        <f t="shared" si="73"/>
        <v>Makassar</v>
      </c>
      <c r="AP1045" s="3" t="s">
        <v>1654</v>
      </c>
    </row>
    <row r="1046" spans="2:42" ht="15" customHeight="1" x14ac:dyDescent="0.2">
      <c r="B1046" s="193">
        <v>1</v>
      </c>
      <c r="C1046" s="347" t="s">
        <v>1261</v>
      </c>
      <c r="D1046" s="193" t="str">
        <f t="shared" si="70"/>
        <v>RBDPL000933DA</v>
      </c>
      <c r="E1046" s="193" t="s">
        <v>56</v>
      </c>
      <c r="F1046" s="193" t="s">
        <v>1419</v>
      </c>
      <c r="G1046" s="193" t="s">
        <v>1655</v>
      </c>
      <c r="H1046" s="193" t="s">
        <v>111</v>
      </c>
      <c r="I1046" s="193" t="s">
        <v>3</v>
      </c>
      <c r="J1046" s="193" t="str">
        <f t="shared" ref="J1046:J1077" si="75">IF(MIN(L1046,M1046)&lt;=5000,"6 Roda",IF(MIN(L1046,M1046)&lt;=13800,"10 Roda","12 Roda"))</f>
        <v>10 Roda</v>
      </c>
      <c r="K1046" s="194">
        <v>46122</v>
      </c>
      <c r="L1046" s="195">
        <v>10710</v>
      </c>
      <c r="M1046" s="195">
        <v>25200</v>
      </c>
      <c r="N1046" s="195">
        <v>14490</v>
      </c>
      <c r="O1046" s="195"/>
      <c r="P1046" s="196">
        <v>0.65069444444444446</v>
      </c>
      <c r="Q1046" s="196">
        <v>0.68819444444444444</v>
      </c>
      <c r="R1046" s="193" t="s">
        <v>42</v>
      </c>
      <c r="S1046" s="193" t="s">
        <v>1781</v>
      </c>
      <c r="T1046" s="197">
        <f t="shared" si="71"/>
        <v>360</v>
      </c>
      <c r="U1046" s="193" t="s">
        <v>69</v>
      </c>
      <c r="V1046" s="193" t="str">
        <f t="shared" si="73"/>
        <v>Makassar</v>
      </c>
      <c r="AP1046" s="3" t="s">
        <v>1655</v>
      </c>
    </row>
    <row r="1047" spans="2:42" ht="15" customHeight="1" x14ac:dyDescent="0.2">
      <c r="B1047" s="193">
        <v>1</v>
      </c>
      <c r="C1047" s="347" t="s">
        <v>1262</v>
      </c>
      <c r="D1047" s="193" t="str">
        <f t="shared" si="70"/>
        <v>RBDPL000934BJL</v>
      </c>
      <c r="E1047" s="193" t="s">
        <v>958</v>
      </c>
      <c r="F1047" s="193" t="s">
        <v>1363</v>
      </c>
      <c r="G1047" s="193" t="s">
        <v>1657</v>
      </c>
      <c r="H1047" s="193" t="s">
        <v>86</v>
      </c>
      <c r="I1047" s="193" t="s">
        <v>3</v>
      </c>
      <c r="J1047" s="193" t="str">
        <f t="shared" si="75"/>
        <v>6 Roda</v>
      </c>
      <c r="K1047" s="194">
        <v>46122</v>
      </c>
      <c r="L1047" s="195">
        <v>4250</v>
      </c>
      <c r="M1047" s="195">
        <v>13720</v>
      </c>
      <c r="N1047" s="195">
        <v>9470</v>
      </c>
      <c r="O1047" s="195"/>
      <c r="P1047" s="196">
        <v>0.78194444444444444</v>
      </c>
      <c r="Q1047" s="196">
        <v>0.80833333333333324</v>
      </c>
      <c r="R1047" s="193" t="s">
        <v>137</v>
      </c>
      <c r="S1047" s="193" t="s">
        <v>1388</v>
      </c>
      <c r="T1047" s="197">
        <f t="shared" si="71"/>
        <v>562</v>
      </c>
      <c r="U1047" s="193" t="s">
        <v>175</v>
      </c>
      <c r="V1047" s="193" t="str">
        <f t="shared" si="73"/>
        <v>Palu</v>
      </c>
      <c r="AP1047" s="3" t="s">
        <v>1657</v>
      </c>
    </row>
    <row r="1048" spans="2:42" ht="15" customHeight="1" x14ac:dyDescent="0.2">
      <c r="B1048" s="193">
        <v>1</v>
      </c>
      <c r="C1048" s="347" t="s">
        <v>1263</v>
      </c>
      <c r="D1048" s="193" t="str">
        <f t="shared" si="70"/>
        <v>RBDPL000935BJL</v>
      </c>
      <c r="E1048" s="193" t="s">
        <v>183</v>
      </c>
      <c r="F1048" s="193" t="s">
        <v>1363</v>
      </c>
      <c r="G1048" s="193" t="s">
        <v>1657</v>
      </c>
      <c r="H1048" s="193" t="s">
        <v>86</v>
      </c>
      <c r="I1048" s="193" t="s">
        <v>3</v>
      </c>
      <c r="J1048" s="193" t="str">
        <f t="shared" si="75"/>
        <v>6 Roda</v>
      </c>
      <c r="K1048" s="194">
        <v>46122</v>
      </c>
      <c r="L1048" s="195">
        <v>4150</v>
      </c>
      <c r="M1048" s="195">
        <v>14270</v>
      </c>
      <c r="N1048" s="195">
        <v>10120</v>
      </c>
      <c r="O1048" s="195"/>
      <c r="P1048" s="196">
        <v>0.8125</v>
      </c>
      <c r="Q1048" s="196">
        <v>0.8340277777777777</v>
      </c>
      <c r="R1048" s="193" t="s">
        <v>137</v>
      </c>
      <c r="S1048" s="193" t="s">
        <v>1522</v>
      </c>
      <c r="T1048" s="197">
        <f t="shared" si="71"/>
        <v>562</v>
      </c>
      <c r="U1048" s="193" t="s">
        <v>175</v>
      </c>
      <c r="V1048" s="193" t="str">
        <f t="shared" si="73"/>
        <v>Palu</v>
      </c>
      <c r="AP1048" s="3" t="s">
        <v>1657</v>
      </c>
    </row>
    <row r="1049" spans="2:42" ht="15" customHeight="1" x14ac:dyDescent="0.2">
      <c r="B1049" s="193">
        <v>1</v>
      </c>
      <c r="C1049" s="347" t="s">
        <v>1280</v>
      </c>
      <c r="D1049" s="193" t="str">
        <f t="shared" si="70"/>
        <v>RBDPL000936DA</v>
      </c>
      <c r="E1049" s="193" t="s">
        <v>1300</v>
      </c>
      <c r="F1049" s="193" t="s">
        <v>1419</v>
      </c>
      <c r="G1049" s="193" t="s">
        <v>1655</v>
      </c>
      <c r="H1049" s="193" t="s">
        <v>111</v>
      </c>
      <c r="I1049" s="193" t="s">
        <v>3</v>
      </c>
      <c r="J1049" s="193" t="str">
        <f t="shared" si="75"/>
        <v>12 Roda</v>
      </c>
      <c r="K1049" s="194">
        <v>46123</v>
      </c>
      <c r="L1049" s="195">
        <v>18970</v>
      </c>
      <c r="M1049" s="195">
        <v>42570</v>
      </c>
      <c r="N1049" s="195">
        <v>23600</v>
      </c>
      <c r="O1049" s="195"/>
      <c r="P1049" s="196">
        <v>0.3666666666666667</v>
      </c>
      <c r="Q1049" s="196">
        <v>0.45069444444444445</v>
      </c>
      <c r="R1049" s="193" t="s">
        <v>42</v>
      </c>
      <c r="S1049" s="193" t="s">
        <v>1394</v>
      </c>
      <c r="T1049" s="197">
        <f t="shared" si="71"/>
        <v>360</v>
      </c>
      <c r="U1049" s="193" t="s">
        <v>932</v>
      </c>
      <c r="V1049" s="193" t="str">
        <f t="shared" si="73"/>
        <v>Makassar</v>
      </c>
      <c r="AP1049" s="3" t="s">
        <v>1655</v>
      </c>
    </row>
    <row r="1050" spans="2:42" ht="15" customHeight="1" x14ac:dyDescent="0.2">
      <c r="B1050" s="193">
        <v>1</v>
      </c>
      <c r="C1050" s="347" t="s">
        <v>1281</v>
      </c>
      <c r="D1050" s="193" t="str">
        <f t="shared" si="70"/>
        <v>RBDPL000937DA</v>
      </c>
      <c r="E1050" s="193" t="s">
        <v>938</v>
      </c>
      <c r="F1050" s="193" t="s">
        <v>1419</v>
      </c>
      <c r="G1050" s="193" t="s">
        <v>1655</v>
      </c>
      <c r="H1050" s="193" t="s">
        <v>111</v>
      </c>
      <c r="I1050" s="193" t="s">
        <v>3</v>
      </c>
      <c r="J1050" s="193" t="str">
        <f t="shared" si="75"/>
        <v>6 Roda</v>
      </c>
      <c r="K1050" s="194">
        <v>46123</v>
      </c>
      <c r="L1050" s="195">
        <v>3990</v>
      </c>
      <c r="M1050" s="195">
        <v>13480</v>
      </c>
      <c r="N1050" s="195">
        <v>9490</v>
      </c>
      <c r="O1050" s="195"/>
      <c r="P1050" s="196">
        <v>0.57708333333333328</v>
      </c>
      <c r="Q1050" s="196">
        <v>0.59236111111111112</v>
      </c>
      <c r="R1050" s="193" t="s">
        <v>137</v>
      </c>
      <c r="S1050" s="193" t="s">
        <v>1384</v>
      </c>
      <c r="T1050" s="197">
        <f t="shared" si="71"/>
        <v>360</v>
      </c>
      <c r="U1050" s="193" t="s">
        <v>932</v>
      </c>
      <c r="V1050" s="193" t="str">
        <f t="shared" si="73"/>
        <v>Makassar</v>
      </c>
      <c r="AP1050" s="3" t="s">
        <v>1655</v>
      </c>
    </row>
    <row r="1051" spans="2:42" ht="15" customHeight="1" x14ac:dyDescent="0.2">
      <c r="B1051" s="193">
        <v>1</v>
      </c>
      <c r="C1051" s="347" t="s">
        <v>1282</v>
      </c>
      <c r="D1051" s="193" t="str">
        <f t="shared" si="70"/>
        <v>RBDPL000938DA</v>
      </c>
      <c r="E1051" s="193" t="s">
        <v>940</v>
      </c>
      <c r="F1051" s="193" t="s">
        <v>1419</v>
      </c>
      <c r="G1051" s="193" t="s">
        <v>1655</v>
      </c>
      <c r="H1051" s="193" t="s">
        <v>111</v>
      </c>
      <c r="I1051" s="193" t="s">
        <v>3</v>
      </c>
      <c r="J1051" s="193" t="str">
        <f t="shared" si="75"/>
        <v>6 Roda</v>
      </c>
      <c r="K1051" s="194">
        <v>46123</v>
      </c>
      <c r="L1051" s="195">
        <v>4020</v>
      </c>
      <c r="M1051" s="195">
        <v>13530</v>
      </c>
      <c r="N1051" s="195">
        <v>9510</v>
      </c>
      <c r="O1051" s="195"/>
      <c r="P1051" s="196">
        <v>0.57847222222222217</v>
      </c>
      <c r="Q1051" s="196">
        <v>0.60486111111111118</v>
      </c>
      <c r="R1051" s="193" t="s">
        <v>137</v>
      </c>
      <c r="S1051" s="193" t="s">
        <v>1383</v>
      </c>
      <c r="T1051" s="197">
        <f t="shared" si="71"/>
        <v>360</v>
      </c>
      <c r="U1051" s="193" t="s">
        <v>932</v>
      </c>
      <c r="V1051" s="193" t="str">
        <f t="shared" si="73"/>
        <v>Makassar</v>
      </c>
      <c r="AP1051" s="3" t="s">
        <v>1655</v>
      </c>
    </row>
    <row r="1052" spans="2:42" ht="15" customHeight="1" x14ac:dyDescent="0.2">
      <c r="B1052" s="193">
        <v>1</v>
      </c>
      <c r="C1052" s="347" t="s">
        <v>1283</v>
      </c>
      <c r="D1052" s="193" t="str">
        <f t="shared" si="70"/>
        <v>RBDPL000939DA</v>
      </c>
      <c r="E1052" s="193" t="s">
        <v>1034</v>
      </c>
      <c r="F1052" s="193" t="s">
        <v>1419</v>
      </c>
      <c r="G1052" s="193" t="s">
        <v>1655</v>
      </c>
      <c r="H1052" s="193" t="s">
        <v>111</v>
      </c>
      <c r="I1052" s="193" t="s">
        <v>3</v>
      </c>
      <c r="J1052" s="193" t="str">
        <f t="shared" si="75"/>
        <v>6 Roda</v>
      </c>
      <c r="K1052" s="194">
        <v>46123</v>
      </c>
      <c r="L1052" s="195">
        <v>3850</v>
      </c>
      <c r="M1052" s="195">
        <v>13280</v>
      </c>
      <c r="N1052" s="195">
        <v>9430</v>
      </c>
      <c r="O1052" s="195"/>
      <c r="P1052" s="196">
        <v>0.5805555555555556</v>
      </c>
      <c r="Q1052" s="196">
        <v>0.61527777777777781</v>
      </c>
      <c r="R1052" s="193" t="s">
        <v>137</v>
      </c>
      <c r="S1052" s="193" t="s">
        <v>1390</v>
      </c>
      <c r="T1052" s="197">
        <f t="shared" si="71"/>
        <v>360</v>
      </c>
      <c r="U1052" s="193" t="s">
        <v>932</v>
      </c>
      <c r="V1052" s="193" t="str">
        <f t="shared" si="73"/>
        <v>Makassar</v>
      </c>
      <c r="AP1052" s="3" t="s">
        <v>1655</v>
      </c>
    </row>
    <row r="1053" spans="2:42" ht="15" customHeight="1" x14ac:dyDescent="0.2">
      <c r="B1053" s="193">
        <v>1</v>
      </c>
      <c r="C1053" s="347" t="s">
        <v>1284</v>
      </c>
      <c r="D1053" s="193" t="str">
        <f t="shared" si="70"/>
        <v>RBDPL000940BJL</v>
      </c>
      <c r="E1053" s="193" t="s">
        <v>728</v>
      </c>
      <c r="F1053" s="193" t="s">
        <v>1363</v>
      </c>
      <c r="G1053" s="193" t="s">
        <v>1657</v>
      </c>
      <c r="H1053" s="193" t="s">
        <v>86</v>
      </c>
      <c r="I1053" s="193" t="s">
        <v>3</v>
      </c>
      <c r="J1053" s="193" t="str">
        <f t="shared" si="75"/>
        <v>6 Roda</v>
      </c>
      <c r="K1053" s="194">
        <v>46123</v>
      </c>
      <c r="L1053" s="195">
        <v>3890</v>
      </c>
      <c r="M1053" s="195">
        <v>14020</v>
      </c>
      <c r="N1053" s="195">
        <v>10130</v>
      </c>
      <c r="O1053" s="195"/>
      <c r="P1053" s="196">
        <v>0.59444444444444444</v>
      </c>
      <c r="Q1053" s="196">
        <v>0.62986111111111109</v>
      </c>
      <c r="R1053" s="193" t="s">
        <v>137</v>
      </c>
      <c r="S1053" s="193" t="s">
        <v>1395</v>
      </c>
      <c r="T1053" s="197">
        <f t="shared" si="71"/>
        <v>562</v>
      </c>
      <c r="U1053" s="193" t="s">
        <v>175</v>
      </c>
      <c r="V1053" s="193" t="str">
        <f t="shared" si="73"/>
        <v>Palu</v>
      </c>
      <c r="AP1053" s="3" t="s">
        <v>1657</v>
      </c>
    </row>
    <row r="1054" spans="2:42" ht="15" customHeight="1" x14ac:dyDescent="0.2">
      <c r="B1054" s="193">
        <v>1</v>
      </c>
      <c r="C1054" s="347" t="s">
        <v>1285</v>
      </c>
      <c r="D1054" s="193" t="str">
        <f t="shared" si="70"/>
        <v>RBDPL000941BJL</v>
      </c>
      <c r="E1054" s="193" t="s">
        <v>53</v>
      </c>
      <c r="F1054" s="193" t="s">
        <v>1363</v>
      </c>
      <c r="G1054" s="193" t="s">
        <v>1657</v>
      </c>
      <c r="H1054" s="193" t="s">
        <v>86</v>
      </c>
      <c r="I1054" s="193" t="s">
        <v>3</v>
      </c>
      <c r="J1054" s="193" t="str">
        <f t="shared" si="75"/>
        <v>6 Roda</v>
      </c>
      <c r="K1054" s="194">
        <v>46123</v>
      </c>
      <c r="L1054" s="195">
        <v>3840</v>
      </c>
      <c r="M1054" s="195">
        <v>13450</v>
      </c>
      <c r="N1054" s="195">
        <v>9610</v>
      </c>
      <c r="O1054" s="195"/>
      <c r="P1054" s="196">
        <v>0.59583333333333333</v>
      </c>
      <c r="Q1054" s="196">
        <v>0.64513888888888882</v>
      </c>
      <c r="R1054" s="193" t="s">
        <v>137</v>
      </c>
      <c r="S1054" s="193" t="s">
        <v>1396</v>
      </c>
      <c r="T1054" s="197">
        <f t="shared" si="71"/>
        <v>562</v>
      </c>
      <c r="U1054" s="193" t="s">
        <v>175</v>
      </c>
      <c r="V1054" s="193" t="str">
        <f t="shared" si="73"/>
        <v>Palu</v>
      </c>
      <c r="AP1054" s="3" t="s">
        <v>1657</v>
      </c>
    </row>
    <row r="1055" spans="2:42" ht="15" customHeight="1" x14ac:dyDescent="0.2">
      <c r="B1055" s="193">
        <v>1</v>
      </c>
      <c r="C1055" s="347" t="s">
        <v>1286</v>
      </c>
      <c r="D1055" s="193" t="str">
        <f t="shared" si="70"/>
        <v>RBDPL000944BJL</v>
      </c>
      <c r="E1055" s="193" t="s">
        <v>174</v>
      </c>
      <c r="F1055" s="193" t="s">
        <v>1363</v>
      </c>
      <c r="G1055" s="193" t="s">
        <v>1657</v>
      </c>
      <c r="H1055" s="193" t="s">
        <v>86</v>
      </c>
      <c r="I1055" s="193" t="s">
        <v>3</v>
      </c>
      <c r="J1055" s="193" t="str">
        <f t="shared" si="75"/>
        <v>6 Roda</v>
      </c>
      <c r="K1055" s="194">
        <v>46123</v>
      </c>
      <c r="L1055" s="195">
        <v>4310</v>
      </c>
      <c r="M1055" s="195">
        <v>13440</v>
      </c>
      <c r="N1055" s="195">
        <v>9130</v>
      </c>
      <c r="O1055" s="195"/>
      <c r="P1055" s="196">
        <v>0.65902777777777777</v>
      </c>
      <c r="Q1055" s="196">
        <v>0.6972222222222223</v>
      </c>
      <c r="R1055" s="193" t="s">
        <v>137</v>
      </c>
      <c r="S1055" s="193" t="s">
        <v>1465</v>
      </c>
      <c r="T1055" s="197">
        <f t="shared" si="71"/>
        <v>562</v>
      </c>
      <c r="U1055" s="193" t="s">
        <v>175</v>
      </c>
      <c r="V1055" s="193" t="str">
        <f t="shared" si="73"/>
        <v>Palu</v>
      </c>
      <c r="AP1055" s="3" t="s">
        <v>1657</v>
      </c>
    </row>
    <row r="1056" spans="2:42" ht="15" customHeight="1" x14ac:dyDescent="0.2">
      <c r="B1056" s="193">
        <v>1</v>
      </c>
      <c r="C1056" s="347" t="s">
        <v>1287</v>
      </c>
      <c r="D1056" s="193" t="str">
        <f t="shared" si="70"/>
        <v>RBDPL000945BJL</v>
      </c>
      <c r="E1056" s="193" t="s">
        <v>839</v>
      </c>
      <c r="F1056" s="193" t="s">
        <v>1363</v>
      </c>
      <c r="G1056" s="193" t="s">
        <v>1657</v>
      </c>
      <c r="H1056" s="193" t="s">
        <v>86</v>
      </c>
      <c r="I1056" s="193" t="s">
        <v>3</v>
      </c>
      <c r="J1056" s="193" t="str">
        <f t="shared" si="75"/>
        <v>6 Roda</v>
      </c>
      <c r="K1056" s="194">
        <v>46123</v>
      </c>
      <c r="L1056" s="195">
        <v>3810</v>
      </c>
      <c r="M1056" s="195">
        <v>13050</v>
      </c>
      <c r="N1056" s="195">
        <v>9240</v>
      </c>
      <c r="O1056" s="195"/>
      <c r="P1056" s="196">
        <v>0.66041666666666665</v>
      </c>
      <c r="Q1056" s="196">
        <v>0.71666666666666667</v>
      </c>
      <c r="R1056" s="193" t="s">
        <v>137</v>
      </c>
      <c r="S1056" s="193" t="s">
        <v>1521</v>
      </c>
      <c r="T1056" s="197">
        <f t="shared" si="71"/>
        <v>562</v>
      </c>
      <c r="U1056" s="193" t="s">
        <v>175</v>
      </c>
      <c r="V1056" s="193" t="str">
        <f t="shared" si="73"/>
        <v>Palu</v>
      </c>
      <c r="AP1056" s="3" t="s">
        <v>1657</v>
      </c>
    </row>
    <row r="1057" spans="2:42" ht="15" customHeight="1" x14ac:dyDescent="0.2">
      <c r="B1057" s="193">
        <v>1</v>
      </c>
      <c r="C1057" s="347" t="s">
        <v>1288</v>
      </c>
      <c r="D1057" s="193" t="str">
        <f t="shared" si="70"/>
        <v>RBDPL000942SCM</v>
      </c>
      <c r="E1057" s="193" t="s">
        <v>936</v>
      </c>
      <c r="F1057" s="193" t="s">
        <v>1366</v>
      </c>
      <c r="G1057" s="193" t="s">
        <v>1651</v>
      </c>
      <c r="H1057" s="193" t="s">
        <v>107</v>
      </c>
      <c r="I1057" s="193" t="s">
        <v>3</v>
      </c>
      <c r="J1057" s="193" t="str">
        <f t="shared" si="75"/>
        <v>6 Roda</v>
      </c>
      <c r="K1057" s="194">
        <v>46123</v>
      </c>
      <c r="L1057" s="195">
        <v>4190</v>
      </c>
      <c r="M1057" s="195">
        <v>14350</v>
      </c>
      <c r="N1057" s="195">
        <v>10160</v>
      </c>
      <c r="O1057" s="195"/>
      <c r="P1057" s="196">
        <v>0.65416666666666667</v>
      </c>
      <c r="Q1057" s="196">
        <v>0.6743055555555556</v>
      </c>
      <c r="R1057" s="193" t="s">
        <v>137</v>
      </c>
      <c r="S1057" s="193" t="s">
        <v>1385</v>
      </c>
      <c r="T1057" s="197">
        <f t="shared" si="71"/>
        <v>400</v>
      </c>
      <c r="U1057" s="193" t="s">
        <v>175</v>
      </c>
      <c r="V1057" s="193" t="str">
        <f t="shared" si="73"/>
        <v>Gowa</v>
      </c>
      <c r="AP1057" s="3" t="s">
        <v>1651</v>
      </c>
    </row>
    <row r="1058" spans="2:42" ht="15" customHeight="1" x14ac:dyDescent="0.2">
      <c r="B1058" s="193">
        <v>1</v>
      </c>
      <c r="C1058" s="347" t="s">
        <v>1289</v>
      </c>
      <c r="D1058" s="193" t="str">
        <f t="shared" si="70"/>
        <v>RBDPL000943SCM</v>
      </c>
      <c r="E1058" s="193" t="s">
        <v>983</v>
      </c>
      <c r="F1058" s="193" t="s">
        <v>1366</v>
      </c>
      <c r="G1058" s="193" t="s">
        <v>1651</v>
      </c>
      <c r="H1058" s="193" t="s">
        <v>107</v>
      </c>
      <c r="I1058" s="193" t="s">
        <v>3</v>
      </c>
      <c r="J1058" s="193" t="str">
        <f t="shared" si="75"/>
        <v>6 Roda</v>
      </c>
      <c r="K1058" s="194">
        <v>46123</v>
      </c>
      <c r="L1058" s="195">
        <v>4050</v>
      </c>
      <c r="M1058" s="195">
        <v>13360</v>
      </c>
      <c r="N1058" s="195">
        <v>9310</v>
      </c>
      <c r="O1058" s="195"/>
      <c r="P1058" s="196">
        <v>0.65486111111111112</v>
      </c>
      <c r="Q1058" s="196">
        <v>0.6875</v>
      </c>
      <c r="R1058" s="193" t="s">
        <v>137</v>
      </c>
      <c r="S1058" s="193" t="s">
        <v>1387</v>
      </c>
      <c r="T1058" s="197">
        <f t="shared" si="71"/>
        <v>400</v>
      </c>
      <c r="U1058" s="193" t="s">
        <v>175</v>
      </c>
      <c r="V1058" s="193" t="str">
        <f t="shared" si="73"/>
        <v>Gowa</v>
      </c>
      <c r="AP1058" s="3" t="s">
        <v>1651</v>
      </c>
    </row>
    <row r="1059" spans="2:42" ht="15" customHeight="1" x14ac:dyDescent="0.2">
      <c r="B1059" s="193">
        <v>1</v>
      </c>
      <c r="C1059" s="347" t="s">
        <v>1290</v>
      </c>
      <c r="D1059" s="193" t="str">
        <f t="shared" si="70"/>
        <v>RBDPL000946BJL</v>
      </c>
      <c r="E1059" s="193" t="s">
        <v>174</v>
      </c>
      <c r="F1059" s="193" t="s">
        <v>1363</v>
      </c>
      <c r="G1059" s="193" t="s">
        <v>1657</v>
      </c>
      <c r="H1059" s="193" t="s">
        <v>86</v>
      </c>
      <c r="I1059" s="193" t="s">
        <v>3</v>
      </c>
      <c r="J1059" s="193" t="str">
        <f t="shared" si="75"/>
        <v>6 Roda</v>
      </c>
      <c r="K1059" s="194">
        <v>46125</v>
      </c>
      <c r="L1059" s="195">
        <v>4320</v>
      </c>
      <c r="M1059" s="195">
        <v>13470</v>
      </c>
      <c r="N1059" s="195">
        <v>9150</v>
      </c>
      <c r="O1059" s="195"/>
      <c r="P1059" s="196">
        <v>0.39652777777777781</v>
      </c>
      <c r="Q1059" s="196">
        <v>0.42291666666666666</v>
      </c>
      <c r="R1059" s="193" t="s">
        <v>137</v>
      </c>
      <c r="S1059" s="193" t="s">
        <v>1465</v>
      </c>
      <c r="T1059" s="197">
        <f t="shared" si="71"/>
        <v>562</v>
      </c>
      <c r="U1059" s="193" t="s">
        <v>175</v>
      </c>
      <c r="V1059" s="193" t="str">
        <f t="shared" si="73"/>
        <v>Palu</v>
      </c>
      <c r="AP1059" s="3" t="s">
        <v>1657</v>
      </c>
    </row>
    <row r="1060" spans="2:42" ht="15" customHeight="1" x14ac:dyDescent="0.2">
      <c r="B1060" s="193">
        <v>1</v>
      </c>
      <c r="C1060" s="347" t="s">
        <v>1291</v>
      </c>
      <c r="D1060" s="193" t="str">
        <f t="shared" si="70"/>
        <v>RBDPL000947BJL</v>
      </c>
      <c r="E1060" s="193" t="s">
        <v>169</v>
      </c>
      <c r="F1060" s="193" t="s">
        <v>1363</v>
      </c>
      <c r="G1060" s="193" t="s">
        <v>1657</v>
      </c>
      <c r="H1060" s="193" t="s">
        <v>86</v>
      </c>
      <c r="I1060" s="193" t="s">
        <v>3</v>
      </c>
      <c r="J1060" s="193" t="str">
        <f t="shared" si="75"/>
        <v>6 Roda</v>
      </c>
      <c r="K1060" s="194">
        <v>46125</v>
      </c>
      <c r="L1060" s="195">
        <v>4070</v>
      </c>
      <c r="M1060" s="195">
        <v>13600</v>
      </c>
      <c r="N1060" s="195">
        <v>9530</v>
      </c>
      <c r="O1060" s="195"/>
      <c r="P1060" s="196">
        <v>0.42777777777777781</v>
      </c>
      <c r="Q1060" s="196">
        <v>0.44722222222222219</v>
      </c>
      <c r="R1060" s="193" t="s">
        <v>137</v>
      </c>
      <c r="S1060" s="193" t="s">
        <v>1378</v>
      </c>
      <c r="T1060" s="197">
        <f t="shared" si="71"/>
        <v>562</v>
      </c>
      <c r="U1060" s="193" t="s">
        <v>175</v>
      </c>
      <c r="V1060" s="193" t="str">
        <f t="shared" si="73"/>
        <v>Palu</v>
      </c>
      <c r="AP1060" s="3" t="s">
        <v>1657</v>
      </c>
    </row>
    <row r="1061" spans="2:42" ht="15" customHeight="1" x14ac:dyDescent="0.2">
      <c r="B1061" s="193">
        <v>1</v>
      </c>
      <c r="C1061" s="347" t="s">
        <v>1292</v>
      </c>
      <c r="D1061" s="193" t="str">
        <f t="shared" si="70"/>
        <v>RBDPL000955BJL</v>
      </c>
      <c r="E1061" s="193" t="s">
        <v>56</v>
      </c>
      <c r="F1061" s="193" t="s">
        <v>1363</v>
      </c>
      <c r="G1061" s="193" t="s">
        <v>1657</v>
      </c>
      <c r="H1061" s="193" t="s">
        <v>86</v>
      </c>
      <c r="I1061" s="193" t="s">
        <v>3</v>
      </c>
      <c r="J1061" s="193" t="str">
        <f t="shared" si="75"/>
        <v>10 Roda</v>
      </c>
      <c r="K1061" s="194">
        <v>46125</v>
      </c>
      <c r="L1061" s="195">
        <v>10920</v>
      </c>
      <c r="M1061" s="195">
        <v>25440</v>
      </c>
      <c r="N1061" s="195">
        <v>14520</v>
      </c>
      <c r="O1061" s="195"/>
      <c r="P1061" s="196">
        <v>0.82847222222222217</v>
      </c>
      <c r="Q1061" s="196">
        <v>0.85625000000000007</v>
      </c>
      <c r="R1061" s="193" t="s">
        <v>42</v>
      </c>
      <c r="S1061" s="193" t="s">
        <v>1397</v>
      </c>
      <c r="T1061" s="197">
        <f t="shared" si="71"/>
        <v>562</v>
      </c>
      <c r="U1061" s="193" t="s">
        <v>69</v>
      </c>
      <c r="V1061" s="193" t="str">
        <f t="shared" si="73"/>
        <v>Palu</v>
      </c>
      <c r="AP1061" s="3" t="s">
        <v>1657</v>
      </c>
    </row>
    <row r="1062" spans="2:42" ht="15" customHeight="1" x14ac:dyDescent="0.2">
      <c r="B1062" s="193">
        <v>1</v>
      </c>
      <c r="C1062" s="347" t="s">
        <v>1293</v>
      </c>
      <c r="D1062" s="193" t="str">
        <f t="shared" si="70"/>
        <v>RBDPL000952BJL</v>
      </c>
      <c r="E1062" s="193" t="s">
        <v>151</v>
      </c>
      <c r="F1062" s="193" t="s">
        <v>1363</v>
      </c>
      <c r="G1062" s="193" t="s">
        <v>1657</v>
      </c>
      <c r="H1062" s="193" t="s">
        <v>86</v>
      </c>
      <c r="I1062" s="193" t="s">
        <v>3</v>
      </c>
      <c r="J1062" s="193" t="str">
        <f t="shared" si="75"/>
        <v>6 Roda</v>
      </c>
      <c r="K1062" s="194">
        <v>46125</v>
      </c>
      <c r="L1062" s="195">
        <v>4290</v>
      </c>
      <c r="M1062" s="195">
        <v>13760</v>
      </c>
      <c r="N1062" s="195">
        <v>9470</v>
      </c>
      <c r="O1062" s="195"/>
      <c r="P1062" s="196">
        <v>0.68402777777777779</v>
      </c>
      <c r="Q1062" s="196">
        <v>0.7319444444444444</v>
      </c>
      <c r="R1062" s="193" t="s">
        <v>42</v>
      </c>
      <c r="S1062" s="193" t="s">
        <v>1388</v>
      </c>
      <c r="T1062" s="197">
        <f t="shared" si="71"/>
        <v>562</v>
      </c>
      <c r="U1062" s="193" t="s">
        <v>175</v>
      </c>
      <c r="V1062" s="193" t="str">
        <f t="shared" si="73"/>
        <v>Palu</v>
      </c>
      <c r="AP1062" s="3" t="s">
        <v>1657</v>
      </c>
    </row>
    <row r="1063" spans="2:42" ht="15" customHeight="1" x14ac:dyDescent="0.2">
      <c r="B1063" s="193">
        <v>1</v>
      </c>
      <c r="C1063" s="347" t="s">
        <v>1294</v>
      </c>
      <c r="D1063" s="193" t="str">
        <f t="shared" si="70"/>
        <v>RBDPL000951BJL</v>
      </c>
      <c r="E1063" s="193" t="s">
        <v>174</v>
      </c>
      <c r="F1063" s="193" t="s">
        <v>1363</v>
      </c>
      <c r="G1063" s="193" t="s">
        <v>1657</v>
      </c>
      <c r="H1063" s="193" t="s">
        <v>86</v>
      </c>
      <c r="I1063" s="193" t="s">
        <v>3</v>
      </c>
      <c r="J1063" s="193" t="str">
        <f t="shared" si="75"/>
        <v>6 Roda</v>
      </c>
      <c r="K1063" s="194">
        <v>46125</v>
      </c>
      <c r="L1063" s="195">
        <v>4300</v>
      </c>
      <c r="M1063" s="195">
        <v>13390</v>
      </c>
      <c r="N1063" s="195">
        <v>9090</v>
      </c>
      <c r="O1063" s="195"/>
      <c r="P1063" s="196">
        <v>0.68333333333333324</v>
      </c>
      <c r="Q1063" s="196">
        <v>0.71180555555555547</v>
      </c>
      <c r="R1063" s="193" t="s">
        <v>42</v>
      </c>
      <c r="S1063" s="193" t="s">
        <v>1465</v>
      </c>
      <c r="T1063" s="197">
        <f t="shared" si="71"/>
        <v>562</v>
      </c>
      <c r="U1063" s="193" t="s">
        <v>175</v>
      </c>
      <c r="V1063" s="193" t="str">
        <f t="shared" si="73"/>
        <v>Palu</v>
      </c>
      <c r="AP1063" s="3" t="s">
        <v>1657</v>
      </c>
    </row>
    <row r="1064" spans="2:42" ht="15" customHeight="1" x14ac:dyDescent="0.2">
      <c r="B1064" s="193">
        <v>1</v>
      </c>
      <c r="C1064" s="347" t="s">
        <v>1295</v>
      </c>
      <c r="D1064" s="193" t="str">
        <f t="shared" si="70"/>
        <v>RBDPL000954SCM</v>
      </c>
      <c r="E1064" s="193" t="s">
        <v>46</v>
      </c>
      <c r="F1064" s="193" t="s">
        <v>1366</v>
      </c>
      <c r="G1064" s="193" t="s">
        <v>1651</v>
      </c>
      <c r="H1064" s="193" t="s">
        <v>107</v>
      </c>
      <c r="I1064" s="193" t="s">
        <v>3</v>
      </c>
      <c r="J1064" s="193" t="str">
        <f t="shared" si="75"/>
        <v>10 Roda</v>
      </c>
      <c r="K1064" s="194">
        <v>46125</v>
      </c>
      <c r="L1064" s="195">
        <v>12020</v>
      </c>
      <c r="M1064" s="195">
        <v>27000</v>
      </c>
      <c r="N1064" s="195">
        <v>14980</v>
      </c>
      <c r="O1064" s="195"/>
      <c r="P1064" s="196">
        <v>0.73888888888888893</v>
      </c>
      <c r="Q1064" s="196">
        <v>0.7680555555555556</v>
      </c>
      <c r="R1064" s="193" t="s">
        <v>42</v>
      </c>
      <c r="S1064" s="193" t="s">
        <v>1393</v>
      </c>
      <c r="T1064" s="197">
        <f t="shared" si="71"/>
        <v>400</v>
      </c>
      <c r="U1064" s="193" t="s">
        <v>175</v>
      </c>
      <c r="V1064" s="193" t="str">
        <f t="shared" si="73"/>
        <v>Gowa</v>
      </c>
      <c r="AP1064" s="3" t="s">
        <v>1651</v>
      </c>
    </row>
    <row r="1065" spans="2:42" ht="15" customHeight="1" x14ac:dyDescent="0.2">
      <c r="B1065" s="193">
        <v>1</v>
      </c>
      <c r="C1065" s="347" t="s">
        <v>1296</v>
      </c>
      <c r="D1065" s="193" t="str">
        <f t="shared" si="70"/>
        <v>RBDPL000953SCM</v>
      </c>
      <c r="E1065" s="193" t="s">
        <v>183</v>
      </c>
      <c r="F1065" s="193" t="s">
        <v>1366</v>
      </c>
      <c r="G1065" s="193" t="s">
        <v>1651</v>
      </c>
      <c r="H1065" s="193" t="s">
        <v>107</v>
      </c>
      <c r="I1065" s="193" t="s">
        <v>3</v>
      </c>
      <c r="J1065" s="193" t="str">
        <f t="shared" si="75"/>
        <v>6 Roda</v>
      </c>
      <c r="K1065" s="194">
        <v>46125</v>
      </c>
      <c r="L1065" s="195">
        <v>4280</v>
      </c>
      <c r="M1065" s="195">
        <v>14360</v>
      </c>
      <c r="N1065" s="195">
        <v>10080</v>
      </c>
      <c r="O1065" s="195"/>
      <c r="P1065" s="196">
        <v>0.72291666666666676</v>
      </c>
      <c r="Q1065" s="196">
        <v>0.74861111111111101</v>
      </c>
      <c r="R1065" s="193" t="s">
        <v>42</v>
      </c>
      <c r="S1065" s="193" t="s">
        <v>1522</v>
      </c>
      <c r="T1065" s="197">
        <f t="shared" si="71"/>
        <v>400</v>
      </c>
      <c r="U1065" s="193" t="s">
        <v>175</v>
      </c>
      <c r="V1065" s="193" t="str">
        <f t="shared" si="73"/>
        <v>Gowa</v>
      </c>
      <c r="AP1065" s="3" t="s">
        <v>1651</v>
      </c>
    </row>
    <row r="1066" spans="2:42" ht="15" customHeight="1" x14ac:dyDescent="0.2">
      <c r="B1066" s="193">
        <v>1</v>
      </c>
      <c r="C1066" s="347" t="s">
        <v>1297</v>
      </c>
      <c r="D1066" s="193" t="str">
        <f t="shared" si="70"/>
        <v>RBDPL000949SCM</v>
      </c>
      <c r="E1066" s="193" t="s">
        <v>962</v>
      </c>
      <c r="F1066" s="193" t="s">
        <v>1366</v>
      </c>
      <c r="G1066" s="193" t="s">
        <v>1651</v>
      </c>
      <c r="H1066" s="193" t="s">
        <v>107</v>
      </c>
      <c r="I1066" s="193" t="s">
        <v>3</v>
      </c>
      <c r="J1066" s="193" t="str">
        <f t="shared" si="75"/>
        <v>6 Roda</v>
      </c>
      <c r="K1066" s="194">
        <v>46125</v>
      </c>
      <c r="L1066" s="195">
        <v>4470</v>
      </c>
      <c r="M1066" s="195">
        <v>13570</v>
      </c>
      <c r="N1066" s="195">
        <v>9100</v>
      </c>
      <c r="O1066" s="195"/>
      <c r="P1066" s="196">
        <v>0.62291666666666667</v>
      </c>
      <c r="Q1066" s="196">
        <v>0.6381944444444444</v>
      </c>
      <c r="R1066" s="193" t="s">
        <v>137</v>
      </c>
      <c r="S1066" s="193" t="s">
        <v>1398</v>
      </c>
      <c r="T1066" s="197">
        <f t="shared" si="71"/>
        <v>400</v>
      </c>
      <c r="U1066" s="193" t="s">
        <v>175</v>
      </c>
      <c r="V1066" s="193" t="str">
        <f t="shared" si="73"/>
        <v>Gowa</v>
      </c>
      <c r="AP1066" s="3" t="s">
        <v>1651</v>
      </c>
    </row>
    <row r="1067" spans="2:42" ht="15" customHeight="1" x14ac:dyDescent="0.2">
      <c r="B1067" s="193">
        <v>1</v>
      </c>
      <c r="C1067" s="347" t="s">
        <v>1298</v>
      </c>
      <c r="D1067" s="193" t="str">
        <f t="shared" si="70"/>
        <v>RBDPL000948DA</v>
      </c>
      <c r="E1067" s="193" t="s">
        <v>931</v>
      </c>
      <c r="F1067" s="193" t="s">
        <v>1419</v>
      </c>
      <c r="G1067" s="193" t="s">
        <v>1655</v>
      </c>
      <c r="H1067" s="193" t="s">
        <v>111</v>
      </c>
      <c r="I1067" s="193" t="s">
        <v>3</v>
      </c>
      <c r="J1067" s="193" t="str">
        <f t="shared" si="75"/>
        <v>6 Roda</v>
      </c>
      <c r="K1067" s="194">
        <v>46125</v>
      </c>
      <c r="L1067" s="195">
        <v>4120</v>
      </c>
      <c r="M1067" s="195">
        <v>13740</v>
      </c>
      <c r="N1067" s="195">
        <v>9620</v>
      </c>
      <c r="O1067" s="195"/>
      <c r="P1067" s="196">
        <v>0.48333333333333334</v>
      </c>
      <c r="Q1067" s="196">
        <v>0.50347222222222221</v>
      </c>
      <c r="R1067" s="193" t="s">
        <v>137</v>
      </c>
      <c r="S1067" s="193" t="s">
        <v>1377</v>
      </c>
      <c r="T1067" s="197">
        <f t="shared" si="71"/>
        <v>360</v>
      </c>
      <c r="U1067" s="193" t="s">
        <v>932</v>
      </c>
      <c r="V1067" s="193" t="str">
        <f t="shared" si="73"/>
        <v>Makassar</v>
      </c>
      <c r="AP1067" s="3" t="s">
        <v>1655</v>
      </c>
    </row>
    <row r="1068" spans="2:42" ht="15" customHeight="1" x14ac:dyDescent="0.2">
      <c r="B1068" s="193">
        <v>1</v>
      </c>
      <c r="C1068" s="347" t="s">
        <v>1299</v>
      </c>
      <c r="D1068" s="193" t="str">
        <f t="shared" si="70"/>
        <v>RBDPL000950TDJ</v>
      </c>
      <c r="E1068" s="193" t="s">
        <v>76</v>
      </c>
      <c r="F1068" s="193" t="s">
        <v>1667</v>
      </c>
      <c r="G1068" s="193" t="s">
        <v>1668</v>
      </c>
      <c r="H1068" s="193" t="s">
        <v>1523</v>
      </c>
      <c r="I1068" s="193" t="s">
        <v>3</v>
      </c>
      <c r="J1068" s="193" t="str">
        <f t="shared" si="75"/>
        <v>12 Roda</v>
      </c>
      <c r="K1068" s="194">
        <v>46125</v>
      </c>
      <c r="L1068" s="195">
        <v>17520</v>
      </c>
      <c r="M1068" s="195">
        <v>46410</v>
      </c>
      <c r="N1068" s="195">
        <v>28890</v>
      </c>
      <c r="O1068" s="195"/>
      <c r="P1068" s="196">
        <v>0.65277777777777779</v>
      </c>
      <c r="Q1068" s="196">
        <v>0.69930555555555562</v>
      </c>
      <c r="R1068" s="193" t="s">
        <v>137</v>
      </c>
      <c r="S1068" s="193" t="s">
        <v>1372</v>
      </c>
      <c r="T1068" s="197">
        <f t="shared" si="71"/>
        <v>473</v>
      </c>
      <c r="U1068" s="193" t="s">
        <v>69</v>
      </c>
      <c r="V1068" s="193" t="str">
        <f t="shared" si="73"/>
        <v>Siumbatu</v>
      </c>
      <c r="AP1068" s="3" t="s">
        <v>1668</v>
      </c>
    </row>
    <row r="1069" spans="2:42" ht="15" customHeight="1" x14ac:dyDescent="0.2">
      <c r="B1069" s="193">
        <v>1</v>
      </c>
      <c r="C1069" s="347" t="s">
        <v>1301</v>
      </c>
      <c r="D1069" s="193" t="str">
        <f t="shared" si="70"/>
        <v>RBDPL000956HSA</v>
      </c>
      <c r="E1069" s="193" t="s">
        <v>147</v>
      </c>
      <c r="F1069" s="193" t="s">
        <v>1371</v>
      </c>
      <c r="G1069" s="193" t="s">
        <v>1648</v>
      </c>
      <c r="H1069" s="193" t="s">
        <v>103</v>
      </c>
      <c r="I1069" s="194" t="s">
        <v>3</v>
      </c>
      <c r="J1069" s="195" t="str">
        <f t="shared" si="75"/>
        <v>6 Roda</v>
      </c>
      <c r="K1069" s="194">
        <v>46126</v>
      </c>
      <c r="L1069" s="195">
        <v>4000</v>
      </c>
      <c r="M1069" s="195">
        <v>14090</v>
      </c>
      <c r="N1069" s="195">
        <v>10090</v>
      </c>
      <c r="O1069" s="196"/>
      <c r="P1069" s="196">
        <v>0.41875000000000001</v>
      </c>
      <c r="Q1069" s="196">
        <v>0.43888888888888888</v>
      </c>
      <c r="R1069" s="197" t="s">
        <v>137</v>
      </c>
      <c r="S1069" s="193" t="s">
        <v>1373</v>
      </c>
      <c r="T1069" s="197">
        <f t="shared" si="71"/>
        <v>360</v>
      </c>
      <c r="U1069" s="193" t="s">
        <v>932</v>
      </c>
      <c r="V1069" s="193" t="str">
        <f t="shared" si="73"/>
        <v>Makassar</v>
      </c>
      <c r="AP1069" s="3" t="s">
        <v>1648</v>
      </c>
    </row>
    <row r="1070" spans="2:42" ht="15" customHeight="1" x14ac:dyDescent="0.2">
      <c r="B1070" s="193">
        <v>1</v>
      </c>
      <c r="C1070" s="347" t="s">
        <v>1302</v>
      </c>
      <c r="D1070" s="193" t="str">
        <f t="shared" ref="D1070:D1106" si="76">I1070&amp;C1070&amp;_xlfn.XLOOKUP(H1070,$AM$4:$AM$26,$AN$4:$AN$26,"")</f>
        <v>RBDPL000957DA</v>
      </c>
      <c r="E1070" s="193" t="s">
        <v>931</v>
      </c>
      <c r="F1070" s="193" t="s">
        <v>1419</v>
      </c>
      <c r="G1070" s="193" t="s">
        <v>1655</v>
      </c>
      <c r="H1070" s="193" t="s">
        <v>111</v>
      </c>
      <c r="I1070" s="194" t="s">
        <v>3</v>
      </c>
      <c r="J1070" s="195" t="str">
        <f t="shared" si="75"/>
        <v>6 Roda</v>
      </c>
      <c r="K1070" s="194">
        <v>46126</v>
      </c>
      <c r="L1070" s="195">
        <v>4120</v>
      </c>
      <c r="M1070" s="195">
        <v>13740</v>
      </c>
      <c r="N1070" s="195">
        <v>9620</v>
      </c>
      <c r="O1070" s="196"/>
      <c r="P1070" s="196">
        <v>0.5493055555555556</v>
      </c>
      <c r="Q1070" s="196">
        <v>0.57430555555555551</v>
      </c>
      <c r="R1070" s="197" t="s">
        <v>137</v>
      </c>
      <c r="S1070" s="193" t="s">
        <v>1377</v>
      </c>
      <c r="T1070" s="197">
        <f t="shared" si="71"/>
        <v>360</v>
      </c>
      <c r="U1070" s="193" t="s">
        <v>932</v>
      </c>
      <c r="V1070" s="193" t="str">
        <f t="shared" si="73"/>
        <v>Makassar</v>
      </c>
      <c r="AP1070" s="3" t="s">
        <v>1655</v>
      </c>
    </row>
    <row r="1071" spans="2:42" ht="15" customHeight="1" x14ac:dyDescent="0.2">
      <c r="B1071" s="193">
        <v>1</v>
      </c>
      <c r="C1071" s="347" t="s">
        <v>1303</v>
      </c>
      <c r="D1071" s="193" t="str">
        <f t="shared" si="76"/>
        <v>RBDPL000958DA</v>
      </c>
      <c r="E1071" s="193" t="s">
        <v>936</v>
      </c>
      <c r="F1071" s="193" t="s">
        <v>1419</v>
      </c>
      <c r="G1071" s="193" t="s">
        <v>1655</v>
      </c>
      <c r="H1071" s="193" t="s">
        <v>111</v>
      </c>
      <c r="I1071" s="194" t="s">
        <v>3</v>
      </c>
      <c r="J1071" s="195" t="str">
        <f t="shared" si="75"/>
        <v>6 Roda</v>
      </c>
      <c r="K1071" s="194">
        <v>46126</v>
      </c>
      <c r="L1071" s="195">
        <v>4200</v>
      </c>
      <c r="M1071" s="195">
        <v>14360</v>
      </c>
      <c r="N1071" s="195">
        <v>10160</v>
      </c>
      <c r="O1071" s="196"/>
      <c r="P1071" s="196">
        <v>0.68402777777777779</v>
      </c>
      <c r="Q1071" s="196">
        <v>0.71875</v>
      </c>
      <c r="R1071" s="197" t="s">
        <v>42</v>
      </c>
      <c r="S1071" s="193" t="s">
        <v>1385</v>
      </c>
      <c r="T1071" s="197">
        <f t="shared" si="71"/>
        <v>360</v>
      </c>
      <c r="U1071" s="193" t="s">
        <v>932</v>
      </c>
      <c r="V1071" s="193" t="str">
        <f t="shared" si="73"/>
        <v>Makassar</v>
      </c>
      <c r="AP1071" s="3" t="s">
        <v>1655</v>
      </c>
    </row>
    <row r="1072" spans="2:42" ht="15" customHeight="1" x14ac:dyDescent="0.2">
      <c r="B1072" s="193">
        <v>1</v>
      </c>
      <c r="C1072" s="347" t="s">
        <v>1304</v>
      </c>
      <c r="D1072" s="193" t="str">
        <f t="shared" si="76"/>
        <v>RBDPL000961BJL</v>
      </c>
      <c r="E1072" s="193" t="s">
        <v>1274</v>
      </c>
      <c r="F1072" s="193" t="s">
        <v>1363</v>
      </c>
      <c r="G1072" s="193" t="s">
        <v>1657</v>
      </c>
      <c r="H1072" s="193" t="s">
        <v>86</v>
      </c>
      <c r="I1072" s="194" t="s">
        <v>3</v>
      </c>
      <c r="J1072" s="195" t="str">
        <f t="shared" si="75"/>
        <v>6 Roda</v>
      </c>
      <c r="K1072" s="194">
        <v>46126</v>
      </c>
      <c r="L1072" s="195">
        <v>3820</v>
      </c>
      <c r="M1072" s="195">
        <v>13430</v>
      </c>
      <c r="N1072" s="195">
        <v>9610</v>
      </c>
      <c r="O1072" s="196"/>
      <c r="P1072" s="196">
        <v>0.84375</v>
      </c>
      <c r="Q1072" s="196">
        <v>0.87083333333333324</v>
      </c>
      <c r="R1072" s="197" t="s">
        <v>42</v>
      </c>
      <c r="S1072" s="193" t="s">
        <v>1516</v>
      </c>
      <c r="T1072" s="197">
        <f t="shared" si="71"/>
        <v>562</v>
      </c>
      <c r="U1072" s="193" t="s">
        <v>175</v>
      </c>
      <c r="V1072" s="193" t="str">
        <f t="shared" si="73"/>
        <v>Palu</v>
      </c>
      <c r="AP1072" s="3" t="s">
        <v>1657</v>
      </c>
    </row>
    <row r="1073" spans="2:42" ht="15" customHeight="1" x14ac:dyDescent="0.2">
      <c r="B1073" s="193">
        <v>1</v>
      </c>
      <c r="C1073" s="347" t="s">
        <v>1305</v>
      </c>
      <c r="D1073" s="193" t="str">
        <f t="shared" si="76"/>
        <v>RBDPL000960BJL</v>
      </c>
      <c r="E1073" s="193" t="s">
        <v>1307</v>
      </c>
      <c r="F1073" s="193" t="s">
        <v>1363</v>
      </c>
      <c r="G1073" s="193" t="s">
        <v>1657</v>
      </c>
      <c r="H1073" s="193" t="s">
        <v>86</v>
      </c>
      <c r="I1073" s="194" t="s">
        <v>3</v>
      </c>
      <c r="J1073" s="195" t="str">
        <f t="shared" si="75"/>
        <v>6 Roda</v>
      </c>
      <c r="K1073" s="194">
        <v>46126</v>
      </c>
      <c r="L1073" s="195">
        <v>3980</v>
      </c>
      <c r="M1073" s="195">
        <v>13360</v>
      </c>
      <c r="N1073" s="195">
        <v>9380</v>
      </c>
      <c r="O1073" s="196"/>
      <c r="P1073" s="196">
        <v>0.83611111111111114</v>
      </c>
      <c r="Q1073" s="196">
        <v>0.85486111111111107</v>
      </c>
      <c r="R1073" s="197" t="s">
        <v>42</v>
      </c>
      <c r="S1073" s="193" t="s">
        <v>1517</v>
      </c>
      <c r="T1073" s="197">
        <f t="shared" ref="T1073:T1136" si="77">IFERROR(_xlfn.XLOOKUP(H1073,$AM$4:$AM$18,$AP$4:$AP$18,""),0)</f>
        <v>562</v>
      </c>
      <c r="U1073" s="193" t="s">
        <v>175</v>
      </c>
      <c r="V1073" s="193" t="str">
        <f t="shared" ref="V1073:V1136" si="78">IFERROR(_xlfn.XLOOKUP(H1073,$AM$4:$AM$18,$AO$4:$AO$18,""),"")</f>
        <v>Palu</v>
      </c>
      <c r="AP1073" s="3" t="s">
        <v>1657</v>
      </c>
    </row>
    <row r="1074" spans="2:42" ht="15" customHeight="1" x14ac:dyDescent="0.2">
      <c r="B1074" s="193">
        <v>1</v>
      </c>
      <c r="C1074" s="347" t="s">
        <v>1306</v>
      </c>
      <c r="D1074" s="193" t="str">
        <f t="shared" si="76"/>
        <v>RBDPL000959BJL</v>
      </c>
      <c r="E1074" s="193" t="s">
        <v>1308</v>
      </c>
      <c r="F1074" s="193" t="s">
        <v>1363</v>
      </c>
      <c r="G1074" s="193" t="s">
        <v>1657</v>
      </c>
      <c r="H1074" s="193" t="s">
        <v>86</v>
      </c>
      <c r="I1074" s="194" t="s">
        <v>3</v>
      </c>
      <c r="J1074" s="195" t="str">
        <f t="shared" si="75"/>
        <v>6 Roda</v>
      </c>
      <c r="K1074" s="194">
        <v>46126</v>
      </c>
      <c r="L1074" s="195">
        <v>3890</v>
      </c>
      <c r="M1074" s="195">
        <v>13120</v>
      </c>
      <c r="N1074" s="195">
        <v>9230</v>
      </c>
      <c r="O1074" s="196"/>
      <c r="P1074" s="196">
        <v>0.71319444444444446</v>
      </c>
      <c r="Q1074" s="196">
        <v>0.76250000000000007</v>
      </c>
      <c r="R1074" s="197" t="s">
        <v>42</v>
      </c>
      <c r="S1074" s="193" t="s">
        <v>1518</v>
      </c>
      <c r="T1074" s="197">
        <f t="shared" si="77"/>
        <v>562</v>
      </c>
      <c r="U1074" s="193" t="s">
        <v>175</v>
      </c>
      <c r="V1074" s="193" t="str">
        <f t="shared" si="78"/>
        <v>Palu</v>
      </c>
      <c r="AP1074" s="3" t="s">
        <v>1657</v>
      </c>
    </row>
    <row r="1075" spans="2:42" ht="15" customHeight="1" x14ac:dyDescent="0.2">
      <c r="B1075" s="193">
        <v>1</v>
      </c>
      <c r="C1075" s="347" t="s">
        <v>1321</v>
      </c>
      <c r="D1075" s="193" t="str">
        <f t="shared" si="76"/>
        <v>RBDPL000964WIN</v>
      </c>
      <c r="E1075" s="193" t="s">
        <v>70</v>
      </c>
      <c r="F1075" s="193" t="s">
        <v>1669</v>
      </c>
      <c r="G1075" s="193" t="s">
        <v>1670</v>
      </c>
      <c r="H1075" s="193" t="s">
        <v>115</v>
      </c>
      <c r="I1075" s="194" t="s">
        <v>3</v>
      </c>
      <c r="J1075" s="195" t="str">
        <f t="shared" si="75"/>
        <v>12 Roda</v>
      </c>
      <c r="K1075" s="194">
        <v>46127</v>
      </c>
      <c r="L1075" s="195">
        <v>17380</v>
      </c>
      <c r="M1075" s="195">
        <v>46340</v>
      </c>
      <c r="N1075" s="195">
        <v>28960</v>
      </c>
      <c r="O1075" s="196"/>
      <c r="P1075" s="196">
        <v>0.44097222222222227</v>
      </c>
      <c r="Q1075" s="196">
        <v>0.52152777777777781</v>
      </c>
      <c r="R1075" s="197" t="s">
        <v>137</v>
      </c>
      <c r="S1075" s="193" t="s">
        <v>1372</v>
      </c>
      <c r="T1075" s="197">
        <f t="shared" si="77"/>
        <v>642</v>
      </c>
      <c r="U1075" s="193" t="s">
        <v>1500</v>
      </c>
      <c r="V1075" s="193" t="str">
        <f t="shared" si="78"/>
        <v>Torobulu</v>
      </c>
      <c r="AP1075" s="3" t="s">
        <v>1670</v>
      </c>
    </row>
    <row r="1076" spans="2:42" ht="15" customHeight="1" x14ac:dyDescent="0.2">
      <c r="B1076" s="193">
        <v>1</v>
      </c>
      <c r="C1076" s="347" t="s">
        <v>1322</v>
      </c>
      <c r="D1076" s="193" t="str">
        <f t="shared" si="76"/>
        <v>RBDPL000967HSA</v>
      </c>
      <c r="E1076" s="193" t="s">
        <v>940</v>
      </c>
      <c r="F1076" s="193" t="s">
        <v>1371</v>
      </c>
      <c r="G1076" s="193" t="s">
        <v>1648</v>
      </c>
      <c r="H1076" s="193" t="s">
        <v>103</v>
      </c>
      <c r="I1076" s="194" t="s">
        <v>3</v>
      </c>
      <c r="J1076" s="195" t="str">
        <f t="shared" si="75"/>
        <v>6 Roda</v>
      </c>
      <c r="K1076" s="194">
        <v>46127</v>
      </c>
      <c r="L1076" s="195">
        <v>3990</v>
      </c>
      <c r="M1076" s="195">
        <v>13550</v>
      </c>
      <c r="N1076" s="195">
        <v>9560</v>
      </c>
      <c r="O1076" s="196"/>
      <c r="P1076" s="196">
        <v>0.80625000000000002</v>
      </c>
      <c r="Q1076" s="196">
        <v>0.84652777777777777</v>
      </c>
      <c r="R1076" s="197" t="s">
        <v>42</v>
      </c>
      <c r="S1076" s="193" t="s">
        <v>1383</v>
      </c>
      <c r="T1076" s="197">
        <f t="shared" si="77"/>
        <v>360</v>
      </c>
      <c r="U1076" s="193" t="s">
        <v>932</v>
      </c>
      <c r="V1076" s="193" t="str">
        <f t="shared" si="78"/>
        <v>Makassar</v>
      </c>
      <c r="AP1076" s="3" t="s">
        <v>1648</v>
      </c>
    </row>
    <row r="1077" spans="2:42" ht="15" customHeight="1" x14ac:dyDescent="0.2">
      <c r="B1077" s="193">
        <v>1</v>
      </c>
      <c r="C1077" s="347" t="s">
        <v>1323</v>
      </c>
      <c r="D1077" s="193" t="str">
        <f t="shared" si="76"/>
        <v>RBDPL000966DA</v>
      </c>
      <c r="E1077" s="193" t="s">
        <v>983</v>
      </c>
      <c r="F1077" s="193" t="s">
        <v>1419</v>
      </c>
      <c r="G1077" s="193" t="s">
        <v>1655</v>
      </c>
      <c r="H1077" s="193" t="s">
        <v>111</v>
      </c>
      <c r="I1077" s="194" t="s">
        <v>3</v>
      </c>
      <c r="J1077" s="195" t="str">
        <f t="shared" si="75"/>
        <v>6 Roda</v>
      </c>
      <c r="K1077" s="194">
        <v>46127</v>
      </c>
      <c r="L1077" s="195">
        <v>4010</v>
      </c>
      <c r="M1077" s="195">
        <v>13320</v>
      </c>
      <c r="N1077" s="195">
        <v>9310</v>
      </c>
      <c r="O1077" s="196"/>
      <c r="P1077" s="196">
        <v>0.80555555555555547</v>
      </c>
      <c r="Q1077" s="196">
        <v>0.83611111111111114</v>
      </c>
      <c r="R1077" s="197" t="s">
        <v>42</v>
      </c>
      <c r="S1077" s="193" t="s">
        <v>1387</v>
      </c>
      <c r="T1077" s="197">
        <f t="shared" si="77"/>
        <v>360</v>
      </c>
      <c r="U1077" s="193" t="s">
        <v>932</v>
      </c>
      <c r="V1077" s="193" t="str">
        <f t="shared" si="78"/>
        <v>Makassar</v>
      </c>
      <c r="AP1077" s="3" t="s">
        <v>1655</v>
      </c>
    </row>
    <row r="1078" spans="2:42" ht="15" customHeight="1" x14ac:dyDescent="0.2">
      <c r="B1078" s="193">
        <v>1</v>
      </c>
      <c r="C1078" s="347" t="s">
        <v>1324</v>
      </c>
      <c r="D1078" s="193" t="str">
        <f t="shared" si="76"/>
        <v>RBDPL000965BJL</v>
      </c>
      <c r="E1078" s="193" t="s">
        <v>839</v>
      </c>
      <c r="F1078" s="193" t="s">
        <v>1363</v>
      </c>
      <c r="G1078" s="193" t="s">
        <v>1657</v>
      </c>
      <c r="H1078" s="193" t="s">
        <v>86</v>
      </c>
      <c r="I1078" s="194" t="s">
        <v>3</v>
      </c>
      <c r="J1078" s="195" t="str">
        <f t="shared" ref="J1078:J1109" si="79">IF(MIN(L1078,M1078)&lt;=5000,"6 Roda",IF(MIN(L1078,M1078)&lt;=13800,"10 Roda","12 Roda"))</f>
        <v>6 Roda</v>
      </c>
      <c r="K1078" s="194">
        <v>46127</v>
      </c>
      <c r="L1078" s="195">
        <v>3810</v>
      </c>
      <c r="M1078" s="195">
        <v>13040</v>
      </c>
      <c r="N1078" s="195">
        <v>9230</v>
      </c>
      <c r="O1078" s="196"/>
      <c r="P1078" s="196">
        <v>0.72361111111111109</v>
      </c>
      <c r="Q1078" s="196">
        <v>0.75</v>
      </c>
      <c r="R1078" s="197" t="s">
        <v>42</v>
      </c>
      <c r="S1078" s="193" t="s">
        <v>1521</v>
      </c>
      <c r="T1078" s="197">
        <f t="shared" si="77"/>
        <v>562</v>
      </c>
      <c r="U1078" s="193" t="s">
        <v>175</v>
      </c>
      <c r="V1078" s="193" t="str">
        <f t="shared" si="78"/>
        <v>Palu</v>
      </c>
      <c r="AP1078" s="3" t="s">
        <v>1657</v>
      </c>
    </row>
    <row r="1079" spans="2:42" ht="15" customHeight="1" x14ac:dyDescent="0.2">
      <c r="B1079" s="193">
        <v>1</v>
      </c>
      <c r="C1079" s="347" t="s">
        <v>1325</v>
      </c>
      <c r="D1079" s="193" t="str">
        <f t="shared" si="76"/>
        <v>RBDPL000963BJL</v>
      </c>
      <c r="E1079" s="193" t="s">
        <v>183</v>
      </c>
      <c r="F1079" s="193" t="s">
        <v>1363</v>
      </c>
      <c r="G1079" s="193" t="s">
        <v>1657</v>
      </c>
      <c r="H1079" s="193" t="s">
        <v>86</v>
      </c>
      <c r="I1079" s="194" t="s">
        <v>3</v>
      </c>
      <c r="J1079" s="195" t="str">
        <f t="shared" si="79"/>
        <v>6 Roda</v>
      </c>
      <c r="K1079" s="194">
        <v>46127</v>
      </c>
      <c r="L1079" s="195">
        <v>4170</v>
      </c>
      <c r="M1079" s="195">
        <v>14270</v>
      </c>
      <c r="N1079" s="195">
        <v>10100</v>
      </c>
      <c r="O1079" s="196"/>
      <c r="P1079" s="196">
        <v>0.39444444444444443</v>
      </c>
      <c r="Q1079" s="196">
        <v>0.42291666666666666</v>
      </c>
      <c r="R1079" s="197" t="s">
        <v>137</v>
      </c>
      <c r="S1079" s="193" t="s">
        <v>1522</v>
      </c>
      <c r="T1079" s="197">
        <f t="shared" si="77"/>
        <v>562</v>
      </c>
      <c r="U1079" s="193" t="s">
        <v>175</v>
      </c>
      <c r="V1079" s="193" t="str">
        <f t="shared" si="78"/>
        <v>Palu</v>
      </c>
      <c r="AP1079" s="3" t="s">
        <v>1657</v>
      </c>
    </row>
    <row r="1080" spans="2:42" ht="15" customHeight="1" x14ac:dyDescent="0.2">
      <c r="B1080" s="193">
        <v>1</v>
      </c>
      <c r="C1080" s="347" t="s">
        <v>1326</v>
      </c>
      <c r="D1080" s="193" t="str">
        <f t="shared" si="76"/>
        <v>RBDPL000962BJL</v>
      </c>
      <c r="E1080" s="193" t="s">
        <v>169</v>
      </c>
      <c r="F1080" s="193" t="s">
        <v>1363</v>
      </c>
      <c r="G1080" s="193" t="s">
        <v>1657</v>
      </c>
      <c r="H1080" s="193" t="s">
        <v>86</v>
      </c>
      <c r="I1080" s="194" t="s">
        <v>3</v>
      </c>
      <c r="J1080" s="195" t="str">
        <f t="shared" si="79"/>
        <v>6 Roda</v>
      </c>
      <c r="K1080" s="194">
        <v>46127</v>
      </c>
      <c r="L1080" s="195">
        <v>4070</v>
      </c>
      <c r="M1080" s="195">
        <v>13580</v>
      </c>
      <c r="N1080" s="195">
        <v>9510</v>
      </c>
      <c r="O1080" s="196"/>
      <c r="P1080" s="196">
        <v>0.36736111111111108</v>
      </c>
      <c r="Q1080" s="196">
        <v>0.38680555555555557</v>
      </c>
      <c r="R1080" s="197" t="s">
        <v>137</v>
      </c>
      <c r="S1080" s="193" t="s">
        <v>1378</v>
      </c>
      <c r="T1080" s="197">
        <f t="shared" si="77"/>
        <v>562</v>
      </c>
      <c r="U1080" s="193" t="s">
        <v>175</v>
      </c>
      <c r="V1080" s="193" t="str">
        <f t="shared" si="78"/>
        <v>Palu</v>
      </c>
      <c r="AP1080" s="3" t="s">
        <v>1657</v>
      </c>
    </row>
    <row r="1081" spans="2:42" ht="15" customHeight="1" x14ac:dyDescent="0.2">
      <c r="B1081" s="193">
        <v>1</v>
      </c>
      <c r="C1081" s="347" t="s">
        <v>1483</v>
      </c>
      <c r="D1081" s="193" t="str">
        <f t="shared" si="76"/>
        <v>RBDPL000971BJL</v>
      </c>
      <c r="E1081" s="193" t="s">
        <v>46</v>
      </c>
      <c r="F1081" s="193" t="s">
        <v>1363</v>
      </c>
      <c r="G1081" s="193" t="s">
        <v>1657</v>
      </c>
      <c r="H1081" s="193" t="s">
        <v>86</v>
      </c>
      <c r="I1081" s="193" t="s">
        <v>3</v>
      </c>
      <c r="J1081" s="193" t="str">
        <f t="shared" si="79"/>
        <v>10 Roda</v>
      </c>
      <c r="K1081" s="194">
        <v>46128</v>
      </c>
      <c r="L1081" s="195">
        <v>11730</v>
      </c>
      <c r="M1081" s="195">
        <v>26860</v>
      </c>
      <c r="N1081" s="195">
        <v>15130</v>
      </c>
      <c r="O1081" s="195"/>
      <c r="P1081" s="196">
        <v>0.7270833333333333</v>
      </c>
      <c r="Q1081" s="196">
        <v>0.81458333333333333</v>
      </c>
      <c r="R1081" s="193" t="s">
        <v>137</v>
      </c>
      <c r="S1081" s="193" t="s">
        <v>1393</v>
      </c>
      <c r="T1081" s="197">
        <f t="shared" si="77"/>
        <v>562</v>
      </c>
      <c r="U1081" s="193" t="s">
        <v>69</v>
      </c>
      <c r="V1081" s="193" t="str">
        <f t="shared" si="78"/>
        <v>Palu</v>
      </c>
      <c r="AP1081" s="3" t="s">
        <v>1657</v>
      </c>
    </row>
    <row r="1082" spans="2:42" ht="15" customHeight="1" x14ac:dyDescent="0.2">
      <c r="B1082" s="193">
        <v>1</v>
      </c>
      <c r="C1082" s="347" t="s">
        <v>1484</v>
      </c>
      <c r="D1082" s="193" t="str">
        <f t="shared" si="76"/>
        <v>RBDPL000970DA</v>
      </c>
      <c r="E1082" s="193" t="s">
        <v>936</v>
      </c>
      <c r="F1082" s="193" t="s">
        <v>1419</v>
      </c>
      <c r="G1082" s="193" t="s">
        <v>1655</v>
      </c>
      <c r="H1082" s="193" t="s">
        <v>111</v>
      </c>
      <c r="I1082" s="193" t="s">
        <v>3</v>
      </c>
      <c r="J1082" s="193" t="str">
        <f t="shared" si="79"/>
        <v>6 Roda</v>
      </c>
      <c r="K1082" s="194">
        <v>46128</v>
      </c>
      <c r="L1082" s="195">
        <v>4200</v>
      </c>
      <c r="M1082" s="195">
        <v>14370</v>
      </c>
      <c r="N1082" s="195">
        <v>10170</v>
      </c>
      <c r="O1082" s="195"/>
      <c r="P1082" s="196">
        <v>0.72569444444444453</v>
      </c>
      <c r="Q1082" s="196">
        <v>0.7402777777777777</v>
      </c>
      <c r="R1082" s="193" t="s">
        <v>137</v>
      </c>
      <c r="S1082" s="193" t="s">
        <v>1385</v>
      </c>
      <c r="T1082" s="197">
        <f t="shared" si="77"/>
        <v>360</v>
      </c>
      <c r="U1082" s="193" t="s">
        <v>932</v>
      </c>
      <c r="V1082" s="193" t="str">
        <f t="shared" si="78"/>
        <v>Makassar</v>
      </c>
      <c r="AP1082" s="3" t="s">
        <v>1655</v>
      </c>
    </row>
    <row r="1083" spans="2:42" ht="15" customHeight="1" x14ac:dyDescent="0.2">
      <c r="B1083" s="193">
        <v>1</v>
      </c>
      <c r="C1083" s="347" t="s">
        <v>1485</v>
      </c>
      <c r="D1083" s="193" t="str">
        <f t="shared" si="76"/>
        <v>RBDPL000969HSA</v>
      </c>
      <c r="E1083" s="193" t="s">
        <v>56</v>
      </c>
      <c r="F1083" s="193" t="s">
        <v>1371</v>
      </c>
      <c r="G1083" s="193" t="s">
        <v>1648</v>
      </c>
      <c r="H1083" s="193" t="s">
        <v>103</v>
      </c>
      <c r="I1083" s="193" t="s">
        <v>3</v>
      </c>
      <c r="J1083" s="193" t="str">
        <f t="shared" si="79"/>
        <v>10 Roda</v>
      </c>
      <c r="K1083" s="194">
        <v>46128</v>
      </c>
      <c r="L1083" s="195">
        <v>10630</v>
      </c>
      <c r="M1083" s="195">
        <v>25150</v>
      </c>
      <c r="N1083" s="195">
        <v>14520</v>
      </c>
      <c r="O1083" s="195"/>
      <c r="P1083" s="196">
        <v>0.72222222222222221</v>
      </c>
      <c r="Q1083" s="196">
        <v>0.77638888888888891</v>
      </c>
      <c r="R1083" s="193" t="s">
        <v>137</v>
      </c>
      <c r="S1083" s="193" t="s">
        <v>1781</v>
      </c>
      <c r="T1083" s="197">
        <f t="shared" si="77"/>
        <v>360</v>
      </c>
      <c r="U1083" s="193" t="s">
        <v>69</v>
      </c>
      <c r="V1083" s="193" t="str">
        <f t="shared" si="78"/>
        <v>Makassar</v>
      </c>
      <c r="AP1083" s="3" t="s">
        <v>1648</v>
      </c>
    </row>
    <row r="1084" spans="2:42" ht="15" customHeight="1" x14ac:dyDescent="0.2">
      <c r="B1084" s="193">
        <v>1</v>
      </c>
      <c r="C1084" s="347" t="s">
        <v>1486</v>
      </c>
      <c r="D1084" s="193" t="str">
        <f t="shared" si="76"/>
        <v>RBDPL000968BJL</v>
      </c>
      <c r="E1084" s="193" t="s">
        <v>174</v>
      </c>
      <c r="F1084" s="193" t="s">
        <v>1363</v>
      </c>
      <c r="G1084" s="193" t="s">
        <v>1657</v>
      </c>
      <c r="H1084" s="193" t="s">
        <v>86</v>
      </c>
      <c r="I1084" s="193" t="s">
        <v>3</v>
      </c>
      <c r="J1084" s="193" t="str">
        <f t="shared" si="79"/>
        <v>6 Roda</v>
      </c>
      <c r="K1084" s="194">
        <v>46128</v>
      </c>
      <c r="L1084" s="195">
        <v>4310</v>
      </c>
      <c r="M1084" s="195">
        <v>13450</v>
      </c>
      <c r="N1084" s="195">
        <v>9140</v>
      </c>
      <c r="O1084" s="195"/>
      <c r="P1084" s="196">
        <v>0.42638888888888887</v>
      </c>
      <c r="Q1084" s="196">
        <v>0.46388888888888885</v>
      </c>
      <c r="R1084" s="193" t="s">
        <v>137</v>
      </c>
      <c r="S1084" s="193" t="s">
        <v>1465</v>
      </c>
      <c r="T1084" s="197">
        <f t="shared" si="77"/>
        <v>562</v>
      </c>
      <c r="U1084" s="193" t="s">
        <v>175</v>
      </c>
      <c r="V1084" s="193" t="str">
        <f t="shared" si="78"/>
        <v>Palu</v>
      </c>
      <c r="AP1084" s="3" t="s">
        <v>1657</v>
      </c>
    </row>
    <row r="1085" spans="2:42" ht="15" customHeight="1" x14ac:dyDescent="0.2">
      <c r="B1085" s="193">
        <v>1</v>
      </c>
      <c r="C1085" s="347" t="s">
        <v>1487</v>
      </c>
      <c r="D1085" s="193" t="str">
        <f t="shared" si="76"/>
        <v>RBDPL000972SCM</v>
      </c>
      <c r="E1085" s="193" t="s">
        <v>1498</v>
      </c>
      <c r="F1085" s="193" t="s">
        <v>1366</v>
      </c>
      <c r="G1085" s="193" t="s">
        <v>1651</v>
      </c>
      <c r="H1085" s="193" t="s">
        <v>107</v>
      </c>
      <c r="I1085" s="193" t="s">
        <v>3</v>
      </c>
      <c r="J1085" s="193" t="str">
        <f t="shared" si="79"/>
        <v>6 Roda</v>
      </c>
      <c r="K1085" s="194">
        <v>46129</v>
      </c>
      <c r="L1085" s="195">
        <v>4140</v>
      </c>
      <c r="M1085" s="195">
        <v>13210</v>
      </c>
      <c r="N1085" s="195">
        <v>9070</v>
      </c>
      <c r="O1085" s="195"/>
      <c r="P1085" s="196">
        <v>0.35625000000000001</v>
      </c>
      <c r="Q1085" s="196">
        <v>0.38263888888888892</v>
      </c>
      <c r="R1085" s="193" t="s">
        <v>137</v>
      </c>
      <c r="S1085" s="193" t="s">
        <v>1466</v>
      </c>
      <c r="T1085" s="197">
        <f t="shared" si="77"/>
        <v>400</v>
      </c>
      <c r="U1085" s="193" t="s">
        <v>175</v>
      </c>
      <c r="V1085" s="193" t="str">
        <f t="shared" si="78"/>
        <v>Gowa</v>
      </c>
      <c r="AP1085" s="3" t="s">
        <v>1651</v>
      </c>
    </row>
    <row r="1086" spans="2:42" ht="15" customHeight="1" x14ac:dyDescent="0.2">
      <c r="B1086" s="193">
        <v>1</v>
      </c>
      <c r="C1086" s="347" t="s">
        <v>1488</v>
      </c>
      <c r="D1086" s="193" t="str">
        <f t="shared" si="76"/>
        <v>RBDPL000974SCM</v>
      </c>
      <c r="E1086" s="193" t="s">
        <v>151</v>
      </c>
      <c r="F1086" s="193" t="s">
        <v>1366</v>
      </c>
      <c r="G1086" s="193" t="s">
        <v>1651</v>
      </c>
      <c r="H1086" s="193" t="s">
        <v>107</v>
      </c>
      <c r="I1086" s="193" t="s">
        <v>3</v>
      </c>
      <c r="J1086" s="193" t="str">
        <f t="shared" si="79"/>
        <v>6 Roda</v>
      </c>
      <c r="K1086" s="194">
        <v>46129</v>
      </c>
      <c r="L1086" s="195">
        <v>4210</v>
      </c>
      <c r="M1086" s="195">
        <v>13690</v>
      </c>
      <c r="N1086" s="195">
        <v>9480</v>
      </c>
      <c r="O1086" s="195"/>
      <c r="P1086" s="196">
        <v>0.84236111111111101</v>
      </c>
      <c r="Q1086" s="196">
        <v>0.87013888888888891</v>
      </c>
      <c r="R1086" s="193" t="s">
        <v>42</v>
      </c>
      <c r="S1086" s="193" t="s">
        <v>1388</v>
      </c>
      <c r="T1086" s="197">
        <f t="shared" si="77"/>
        <v>400</v>
      </c>
      <c r="U1086" s="193" t="s">
        <v>175</v>
      </c>
      <c r="V1086" s="193" t="str">
        <f t="shared" si="78"/>
        <v>Gowa</v>
      </c>
      <c r="AP1086" s="3" t="s">
        <v>1651</v>
      </c>
    </row>
    <row r="1087" spans="2:42" ht="15" customHeight="1" x14ac:dyDescent="0.2">
      <c r="B1087" s="193">
        <v>1</v>
      </c>
      <c r="C1087" s="347" t="s">
        <v>1489</v>
      </c>
      <c r="D1087" s="193" t="str">
        <f t="shared" si="76"/>
        <v>RBDPL000975DA</v>
      </c>
      <c r="E1087" s="193" t="s">
        <v>997</v>
      </c>
      <c r="F1087" s="193" t="s">
        <v>1419</v>
      </c>
      <c r="G1087" s="193" t="s">
        <v>1655</v>
      </c>
      <c r="H1087" s="193" t="s">
        <v>111</v>
      </c>
      <c r="I1087" s="193" t="s">
        <v>3</v>
      </c>
      <c r="J1087" s="193" t="str">
        <f t="shared" si="79"/>
        <v>6 Roda</v>
      </c>
      <c r="K1087" s="194">
        <v>46129</v>
      </c>
      <c r="L1087" s="195">
        <v>3820</v>
      </c>
      <c r="M1087" s="195">
        <v>13420</v>
      </c>
      <c r="N1087" s="195">
        <v>9600</v>
      </c>
      <c r="O1087" s="195"/>
      <c r="P1087" s="196">
        <v>0.84513888888888899</v>
      </c>
      <c r="Q1087" s="196">
        <v>0.88750000000000007</v>
      </c>
      <c r="R1087" s="193" t="s">
        <v>42</v>
      </c>
      <c r="S1087" s="193" t="s">
        <v>1376</v>
      </c>
      <c r="T1087" s="197">
        <f t="shared" si="77"/>
        <v>360</v>
      </c>
      <c r="U1087" s="193" t="s">
        <v>932</v>
      </c>
      <c r="V1087" s="193" t="str">
        <f t="shared" si="78"/>
        <v>Makassar</v>
      </c>
      <c r="AP1087" s="3" t="s">
        <v>1655</v>
      </c>
    </row>
    <row r="1088" spans="2:42" ht="15" customHeight="1" x14ac:dyDescent="0.2">
      <c r="B1088" s="193">
        <v>1</v>
      </c>
      <c r="C1088" s="347" t="s">
        <v>1490</v>
      </c>
      <c r="D1088" s="193" t="str">
        <f t="shared" si="76"/>
        <v>RBDPL000976HSA</v>
      </c>
      <c r="E1088" s="193" t="s">
        <v>147</v>
      </c>
      <c r="F1088" s="193" t="s">
        <v>1371</v>
      </c>
      <c r="G1088" s="193" t="s">
        <v>1648</v>
      </c>
      <c r="H1088" s="193" t="s">
        <v>103</v>
      </c>
      <c r="I1088" s="193" t="s">
        <v>3</v>
      </c>
      <c r="J1088" s="193" t="str">
        <f t="shared" si="79"/>
        <v>6 Roda</v>
      </c>
      <c r="K1088" s="194">
        <v>46129</v>
      </c>
      <c r="L1088" s="195">
        <v>3970</v>
      </c>
      <c r="M1088" s="195">
        <v>14060</v>
      </c>
      <c r="N1088" s="195">
        <v>10090</v>
      </c>
      <c r="O1088" s="195"/>
      <c r="P1088" s="196">
        <v>0.87361111111111101</v>
      </c>
      <c r="Q1088" s="196">
        <v>0.89930555555555547</v>
      </c>
      <c r="R1088" s="193" t="s">
        <v>42</v>
      </c>
      <c r="S1088" s="193" t="s">
        <v>1373</v>
      </c>
      <c r="T1088" s="197">
        <f t="shared" si="77"/>
        <v>360</v>
      </c>
      <c r="U1088" s="193" t="s">
        <v>932</v>
      </c>
      <c r="V1088" s="193" t="str">
        <f t="shared" si="78"/>
        <v>Makassar</v>
      </c>
      <c r="AP1088" s="3" t="s">
        <v>1648</v>
      </c>
    </row>
    <row r="1089" spans="2:42" ht="15" customHeight="1" x14ac:dyDescent="0.2">
      <c r="B1089" s="193">
        <v>1</v>
      </c>
      <c r="C1089" s="347" t="s">
        <v>1491</v>
      </c>
      <c r="D1089" s="193" t="str">
        <f t="shared" si="76"/>
        <v>RBDPL000973TDJ</v>
      </c>
      <c r="E1089" s="193" t="s">
        <v>76</v>
      </c>
      <c r="F1089" s="193" t="s">
        <v>1671</v>
      </c>
      <c r="G1089" s="193" t="s">
        <v>1677</v>
      </c>
      <c r="H1089" s="193" t="s">
        <v>1523</v>
      </c>
      <c r="I1089" s="193" t="s">
        <v>3</v>
      </c>
      <c r="J1089" s="193" t="str">
        <f t="shared" si="79"/>
        <v>12 Roda</v>
      </c>
      <c r="K1089" s="194">
        <v>46129</v>
      </c>
      <c r="L1089" s="195">
        <v>17390</v>
      </c>
      <c r="M1089" s="195">
        <v>46350</v>
      </c>
      <c r="N1089" s="195">
        <v>28960</v>
      </c>
      <c r="O1089" s="195"/>
      <c r="P1089" s="196">
        <v>0.75</v>
      </c>
      <c r="Q1089" s="196">
        <v>0.82986111111111116</v>
      </c>
      <c r="R1089" s="193" t="s">
        <v>42</v>
      </c>
      <c r="S1089" s="193" t="s">
        <v>1372</v>
      </c>
      <c r="T1089" s="197">
        <f t="shared" si="77"/>
        <v>473</v>
      </c>
      <c r="U1089" s="193" t="s">
        <v>69</v>
      </c>
      <c r="V1089" s="193" t="str">
        <f t="shared" si="78"/>
        <v>Siumbatu</v>
      </c>
      <c r="AP1089" s="3" t="s">
        <v>1677</v>
      </c>
    </row>
    <row r="1090" spans="2:42" ht="15" customHeight="1" x14ac:dyDescent="0.2">
      <c r="B1090" s="193">
        <v>1</v>
      </c>
      <c r="C1090" s="347" t="s">
        <v>1492</v>
      </c>
      <c r="D1090" s="193" t="str">
        <f t="shared" si="76"/>
        <v>RBDPL000977DA</v>
      </c>
      <c r="E1090" s="193" t="s">
        <v>166</v>
      </c>
      <c r="F1090" s="193" t="s">
        <v>1419</v>
      </c>
      <c r="G1090" s="193" t="s">
        <v>1655</v>
      </c>
      <c r="H1090" s="193" t="s">
        <v>111</v>
      </c>
      <c r="I1090" s="193" t="s">
        <v>3</v>
      </c>
      <c r="J1090" s="193" t="str">
        <f t="shared" si="79"/>
        <v>6 Roda</v>
      </c>
      <c r="K1090" s="194">
        <v>46130</v>
      </c>
      <c r="L1090" s="195">
        <v>3800</v>
      </c>
      <c r="M1090" s="195">
        <v>13230</v>
      </c>
      <c r="N1090" s="195">
        <v>9430</v>
      </c>
      <c r="O1090" s="195"/>
      <c r="P1090" s="196">
        <v>0.36874999999999997</v>
      </c>
      <c r="Q1090" s="196">
        <v>0.41388888888888892</v>
      </c>
      <c r="R1090" s="193" t="s">
        <v>137</v>
      </c>
      <c r="S1090" s="193" t="s">
        <v>1390</v>
      </c>
      <c r="T1090" s="197">
        <f t="shared" si="77"/>
        <v>360</v>
      </c>
      <c r="U1090" s="193" t="s">
        <v>932</v>
      </c>
      <c r="V1090" s="193" t="str">
        <f t="shared" si="78"/>
        <v>Makassar</v>
      </c>
      <c r="AP1090" s="3" t="s">
        <v>1655</v>
      </c>
    </row>
    <row r="1091" spans="2:42" ht="15" customHeight="1" x14ac:dyDescent="0.2">
      <c r="B1091" s="193">
        <v>1</v>
      </c>
      <c r="C1091" s="347" t="s">
        <v>1493</v>
      </c>
      <c r="D1091" s="193" t="str">
        <f t="shared" si="76"/>
        <v>RBDPL000978DA</v>
      </c>
      <c r="E1091" s="193" t="s">
        <v>940</v>
      </c>
      <c r="F1091" s="193" t="s">
        <v>1419</v>
      </c>
      <c r="G1091" s="193" t="s">
        <v>1655</v>
      </c>
      <c r="H1091" s="193" t="s">
        <v>111</v>
      </c>
      <c r="I1091" s="193" t="s">
        <v>3</v>
      </c>
      <c r="J1091" s="193" t="str">
        <f t="shared" si="79"/>
        <v>6 Roda</v>
      </c>
      <c r="K1091" s="194">
        <v>46130</v>
      </c>
      <c r="L1091" s="195">
        <v>4010</v>
      </c>
      <c r="M1091" s="195">
        <v>13570</v>
      </c>
      <c r="N1091" s="195">
        <v>9560</v>
      </c>
      <c r="O1091" s="195"/>
      <c r="P1091" s="196">
        <v>0.41666666666666669</v>
      </c>
      <c r="Q1091" s="196">
        <v>0.43402777777777773</v>
      </c>
      <c r="R1091" s="193" t="s">
        <v>137</v>
      </c>
      <c r="S1091" s="193" t="s">
        <v>1383</v>
      </c>
      <c r="T1091" s="197">
        <f t="shared" si="77"/>
        <v>360</v>
      </c>
      <c r="U1091" s="193" t="s">
        <v>932</v>
      </c>
      <c r="V1091" s="193" t="str">
        <f t="shared" si="78"/>
        <v>Makassar</v>
      </c>
      <c r="AP1091" s="3" t="s">
        <v>1655</v>
      </c>
    </row>
    <row r="1092" spans="2:42" ht="15" customHeight="1" x14ac:dyDescent="0.2">
      <c r="B1092" s="193">
        <v>1</v>
      </c>
      <c r="C1092" s="347" t="s">
        <v>1494</v>
      </c>
      <c r="D1092" s="193" t="str">
        <f t="shared" si="76"/>
        <v>RBDPL000981DA</v>
      </c>
      <c r="E1092" s="193" t="s">
        <v>966</v>
      </c>
      <c r="F1092" s="193" t="s">
        <v>1419</v>
      </c>
      <c r="G1092" s="193" t="s">
        <v>1655</v>
      </c>
      <c r="H1092" s="193" t="s">
        <v>111</v>
      </c>
      <c r="I1092" s="193" t="s">
        <v>3</v>
      </c>
      <c r="J1092" s="193" t="str">
        <f t="shared" si="79"/>
        <v>6 Roda</v>
      </c>
      <c r="K1092" s="194">
        <v>46130</v>
      </c>
      <c r="L1092" s="195">
        <v>3910</v>
      </c>
      <c r="M1092" s="195">
        <v>13440</v>
      </c>
      <c r="N1092" s="195">
        <v>9530</v>
      </c>
      <c r="O1092" s="195"/>
      <c r="P1092" s="196">
        <v>0.73749999999999993</v>
      </c>
      <c r="Q1092" s="196">
        <v>0.75208333333333333</v>
      </c>
      <c r="R1092" s="193" t="s">
        <v>42</v>
      </c>
      <c r="S1092" s="193" t="s">
        <v>1475</v>
      </c>
      <c r="T1092" s="197">
        <f t="shared" si="77"/>
        <v>360</v>
      </c>
      <c r="U1092" s="193" t="s">
        <v>932</v>
      </c>
      <c r="V1092" s="193" t="str">
        <f t="shared" si="78"/>
        <v>Makassar</v>
      </c>
      <c r="AP1092" s="3" t="s">
        <v>1655</v>
      </c>
    </row>
    <row r="1093" spans="2:42" ht="15" customHeight="1" x14ac:dyDescent="0.2">
      <c r="B1093" s="193">
        <v>1</v>
      </c>
      <c r="C1093" s="347" t="s">
        <v>1495</v>
      </c>
      <c r="D1093" s="193" t="str">
        <f t="shared" si="76"/>
        <v>RBDPL000979SCM</v>
      </c>
      <c r="E1093" s="193" t="s">
        <v>236</v>
      </c>
      <c r="F1093" s="193" t="s">
        <v>1366</v>
      </c>
      <c r="G1093" s="193" t="s">
        <v>1651</v>
      </c>
      <c r="H1093" s="193" t="s">
        <v>107</v>
      </c>
      <c r="I1093" s="193" t="s">
        <v>3</v>
      </c>
      <c r="J1093" s="193" t="str">
        <f t="shared" si="79"/>
        <v>6 Roda</v>
      </c>
      <c r="K1093" s="194">
        <v>46130</v>
      </c>
      <c r="L1093" s="195">
        <v>4080</v>
      </c>
      <c r="M1093" s="195">
        <v>13120</v>
      </c>
      <c r="N1093" s="195">
        <v>9040</v>
      </c>
      <c r="O1093" s="195"/>
      <c r="P1093" s="196">
        <v>0.61597222222222225</v>
      </c>
      <c r="Q1093" s="196">
        <v>0.63402777777777775</v>
      </c>
      <c r="R1093" s="193" t="s">
        <v>42</v>
      </c>
      <c r="S1093" s="193" t="s">
        <v>1466</v>
      </c>
      <c r="T1093" s="197">
        <f t="shared" si="77"/>
        <v>400</v>
      </c>
      <c r="U1093" s="193" t="s">
        <v>175</v>
      </c>
      <c r="V1093" s="193" t="str">
        <f t="shared" si="78"/>
        <v>Gowa</v>
      </c>
      <c r="AP1093" s="3" t="s">
        <v>1651</v>
      </c>
    </row>
    <row r="1094" spans="2:42" ht="15" customHeight="1" x14ac:dyDescent="0.2">
      <c r="B1094" s="193">
        <v>1</v>
      </c>
      <c r="C1094" s="347" t="s">
        <v>1496</v>
      </c>
      <c r="D1094" s="193" t="str">
        <f t="shared" si="76"/>
        <v>RBDPL000980NDJ</v>
      </c>
      <c r="E1094" s="193" t="s">
        <v>46</v>
      </c>
      <c r="F1094" s="193" t="s">
        <v>1675</v>
      </c>
      <c r="G1094" s="193" t="s">
        <v>1674</v>
      </c>
      <c r="H1094" s="193" t="s">
        <v>1640</v>
      </c>
      <c r="I1094" s="193" t="s">
        <v>3</v>
      </c>
      <c r="J1094" s="193" t="str">
        <f t="shared" si="79"/>
        <v>10 Roda</v>
      </c>
      <c r="K1094" s="194">
        <v>46130</v>
      </c>
      <c r="L1094" s="195">
        <v>11680</v>
      </c>
      <c r="M1094" s="195">
        <v>26770</v>
      </c>
      <c r="N1094" s="195">
        <v>15090</v>
      </c>
      <c r="O1094" s="195"/>
      <c r="P1094" s="196">
        <v>0.6875</v>
      </c>
      <c r="Q1094" s="196">
        <v>0.71527777777777779</v>
      </c>
      <c r="R1094" s="193" t="s">
        <v>42</v>
      </c>
      <c r="S1094" s="193" t="s">
        <v>1393</v>
      </c>
      <c r="T1094" s="197">
        <f t="shared" si="77"/>
        <v>0</v>
      </c>
      <c r="U1094" s="193" t="s">
        <v>1500</v>
      </c>
      <c r="V1094" s="193">
        <f t="shared" si="78"/>
        <v>0</v>
      </c>
      <c r="AP1094" s="3" t="s">
        <v>1674</v>
      </c>
    </row>
    <row r="1095" spans="2:42" ht="15" customHeight="1" x14ac:dyDescent="0.2">
      <c r="B1095" s="193">
        <v>1</v>
      </c>
      <c r="C1095" s="347" t="s">
        <v>1497</v>
      </c>
      <c r="D1095" s="193" t="str">
        <f t="shared" si="76"/>
        <v>RBDPL000982WIN</v>
      </c>
      <c r="E1095" s="193" t="s">
        <v>70</v>
      </c>
      <c r="F1095" s="193" t="s">
        <v>1672</v>
      </c>
      <c r="G1095" s="193" t="s">
        <v>1673</v>
      </c>
      <c r="H1095" s="193" t="s">
        <v>115</v>
      </c>
      <c r="I1095" s="193" t="s">
        <v>3</v>
      </c>
      <c r="J1095" s="193" t="str">
        <f t="shared" si="79"/>
        <v>12 Roda</v>
      </c>
      <c r="K1095" s="194">
        <v>46130</v>
      </c>
      <c r="L1095" s="195">
        <v>17230</v>
      </c>
      <c r="M1095" s="195">
        <v>46100</v>
      </c>
      <c r="N1095" s="195">
        <v>28870</v>
      </c>
      <c r="O1095" s="195"/>
      <c r="P1095" s="196">
        <v>0.78541666666666676</v>
      </c>
      <c r="Q1095" s="196">
        <v>0.83680555555555547</v>
      </c>
      <c r="R1095" s="193" t="s">
        <v>42</v>
      </c>
      <c r="S1095" s="193" t="s">
        <v>1499</v>
      </c>
      <c r="T1095" s="197">
        <f t="shared" si="77"/>
        <v>642</v>
      </c>
      <c r="U1095" s="193" t="s">
        <v>1500</v>
      </c>
      <c r="V1095" s="193" t="str">
        <f t="shared" si="78"/>
        <v>Torobulu</v>
      </c>
      <c r="AP1095" s="3" t="s">
        <v>1673</v>
      </c>
    </row>
    <row r="1096" spans="2:42" ht="15" customHeight="1" x14ac:dyDescent="0.2">
      <c r="B1096" s="193">
        <v>1</v>
      </c>
      <c r="C1096" s="347" t="s">
        <v>1503</v>
      </c>
      <c r="D1096" s="193" t="str">
        <f t="shared" si="76"/>
        <v>RBDPL000983SCM</v>
      </c>
      <c r="E1096" s="193" t="s">
        <v>151</v>
      </c>
      <c r="F1096" s="193" t="s">
        <v>1366</v>
      </c>
      <c r="G1096" s="193" t="s">
        <v>1651</v>
      </c>
      <c r="H1096" s="193" t="s">
        <v>107</v>
      </c>
      <c r="I1096" s="193" t="s">
        <v>3</v>
      </c>
      <c r="J1096" s="193" t="str">
        <f t="shared" si="79"/>
        <v>6 Roda</v>
      </c>
      <c r="K1096" s="194">
        <v>46132</v>
      </c>
      <c r="L1096" s="195">
        <v>4220</v>
      </c>
      <c r="M1096" s="195">
        <v>13690</v>
      </c>
      <c r="N1096" s="195">
        <v>9470</v>
      </c>
      <c r="O1096" s="195"/>
      <c r="P1096" s="196">
        <v>0.37777777777777777</v>
      </c>
      <c r="Q1096" s="196">
        <v>0.40347222222222223</v>
      </c>
      <c r="R1096" s="193" t="s">
        <v>42</v>
      </c>
      <c r="S1096" s="193" t="s">
        <v>1388</v>
      </c>
      <c r="T1096" s="197">
        <f t="shared" si="77"/>
        <v>400</v>
      </c>
      <c r="U1096" s="193" t="s">
        <v>175</v>
      </c>
      <c r="V1096" s="193" t="str">
        <f t="shared" si="78"/>
        <v>Gowa</v>
      </c>
      <c r="AP1096" s="3" t="s">
        <v>1651</v>
      </c>
    </row>
    <row r="1097" spans="2:42" ht="15" customHeight="1" x14ac:dyDescent="0.2">
      <c r="B1097" s="193">
        <v>1</v>
      </c>
      <c r="C1097" s="347" t="s">
        <v>1504</v>
      </c>
      <c r="D1097" s="193" t="str">
        <f t="shared" si="76"/>
        <v>RBDPL000985SCM</v>
      </c>
      <c r="E1097" s="193" t="s">
        <v>236</v>
      </c>
      <c r="F1097" s="193" t="s">
        <v>1366</v>
      </c>
      <c r="G1097" s="193" t="s">
        <v>1651</v>
      </c>
      <c r="H1097" s="193" t="s">
        <v>107</v>
      </c>
      <c r="I1097" s="193" t="s">
        <v>3</v>
      </c>
      <c r="J1097" s="193" t="str">
        <f t="shared" si="79"/>
        <v>6 Roda</v>
      </c>
      <c r="K1097" s="194">
        <v>46132</v>
      </c>
      <c r="L1097" s="195">
        <v>4100</v>
      </c>
      <c r="M1097" s="195">
        <v>13160</v>
      </c>
      <c r="N1097" s="195">
        <v>9060</v>
      </c>
      <c r="O1097" s="195"/>
      <c r="P1097" s="196">
        <v>0.42430555555555555</v>
      </c>
      <c r="Q1097" s="196">
        <v>0.44305555555555554</v>
      </c>
      <c r="R1097" s="193" t="s">
        <v>42</v>
      </c>
      <c r="S1097" s="193" t="s">
        <v>1466</v>
      </c>
      <c r="T1097" s="197">
        <f t="shared" si="77"/>
        <v>400</v>
      </c>
      <c r="U1097" s="193" t="s">
        <v>175</v>
      </c>
      <c r="V1097" s="193" t="str">
        <f t="shared" si="78"/>
        <v>Gowa</v>
      </c>
      <c r="AP1097" s="3" t="s">
        <v>1651</v>
      </c>
    </row>
    <row r="1098" spans="2:42" ht="15" customHeight="1" x14ac:dyDescent="0.2">
      <c r="B1098" s="193">
        <v>1</v>
      </c>
      <c r="C1098" s="347" t="s">
        <v>1505</v>
      </c>
      <c r="D1098" s="193" t="str">
        <f t="shared" si="76"/>
        <v>RBDPL000984BJL</v>
      </c>
      <c r="E1098" s="193" t="s">
        <v>174</v>
      </c>
      <c r="F1098" s="193" t="s">
        <v>1363</v>
      </c>
      <c r="G1098" s="193" t="s">
        <v>1657</v>
      </c>
      <c r="H1098" s="193" t="s">
        <v>86</v>
      </c>
      <c r="I1098" s="193" t="s">
        <v>3</v>
      </c>
      <c r="J1098" s="193" t="str">
        <f t="shared" si="79"/>
        <v>6 Roda</v>
      </c>
      <c r="K1098" s="194">
        <v>46132</v>
      </c>
      <c r="L1098" s="195">
        <v>4300</v>
      </c>
      <c r="M1098" s="195">
        <v>13450</v>
      </c>
      <c r="N1098" s="195">
        <v>9150</v>
      </c>
      <c r="O1098" s="195"/>
      <c r="P1098" s="196">
        <v>0.38194444444444442</v>
      </c>
      <c r="Q1098" s="196">
        <v>0.41597222222222219</v>
      </c>
      <c r="R1098" s="193" t="s">
        <v>42</v>
      </c>
      <c r="S1098" s="193" t="s">
        <v>1465</v>
      </c>
      <c r="T1098" s="197">
        <f t="shared" si="77"/>
        <v>562</v>
      </c>
      <c r="U1098" s="193" t="s">
        <v>175</v>
      </c>
      <c r="V1098" s="193" t="str">
        <f t="shared" si="78"/>
        <v>Palu</v>
      </c>
      <c r="AP1098" s="3" t="s">
        <v>1657</v>
      </c>
    </row>
    <row r="1099" spans="2:42" ht="15" customHeight="1" x14ac:dyDescent="0.2">
      <c r="B1099" s="193">
        <v>1</v>
      </c>
      <c r="C1099" s="347" t="s">
        <v>1506</v>
      </c>
      <c r="D1099" s="193" t="str">
        <f t="shared" si="76"/>
        <v>RBDPL000986BJL</v>
      </c>
      <c r="E1099" s="193" t="s">
        <v>1514</v>
      </c>
      <c r="F1099" s="193" t="s">
        <v>1363</v>
      </c>
      <c r="G1099" s="193" t="s">
        <v>1657</v>
      </c>
      <c r="H1099" s="193" t="s">
        <v>86</v>
      </c>
      <c r="I1099" s="193" t="s">
        <v>3</v>
      </c>
      <c r="J1099" s="193" t="str">
        <f t="shared" si="79"/>
        <v>6 Roda</v>
      </c>
      <c r="K1099" s="194">
        <v>46132</v>
      </c>
      <c r="L1099" s="195">
        <v>3790</v>
      </c>
      <c r="M1099" s="195">
        <v>13020</v>
      </c>
      <c r="N1099" s="195">
        <v>9230</v>
      </c>
      <c r="O1099" s="195"/>
      <c r="P1099" s="196">
        <v>0.44930555555555557</v>
      </c>
      <c r="Q1099" s="196">
        <v>0.46736111111111112</v>
      </c>
      <c r="R1099" s="193" t="s">
        <v>42</v>
      </c>
      <c r="S1099" s="193" t="s">
        <v>1521</v>
      </c>
      <c r="T1099" s="197">
        <f t="shared" si="77"/>
        <v>562</v>
      </c>
      <c r="U1099" s="193" t="s">
        <v>175</v>
      </c>
      <c r="V1099" s="193" t="str">
        <f t="shared" si="78"/>
        <v>Palu</v>
      </c>
      <c r="AP1099" s="3" t="s">
        <v>1657</v>
      </c>
    </row>
    <row r="1100" spans="2:42" ht="15" customHeight="1" x14ac:dyDescent="0.2">
      <c r="B1100" s="193">
        <v>1</v>
      </c>
      <c r="C1100" s="347" t="s">
        <v>1507</v>
      </c>
      <c r="D1100" s="193" t="str">
        <f t="shared" si="76"/>
        <v>RBDPL000987BJL</v>
      </c>
      <c r="E1100" s="193" t="s">
        <v>1274</v>
      </c>
      <c r="F1100" s="193" t="s">
        <v>1363</v>
      </c>
      <c r="G1100" s="193" t="s">
        <v>1657</v>
      </c>
      <c r="H1100" s="193" t="s">
        <v>86</v>
      </c>
      <c r="I1100" s="193" t="s">
        <v>3</v>
      </c>
      <c r="J1100" s="193" t="str">
        <f t="shared" si="79"/>
        <v>6 Roda</v>
      </c>
      <c r="K1100" s="194">
        <v>46132</v>
      </c>
      <c r="L1100" s="195">
        <v>3820</v>
      </c>
      <c r="M1100" s="195">
        <v>13440</v>
      </c>
      <c r="N1100" s="195">
        <v>9620</v>
      </c>
      <c r="O1100" s="195"/>
      <c r="P1100" s="196">
        <v>0.47083333333333338</v>
      </c>
      <c r="Q1100" s="196">
        <v>0.48680555555555555</v>
      </c>
      <c r="R1100" s="193" t="s">
        <v>42</v>
      </c>
      <c r="S1100" s="193" t="s">
        <v>1516</v>
      </c>
      <c r="T1100" s="197">
        <f t="shared" si="77"/>
        <v>562</v>
      </c>
      <c r="U1100" s="193" t="s">
        <v>175</v>
      </c>
      <c r="V1100" s="193" t="str">
        <f t="shared" si="78"/>
        <v>Palu</v>
      </c>
      <c r="AP1100" s="3" t="s">
        <v>1657</v>
      </c>
    </row>
    <row r="1101" spans="2:42" ht="15" customHeight="1" x14ac:dyDescent="0.2">
      <c r="B1101" s="193">
        <v>1</v>
      </c>
      <c r="C1101" s="347" t="s">
        <v>1508</v>
      </c>
      <c r="D1101" s="193" t="str">
        <f t="shared" si="76"/>
        <v>RBDPL000988BJL</v>
      </c>
      <c r="E1101" s="193" t="s">
        <v>1307</v>
      </c>
      <c r="F1101" s="193" t="s">
        <v>1363</v>
      </c>
      <c r="G1101" s="193" t="s">
        <v>1657</v>
      </c>
      <c r="H1101" s="193" t="s">
        <v>86</v>
      </c>
      <c r="I1101" s="193" t="s">
        <v>3</v>
      </c>
      <c r="J1101" s="193" t="str">
        <f t="shared" si="79"/>
        <v>6 Roda</v>
      </c>
      <c r="K1101" s="194">
        <v>46132</v>
      </c>
      <c r="L1101" s="195">
        <v>4020</v>
      </c>
      <c r="M1101" s="195">
        <v>13410</v>
      </c>
      <c r="N1101" s="195">
        <v>9390</v>
      </c>
      <c r="O1101" s="195"/>
      <c r="P1101" s="196">
        <v>0.47291666666666665</v>
      </c>
      <c r="Q1101" s="196">
        <v>0.49861111111111112</v>
      </c>
      <c r="R1101" s="193" t="s">
        <v>42</v>
      </c>
      <c r="S1101" s="193" t="s">
        <v>1517</v>
      </c>
      <c r="T1101" s="197">
        <f t="shared" si="77"/>
        <v>562</v>
      </c>
      <c r="U1101" s="193" t="s">
        <v>175</v>
      </c>
      <c r="V1101" s="193" t="str">
        <f t="shared" si="78"/>
        <v>Palu</v>
      </c>
      <c r="AP1101" s="3" t="s">
        <v>1657</v>
      </c>
    </row>
    <row r="1102" spans="2:42" ht="15" customHeight="1" x14ac:dyDescent="0.2">
      <c r="B1102" s="193">
        <v>1</v>
      </c>
      <c r="C1102" s="347" t="s">
        <v>1509</v>
      </c>
      <c r="D1102" s="193" t="str">
        <f t="shared" si="76"/>
        <v>RBDPL000989BJL</v>
      </c>
      <c r="E1102" s="193" t="s">
        <v>1308</v>
      </c>
      <c r="F1102" s="193" t="s">
        <v>1363</v>
      </c>
      <c r="G1102" s="193" t="s">
        <v>1657</v>
      </c>
      <c r="H1102" s="193" t="s">
        <v>86</v>
      </c>
      <c r="I1102" s="193" t="s">
        <v>3</v>
      </c>
      <c r="J1102" s="193" t="str">
        <f t="shared" si="79"/>
        <v>6 Roda</v>
      </c>
      <c r="K1102" s="194">
        <v>46132</v>
      </c>
      <c r="L1102" s="195">
        <v>3890</v>
      </c>
      <c r="M1102" s="195">
        <v>13160</v>
      </c>
      <c r="N1102" s="195">
        <v>9270</v>
      </c>
      <c r="O1102" s="195"/>
      <c r="P1102" s="196">
        <v>0.4909722222222222</v>
      </c>
      <c r="Q1102" s="196">
        <v>0.51180555555555551</v>
      </c>
      <c r="R1102" s="193" t="s">
        <v>42</v>
      </c>
      <c r="S1102" s="193" t="s">
        <v>1518</v>
      </c>
      <c r="T1102" s="197">
        <f t="shared" si="77"/>
        <v>562</v>
      </c>
      <c r="U1102" s="193" t="s">
        <v>175</v>
      </c>
      <c r="V1102" s="193" t="str">
        <f t="shared" si="78"/>
        <v>Palu</v>
      </c>
      <c r="AP1102" s="3" t="s">
        <v>1657</v>
      </c>
    </row>
    <row r="1103" spans="2:42" ht="15" customHeight="1" x14ac:dyDescent="0.2">
      <c r="B1103" s="193">
        <v>1</v>
      </c>
      <c r="C1103" s="347" t="s">
        <v>1510</v>
      </c>
      <c r="D1103" s="193" t="str">
        <f t="shared" si="76"/>
        <v>RBDPL000990BJL</v>
      </c>
      <c r="E1103" s="193" t="s">
        <v>1278</v>
      </c>
      <c r="F1103" s="193" t="s">
        <v>1363</v>
      </c>
      <c r="G1103" s="193" t="s">
        <v>1657</v>
      </c>
      <c r="H1103" s="193" t="s">
        <v>86</v>
      </c>
      <c r="I1103" s="193" t="s">
        <v>3</v>
      </c>
      <c r="J1103" s="193" t="str">
        <f t="shared" si="79"/>
        <v>6 Roda</v>
      </c>
      <c r="K1103" s="194">
        <v>46132</v>
      </c>
      <c r="L1103" s="195">
        <v>4230</v>
      </c>
      <c r="M1103" s="195">
        <v>14220</v>
      </c>
      <c r="N1103" s="195">
        <v>9990</v>
      </c>
      <c r="O1103" s="195"/>
      <c r="P1103" s="196">
        <v>0.57152777777777775</v>
      </c>
      <c r="Q1103" s="196">
        <v>0.5854166666666667</v>
      </c>
      <c r="R1103" s="193" t="s">
        <v>42</v>
      </c>
      <c r="S1103" s="193" t="s">
        <v>1519</v>
      </c>
      <c r="T1103" s="197">
        <f t="shared" si="77"/>
        <v>562</v>
      </c>
      <c r="U1103" s="193" t="s">
        <v>175</v>
      </c>
      <c r="V1103" s="193" t="str">
        <f t="shared" si="78"/>
        <v>Palu</v>
      </c>
      <c r="AP1103" s="3" t="s">
        <v>1657</v>
      </c>
    </row>
    <row r="1104" spans="2:42" ht="15" customHeight="1" x14ac:dyDescent="0.2">
      <c r="B1104" s="193">
        <v>1</v>
      </c>
      <c r="C1104" s="347" t="s">
        <v>1511</v>
      </c>
      <c r="D1104" s="193" t="str">
        <f t="shared" si="76"/>
        <v>RBDPL000991BJL</v>
      </c>
      <c r="E1104" s="193" t="s">
        <v>1515</v>
      </c>
      <c r="F1104" s="193" t="s">
        <v>1363</v>
      </c>
      <c r="G1104" s="193" t="s">
        <v>1657</v>
      </c>
      <c r="H1104" s="193" t="s">
        <v>86</v>
      </c>
      <c r="I1104" s="193" t="s">
        <v>3</v>
      </c>
      <c r="J1104" s="193" t="str">
        <f t="shared" si="79"/>
        <v>6 Roda</v>
      </c>
      <c r="K1104" s="194">
        <v>46132</v>
      </c>
      <c r="L1104" s="195">
        <v>3920</v>
      </c>
      <c r="M1104" s="195">
        <v>13620</v>
      </c>
      <c r="N1104" s="195">
        <v>9700</v>
      </c>
      <c r="O1104" s="195"/>
      <c r="P1104" s="196">
        <v>0.57361111111111118</v>
      </c>
      <c r="Q1104" s="196">
        <v>0.60625000000000007</v>
      </c>
      <c r="R1104" s="193" t="s">
        <v>42</v>
      </c>
      <c r="S1104" s="193" t="s">
        <v>1520</v>
      </c>
      <c r="T1104" s="197">
        <f t="shared" si="77"/>
        <v>562</v>
      </c>
      <c r="U1104" s="193" t="s">
        <v>175</v>
      </c>
      <c r="V1104" s="193" t="str">
        <f t="shared" si="78"/>
        <v>Palu</v>
      </c>
      <c r="AP1104" s="3" t="s">
        <v>1657</v>
      </c>
    </row>
    <row r="1105" spans="2:42" ht="15" customHeight="1" x14ac:dyDescent="0.2">
      <c r="B1105" s="193">
        <v>1</v>
      </c>
      <c r="C1105" s="347" t="s">
        <v>1512</v>
      </c>
      <c r="D1105" s="347" t="str">
        <f t="shared" si="76"/>
        <v>RBDPL000992BJL</v>
      </c>
      <c r="E1105" s="193" t="s">
        <v>174</v>
      </c>
      <c r="F1105" s="193" t="s">
        <v>1363</v>
      </c>
      <c r="G1105" s="193" t="s">
        <v>1657</v>
      </c>
      <c r="H1105" s="193" t="s">
        <v>86</v>
      </c>
      <c r="I1105" s="193" t="s">
        <v>3</v>
      </c>
      <c r="J1105" s="193" t="str">
        <f t="shared" si="79"/>
        <v>6 Roda</v>
      </c>
      <c r="K1105" s="194">
        <v>46132</v>
      </c>
      <c r="L1105" s="195">
        <v>4290</v>
      </c>
      <c r="M1105" s="195">
        <v>13450</v>
      </c>
      <c r="N1105" s="195">
        <v>9160</v>
      </c>
      <c r="O1105" s="195"/>
      <c r="P1105" s="196">
        <v>0.59027777777777779</v>
      </c>
      <c r="Q1105" s="196">
        <v>0.62361111111111112</v>
      </c>
      <c r="R1105" s="193" t="s">
        <v>42</v>
      </c>
      <c r="S1105" s="193" t="s">
        <v>1465</v>
      </c>
      <c r="T1105" s="197">
        <f t="shared" si="77"/>
        <v>562</v>
      </c>
      <c r="U1105" s="193" t="s">
        <v>175</v>
      </c>
      <c r="V1105" s="193" t="str">
        <f t="shared" si="78"/>
        <v>Palu</v>
      </c>
      <c r="AP1105" s="3" t="s">
        <v>1657</v>
      </c>
    </row>
    <row r="1106" spans="2:42" ht="15" customHeight="1" x14ac:dyDescent="0.2">
      <c r="B1106" s="193">
        <v>1</v>
      </c>
      <c r="C1106" s="347" t="s">
        <v>1513</v>
      </c>
      <c r="D1106" s="347" t="str">
        <f t="shared" si="76"/>
        <v>RBDPL000993TDJ</v>
      </c>
      <c r="E1106" s="193" t="s">
        <v>56</v>
      </c>
      <c r="F1106" s="193" t="s">
        <v>1676</v>
      </c>
      <c r="G1106" s="193" t="s">
        <v>1678</v>
      </c>
      <c r="H1106" s="193" t="s">
        <v>1523</v>
      </c>
      <c r="I1106" s="193" t="s">
        <v>3</v>
      </c>
      <c r="J1106" s="193" t="str">
        <f t="shared" si="79"/>
        <v>10 Roda</v>
      </c>
      <c r="K1106" s="194">
        <v>46132</v>
      </c>
      <c r="L1106" s="195">
        <v>10580</v>
      </c>
      <c r="M1106" s="195">
        <v>25050</v>
      </c>
      <c r="N1106" s="195">
        <v>14470</v>
      </c>
      <c r="O1106" s="195"/>
      <c r="P1106" s="196">
        <v>0.6694444444444444</v>
      </c>
      <c r="Q1106" s="196">
        <v>0.70624999999999993</v>
      </c>
      <c r="R1106" s="193" t="s">
        <v>42</v>
      </c>
      <c r="S1106" s="193" t="s">
        <v>1781</v>
      </c>
      <c r="T1106" s="197">
        <f t="shared" si="77"/>
        <v>473</v>
      </c>
      <c r="U1106" s="193" t="s">
        <v>1500</v>
      </c>
      <c r="V1106" s="193" t="str">
        <f t="shared" si="78"/>
        <v>Siumbatu</v>
      </c>
      <c r="AP1106" s="3" t="s">
        <v>1678</v>
      </c>
    </row>
    <row r="1107" spans="2:42" ht="15" customHeight="1" x14ac:dyDescent="0.2">
      <c r="B1107" s="193">
        <v>1</v>
      </c>
      <c r="C1107" s="347" t="s">
        <v>1526</v>
      </c>
      <c r="D1107" s="347" t="str">
        <f t="shared" ref="D1107:D1138" si="80">I1107&amp;C1107&amp;_xlfn.XLOOKUP(H1107,$AM$4:$AM$24,$AN$4:$AN$24,"")</f>
        <v>RBDPL000994BJL</v>
      </c>
      <c r="E1107" s="193" t="s">
        <v>1092</v>
      </c>
      <c r="F1107" s="193" t="s">
        <v>1363</v>
      </c>
      <c r="G1107" s="193" t="s">
        <v>1657</v>
      </c>
      <c r="H1107" s="193" t="s">
        <v>86</v>
      </c>
      <c r="I1107" s="193" t="s">
        <v>3</v>
      </c>
      <c r="J1107" s="193" t="str">
        <f t="shared" si="79"/>
        <v>6 Roda</v>
      </c>
      <c r="K1107" s="194">
        <v>46133</v>
      </c>
      <c r="L1107" s="195">
        <v>4090</v>
      </c>
      <c r="M1107" s="195">
        <v>13320</v>
      </c>
      <c r="N1107" s="195">
        <v>9230</v>
      </c>
      <c r="O1107" s="195"/>
      <c r="P1107" s="196">
        <v>0.59375</v>
      </c>
      <c r="Q1107" s="196">
        <v>0.63541666666666663</v>
      </c>
      <c r="R1107" s="193" t="s">
        <v>42</v>
      </c>
      <c r="S1107" s="193" t="s">
        <v>1386</v>
      </c>
      <c r="T1107" s="197">
        <f t="shared" si="77"/>
        <v>562</v>
      </c>
      <c r="U1107" s="193" t="s">
        <v>175</v>
      </c>
      <c r="V1107" s="193" t="str">
        <f t="shared" si="78"/>
        <v>Palu</v>
      </c>
      <c r="AP1107" s="3" t="s">
        <v>1657</v>
      </c>
    </row>
    <row r="1108" spans="2:42" ht="15" customHeight="1" x14ac:dyDescent="0.2">
      <c r="B1108" s="193">
        <v>1</v>
      </c>
      <c r="C1108" s="347" t="s">
        <v>1527</v>
      </c>
      <c r="D1108" s="347" t="str">
        <f t="shared" si="80"/>
        <v>RBDPL000995TDJ</v>
      </c>
      <c r="E1108" s="193" t="s">
        <v>76</v>
      </c>
      <c r="F1108" s="193" t="s">
        <v>1679</v>
      </c>
      <c r="G1108" s="193" t="s">
        <v>1686</v>
      </c>
      <c r="H1108" s="193" t="s">
        <v>1523</v>
      </c>
      <c r="I1108" s="193" t="s">
        <v>3</v>
      </c>
      <c r="J1108" s="193" t="str">
        <f t="shared" si="79"/>
        <v>12 Roda</v>
      </c>
      <c r="K1108" s="194">
        <v>46133</v>
      </c>
      <c r="L1108" s="195">
        <v>17280</v>
      </c>
      <c r="M1108" s="195">
        <v>46210</v>
      </c>
      <c r="N1108" s="195">
        <v>28930</v>
      </c>
      <c r="O1108" s="195"/>
      <c r="P1108" s="196">
        <v>0.72361111111111109</v>
      </c>
      <c r="Q1108" s="196">
        <v>0.7597222222222223</v>
      </c>
      <c r="R1108" s="193" t="s">
        <v>137</v>
      </c>
      <c r="S1108" s="193" t="s">
        <v>1372</v>
      </c>
      <c r="T1108" s="197">
        <f t="shared" si="77"/>
        <v>473</v>
      </c>
      <c r="U1108" s="193" t="s">
        <v>1500</v>
      </c>
      <c r="V1108" s="193" t="str">
        <f t="shared" si="78"/>
        <v>Siumbatu</v>
      </c>
      <c r="AP1108" s="3" t="s">
        <v>1686</v>
      </c>
    </row>
    <row r="1109" spans="2:42" ht="15" customHeight="1" x14ac:dyDescent="0.2">
      <c r="B1109" s="193">
        <v>1</v>
      </c>
      <c r="C1109" s="347" t="s">
        <v>1528</v>
      </c>
      <c r="D1109" s="347" t="str">
        <f t="shared" si="80"/>
        <v>RBDPL000996DA</v>
      </c>
      <c r="E1109" s="193" t="s">
        <v>940</v>
      </c>
      <c r="F1109" s="193" t="s">
        <v>1419</v>
      </c>
      <c r="G1109" s="193" t="s">
        <v>1655</v>
      </c>
      <c r="H1109" s="193" t="s">
        <v>111</v>
      </c>
      <c r="I1109" s="193" t="s">
        <v>3</v>
      </c>
      <c r="J1109" s="193" t="str">
        <f t="shared" si="79"/>
        <v>6 Roda</v>
      </c>
      <c r="K1109" s="194">
        <v>46133</v>
      </c>
      <c r="L1109" s="195">
        <v>4050</v>
      </c>
      <c r="M1109" s="195">
        <v>13570</v>
      </c>
      <c r="N1109" s="195">
        <v>9520</v>
      </c>
      <c r="O1109" s="195"/>
      <c r="P1109" s="196">
        <v>0.7284722222222223</v>
      </c>
      <c r="Q1109" s="196">
        <v>0.80069444444444438</v>
      </c>
      <c r="R1109" s="193" t="s">
        <v>137</v>
      </c>
      <c r="S1109" s="193" t="s">
        <v>1383</v>
      </c>
      <c r="T1109" s="197">
        <f t="shared" si="77"/>
        <v>360</v>
      </c>
      <c r="U1109" s="193" t="s">
        <v>932</v>
      </c>
      <c r="V1109" s="193" t="str">
        <f t="shared" si="78"/>
        <v>Makassar</v>
      </c>
      <c r="AP1109" s="3" t="s">
        <v>1655</v>
      </c>
    </row>
    <row r="1110" spans="2:42" ht="15" customHeight="1" x14ac:dyDescent="0.2">
      <c r="B1110" s="193">
        <v>1</v>
      </c>
      <c r="C1110" s="347" t="s">
        <v>1529</v>
      </c>
      <c r="D1110" s="347" t="str">
        <f t="shared" si="80"/>
        <v>RBDPL000997HSA</v>
      </c>
      <c r="E1110" s="193" t="s">
        <v>966</v>
      </c>
      <c r="F1110" s="193" t="s">
        <v>1371</v>
      </c>
      <c r="G1110" s="193" t="s">
        <v>1648</v>
      </c>
      <c r="H1110" s="193" t="s">
        <v>103</v>
      </c>
      <c r="I1110" s="193" t="s">
        <v>3</v>
      </c>
      <c r="J1110" s="193" t="str">
        <f t="shared" ref="J1110:J1141" si="81">IF(MIN(L1110,M1110)&lt;=5000,"6 Roda",IF(MIN(L1110,M1110)&lt;=13800,"10 Roda","12 Roda"))</f>
        <v>6 Roda</v>
      </c>
      <c r="K1110" s="194">
        <v>46133</v>
      </c>
      <c r="L1110" s="195">
        <v>3950</v>
      </c>
      <c r="M1110" s="195">
        <v>13470</v>
      </c>
      <c r="N1110" s="195">
        <v>9520</v>
      </c>
      <c r="O1110" s="195"/>
      <c r="P1110" s="196">
        <v>0.78472222222222221</v>
      </c>
      <c r="Q1110" s="196">
        <v>0.80555555555555547</v>
      </c>
      <c r="R1110" s="193" t="s">
        <v>137</v>
      </c>
      <c r="S1110" s="193" t="s">
        <v>1475</v>
      </c>
      <c r="T1110" s="197">
        <f t="shared" si="77"/>
        <v>360</v>
      </c>
      <c r="U1110" s="193" t="s">
        <v>932</v>
      </c>
      <c r="V1110" s="193" t="str">
        <f t="shared" si="78"/>
        <v>Makassar</v>
      </c>
      <c r="AP1110" s="3" t="s">
        <v>1648</v>
      </c>
    </row>
    <row r="1111" spans="2:42" ht="15" customHeight="1" x14ac:dyDescent="0.2">
      <c r="B1111" s="193">
        <v>1</v>
      </c>
      <c r="C1111" s="347" t="s">
        <v>1530</v>
      </c>
      <c r="D1111" s="347" t="str">
        <f t="shared" si="80"/>
        <v>RBDPL000998HSA</v>
      </c>
      <c r="E1111" s="193" t="s">
        <v>997</v>
      </c>
      <c r="F1111" s="193" t="s">
        <v>1371</v>
      </c>
      <c r="G1111" s="193" t="s">
        <v>1648</v>
      </c>
      <c r="H1111" s="193" t="s">
        <v>103</v>
      </c>
      <c r="I1111" s="193" t="s">
        <v>3</v>
      </c>
      <c r="J1111" s="193" t="str">
        <f t="shared" si="81"/>
        <v>6 Roda</v>
      </c>
      <c r="K1111" s="194">
        <v>46133</v>
      </c>
      <c r="L1111" s="195">
        <v>3860</v>
      </c>
      <c r="M1111" s="195">
        <v>13420</v>
      </c>
      <c r="N1111" s="195">
        <v>9560</v>
      </c>
      <c r="O1111" s="195"/>
      <c r="P1111" s="196">
        <v>0.80347222222222225</v>
      </c>
      <c r="Q1111" s="196">
        <v>0.81736111111111109</v>
      </c>
      <c r="R1111" s="193" t="s">
        <v>137</v>
      </c>
      <c r="S1111" s="193" t="s">
        <v>1376</v>
      </c>
      <c r="T1111" s="197">
        <f t="shared" si="77"/>
        <v>360</v>
      </c>
      <c r="U1111" s="193" t="s">
        <v>932</v>
      </c>
      <c r="V1111" s="193" t="str">
        <f t="shared" si="78"/>
        <v>Makassar</v>
      </c>
      <c r="AP1111" s="3" t="s">
        <v>1648</v>
      </c>
    </row>
    <row r="1112" spans="2:42" ht="15" customHeight="1" x14ac:dyDescent="0.2">
      <c r="B1112" s="193">
        <v>1</v>
      </c>
      <c r="C1112" s="347" t="s">
        <v>1531</v>
      </c>
      <c r="D1112" s="347" t="str">
        <f t="shared" si="80"/>
        <v>RBDPL000999HSA</v>
      </c>
      <c r="E1112" s="193" t="s">
        <v>147</v>
      </c>
      <c r="F1112" s="193" t="s">
        <v>1371</v>
      </c>
      <c r="G1112" s="193" t="s">
        <v>1648</v>
      </c>
      <c r="H1112" s="193" t="s">
        <v>103</v>
      </c>
      <c r="I1112" s="193" t="s">
        <v>3</v>
      </c>
      <c r="J1112" s="193" t="str">
        <f t="shared" si="81"/>
        <v>6 Roda</v>
      </c>
      <c r="K1112" s="194">
        <v>46133</v>
      </c>
      <c r="L1112" s="195">
        <v>3980</v>
      </c>
      <c r="M1112" s="195">
        <v>14080</v>
      </c>
      <c r="N1112" s="195">
        <v>10100</v>
      </c>
      <c r="O1112" s="195"/>
      <c r="P1112" s="196">
        <v>0.80694444444444446</v>
      </c>
      <c r="Q1112" s="196">
        <v>0.82916666666666661</v>
      </c>
      <c r="R1112" s="193" t="s">
        <v>137</v>
      </c>
      <c r="S1112" s="193" t="s">
        <v>1373</v>
      </c>
      <c r="T1112" s="197">
        <f t="shared" si="77"/>
        <v>360</v>
      </c>
      <c r="U1112" s="193" t="s">
        <v>932</v>
      </c>
      <c r="V1112" s="193" t="str">
        <f t="shared" si="78"/>
        <v>Makassar</v>
      </c>
      <c r="AP1112" s="3" t="s">
        <v>1648</v>
      </c>
    </row>
    <row r="1113" spans="2:42" ht="15" customHeight="1" x14ac:dyDescent="0.2">
      <c r="B1113" s="193">
        <v>1</v>
      </c>
      <c r="C1113" s="347" t="s">
        <v>1532</v>
      </c>
      <c r="D1113" s="347" t="str">
        <f t="shared" si="80"/>
        <v>RBDPL001000SCM</v>
      </c>
      <c r="E1113" s="193" t="s">
        <v>473</v>
      </c>
      <c r="F1113" s="193" t="s">
        <v>1366</v>
      </c>
      <c r="G1113" s="193" t="s">
        <v>1651</v>
      </c>
      <c r="H1113" s="193" t="s">
        <v>107</v>
      </c>
      <c r="I1113" s="193" t="s">
        <v>3</v>
      </c>
      <c r="J1113" s="193" t="str">
        <f t="shared" si="81"/>
        <v>6 Roda</v>
      </c>
      <c r="K1113" s="194">
        <v>46133</v>
      </c>
      <c r="L1113" s="195">
        <v>4380</v>
      </c>
      <c r="M1113" s="195">
        <v>14570</v>
      </c>
      <c r="N1113" s="195">
        <v>10190</v>
      </c>
      <c r="O1113" s="195"/>
      <c r="P1113" s="196">
        <v>0.81874999999999998</v>
      </c>
      <c r="Q1113" s="196">
        <v>0.84097222222222223</v>
      </c>
      <c r="R1113" s="193" t="s">
        <v>137</v>
      </c>
      <c r="S1113" s="193" t="s">
        <v>1474</v>
      </c>
      <c r="T1113" s="197">
        <f t="shared" si="77"/>
        <v>400</v>
      </c>
      <c r="U1113" s="193" t="s">
        <v>175</v>
      </c>
      <c r="V1113" s="193" t="str">
        <f t="shared" si="78"/>
        <v>Gowa</v>
      </c>
      <c r="AP1113" s="3" t="s">
        <v>1651</v>
      </c>
    </row>
    <row r="1114" spans="2:42" ht="15" customHeight="1" x14ac:dyDescent="0.2">
      <c r="B1114" s="193">
        <v>1</v>
      </c>
      <c r="C1114" s="347" t="s">
        <v>1533</v>
      </c>
      <c r="D1114" s="347" t="str">
        <f t="shared" si="80"/>
        <v>RBDPL001002SCM</v>
      </c>
      <c r="E1114" s="193" t="s">
        <v>962</v>
      </c>
      <c r="F1114" s="193" t="s">
        <v>1366</v>
      </c>
      <c r="G1114" s="193" t="s">
        <v>1651</v>
      </c>
      <c r="H1114" s="193" t="s">
        <v>107</v>
      </c>
      <c r="I1114" s="193" t="s">
        <v>3</v>
      </c>
      <c r="J1114" s="193" t="str">
        <f t="shared" si="81"/>
        <v>6 Roda</v>
      </c>
      <c r="K1114" s="194">
        <v>46134</v>
      </c>
      <c r="L1114" s="195">
        <v>4520</v>
      </c>
      <c r="M1114" s="195">
        <v>13730</v>
      </c>
      <c r="N1114" s="195">
        <v>9210</v>
      </c>
      <c r="O1114" s="195"/>
      <c r="P1114" s="196">
        <v>0.59513888888888888</v>
      </c>
      <c r="Q1114" s="196">
        <v>0.61249999999999993</v>
      </c>
      <c r="R1114" s="193" t="s">
        <v>42</v>
      </c>
      <c r="S1114" s="193" t="s">
        <v>1398</v>
      </c>
      <c r="T1114" s="197">
        <f t="shared" si="77"/>
        <v>400</v>
      </c>
      <c r="U1114" s="193" t="s">
        <v>175</v>
      </c>
      <c r="V1114" s="193" t="str">
        <f t="shared" si="78"/>
        <v>Gowa</v>
      </c>
      <c r="AP1114" s="3" t="s">
        <v>1651</v>
      </c>
    </row>
    <row r="1115" spans="2:42" ht="15" customHeight="1" x14ac:dyDescent="0.2">
      <c r="B1115" s="193">
        <v>1</v>
      </c>
      <c r="C1115" s="347" t="s">
        <v>1534</v>
      </c>
      <c r="D1115" s="347" t="str">
        <f t="shared" si="80"/>
        <v>RBDPL001001SCM</v>
      </c>
      <c r="E1115" s="193" t="s">
        <v>236</v>
      </c>
      <c r="F1115" s="193" t="s">
        <v>1366</v>
      </c>
      <c r="G1115" s="193" t="s">
        <v>1651</v>
      </c>
      <c r="H1115" s="193" t="s">
        <v>107</v>
      </c>
      <c r="I1115" s="193" t="s">
        <v>3</v>
      </c>
      <c r="J1115" s="193" t="str">
        <f t="shared" si="81"/>
        <v>6 Roda</v>
      </c>
      <c r="K1115" s="194">
        <v>46134</v>
      </c>
      <c r="L1115" s="195">
        <v>4050</v>
      </c>
      <c r="M1115" s="195">
        <v>13090</v>
      </c>
      <c r="N1115" s="195">
        <v>9040</v>
      </c>
      <c r="O1115" s="195"/>
      <c r="P1115" s="196">
        <v>0.35902777777777778</v>
      </c>
      <c r="Q1115" s="196">
        <v>0.40138888888888885</v>
      </c>
      <c r="R1115" s="193" t="s">
        <v>42</v>
      </c>
      <c r="S1115" s="193" t="s">
        <v>1466</v>
      </c>
      <c r="T1115" s="197">
        <f t="shared" si="77"/>
        <v>400</v>
      </c>
      <c r="U1115" s="193" t="s">
        <v>175</v>
      </c>
      <c r="V1115" s="193" t="str">
        <f t="shared" si="78"/>
        <v>Gowa</v>
      </c>
      <c r="AP1115" s="3" t="s">
        <v>1651</v>
      </c>
    </row>
    <row r="1116" spans="2:42" ht="15" customHeight="1" x14ac:dyDescent="0.2">
      <c r="B1116" s="193">
        <v>1</v>
      </c>
      <c r="C1116" s="347" t="s">
        <v>1535</v>
      </c>
      <c r="D1116" s="347" t="str">
        <f t="shared" si="80"/>
        <v>RBDPL001004SCM</v>
      </c>
      <c r="E1116" s="193" t="s">
        <v>938</v>
      </c>
      <c r="F1116" s="193" t="s">
        <v>1366</v>
      </c>
      <c r="G1116" s="193" t="s">
        <v>1651</v>
      </c>
      <c r="H1116" s="193" t="s">
        <v>107</v>
      </c>
      <c r="I1116" s="193" t="s">
        <v>3</v>
      </c>
      <c r="J1116" s="193" t="str">
        <f t="shared" si="81"/>
        <v>6 Roda</v>
      </c>
      <c r="K1116" s="194">
        <v>46134</v>
      </c>
      <c r="L1116" s="195">
        <v>3970</v>
      </c>
      <c r="M1116" s="195">
        <v>13460</v>
      </c>
      <c r="N1116" s="195">
        <v>9490</v>
      </c>
      <c r="O1116" s="195"/>
      <c r="P1116" s="196">
        <v>0.71666666666666667</v>
      </c>
      <c r="Q1116" s="196">
        <v>0.74652777777777779</v>
      </c>
      <c r="R1116" s="193" t="s">
        <v>42</v>
      </c>
      <c r="S1116" s="193" t="s">
        <v>1384</v>
      </c>
      <c r="T1116" s="197">
        <f t="shared" si="77"/>
        <v>400</v>
      </c>
      <c r="U1116" s="193" t="s">
        <v>932</v>
      </c>
      <c r="V1116" s="193" t="str">
        <f t="shared" si="78"/>
        <v>Gowa</v>
      </c>
      <c r="AP1116" s="3" t="s">
        <v>1651</v>
      </c>
    </row>
    <row r="1117" spans="2:42" ht="15" customHeight="1" x14ac:dyDescent="0.2">
      <c r="B1117" s="193">
        <v>1</v>
      </c>
      <c r="C1117" s="347" t="s">
        <v>1536</v>
      </c>
      <c r="D1117" s="347" t="str">
        <f t="shared" si="80"/>
        <v>RBDPL001005SCM</v>
      </c>
      <c r="E1117" s="193" t="s">
        <v>934</v>
      </c>
      <c r="F1117" s="193" t="s">
        <v>1366</v>
      </c>
      <c r="G1117" s="193" t="s">
        <v>1651</v>
      </c>
      <c r="H1117" s="193" t="s">
        <v>107</v>
      </c>
      <c r="I1117" s="193" t="s">
        <v>3</v>
      </c>
      <c r="J1117" s="193" t="str">
        <f t="shared" si="81"/>
        <v>6 Roda</v>
      </c>
      <c r="K1117" s="194">
        <v>46134</v>
      </c>
      <c r="L1117" s="195">
        <v>3830</v>
      </c>
      <c r="M1117" s="195">
        <v>13140</v>
      </c>
      <c r="N1117" s="195">
        <v>9310</v>
      </c>
      <c r="O1117" s="195"/>
      <c r="P1117" s="196">
        <v>0.71805555555555556</v>
      </c>
      <c r="Q1117" s="196">
        <v>0.7597222222222223</v>
      </c>
      <c r="R1117" s="193" t="s">
        <v>42</v>
      </c>
      <c r="S1117" s="193" t="s">
        <v>1382</v>
      </c>
      <c r="T1117" s="197">
        <f t="shared" si="77"/>
        <v>400</v>
      </c>
      <c r="U1117" s="193" t="s">
        <v>932</v>
      </c>
      <c r="V1117" s="193" t="str">
        <f t="shared" si="78"/>
        <v>Gowa</v>
      </c>
      <c r="AP1117" s="3" t="s">
        <v>1651</v>
      </c>
    </row>
    <row r="1118" spans="2:42" ht="15" customHeight="1" x14ac:dyDescent="0.2">
      <c r="B1118" s="193">
        <v>1</v>
      </c>
      <c r="C1118" s="347" t="s">
        <v>1537</v>
      </c>
      <c r="D1118" s="347" t="str">
        <f t="shared" si="80"/>
        <v>RBDPL001008SCM</v>
      </c>
      <c r="E1118" s="193" t="s">
        <v>151</v>
      </c>
      <c r="F1118" s="193" t="s">
        <v>1366</v>
      </c>
      <c r="G1118" s="193" t="s">
        <v>1651</v>
      </c>
      <c r="H1118" s="193" t="s">
        <v>107</v>
      </c>
      <c r="I1118" s="193" t="s">
        <v>3</v>
      </c>
      <c r="J1118" s="193" t="str">
        <f t="shared" si="81"/>
        <v>6 Roda</v>
      </c>
      <c r="K1118" s="194">
        <v>46134</v>
      </c>
      <c r="L1118" s="195">
        <v>4200</v>
      </c>
      <c r="M1118" s="195">
        <v>13660</v>
      </c>
      <c r="N1118" s="195">
        <v>9460</v>
      </c>
      <c r="O1118" s="195"/>
      <c r="P1118" s="196">
        <v>0.76597222222222217</v>
      </c>
      <c r="Q1118" s="196">
        <v>0.81180555555555556</v>
      </c>
      <c r="R1118" s="193" t="s">
        <v>137</v>
      </c>
      <c r="S1118" s="193" t="s">
        <v>1388</v>
      </c>
      <c r="T1118" s="197">
        <f t="shared" si="77"/>
        <v>400</v>
      </c>
      <c r="U1118" s="193" t="s">
        <v>175</v>
      </c>
      <c r="V1118" s="193" t="str">
        <f t="shared" si="78"/>
        <v>Gowa</v>
      </c>
      <c r="AP1118" s="3" t="s">
        <v>1651</v>
      </c>
    </row>
    <row r="1119" spans="2:42" ht="15" customHeight="1" x14ac:dyDescent="0.2">
      <c r="B1119" s="193">
        <v>1</v>
      </c>
      <c r="C1119" s="347" t="s">
        <v>1538</v>
      </c>
      <c r="D1119" s="347" t="str">
        <f t="shared" si="80"/>
        <v>RBDPL001006HSA</v>
      </c>
      <c r="E1119" s="193" t="s">
        <v>936</v>
      </c>
      <c r="F1119" s="193" t="s">
        <v>1371</v>
      </c>
      <c r="G1119" s="193" t="s">
        <v>1648</v>
      </c>
      <c r="H1119" s="193" t="s">
        <v>103</v>
      </c>
      <c r="I1119" s="193" t="s">
        <v>3</v>
      </c>
      <c r="J1119" s="193" t="str">
        <f t="shared" si="81"/>
        <v>6 Roda</v>
      </c>
      <c r="K1119" s="194">
        <v>46134</v>
      </c>
      <c r="L1119" s="195">
        <v>4150</v>
      </c>
      <c r="M1119" s="195">
        <v>14300</v>
      </c>
      <c r="N1119" s="195">
        <v>10150</v>
      </c>
      <c r="O1119" s="195"/>
      <c r="P1119" s="196">
        <v>0.74930555555555556</v>
      </c>
      <c r="Q1119" s="196">
        <v>0.78055555555555556</v>
      </c>
      <c r="R1119" s="193" t="s">
        <v>137</v>
      </c>
      <c r="S1119" s="193" t="s">
        <v>1385</v>
      </c>
      <c r="T1119" s="197">
        <f t="shared" si="77"/>
        <v>360</v>
      </c>
      <c r="U1119" s="193" t="s">
        <v>932</v>
      </c>
      <c r="V1119" s="193" t="str">
        <f t="shared" si="78"/>
        <v>Makassar</v>
      </c>
      <c r="AP1119" s="3" t="s">
        <v>1648</v>
      </c>
    </row>
    <row r="1120" spans="2:42" ht="15" customHeight="1" x14ac:dyDescent="0.2">
      <c r="B1120" s="193">
        <v>1</v>
      </c>
      <c r="C1120" s="347" t="s">
        <v>1539</v>
      </c>
      <c r="D1120" s="347" t="str">
        <f t="shared" si="80"/>
        <v>RBDPL001007BJL</v>
      </c>
      <c r="E1120" s="193" t="s">
        <v>53</v>
      </c>
      <c r="F1120" s="193" t="s">
        <v>1363</v>
      </c>
      <c r="G1120" s="193" t="s">
        <v>1657</v>
      </c>
      <c r="H1120" s="193" t="s">
        <v>86</v>
      </c>
      <c r="I1120" s="193" t="s">
        <v>3</v>
      </c>
      <c r="J1120" s="193" t="str">
        <f t="shared" si="81"/>
        <v>6 Roda</v>
      </c>
      <c r="K1120" s="194">
        <v>46134</v>
      </c>
      <c r="L1120" s="195">
        <v>3700</v>
      </c>
      <c r="M1120" s="195">
        <v>13280</v>
      </c>
      <c r="N1120" s="195">
        <v>9580</v>
      </c>
      <c r="O1120" s="195"/>
      <c r="P1120" s="196">
        <v>0.76250000000000007</v>
      </c>
      <c r="Q1120" s="196">
        <v>0.7909722222222223</v>
      </c>
      <c r="R1120" s="193" t="s">
        <v>137</v>
      </c>
      <c r="S1120" s="193" t="s">
        <v>1396</v>
      </c>
      <c r="T1120" s="197">
        <f t="shared" si="77"/>
        <v>562</v>
      </c>
      <c r="U1120" s="193" t="s">
        <v>175</v>
      </c>
      <c r="V1120" s="193" t="str">
        <f t="shared" si="78"/>
        <v>Palu</v>
      </c>
      <c r="AP1120" s="3" t="s">
        <v>1657</v>
      </c>
    </row>
    <row r="1121" spans="2:42" ht="15" customHeight="1" x14ac:dyDescent="0.2">
      <c r="B1121" s="193">
        <v>1</v>
      </c>
      <c r="C1121" s="347" t="s">
        <v>1540</v>
      </c>
      <c r="D1121" s="347" t="str">
        <f t="shared" si="80"/>
        <v>RBDPL001010BJL</v>
      </c>
      <c r="E1121" s="193" t="s">
        <v>174</v>
      </c>
      <c r="F1121" s="193" t="s">
        <v>1363</v>
      </c>
      <c r="G1121" s="193" t="s">
        <v>1657</v>
      </c>
      <c r="H1121" s="193" t="s">
        <v>86</v>
      </c>
      <c r="I1121" s="193" t="s">
        <v>3</v>
      </c>
      <c r="J1121" s="193" t="str">
        <f t="shared" si="81"/>
        <v>6 Roda</v>
      </c>
      <c r="K1121" s="194">
        <v>46135</v>
      </c>
      <c r="L1121" s="195">
        <v>4300</v>
      </c>
      <c r="M1121" s="195">
        <v>13460</v>
      </c>
      <c r="N1121" s="195">
        <v>9160</v>
      </c>
      <c r="O1121" s="195"/>
      <c r="P1121" s="196">
        <v>0.60486111111111118</v>
      </c>
      <c r="Q1121" s="196">
        <v>0.62708333333333333</v>
      </c>
      <c r="R1121" s="193" t="s">
        <v>42</v>
      </c>
      <c r="S1121" s="193" t="s">
        <v>1465</v>
      </c>
      <c r="T1121" s="197">
        <f t="shared" si="77"/>
        <v>562</v>
      </c>
      <c r="U1121" s="193" t="s">
        <v>175</v>
      </c>
      <c r="V1121" s="193" t="str">
        <f t="shared" si="78"/>
        <v>Palu</v>
      </c>
      <c r="AP1121" s="3" t="s">
        <v>1657</v>
      </c>
    </row>
    <row r="1122" spans="2:42" ht="15" customHeight="1" x14ac:dyDescent="0.2">
      <c r="B1122" s="193">
        <v>1</v>
      </c>
      <c r="C1122" s="347" t="s">
        <v>1541</v>
      </c>
      <c r="D1122" s="347" t="str">
        <f t="shared" si="80"/>
        <v>RBDPL001009BJL</v>
      </c>
      <c r="E1122" s="193" t="s">
        <v>236</v>
      </c>
      <c r="F1122" s="193" t="s">
        <v>1363</v>
      </c>
      <c r="G1122" s="193" t="s">
        <v>1657</v>
      </c>
      <c r="H1122" s="193" t="s">
        <v>86</v>
      </c>
      <c r="I1122" s="193" t="s">
        <v>3</v>
      </c>
      <c r="J1122" s="193" t="str">
        <f t="shared" si="81"/>
        <v>6 Roda</v>
      </c>
      <c r="K1122" s="194">
        <v>46135</v>
      </c>
      <c r="L1122" s="195">
        <v>4000</v>
      </c>
      <c r="M1122" s="195">
        <v>13050</v>
      </c>
      <c r="N1122" s="195">
        <v>9050</v>
      </c>
      <c r="O1122" s="195"/>
      <c r="P1122" s="196">
        <v>0.39652777777777781</v>
      </c>
      <c r="Q1122" s="196">
        <v>0.42708333333333331</v>
      </c>
      <c r="R1122" s="193" t="s">
        <v>42</v>
      </c>
      <c r="S1122" s="193" t="s">
        <v>1466</v>
      </c>
      <c r="T1122" s="197">
        <f t="shared" si="77"/>
        <v>562</v>
      </c>
      <c r="U1122" s="193" t="s">
        <v>175</v>
      </c>
      <c r="V1122" s="193" t="str">
        <f t="shared" si="78"/>
        <v>Palu</v>
      </c>
      <c r="AP1122" s="3" t="s">
        <v>1657</v>
      </c>
    </row>
    <row r="1123" spans="2:42" ht="15" customHeight="1" x14ac:dyDescent="0.2">
      <c r="B1123" s="193">
        <v>1</v>
      </c>
      <c r="C1123" s="347" t="s">
        <v>1542</v>
      </c>
      <c r="D1123" s="347" t="str">
        <f t="shared" si="80"/>
        <v>RBDPL001011BJL</v>
      </c>
      <c r="E1123" s="193" t="s">
        <v>174</v>
      </c>
      <c r="F1123" s="193" t="s">
        <v>1363</v>
      </c>
      <c r="G1123" s="193" t="s">
        <v>1657</v>
      </c>
      <c r="H1123" s="193" t="s">
        <v>86</v>
      </c>
      <c r="I1123" s="193" t="s">
        <v>3</v>
      </c>
      <c r="J1123" s="193" t="str">
        <f t="shared" si="81"/>
        <v>6 Roda</v>
      </c>
      <c r="K1123" s="194">
        <v>46135</v>
      </c>
      <c r="L1123" s="195">
        <v>4290</v>
      </c>
      <c r="M1123" s="195">
        <v>13440</v>
      </c>
      <c r="N1123" s="195">
        <v>9150</v>
      </c>
      <c r="O1123" s="195"/>
      <c r="P1123" s="196">
        <v>0.7715277777777777</v>
      </c>
      <c r="Q1123" s="196">
        <v>0.79305555555555562</v>
      </c>
      <c r="R1123" s="193" t="s">
        <v>137</v>
      </c>
      <c r="S1123" s="193" t="s">
        <v>1465</v>
      </c>
      <c r="T1123" s="197">
        <f t="shared" si="77"/>
        <v>562</v>
      </c>
      <c r="U1123" s="193" t="s">
        <v>175</v>
      </c>
      <c r="V1123" s="193" t="str">
        <f t="shared" si="78"/>
        <v>Palu</v>
      </c>
      <c r="AP1123" s="3" t="s">
        <v>1657</v>
      </c>
    </row>
    <row r="1124" spans="2:42" ht="15" customHeight="1" x14ac:dyDescent="0.2">
      <c r="B1124" s="193">
        <v>1</v>
      </c>
      <c r="C1124" s="347" t="s">
        <v>1543</v>
      </c>
      <c r="D1124" s="347" t="str">
        <f t="shared" si="80"/>
        <v>RBDPL001012DA</v>
      </c>
      <c r="E1124" s="193" t="s">
        <v>940</v>
      </c>
      <c r="F1124" s="193" t="s">
        <v>1419</v>
      </c>
      <c r="G1124" s="193" t="s">
        <v>1655</v>
      </c>
      <c r="H1124" s="193" t="s">
        <v>111</v>
      </c>
      <c r="I1124" s="193" t="s">
        <v>3</v>
      </c>
      <c r="J1124" s="193" t="str">
        <f t="shared" si="81"/>
        <v>6 Roda</v>
      </c>
      <c r="K1124" s="194">
        <v>46135</v>
      </c>
      <c r="L1124" s="195">
        <v>3990</v>
      </c>
      <c r="M1124" s="195">
        <v>13550</v>
      </c>
      <c r="N1124" s="195">
        <v>9560</v>
      </c>
      <c r="O1124" s="195"/>
      <c r="P1124" s="196">
        <v>0.90972222222222221</v>
      </c>
      <c r="Q1124" s="196">
        <v>0.93125000000000002</v>
      </c>
      <c r="R1124" s="193" t="s">
        <v>137</v>
      </c>
      <c r="S1124" s="193" t="s">
        <v>1383</v>
      </c>
      <c r="T1124" s="197">
        <f t="shared" si="77"/>
        <v>360</v>
      </c>
      <c r="U1124" s="193" t="s">
        <v>932</v>
      </c>
      <c r="V1124" s="193" t="str">
        <f t="shared" si="78"/>
        <v>Makassar</v>
      </c>
      <c r="AP1124" s="3" t="s">
        <v>1655</v>
      </c>
    </row>
    <row r="1125" spans="2:42" ht="15" customHeight="1" x14ac:dyDescent="0.2">
      <c r="B1125" s="193">
        <v>1</v>
      </c>
      <c r="C1125" s="347" t="s">
        <v>1544</v>
      </c>
      <c r="D1125" s="347" t="str">
        <f t="shared" si="80"/>
        <v>RBDPL001013WIN</v>
      </c>
      <c r="E1125" s="193" t="s">
        <v>1545</v>
      </c>
      <c r="F1125" s="193" t="s">
        <v>1680</v>
      </c>
      <c r="G1125" s="193" t="s">
        <v>1687</v>
      </c>
      <c r="H1125" s="193" t="s">
        <v>115</v>
      </c>
      <c r="I1125" s="193" t="s">
        <v>3</v>
      </c>
      <c r="J1125" s="193" t="str">
        <f t="shared" si="81"/>
        <v>6 Roda</v>
      </c>
      <c r="K1125" s="194">
        <v>46135</v>
      </c>
      <c r="L1125" s="195">
        <v>4340</v>
      </c>
      <c r="M1125" s="195">
        <v>11580</v>
      </c>
      <c r="N1125" s="195">
        <v>7240</v>
      </c>
      <c r="O1125" s="195"/>
      <c r="P1125" s="196">
        <v>0.94027777777777777</v>
      </c>
      <c r="Q1125" s="196">
        <v>0.96875</v>
      </c>
      <c r="R1125" s="193" t="s">
        <v>137</v>
      </c>
      <c r="S1125" s="193" t="s">
        <v>1732</v>
      </c>
      <c r="T1125" s="197">
        <f t="shared" si="77"/>
        <v>642</v>
      </c>
      <c r="U1125" s="193" t="s">
        <v>1733</v>
      </c>
      <c r="V1125" s="193" t="str">
        <f t="shared" si="78"/>
        <v>Torobulu</v>
      </c>
      <c r="AP1125" s="3" t="s">
        <v>1687</v>
      </c>
    </row>
    <row r="1126" spans="2:42" ht="15" customHeight="1" x14ac:dyDescent="0.2">
      <c r="B1126" s="193">
        <v>1</v>
      </c>
      <c r="C1126" s="347" t="s">
        <v>1546</v>
      </c>
      <c r="D1126" s="347" t="str">
        <f t="shared" si="80"/>
        <v>RBDPL001017DA</v>
      </c>
      <c r="E1126" s="193" t="s">
        <v>983</v>
      </c>
      <c r="F1126" s="193" t="s">
        <v>1419</v>
      </c>
      <c r="G1126" s="193" t="s">
        <v>1655</v>
      </c>
      <c r="H1126" s="193" t="s">
        <v>111</v>
      </c>
      <c r="I1126" s="193" t="s">
        <v>3</v>
      </c>
      <c r="J1126" s="193" t="str">
        <f t="shared" si="81"/>
        <v>6 Roda</v>
      </c>
      <c r="K1126" s="194">
        <v>46136</v>
      </c>
      <c r="L1126" s="195">
        <v>4020</v>
      </c>
      <c r="M1126" s="195">
        <v>13350</v>
      </c>
      <c r="N1126" s="195">
        <v>9330</v>
      </c>
      <c r="O1126" s="195"/>
      <c r="P1126" s="196">
        <v>0.62569444444444444</v>
      </c>
      <c r="Q1126" s="196">
        <v>0.67291666666666661</v>
      </c>
      <c r="R1126" s="193" t="s">
        <v>42</v>
      </c>
      <c r="S1126" s="193" t="s">
        <v>1387</v>
      </c>
      <c r="T1126" s="197">
        <f t="shared" si="77"/>
        <v>360</v>
      </c>
      <c r="U1126" s="193" t="s">
        <v>932</v>
      </c>
      <c r="V1126" s="193" t="str">
        <f t="shared" si="78"/>
        <v>Makassar</v>
      </c>
      <c r="AP1126" s="3" t="s">
        <v>1655</v>
      </c>
    </row>
    <row r="1127" spans="2:42" ht="15" customHeight="1" x14ac:dyDescent="0.2">
      <c r="B1127" s="193">
        <v>1</v>
      </c>
      <c r="C1127" s="347" t="s">
        <v>1547</v>
      </c>
      <c r="D1127" s="347" t="str">
        <f t="shared" si="80"/>
        <v>RBDPL001020DA</v>
      </c>
      <c r="E1127" s="193" t="s">
        <v>938</v>
      </c>
      <c r="F1127" s="193" t="s">
        <v>1419</v>
      </c>
      <c r="G1127" s="193" t="s">
        <v>1655</v>
      </c>
      <c r="H1127" s="193" t="s">
        <v>111</v>
      </c>
      <c r="I1127" s="193" t="s">
        <v>3</v>
      </c>
      <c r="J1127" s="193" t="str">
        <f t="shared" si="81"/>
        <v>6 Roda</v>
      </c>
      <c r="K1127" s="194">
        <v>46136</v>
      </c>
      <c r="L1127" s="195">
        <v>3980</v>
      </c>
      <c r="M1127" s="195">
        <v>13490</v>
      </c>
      <c r="N1127" s="195">
        <v>9510</v>
      </c>
      <c r="O1127" s="195"/>
      <c r="P1127" s="196">
        <v>0.79999999999999993</v>
      </c>
      <c r="Q1127" s="196">
        <v>0.8256944444444444</v>
      </c>
      <c r="R1127" s="193" t="s">
        <v>137</v>
      </c>
      <c r="S1127" s="193" t="s">
        <v>1384</v>
      </c>
      <c r="T1127" s="197">
        <f t="shared" si="77"/>
        <v>360</v>
      </c>
      <c r="U1127" s="193" t="s">
        <v>932</v>
      </c>
      <c r="V1127" s="193" t="str">
        <f t="shared" si="78"/>
        <v>Makassar</v>
      </c>
      <c r="AP1127" s="3" t="s">
        <v>1655</v>
      </c>
    </row>
    <row r="1128" spans="2:42" ht="15" customHeight="1" x14ac:dyDescent="0.2">
      <c r="B1128" s="193">
        <v>1</v>
      </c>
      <c r="C1128" s="347" t="s">
        <v>1548</v>
      </c>
      <c r="D1128" s="347" t="str">
        <f t="shared" si="80"/>
        <v>RBDPL001022DA</v>
      </c>
      <c r="E1128" s="193" t="s">
        <v>934</v>
      </c>
      <c r="F1128" s="193" t="s">
        <v>1419</v>
      </c>
      <c r="G1128" s="193" t="s">
        <v>1655</v>
      </c>
      <c r="H1128" s="193" t="s">
        <v>111</v>
      </c>
      <c r="I1128" s="193" t="s">
        <v>3</v>
      </c>
      <c r="J1128" s="193" t="str">
        <f t="shared" si="81"/>
        <v>6 Roda</v>
      </c>
      <c r="K1128" s="194">
        <v>46136</v>
      </c>
      <c r="L1128" s="195">
        <v>3870</v>
      </c>
      <c r="M1128" s="195">
        <v>13180</v>
      </c>
      <c r="N1128" s="195">
        <v>9310</v>
      </c>
      <c r="O1128" s="195"/>
      <c r="P1128" s="196">
        <v>0.82708333333333339</v>
      </c>
      <c r="Q1128" s="196">
        <v>0.85138888888888886</v>
      </c>
      <c r="R1128" s="193" t="s">
        <v>137</v>
      </c>
      <c r="S1128" s="193" t="s">
        <v>1382</v>
      </c>
      <c r="T1128" s="197">
        <f t="shared" si="77"/>
        <v>360</v>
      </c>
      <c r="U1128" s="193" t="s">
        <v>932</v>
      </c>
      <c r="V1128" s="193" t="str">
        <f t="shared" si="78"/>
        <v>Makassar</v>
      </c>
      <c r="AP1128" s="3" t="s">
        <v>1655</v>
      </c>
    </row>
    <row r="1129" spans="2:42" ht="15" customHeight="1" x14ac:dyDescent="0.2">
      <c r="B1129" s="193">
        <v>1</v>
      </c>
      <c r="C1129" s="347" t="s">
        <v>1549</v>
      </c>
      <c r="D1129" s="347" t="str">
        <f t="shared" si="80"/>
        <v>RBDPL001018WIN</v>
      </c>
      <c r="E1129" s="193" t="s">
        <v>183</v>
      </c>
      <c r="F1129" s="193" t="s">
        <v>1681</v>
      </c>
      <c r="G1129" s="193" t="s">
        <v>1688</v>
      </c>
      <c r="H1129" s="193" t="s">
        <v>115</v>
      </c>
      <c r="I1129" s="193" t="s">
        <v>3</v>
      </c>
      <c r="J1129" s="193" t="str">
        <f t="shared" si="81"/>
        <v>6 Roda</v>
      </c>
      <c r="K1129" s="194">
        <v>46136</v>
      </c>
      <c r="L1129" s="195">
        <v>4130</v>
      </c>
      <c r="M1129" s="195">
        <v>14220</v>
      </c>
      <c r="N1129" s="195">
        <v>10090</v>
      </c>
      <c r="O1129" s="195"/>
      <c r="P1129" s="196">
        <v>0.69791666666666663</v>
      </c>
      <c r="Q1129" s="196">
        <v>0.71875</v>
      </c>
      <c r="R1129" s="193" t="s">
        <v>42</v>
      </c>
      <c r="S1129" s="193" t="s">
        <v>1734</v>
      </c>
      <c r="T1129" s="197">
        <f t="shared" si="77"/>
        <v>642</v>
      </c>
      <c r="U1129" s="193" t="s">
        <v>1735</v>
      </c>
      <c r="V1129" s="193" t="str">
        <f t="shared" si="78"/>
        <v>Torobulu</v>
      </c>
      <c r="AP1129" s="3" t="s">
        <v>1688</v>
      </c>
    </row>
    <row r="1130" spans="2:42" ht="15" customHeight="1" x14ac:dyDescent="0.2">
      <c r="B1130" s="193">
        <v>1</v>
      </c>
      <c r="C1130" s="347" t="s">
        <v>1550</v>
      </c>
      <c r="D1130" s="347" t="str">
        <f t="shared" si="80"/>
        <v>RBDPL001019WIN</v>
      </c>
      <c r="E1130" s="193" t="s">
        <v>53</v>
      </c>
      <c r="F1130" s="193" t="s">
        <v>1681</v>
      </c>
      <c r="G1130" s="193" t="s">
        <v>1688</v>
      </c>
      <c r="H1130" s="193" t="s">
        <v>115</v>
      </c>
      <c r="I1130" s="193" t="s">
        <v>3</v>
      </c>
      <c r="J1130" s="193" t="str">
        <f t="shared" si="81"/>
        <v>6 Roda</v>
      </c>
      <c r="K1130" s="194">
        <v>46136</v>
      </c>
      <c r="L1130" s="195">
        <v>3750</v>
      </c>
      <c r="M1130" s="195">
        <v>13370</v>
      </c>
      <c r="N1130" s="195">
        <v>9620</v>
      </c>
      <c r="O1130" s="195"/>
      <c r="P1130" s="196">
        <v>0.75</v>
      </c>
      <c r="Q1130" s="196">
        <v>0.77777777777777779</v>
      </c>
      <c r="R1130" s="193" t="s">
        <v>137</v>
      </c>
      <c r="S1130" s="193" t="s">
        <v>1396</v>
      </c>
      <c r="T1130" s="197">
        <f t="shared" si="77"/>
        <v>642</v>
      </c>
      <c r="U1130" s="193" t="s">
        <v>1735</v>
      </c>
      <c r="V1130" s="193" t="str">
        <f t="shared" si="78"/>
        <v>Torobulu</v>
      </c>
      <c r="AP1130" s="3" t="s">
        <v>1688</v>
      </c>
    </row>
    <row r="1131" spans="2:42" ht="15" customHeight="1" x14ac:dyDescent="0.2">
      <c r="B1131" s="193">
        <v>1</v>
      </c>
      <c r="C1131" s="347" t="s">
        <v>1551</v>
      </c>
      <c r="D1131" s="347" t="str">
        <f t="shared" si="80"/>
        <v>RBDPL001014BJL</v>
      </c>
      <c r="E1131" s="193" t="s">
        <v>1552</v>
      </c>
      <c r="F1131" s="193" t="s">
        <v>1363</v>
      </c>
      <c r="G1131" s="193" t="s">
        <v>1657</v>
      </c>
      <c r="H1131" s="193" t="s">
        <v>86</v>
      </c>
      <c r="I1131" s="193" t="s">
        <v>3</v>
      </c>
      <c r="J1131" s="193" t="str">
        <f t="shared" si="81"/>
        <v>6 Roda</v>
      </c>
      <c r="K1131" s="194">
        <v>46136</v>
      </c>
      <c r="L1131" s="195">
        <v>4520</v>
      </c>
      <c r="M1131" s="195">
        <v>13750</v>
      </c>
      <c r="N1131" s="195">
        <v>9230</v>
      </c>
      <c r="O1131" s="195"/>
      <c r="P1131" s="196">
        <v>0.40763888888888888</v>
      </c>
      <c r="Q1131" s="196">
        <v>0.42777777777777781</v>
      </c>
      <c r="R1131" s="193" t="s">
        <v>42</v>
      </c>
      <c r="S1131" s="193" t="s">
        <v>1398</v>
      </c>
      <c r="T1131" s="197">
        <f t="shared" si="77"/>
        <v>562</v>
      </c>
      <c r="U1131" s="193" t="s">
        <v>175</v>
      </c>
      <c r="V1131" s="193" t="str">
        <f t="shared" si="78"/>
        <v>Palu</v>
      </c>
      <c r="AP1131" s="3" t="s">
        <v>1657</v>
      </c>
    </row>
    <row r="1132" spans="2:42" ht="15" customHeight="1" x14ac:dyDescent="0.2">
      <c r="B1132" s="193">
        <v>1</v>
      </c>
      <c r="C1132" s="347" t="s">
        <v>1553</v>
      </c>
      <c r="D1132" s="347" t="str">
        <f t="shared" si="80"/>
        <v>RBDPL001015BJL</v>
      </c>
      <c r="E1132" s="193" t="s">
        <v>1073</v>
      </c>
      <c r="F1132" s="193" t="s">
        <v>1363</v>
      </c>
      <c r="G1132" s="193" t="s">
        <v>1657</v>
      </c>
      <c r="H1132" s="193" t="s">
        <v>86</v>
      </c>
      <c r="I1132" s="193" t="s">
        <v>3</v>
      </c>
      <c r="J1132" s="193" t="str">
        <f t="shared" si="81"/>
        <v>6 Roda</v>
      </c>
      <c r="K1132" s="194">
        <v>46136</v>
      </c>
      <c r="L1132" s="195">
        <v>4060</v>
      </c>
      <c r="M1132" s="195">
        <v>12450</v>
      </c>
      <c r="N1132" s="195">
        <v>8390</v>
      </c>
      <c r="O1132" s="195"/>
      <c r="P1132" s="196">
        <v>0.42222222222222222</v>
      </c>
      <c r="Q1132" s="196">
        <v>0.45416666666666666</v>
      </c>
      <c r="R1132" s="193" t="s">
        <v>42</v>
      </c>
      <c r="S1132" s="193" t="s">
        <v>1374</v>
      </c>
      <c r="T1132" s="197">
        <f t="shared" si="77"/>
        <v>562</v>
      </c>
      <c r="U1132" s="193" t="s">
        <v>175</v>
      </c>
      <c r="V1132" s="193" t="str">
        <f t="shared" si="78"/>
        <v>Palu</v>
      </c>
      <c r="AP1132" s="3" t="s">
        <v>1657</v>
      </c>
    </row>
    <row r="1133" spans="2:42" ht="15" customHeight="1" x14ac:dyDescent="0.2">
      <c r="B1133" s="193">
        <v>1</v>
      </c>
      <c r="C1133" s="347" t="s">
        <v>1554</v>
      </c>
      <c r="D1133" s="347" t="str">
        <f t="shared" si="80"/>
        <v>RBDPL001016BJL</v>
      </c>
      <c r="E1133" s="193" t="s">
        <v>1278</v>
      </c>
      <c r="F1133" s="193" t="s">
        <v>1363</v>
      </c>
      <c r="G1133" s="193" t="s">
        <v>1657</v>
      </c>
      <c r="H1133" s="193" t="s">
        <v>86</v>
      </c>
      <c r="I1133" s="193" t="s">
        <v>3</v>
      </c>
      <c r="J1133" s="193" t="str">
        <f t="shared" si="81"/>
        <v>6 Roda</v>
      </c>
      <c r="K1133" s="194">
        <v>46136</v>
      </c>
      <c r="L1133" s="195">
        <v>4290</v>
      </c>
      <c r="M1133" s="195">
        <v>14290</v>
      </c>
      <c r="N1133" s="195">
        <v>10000</v>
      </c>
      <c r="O1133" s="195"/>
      <c r="P1133" s="196">
        <v>0.47986111111111113</v>
      </c>
      <c r="Q1133" s="196">
        <v>0.5083333333333333</v>
      </c>
      <c r="R1133" s="193" t="s">
        <v>42</v>
      </c>
      <c r="S1133" s="193" t="s">
        <v>1519</v>
      </c>
      <c r="T1133" s="197">
        <f t="shared" si="77"/>
        <v>562</v>
      </c>
      <c r="U1133" s="193" t="s">
        <v>175</v>
      </c>
      <c r="V1133" s="193" t="str">
        <f t="shared" si="78"/>
        <v>Palu</v>
      </c>
      <c r="AP1133" s="3" t="s">
        <v>1657</v>
      </c>
    </row>
    <row r="1134" spans="2:42" ht="15" customHeight="1" x14ac:dyDescent="0.2">
      <c r="B1134" s="193">
        <v>1</v>
      </c>
      <c r="C1134" s="347" t="s">
        <v>1555</v>
      </c>
      <c r="D1134" s="347" t="str">
        <f t="shared" si="80"/>
        <v>RBDPL001021BJL</v>
      </c>
      <c r="E1134" s="193" t="s">
        <v>151</v>
      </c>
      <c r="F1134" s="193" t="s">
        <v>1363</v>
      </c>
      <c r="G1134" s="193" t="s">
        <v>1657</v>
      </c>
      <c r="H1134" s="193" t="s">
        <v>86</v>
      </c>
      <c r="I1134" s="193" t="s">
        <v>3</v>
      </c>
      <c r="J1134" s="193" t="str">
        <f t="shared" si="81"/>
        <v>6 Roda</v>
      </c>
      <c r="K1134" s="194">
        <v>46136</v>
      </c>
      <c r="L1134" s="195">
        <v>4190</v>
      </c>
      <c r="M1134" s="195">
        <v>13650</v>
      </c>
      <c r="N1134" s="195">
        <v>9460</v>
      </c>
      <c r="O1134" s="195"/>
      <c r="P1134" s="196">
        <v>0.8041666666666667</v>
      </c>
      <c r="Q1134" s="196">
        <v>0.83958333333333324</v>
      </c>
      <c r="R1134" s="193" t="s">
        <v>137</v>
      </c>
      <c r="S1134" s="193" t="s">
        <v>1388</v>
      </c>
      <c r="T1134" s="197">
        <f t="shared" si="77"/>
        <v>562</v>
      </c>
      <c r="U1134" s="193" t="s">
        <v>175</v>
      </c>
      <c r="V1134" s="193" t="str">
        <f t="shared" si="78"/>
        <v>Palu</v>
      </c>
      <c r="AP1134" s="3" t="s">
        <v>1657</v>
      </c>
    </row>
    <row r="1135" spans="2:42" ht="15" customHeight="1" x14ac:dyDescent="0.2">
      <c r="B1135" s="193">
        <v>1</v>
      </c>
      <c r="C1135" s="347" t="s">
        <v>1556</v>
      </c>
      <c r="D1135" s="347" t="str">
        <f t="shared" si="80"/>
        <v>RBDPL001023BJL</v>
      </c>
      <c r="E1135" s="193" t="s">
        <v>1308</v>
      </c>
      <c r="F1135" s="193" t="s">
        <v>1363</v>
      </c>
      <c r="G1135" s="193" t="s">
        <v>1657</v>
      </c>
      <c r="H1135" s="193" t="s">
        <v>86</v>
      </c>
      <c r="I1135" s="193" t="s">
        <v>3</v>
      </c>
      <c r="J1135" s="193" t="str">
        <f t="shared" si="81"/>
        <v>6 Roda</v>
      </c>
      <c r="K1135" s="194">
        <v>46136</v>
      </c>
      <c r="L1135" s="195">
        <v>3910</v>
      </c>
      <c r="M1135" s="195">
        <v>13170</v>
      </c>
      <c r="N1135" s="195">
        <v>9260</v>
      </c>
      <c r="O1135" s="195"/>
      <c r="P1135" s="196">
        <v>0.84166666666666667</v>
      </c>
      <c r="Q1135" s="196">
        <v>0.87777777777777777</v>
      </c>
      <c r="R1135" s="193" t="s">
        <v>137</v>
      </c>
      <c r="S1135" s="193" t="s">
        <v>1518</v>
      </c>
      <c r="T1135" s="197">
        <f t="shared" si="77"/>
        <v>562</v>
      </c>
      <c r="U1135" s="193" t="s">
        <v>175</v>
      </c>
      <c r="V1135" s="193" t="str">
        <f t="shared" si="78"/>
        <v>Palu</v>
      </c>
      <c r="AP1135" s="3" t="s">
        <v>1657</v>
      </c>
    </row>
    <row r="1136" spans="2:42" ht="15" customHeight="1" x14ac:dyDescent="0.2">
      <c r="B1136" s="193">
        <v>1</v>
      </c>
      <c r="C1136" s="347" t="s">
        <v>1557</v>
      </c>
      <c r="D1136" s="347" t="str">
        <f t="shared" si="80"/>
        <v>RBDPL001024BJL</v>
      </c>
      <c r="E1136" s="193" t="s">
        <v>149</v>
      </c>
      <c r="F1136" s="193" t="s">
        <v>1363</v>
      </c>
      <c r="G1136" s="193" t="s">
        <v>1657</v>
      </c>
      <c r="H1136" s="193" t="s">
        <v>86</v>
      </c>
      <c r="I1136" s="193" t="s">
        <v>3</v>
      </c>
      <c r="J1136" s="193" t="str">
        <f t="shared" si="81"/>
        <v>6 Roda</v>
      </c>
      <c r="K1136" s="194">
        <v>46136</v>
      </c>
      <c r="L1136" s="195">
        <v>4040</v>
      </c>
      <c r="M1136" s="195">
        <v>13960</v>
      </c>
      <c r="N1136" s="195">
        <v>9920</v>
      </c>
      <c r="O1136" s="195"/>
      <c r="P1136" s="196">
        <v>0.85763888888888884</v>
      </c>
      <c r="Q1136" s="196">
        <v>0.88958333333333339</v>
      </c>
      <c r="R1136" s="193" t="s">
        <v>137</v>
      </c>
      <c r="S1136" s="193" t="s">
        <v>1380</v>
      </c>
      <c r="T1136" s="197">
        <f t="shared" si="77"/>
        <v>562</v>
      </c>
      <c r="U1136" s="193" t="s">
        <v>175</v>
      </c>
      <c r="V1136" s="193" t="str">
        <f t="shared" si="78"/>
        <v>Palu</v>
      </c>
      <c r="AP1136" s="3" t="s">
        <v>1657</v>
      </c>
    </row>
    <row r="1137" spans="2:42" ht="15" customHeight="1" x14ac:dyDescent="0.2">
      <c r="B1137" s="193">
        <v>1</v>
      </c>
      <c r="C1137" s="347" t="s">
        <v>1558</v>
      </c>
      <c r="D1137" s="347" t="str">
        <f t="shared" si="80"/>
        <v>RBDPL001025BJL</v>
      </c>
      <c r="E1137" s="193" t="s">
        <v>181</v>
      </c>
      <c r="F1137" s="193" t="s">
        <v>1363</v>
      </c>
      <c r="G1137" s="193" t="s">
        <v>1657</v>
      </c>
      <c r="H1137" s="193" t="s">
        <v>86</v>
      </c>
      <c r="I1137" s="193" t="s">
        <v>3</v>
      </c>
      <c r="J1137" s="193" t="str">
        <f t="shared" si="81"/>
        <v>6 Roda</v>
      </c>
      <c r="K1137" s="194">
        <v>46136</v>
      </c>
      <c r="L1137" s="195">
        <v>3940</v>
      </c>
      <c r="M1137" s="195">
        <v>13590</v>
      </c>
      <c r="N1137" s="195">
        <v>9650</v>
      </c>
      <c r="O1137" s="195"/>
      <c r="P1137" s="196">
        <v>0.87986111111111109</v>
      </c>
      <c r="Q1137" s="196">
        <v>0.90833333333333333</v>
      </c>
      <c r="R1137" s="193" t="s">
        <v>137</v>
      </c>
      <c r="S1137" s="193" t="s">
        <v>1477</v>
      </c>
      <c r="T1137" s="197">
        <f t="shared" ref="T1137:T1200" si="82">IFERROR(_xlfn.XLOOKUP(H1137,$AM$4:$AM$18,$AP$4:$AP$18,""),0)</f>
        <v>562</v>
      </c>
      <c r="U1137" s="193" t="s">
        <v>175</v>
      </c>
      <c r="V1137" s="193" t="str">
        <f t="shared" ref="V1137:V1164" si="83">IFERROR(_xlfn.XLOOKUP(H1137,$AM$4:$AM$18,$AO$4:$AO$18,""),"")</f>
        <v>Palu</v>
      </c>
      <c r="AP1137" s="3" t="s">
        <v>1657</v>
      </c>
    </row>
    <row r="1138" spans="2:42" ht="15" customHeight="1" x14ac:dyDescent="0.2">
      <c r="B1138" s="193">
        <v>1</v>
      </c>
      <c r="C1138" s="347" t="s">
        <v>1559</v>
      </c>
      <c r="D1138" s="347" t="str">
        <f t="shared" si="80"/>
        <v>RBDPL001026BJL</v>
      </c>
      <c r="E1138" s="193" t="s">
        <v>1274</v>
      </c>
      <c r="F1138" s="193" t="s">
        <v>1363</v>
      </c>
      <c r="G1138" s="193" t="s">
        <v>1657</v>
      </c>
      <c r="H1138" s="193" t="s">
        <v>86</v>
      </c>
      <c r="I1138" s="193" t="s">
        <v>3</v>
      </c>
      <c r="J1138" s="193" t="str">
        <f t="shared" si="81"/>
        <v>6 Roda</v>
      </c>
      <c r="K1138" s="194">
        <v>46136</v>
      </c>
      <c r="L1138" s="195">
        <v>3850</v>
      </c>
      <c r="M1138" s="195">
        <v>13470</v>
      </c>
      <c r="N1138" s="195">
        <v>9620</v>
      </c>
      <c r="O1138" s="195"/>
      <c r="P1138" s="196">
        <v>0.89236111111111116</v>
      </c>
      <c r="Q1138" s="196">
        <v>0.92152777777777783</v>
      </c>
      <c r="R1138" s="193" t="s">
        <v>137</v>
      </c>
      <c r="S1138" s="193" t="s">
        <v>1516</v>
      </c>
      <c r="T1138" s="197">
        <f t="shared" si="82"/>
        <v>562</v>
      </c>
      <c r="U1138" s="193" t="s">
        <v>175</v>
      </c>
      <c r="V1138" s="193" t="str">
        <f t="shared" si="83"/>
        <v>Palu</v>
      </c>
      <c r="AP1138" s="3" t="s">
        <v>1657</v>
      </c>
    </row>
    <row r="1139" spans="2:42" ht="15" customHeight="1" x14ac:dyDescent="0.2">
      <c r="B1139" s="193">
        <v>1</v>
      </c>
      <c r="C1139" s="347" t="s">
        <v>1560</v>
      </c>
      <c r="D1139" s="347" t="str">
        <f t="shared" ref="D1139:D1170" si="84">I1139&amp;C1139&amp;_xlfn.XLOOKUP(H1139,$AM$4:$AM$24,$AN$4:$AN$24,"")</f>
        <v>RBDPL001027BJL</v>
      </c>
      <c r="E1139" s="193" t="s">
        <v>1515</v>
      </c>
      <c r="F1139" s="193" t="s">
        <v>1363</v>
      </c>
      <c r="G1139" s="193" t="s">
        <v>1657</v>
      </c>
      <c r="H1139" s="193" t="s">
        <v>86</v>
      </c>
      <c r="I1139" s="193" t="s">
        <v>3</v>
      </c>
      <c r="J1139" s="193" t="str">
        <f t="shared" si="81"/>
        <v>6 Roda</v>
      </c>
      <c r="K1139" s="194">
        <v>46136</v>
      </c>
      <c r="L1139" s="195">
        <v>3920</v>
      </c>
      <c r="M1139" s="195">
        <v>13620</v>
      </c>
      <c r="N1139" s="195">
        <v>9700</v>
      </c>
      <c r="O1139" s="195"/>
      <c r="P1139" s="196">
        <v>0.91041666666666676</v>
      </c>
      <c r="Q1139" s="196">
        <v>0.93541666666666667</v>
      </c>
      <c r="R1139" s="193" t="s">
        <v>137</v>
      </c>
      <c r="S1139" s="193" t="s">
        <v>1520</v>
      </c>
      <c r="T1139" s="197">
        <f t="shared" si="82"/>
        <v>562</v>
      </c>
      <c r="U1139" s="193" t="s">
        <v>175</v>
      </c>
      <c r="V1139" s="193" t="str">
        <f t="shared" si="83"/>
        <v>Palu</v>
      </c>
      <c r="AP1139" s="3" t="s">
        <v>1657</v>
      </c>
    </row>
    <row r="1140" spans="2:42" ht="15" customHeight="1" x14ac:dyDescent="0.2">
      <c r="B1140" s="193">
        <v>1</v>
      </c>
      <c r="C1140" s="347" t="s">
        <v>1561</v>
      </c>
      <c r="D1140" s="347" t="str">
        <f t="shared" si="84"/>
        <v>RBDPL001028BJL</v>
      </c>
      <c r="E1140" s="193" t="s">
        <v>1307</v>
      </c>
      <c r="F1140" s="193" t="s">
        <v>1363</v>
      </c>
      <c r="G1140" s="193" t="s">
        <v>1657</v>
      </c>
      <c r="H1140" s="193" t="s">
        <v>86</v>
      </c>
      <c r="I1140" s="193" t="s">
        <v>3</v>
      </c>
      <c r="J1140" s="193" t="str">
        <f t="shared" si="81"/>
        <v>6 Roda</v>
      </c>
      <c r="K1140" s="194">
        <v>46136</v>
      </c>
      <c r="L1140" s="195">
        <v>3960</v>
      </c>
      <c r="M1140" s="195">
        <v>13370</v>
      </c>
      <c r="N1140" s="195">
        <v>9410</v>
      </c>
      <c r="O1140" s="195"/>
      <c r="P1140" s="196">
        <v>0.91319444444444453</v>
      </c>
      <c r="Q1140" s="196">
        <v>0.9472222222222223</v>
      </c>
      <c r="R1140" s="193" t="s">
        <v>137</v>
      </c>
      <c r="S1140" s="193" t="s">
        <v>1517</v>
      </c>
      <c r="T1140" s="197">
        <f t="shared" si="82"/>
        <v>562</v>
      </c>
      <c r="U1140" s="193" t="s">
        <v>175</v>
      </c>
      <c r="V1140" s="193" t="str">
        <f t="shared" si="83"/>
        <v>Palu</v>
      </c>
      <c r="AP1140" s="3" t="s">
        <v>1657</v>
      </c>
    </row>
    <row r="1141" spans="2:42" ht="15" customHeight="1" x14ac:dyDescent="0.2">
      <c r="B1141" s="193">
        <v>1</v>
      </c>
      <c r="C1141" s="347" t="s">
        <v>1562</v>
      </c>
      <c r="D1141" s="347" t="str">
        <f t="shared" si="84"/>
        <v>RBDPL001030BJL</v>
      </c>
      <c r="E1141" s="193" t="s">
        <v>1276</v>
      </c>
      <c r="F1141" s="193" t="s">
        <v>1363</v>
      </c>
      <c r="G1141" s="193" t="s">
        <v>1657</v>
      </c>
      <c r="H1141" s="193" t="s">
        <v>86</v>
      </c>
      <c r="I1141" s="193" t="s">
        <v>3</v>
      </c>
      <c r="J1141" s="193" t="str">
        <f t="shared" si="81"/>
        <v>6 Roda</v>
      </c>
      <c r="K1141" s="194">
        <v>46137</v>
      </c>
      <c r="L1141" s="195">
        <v>4030</v>
      </c>
      <c r="M1141" s="195">
        <v>14120</v>
      </c>
      <c r="N1141" s="195">
        <v>10090</v>
      </c>
      <c r="O1141" s="195"/>
      <c r="P1141" s="196">
        <v>0.40069444444444446</v>
      </c>
      <c r="Q1141" s="196">
        <v>0.43333333333333335</v>
      </c>
      <c r="R1141" s="193" t="s">
        <v>42</v>
      </c>
      <c r="S1141" s="193" t="s">
        <v>1736</v>
      </c>
      <c r="T1141" s="197">
        <f t="shared" si="82"/>
        <v>562</v>
      </c>
      <c r="U1141" s="193" t="s">
        <v>175</v>
      </c>
      <c r="V1141" s="193" t="str">
        <f t="shared" si="83"/>
        <v>Palu</v>
      </c>
      <c r="AP1141" s="3" t="s">
        <v>1657</v>
      </c>
    </row>
    <row r="1142" spans="2:42" ht="15" customHeight="1" x14ac:dyDescent="0.2">
      <c r="B1142" s="193">
        <v>1</v>
      </c>
      <c r="C1142" s="347" t="s">
        <v>1563</v>
      </c>
      <c r="D1142" s="347" t="str">
        <f t="shared" si="84"/>
        <v>RBDPL001032BJL</v>
      </c>
      <c r="E1142" s="193" t="s">
        <v>839</v>
      </c>
      <c r="F1142" s="193" t="s">
        <v>1363</v>
      </c>
      <c r="G1142" s="193" t="s">
        <v>1657</v>
      </c>
      <c r="H1142" s="193" t="s">
        <v>86</v>
      </c>
      <c r="I1142" s="193" t="s">
        <v>3</v>
      </c>
      <c r="J1142" s="193" t="str">
        <f t="shared" ref="J1142:J1173" si="85">IF(MIN(L1142,M1142)&lt;=5000,"6 Roda",IF(MIN(L1142,M1142)&lt;=13800,"10 Roda","12 Roda"))</f>
        <v>6 Roda</v>
      </c>
      <c r="K1142" s="194">
        <v>46137</v>
      </c>
      <c r="L1142" s="195">
        <v>3800</v>
      </c>
      <c r="M1142" s="195">
        <v>13030</v>
      </c>
      <c r="N1142" s="195">
        <v>9230</v>
      </c>
      <c r="O1142" s="195"/>
      <c r="P1142" s="196">
        <v>0.47291666666666665</v>
      </c>
      <c r="Q1142" s="196">
        <v>0.50555555555555554</v>
      </c>
      <c r="R1142" s="193" t="s">
        <v>42</v>
      </c>
      <c r="S1142" s="193" t="s">
        <v>1521</v>
      </c>
      <c r="T1142" s="197">
        <f t="shared" si="82"/>
        <v>562</v>
      </c>
      <c r="U1142" s="193" t="s">
        <v>175</v>
      </c>
      <c r="V1142" s="193" t="str">
        <f t="shared" si="83"/>
        <v>Palu</v>
      </c>
      <c r="AP1142" s="3" t="s">
        <v>1657</v>
      </c>
    </row>
    <row r="1143" spans="2:42" ht="15" customHeight="1" x14ac:dyDescent="0.2">
      <c r="B1143" s="193">
        <v>1</v>
      </c>
      <c r="C1143" s="347" t="s">
        <v>1564</v>
      </c>
      <c r="D1143" s="347" t="str">
        <f t="shared" si="84"/>
        <v>RBDPL001034BJL</v>
      </c>
      <c r="E1143" s="193" t="s">
        <v>997</v>
      </c>
      <c r="F1143" s="193" t="s">
        <v>1363</v>
      </c>
      <c r="G1143" s="193" t="s">
        <v>1657</v>
      </c>
      <c r="H1143" s="193" t="s">
        <v>86</v>
      </c>
      <c r="I1143" s="193" t="s">
        <v>3</v>
      </c>
      <c r="J1143" s="193" t="str">
        <f t="shared" si="85"/>
        <v>6 Roda</v>
      </c>
      <c r="K1143" s="194">
        <v>46137</v>
      </c>
      <c r="L1143" s="195">
        <v>3880</v>
      </c>
      <c r="M1143" s="195">
        <v>13450</v>
      </c>
      <c r="N1143" s="195">
        <v>9570</v>
      </c>
      <c r="O1143" s="195"/>
      <c r="P1143" s="196">
        <v>0.62569444444444444</v>
      </c>
      <c r="Q1143" s="196">
        <v>0.64513888888888882</v>
      </c>
      <c r="R1143" s="193" t="s">
        <v>137</v>
      </c>
      <c r="S1143" s="193" t="s">
        <v>1376</v>
      </c>
      <c r="T1143" s="197">
        <f t="shared" si="82"/>
        <v>562</v>
      </c>
      <c r="U1143" s="193" t="s">
        <v>932</v>
      </c>
      <c r="V1143" s="193" t="str">
        <f t="shared" si="83"/>
        <v>Palu</v>
      </c>
      <c r="AP1143" s="3" t="s">
        <v>1657</v>
      </c>
    </row>
    <row r="1144" spans="2:42" ht="15" customHeight="1" x14ac:dyDescent="0.2">
      <c r="B1144" s="193">
        <v>1</v>
      </c>
      <c r="C1144" s="347" t="s">
        <v>1565</v>
      </c>
      <c r="D1144" s="347" t="str">
        <f t="shared" si="84"/>
        <v>RBDPL001035BJL</v>
      </c>
      <c r="E1144" s="193" t="s">
        <v>166</v>
      </c>
      <c r="F1144" s="193" t="s">
        <v>1363</v>
      </c>
      <c r="G1144" s="193" t="s">
        <v>1657</v>
      </c>
      <c r="H1144" s="193" t="s">
        <v>86</v>
      </c>
      <c r="I1144" s="193" t="s">
        <v>3</v>
      </c>
      <c r="J1144" s="193" t="str">
        <f t="shared" si="85"/>
        <v>6 Roda</v>
      </c>
      <c r="K1144" s="194">
        <v>46137</v>
      </c>
      <c r="L1144" s="195">
        <v>3880</v>
      </c>
      <c r="M1144" s="195">
        <v>13300</v>
      </c>
      <c r="N1144" s="195">
        <v>9420</v>
      </c>
      <c r="O1144" s="195"/>
      <c r="P1144" s="196">
        <v>0.62638888888888888</v>
      </c>
      <c r="Q1144" s="196">
        <v>0.65694444444444444</v>
      </c>
      <c r="R1144" s="193" t="s">
        <v>137</v>
      </c>
      <c r="S1144" s="193" t="s">
        <v>1381</v>
      </c>
      <c r="T1144" s="197">
        <f t="shared" si="82"/>
        <v>562</v>
      </c>
      <c r="U1144" s="193" t="s">
        <v>932</v>
      </c>
      <c r="V1144" s="193" t="str">
        <f t="shared" si="83"/>
        <v>Palu</v>
      </c>
      <c r="AP1144" s="3" t="s">
        <v>1657</v>
      </c>
    </row>
    <row r="1145" spans="2:42" ht="15" customHeight="1" x14ac:dyDescent="0.2">
      <c r="B1145" s="193">
        <v>1</v>
      </c>
      <c r="C1145" s="347" t="s">
        <v>1566</v>
      </c>
      <c r="D1145" s="347" t="str">
        <f t="shared" si="84"/>
        <v>RBDPL001036BJL</v>
      </c>
      <c r="E1145" s="193" t="s">
        <v>1567</v>
      </c>
      <c r="F1145" s="193" t="s">
        <v>1363</v>
      </c>
      <c r="G1145" s="193" t="s">
        <v>1657</v>
      </c>
      <c r="H1145" s="193" t="s">
        <v>86</v>
      </c>
      <c r="I1145" s="193" t="s">
        <v>3</v>
      </c>
      <c r="J1145" s="193" t="str">
        <f t="shared" si="85"/>
        <v>6 Roda</v>
      </c>
      <c r="K1145" s="194">
        <v>46137</v>
      </c>
      <c r="L1145" s="195">
        <v>3870</v>
      </c>
      <c r="M1145" s="195">
        <v>13220</v>
      </c>
      <c r="N1145" s="195">
        <v>9350</v>
      </c>
      <c r="O1145" s="195"/>
      <c r="P1145" s="196">
        <v>0.67569444444444438</v>
      </c>
      <c r="Q1145" s="196">
        <v>0.70347222222222217</v>
      </c>
      <c r="R1145" s="193" t="s">
        <v>137</v>
      </c>
      <c r="S1145" s="193" t="s">
        <v>1634</v>
      </c>
      <c r="T1145" s="197">
        <f t="shared" si="82"/>
        <v>562</v>
      </c>
      <c r="U1145" s="193" t="s">
        <v>175</v>
      </c>
      <c r="V1145" s="193" t="str">
        <f t="shared" si="83"/>
        <v>Palu</v>
      </c>
      <c r="AP1145" s="3" t="s">
        <v>1657</v>
      </c>
    </row>
    <row r="1146" spans="2:42" ht="15" customHeight="1" x14ac:dyDescent="0.2">
      <c r="B1146" s="193">
        <v>1</v>
      </c>
      <c r="C1146" s="347" t="s">
        <v>1568</v>
      </c>
      <c r="D1146" s="347" t="str">
        <f t="shared" si="84"/>
        <v>RBDPL001037BJL</v>
      </c>
      <c r="E1146" s="193" t="s">
        <v>147</v>
      </c>
      <c r="F1146" s="193" t="s">
        <v>1363</v>
      </c>
      <c r="G1146" s="193" t="s">
        <v>1657</v>
      </c>
      <c r="H1146" s="193" t="s">
        <v>86</v>
      </c>
      <c r="I1146" s="193" t="s">
        <v>3</v>
      </c>
      <c r="J1146" s="193" t="str">
        <f t="shared" si="85"/>
        <v>6 Roda</v>
      </c>
      <c r="K1146" s="194">
        <v>46137</v>
      </c>
      <c r="L1146" s="195">
        <v>3980</v>
      </c>
      <c r="M1146" s="195">
        <v>14080</v>
      </c>
      <c r="N1146" s="195">
        <v>10100</v>
      </c>
      <c r="O1146" s="195"/>
      <c r="P1146" s="196">
        <v>0.76736111111111116</v>
      </c>
      <c r="Q1146" s="196">
        <v>0.79236111111111107</v>
      </c>
      <c r="R1146" s="193" t="s">
        <v>137</v>
      </c>
      <c r="S1146" s="193" t="s">
        <v>1373</v>
      </c>
      <c r="T1146" s="197">
        <f t="shared" si="82"/>
        <v>562</v>
      </c>
      <c r="U1146" s="193" t="s">
        <v>932</v>
      </c>
      <c r="V1146" s="193" t="str">
        <f t="shared" si="83"/>
        <v>Palu</v>
      </c>
      <c r="AP1146" s="3" t="s">
        <v>1657</v>
      </c>
    </row>
    <row r="1147" spans="2:42" ht="15" customHeight="1" x14ac:dyDescent="0.2">
      <c r="B1147" s="193">
        <v>1</v>
      </c>
      <c r="C1147" s="347" t="s">
        <v>1569</v>
      </c>
      <c r="D1147" s="347" t="str">
        <f t="shared" si="84"/>
        <v>RBDPL001031SCM</v>
      </c>
      <c r="E1147" s="193" t="s">
        <v>1092</v>
      </c>
      <c r="F1147" s="193" t="s">
        <v>1366</v>
      </c>
      <c r="G1147" s="193" t="s">
        <v>1651</v>
      </c>
      <c r="H1147" s="193" t="s">
        <v>107</v>
      </c>
      <c r="I1147" s="193" t="s">
        <v>3</v>
      </c>
      <c r="J1147" s="193" t="str">
        <f t="shared" si="85"/>
        <v>6 Roda</v>
      </c>
      <c r="K1147" s="194">
        <v>46137</v>
      </c>
      <c r="L1147" s="195">
        <v>4100</v>
      </c>
      <c r="M1147" s="195">
        <v>13100</v>
      </c>
      <c r="N1147" s="195">
        <v>9000</v>
      </c>
      <c r="O1147" s="195"/>
      <c r="P1147" s="196">
        <v>0.42430555555555555</v>
      </c>
      <c r="Q1147" s="196">
        <v>0.4458333333333333</v>
      </c>
      <c r="R1147" s="193" t="s">
        <v>42</v>
      </c>
      <c r="S1147" s="193" t="s">
        <v>1737</v>
      </c>
      <c r="T1147" s="197">
        <f t="shared" si="82"/>
        <v>400</v>
      </c>
      <c r="U1147" s="193" t="s">
        <v>175</v>
      </c>
      <c r="V1147" s="193" t="str">
        <f t="shared" si="83"/>
        <v>Gowa</v>
      </c>
      <c r="AP1147" s="3" t="s">
        <v>1651</v>
      </c>
    </row>
    <row r="1148" spans="2:42" ht="15" customHeight="1" x14ac:dyDescent="0.2">
      <c r="B1148" s="193">
        <v>1</v>
      </c>
      <c r="C1148" s="347" t="s">
        <v>1570</v>
      </c>
      <c r="D1148" s="347" t="str">
        <f t="shared" si="84"/>
        <v>RBDPL001029DA</v>
      </c>
      <c r="E1148" s="193" t="s">
        <v>936</v>
      </c>
      <c r="F1148" s="193" t="s">
        <v>1419</v>
      </c>
      <c r="G1148" s="193" t="s">
        <v>1655</v>
      </c>
      <c r="H1148" s="193" t="s">
        <v>111</v>
      </c>
      <c r="I1148" s="193" t="s">
        <v>3</v>
      </c>
      <c r="J1148" s="193" t="str">
        <f t="shared" si="85"/>
        <v>6 Roda</v>
      </c>
      <c r="K1148" s="194">
        <v>46137</v>
      </c>
      <c r="L1148" s="195">
        <v>4220</v>
      </c>
      <c r="M1148" s="195">
        <v>14380</v>
      </c>
      <c r="N1148" s="195">
        <v>10160</v>
      </c>
      <c r="O1148" s="195"/>
      <c r="P1148" s="196">
        <v>0.39861111111111108</v>
      </c>
      <c r="Q1148" s="196">
        <v>0.42152777777777778</v>
      </c>
      <c r="R1148" s="193" t="s">
        <v>42</v>
      </c>
      <c r="S1148" s="193" t="s">
        <v>1385</v>
      </c>
      <c r="T1148" s="197">
        <f t="shared" si="82"/>
        <v>360</v>
      </c>
      <c r="U1148" s="193" t="s">
        <v>932</v>
      </c>
      <c r="V1148" s="193" t="str">
        <f t="shared" si="83"/>
        <v>Makassar</v>
      </c>
      <c r="AP1148" s="3" t="s">
        <v>1655</v>
      </c>
    </row>
    <row r="1149" spans="2:42" ht="15" customHeight="1" x14ac:dyDescent="0.2">
      <c r="B1149" s="193">
        <v>1</v>
      </c>
      <c r="C1149" s="347" t="s">
        <v>1571</v>
      </c>
      <c r="D1149" s="347" t="str">
        <f t="shared" si="84"/>
        <v>RBDPL001038DA</v>
      </c>
      <c r="E1149" s="193" t="s">
        <v>1572</v>
      </c>
      <c r="F1149" s="193" t="s">
        <v>1419</v>
      </c>
      <c r="G1149" s="193" t="s">
        <v>1655</v>
      </c>
      <c r="H1149" s="193" t="s">
        <v>111</v>
      </c>
      <c r="I1149" s="193" t="s">
        <v>3</v>
      </c>
      <c r="J1149" s="193" t="str">
        <f t="shared" si="85"/>
        <v>12 Roda</v>
      </c>
      <c r="K1149" s="194">
        <v>46139</v>
      </c>
      <c r="L1149" s="195">
        <v>18980</v>
      </c>
      <c r="M1149" s="195">
        <v>42640</v>
      </c>
      <c r="N1149" s="195">
        <v>23660</v>
      </c>
      <c r="O1149" s="195"/>
      <c r="P1149" s="196">
        <v>0.38472222222222219</v>
      </c>
      <c r="Q1149" s="196">
        <v>0.45069444444444445</v>
      </c>
      <c r="R1149" s="193" t="s">
        <v>137</v>
      </c>
      <c r="S1149" s="193" t="s">
        <v>1783</v>
      </c>
      <c r="T1149" s="197">
        <f t="shared" si="82"/>
        <v>360</v>
      </c>
      <c r="U1149" s="193" t="s">
        <v>932</v>
      </c>
      <c r="V1149" s="193" t="str">
        <f t="shared" si="83"/>
        <v>Makassar</v>
      </c>
      <c r="AP1149" s="3" t="s">
        <v>1655</v>
      </c>
    </row>
    <row r="1150" spans="2:42" ht="15" customHeight="1" x14ac:dyDescent="0.2">
      <c r="B1150" s="193">
        <v>1</v>
      </c>
      <c r="C1150" s="347" t="s">
        <v>1573</v>
      </c>
      <c r="D1150" s="347" t="str">
        <f t="shared" si="84"/>
        <v>RBDPL001041DA</v>
      </c>
      <c r="E1150" s="193" t="s">
        <v>1064</v>
      </c>
      <c r="F1150" s="193" t="s">
        <v>1419</v>
      </c>
      <c r="G1150" s="193" t="s">
        <v>1655</v>
      </c>
      <c r="H1150" s="193" t="s">
        <v>111</v>
      </c>
      <c r="I1150" s="193" t="s">
        <v>3</v>
      </c>
      <c r="J1150" s="193" t="str">
        <f t="shared" si="85"/>
        <v>6 Roda</v>
      </c>
      <c r="K1150" s="194">
        <v>46139</v>
      </c>
      <c r="L1150" s="195">
        <v>4020</v>
      </c>
      <c r="M1150" s="195">
        <v>13560</v>
      </c>
      <c r="N1150" s="195">
        <v>9540</v>
      </c>
      <c r="O1150" s="195"/>
      <c r="P1150" s="196">
        <v>0.49652777777777773</v>
      </c>
      <c r="Q1150" s="196">
        <v>0.51388888888888895</v>
      </c>
      <c r="R1150" s="193" t="s">
        <v>137</v>
      </c>
      <c r="S1150" s="193" t="s">
        <v>1383</v>
      </c>
      <c r="T1150" s="197">
        <f t="shared" si="82"/>
        <v>360</v>
      </c>
      <c r="U1150" s="193" t="s">
        <v>932</v>
      </c>
      <c r="V1150" s="193" t="str">
        <f t="shared" si="83"/>
        <v>Makassar</v>
      </c>
      <c r="AP1150" s="3" t="s">
        <v>1655</v>
      </c>
    </row>
    <row r="1151" spans="2:42" ht="15" customHeight="1" x14ac:dyDescent="0.2">
      <c r="B1151" s="193">
        <v>1</v>
      </c>
      <c r="C1151" s="347" t="s">
        <v>1574</v>
      </c>
      <c r="D1151" s="347" t="str">
        <f t="shared" si="84"/>
        <v>RBDPL001043DA</v>
      </c>
      <c r="E1151" s="193" t="s">
        <v>983</v>
      </c>
      <c r="F1151" s="193" t="s">
        <v>1419</v>
      </c>
      <c r="G1151" s="193" t="s">
        <v>1655</v>
      </c>
      <c r="H1151" s="193" t="s">
        <v>111</v>
      </c>
      <c r="I1151" s="193" t="s">
        <v>3</v>
      </c>
      <c r="J1151" s="193" t="str">
        <f t="shared" si="85"/>
        <v>6 Roda</v>
      </c>
      <c r="K1151" s="194">
        <v>46139</v>
      </c>
      <c r="L1151" s="195">
        <v>4040</v>
      </c>
      <c r="M1151" s="195">
        <v>13360</v>
      </c>
      <c r="N1151" s="195">
        <v>9320</v>
      </c>
      <c r="O1151" s="195"/>
      <c r="P1151" s="196">
        <v>0.51944444444444449</v>
      </c>
      <c r="Q1151" s="196">
        <v>0.54375000000000007</v>
      </c>
      <c r="R1151" s="193" t="s">
        <v>137</v>
      </c>
      <c r="S1151" s="193" t="s">
        <v>1387</v>
      </c>
      <c r="T1151" s="197">
        <f t="shared" si="82"/>
        <v>360</v>
      </c>
      <c r="U1151" s="193" t="s">
        <v>932</v>
      </c>
      <c r="V1151" s="193" t="str">
        <f t="shared" si="83"/>
        <v>Makassar</v>
      </c>
      <c r="AP1151" s="3" t="s">
        <v>1655</v>
      </c>
    </row>
    <row r="1152" spans="2:42" ht="15" customHeight="1" x14ac:dyDescent="0.2">
      <c r="B1152" s="193">
        <v>1</v>
      </c>
      <c r="C1152" s="347" t="s">
        <v>1575</v>
      </c>
      <c r="D1152" s="347" t="str">
        <f t="shared" si="84"/>
        <v>RBDPL001039SCM</v>
      </c>
      <c r="E1152" s="193" t="s">
        <v>962</v>
      </c>
      <c r="F1152" s="193" t="s">
        <v>1366</v>
      </c>
      <c r="G1152" s="193" t="s">
        <v>1651</v>
      </c>
      <c r="H1152" s="193" t="s">
        <v>107</v>
      </c>
      <c r="I1152" s="193" t="s">
        <v>3</v>
      </c>
      <c r="J1152" s="193" t="str">
        <f t="shared" si="85"/>
        <v>6 Roda</v>
      </c>
      <c r="K1152" s="194">
        <v>46139</v>
      </c>
      <c r="L1152" s="195">
        <v>4490</v>
      </c>
      <c r="M1152" s="195">
        <v>13690</v>
      </c>
      <c r="N1152" s="195">
        <v>9200</v>
      </c>
      <c r="O1152" s="195"/>
      <c r="P1152" s="196">
        <v>0.45416666666666666</v>
      </c>
      <c r="Q1152" s="196">
        <v>0.47083333333333338</v>
      </c>
      <c r="R1152" s="193" t="s">
        <v>137</v>
      </c>
      <c r="S1152" s="193" t="s">
        <v>1398</v>
      </c>
      <c r="T1152" s="197">
        <f t="shared" si="82"/>
        <v>400</v>
      </c>
      <c r="U1152" s="193" t="s">
        <v>175</v>
      </c>
      <c r="V1152" s="193" t="str">
        <f t="shared" si="83"/>
        <v>Gowa</v>
      </c>
      <c r="AP1152" s="3" t="s">
        <v>1651</v>
      </c>
    </row>
    <row r="1153" spans="2:42" ht="15" customHeight="1" x14ac:dyDescent="0.2">
      <c r="B1153" s="193">
        <v>1</v>
      </c>
      <c r="C1153" s="347" t="s">
        <v>1576</v>
      </c>
      <c r="D1153" s="347" t="str">
        <f t="shared" si="84"/>
        <v>RBDPL001049SCM</v>
      </c>
      <c r="E1153" s="193" t="s">
        <v>1577</v>
      </c>
      <c r="F1153" s="193" t="s">
        <v>1366</v>
      </c>
      <c r="G1153" s="193" t="s">
        <v>1651</v>
      </c>
      <c r="H1153" s="193" t="s">
        <v>107</v>
      </c>
      <c r="I1153" s="193" t="s">
        <v>3</v>
      </c>
      <c r="J1153" s="193" t="str">
        <f t="shared" si="85"/>
        <v>6 Roda</v>
      </c>
      <c r="K1153" s="194">
        <v>46139</v>
      </c>
      <c r="L1153" s="195">
        <v>3770</v>
      </c>
      <c r="M1153" s="195">
        <v>13540</v>
      </c>
      <c r="N1153" s="195">
        <v>9770</v>
      </c>
      <c r="O1153" s="195"/>
      <c r="P1153" s="196">
        <v>0.68819444444444444</v>
      </c>
      <c r="Q1153" s="196">
        <v>0.72986111111111107</v>
      </c>
      <c r="R1153" s="193" t="s">
        <v>42</v>
      </c>
      <c r="S1153" s="193" t="s">
        <v>1635</v>
      </c>
      <c r="T1153" s="197">
        <f t="shared" si="82"/>
        <v>400</v>
      </c>
      <c r="U1153" s="193" t="s">
        <v>175</v>
      </c>
      <c r="V1153" s="193" t="str">
        <f t="shared" si="83"/>
        <v>Gowa</v>
      </c>
      <c r="AP1153" s="3" t="s">
        <v>1651</v>
      </c>
    </row>
    <row r="1154" spans="2:42" ht="15" customHeight="1" x14ac:dyDescent="0.2">
      <c r="B1154" s="193">
        <v>1</v>
      </c>
      <c r="C1154" s="347" t="s">
        <v>1578</v>
      </c>
      <c r="D1154" s="347" t="str">
        <f t="shared" si="84"/>
        <v>RBDPL001053SCM</v>
      </c>
      <c r="E1154" s="193" t="s">
        <v>1579</v>
      </c>
      <c r="F1154" s="193" t="s">
        <v>1418</v>
      </c>
      <c r="G1154" s="193" t="s">
        <v>1652</v>
      </c>
      <c r="H1154" s="193" t="s">
        <v>107</v>
      </c>
      <c r="I1154" s="193" t="s">
        <v>3</v>
      </c>
      <c r="J1154" s="193" t="str">
        <f t="shared" si="85"/>
        <v>6 Roda</v>
      </c>
      <c r="K1154" s="194">
        <v>46139</v>
      </c>
      <c r="L1154" s="195">
        <v>4010</v>
      </c>
      <c r="M1154" s="195">
        <v>13540</v>
      </c>
      <c r="N1154" s="195">
        <v>9530</v>
      </c>
      <c r="O1154" s="195"/>
      <c r="P1154" s="196">
        <v>0.83263888888888893</v>
      </c>
      <c r="Q1154" s="196">
        <v>0.84861111111111109</v>
      </c>
      <c r="R1154" s="193" t="s">
        <v>42</v>
      </c>
      <c r="S1154" s="193" t="s">
        <v>1378</v>
      </c>
      <c r="T1154" s="197">
        <f t="shared" si="82"/>
        <v>400</v>
      </c>
      <c r="U1154" s="193" t="s">
        <v>175</v>
      </c>
      <c r="V1154" s="193" t="str">
        <f t="shared" si="83"/>
        <v>Gowa</v>
      </c>
      <c r="AP1154" s="3" t="s">
        <v>1652</v>
      </c>
    </row>
    <row r="1155" spans="2:42" ht="15" customHeight="1" x14ac:dyDescent="0.2">
      <c r="B1155" s="193">
        <v>1</v>
      </c>
      <c r="C1155" s="347" t="s">
        <v>1580</v>
      </c>
      <c r="D1155" s="347" t="str">
        <f t="shared" si="84"/>
        <v>RBDPL001052SCM</v>
      </c>
      <c r="E1155" s="193" t="s">
        <v>181</v>
      </c>
      <c r="F1155" s="193" t="s">
        <v>1418</v>
      </c>
      <c r="G1155" s="193" t="s">
        <v>1652</v>
      </c>
      <c r="H1155" s="193" t="s">
        <v>107</v>
      </c>
      <c r="I1155" s="193" t="s">
        <v>3</v>
      </c>
      <c r="J1155" s="193" t="str">
        <f t="shared" si="85"/>
        <v>6 Roda</v>
      </c>
      <c r="K1155" s="194">
        <v>46139</v>
      </c>
      <c r="L1155" s="195">
        <v>4060</v>
      </c>
      <c r="M1155" s="195">
        <v>13710</v>
      </c>
      <c r="N1155" s="195">
        <v>9650</v>
      </c>
      <c r="O1155" s="195"/>
      <c r="P1155" s="196">
        <v>0.80902777777777779</v>
      </c>
      <c r="Q1155" s="196">
        <v>0.83819444444444446</v>
      </c>
      <c r="R1155" s="193" t="s">
        <v>42</v>
      </c>
      <c r="S1155" s="193" t="s">
        <v>1477</v>
      </c>
      <c r="T1155" s="197">
        <f t="shared" si="82"/>
        <v>400</v>
      </c>
      <c r="U1155" s="193" t="s">
        <v>175</v>
      </c>
      <c r="V1155" s="193" t="str">
        <f t="shared" si="83"/>
        <v>Gowa</v>
      </c>
      <c r="AP1155" s="3" t="s">
        <v>1652</v>
      </c>
    </row>
    <row r="1156" spans="2:42" ht="15" customHeight="1" x14ac:dyDescent="0.2">
      <c r="B1156" s="193">
        <v>1</v>
      </c>
      <c r="C1156" s="347" t="s">
        <v>1581</v>
      </c>
      <c r="D1156" s="347" t="str">
        <f t="shared" si="84"/>
        <v>RBDPL001040BJL</v>
      </c>
      <c r="E1156" s="193" t="s">
        <v>1498</v>
      </c>
      <c r="F1156" s="193" t="s">
        <v>1363</v>
      </c>
      <c r="G1156" s="193" t="s">
        <v>1657</v>
      </c>
      <c r="H1156" s="193" t="s">
        <v>86</v>
      </c>
      <c r="I1156" s="193" t="s">
        <v>3</v>
      </c>
      <c r="J1156" s="193" t="str">
        <f t="shared" si="85"/>
        <v>6 Roda</v>
      </c>
      <c r="K1156" s="194">
        <v>46139</v>
      </c>
      <c r="L1156" s="195">
        <v>4040</v>
      </c>
      <c r="M1156" s="195">
        <v>13080</v>
      </c>
      <c r="N1156" s="195">
        <v>9040</v>
      </c>
      <c r="O1156" s="195"/>
      <c r="P1156" s="196">
        <v>0.45624999999999999</v>
      </c>
      <c r="Q1156" s="196">
        <v>0.48055555555555557</v>
      </c>
      <c r="R1156" s="193" t="s">
        <v>137</v>
      </c>
      <c r="S1156" s="193" t="s">
        <v>1466</v>
      </c>
      <c r="T1156" s="197">
        <f t="shared" si="82"/>
        <v>562</v>
      </c>
      <c r="U1156" s="193" t="s">
        <v>175</v>
      </c>
      <c r="V1156" s="193" t="str">
        <f t="shared" si="83"/>
        <v>Palu</v>
      </c>
      <c r="AP1156" s="3" t="s">
        <v>1657</v>
      </c>
    </row>
    <row r="1157" spans="2:42" ht="15" customHeight="1" x14ac:dyDescent="0.2">
      <c r="B1157" s="193">
        <v>1</v>
      </c>
      <c r="C1157" s="347" t="s">
        <v>1582</v>
      </c>
      <c r="D1157" s="347" t="str">
        <f t="shared" si="84"/>
        <v>RBDPL001045BJL</v>
      </c>
      <c r="E1157" s="193" t="s">
        <v>174</v>
      </c>
      <c r="F1157" s="193" t="s">
        <v>1363</v>
      </c>
      <c r="G1157" s="193" t="s">
        <v>1657</v>
      </c>
      <c r="H1157" s="193" t="s">
        <v>86</v>
      </c>
      <c r="I1157" s="193" t="s">
        <v>3</v>
      </c>
      <c r="J1157" s="193" t="str">
        <f t="shared" si="85"/>
        <v>6 Roda</v>
      </c>
      <c r="K1157" s="194">
        <v>46139</v>
      </c>
      <c r="L1157" s="195">
        <v>4290</v>
      </c>
      <c r="M1157" s="195">
        <v>13460</v>
      </c>
      <c r="N1157" s="195">
        <v>9170</v>
      </c>
      <c r="O1157" s="195"/>
      <c r="P1157" s="196">
        <v>0.5625</v>
      </c>
      <c r="Q1157" s="196">
        <v>0.5854166666666667</v>
      </c>
      <c r="R1157" s="193" t="s">
        <v>137</v>
      </c>
      <c r="S1157" s="193" t="s">
        <v>1465</v>
      </c>
      <c r="T1157" s="197">
        <f t="shared" si="82"/>
        <v>562</v>
      </c>
      <c r="U1157" s="193" t="s">
        <v>175</v>
      </c>
      <c r="V1157" s="193" t="str">
        <f t="shared" si="83"/>
        <v>Palu</v>
      </c>
      <c r="AP1157" s="3" t="s">
        <v>1657</v>
      </c>
    </row>
    <row r="1158" spans="2:42" ht="15" customHeight="1" x14ac:dyDescent="0.2">
      <c r="B1158" s="193">
        <v>1</v>
      </c>
      <c r="C1158" s="347" t="s">
        <v>1583</v>
      </c>
      <c r="D1158" s="347" t="str">
        <f t="shared" si="84"/>
        <v>RBDPL001046BJL</v>
      </c>
      <c r="E1158" s="193" t="s">
        <v>1584</v>
      </c>
      <c r="F1158" s="193" t="s">
        <v>1363</v>
      </c>
      <c r="G1158" s="193" t="s">
        <v>1657</v>
      </c>
      <c r="H1158" s="193" t="s">
        <v>86</v>
      </c>
      <c r="I1158" s="193" t="s">
        <v>3</v>
      </c>
      <c r="J1158" s="193" t="str">
        <f t="shared" si="85"/>
        <v>6 Roda</v>
      </c>
      <c r="K1158" s="194">
        <v>46139</v>
      </c>
      <c r="L1158" s="195">
        <v>4580</v>
      </c>
      <c r="M1158" s="195">
        <v>14660</v>
      </c>
      <c r="N1158" s="195">
        <v>10080</v>
      </c>
      <c r="O1158" s="195"/>
      <c r="P1158" s="196">
        <v>0.56527777777777777</v>
      </c>
      <c r="Q1158" s="196">
        <v>0.82361111111111107</v>
      </c>
      <c r="R1158" s="193" t="s">
        <v>137</v>
      </c>
      <c r="S1158" s="193" t="s">
        <v>1738</v>
      </c>
      <c r="T1158" s="197">
        <f t="shared" si="82"/>
        <v>562</v>
      </c>
      <c r="U1158" s="193" t="s">
        <v>175</v>
      </c>
      <c r="V1158" s="193" t="str">
        <f t="shared" si="83"/>
        <v>Palu</v>
      </c>
      <c r="AP1158" s="3" t="s">
        <v>1657</v>
      </c>
    </row>
    <row r="1159" spans="2:42" ht="15" customHeight="1" x14ac:dyDescent="0.2">
      <c r="B1159" s="193">
        <v>1</v>
      </c>
      <c r="C1159" s="347" t="s">
        <v>1585</v>
      </c>
      <c r="D1159" s="347" t="str">
        <f t="shared" si="84"/>
        <v>RBDPL001050BJL</v>
      </c>
      <c r="E1159" s="193" t="s">
        <v>830</v>
      </c>
      <c r="F1159" s="193" t="s">
        <v>1363</v>
      </c>
      <c r="G1159" s="193" t="s">
        <v>1657</v>
      </c>
      <c r="H1159" s="193" t="s">
        <v>86</v>
      </c>
      <c r="I1159" s="193" t="s">
        <v>3</v>
      </c>
      <c r="J1159" s="193" t="str">
        <f t="shared" si="85"/>
        <v>6 Roda</v>
      </c>
      <c r="K1159" s="194">
        <v>46139</v>
      </c>
      <c r="L1159" s="195">
        <v>4100</v>
      </c>
      <c r="M1159" s="195">
        <v>13280</v>
      </c>
      <c r="N1159" s="195">
        <v>9180</v>
      </c>
      <c r="O1159" s="195"/>
      <c r="P1159" s="196">
        <v>0.73611111111111116</v>
      </c>
      <c r="Q1159" s="196">
        <v>0.75416666666666676</v>
      </c>
      <c r="R1159" s="193" t="s">
        <v>42</v>
      </c>
      <c r="S1159" s="193" t="s">
        <v>1618</v>
      </c>
      <c r="T1159" s="197">
        <f t="shared" si="82"/>
        <v>562</v>
      </c>
      <c r="U1159" s="193" t="s">
        <v>175</v>
      </c>
      <c r="V1159" s="193" t="str">
        <f t="shared" si="83"/>
        <v>Palu</v>
      </c>
      <c r="AP1159" s="3" t="s">
        <v>1657</v>
      </c>
    </row>
    <row r="1160" spans="2:42" ht="15" customHeight="1" x14ac:dyDescent="0.2">
      <c r="B1160" s="193">
        <v>1</v>
      </c>
      <c r="C1160" s="347" t="s">
        <v>1586</v>
      </c>
      <c r="D1160" s="347" t="str">
        <f t="shared" si="84"/>
        <v>RBDPL001051BJL</v>
      </c>
      <c r="E1160" s="193" t="s">
        <v>174</v>
      </c>
      <c r="F1160" s="193" t="s">
        <v>1363</v>
      </c>
      <c r="G1160" s="193" t="s">
        <v>1657</v>
      </c>
      <c r="H1160" s="193" t="s">
        <v>86</v>
      </c>
      <c r="I1160" s="193" t="s">
        <v>3</v>
      </c>
      <c r="J1160" s="193" t="str">
        <f t="shared" si="85"/>
        <v>6 Roda</v>
      </c>
      <c r="K1160" s="194">
        <v>46139</v>
      </c>
      <c r="L1160" s="195">
        <v>4290</v>
      </c>
      <c r="M1160" s="195">
        <v>13450</v>
      </c>
      <c r="N1160" s="195">
        <v>9160</v>
      </c>
      <c r="O1160" s="195"/>
      <c r="P1160" s="196">
        <v>0.77361111111111114</v>
      </c>
      <c r="Q1160" s="196">
        <v>0.80138888888888893</v>
      </c>
      <c r="R1160" s="193" t="s">
        <v>42</v>
      </c>
      <c r="S1160" s="193" t="s">
        <v>1465</v>
      </c>
      <c r="T1160" s="197">
        <f t="shared" si="82"/>
        <v>562</v>
      </c>
      <c r="U1160" s="193" t="s">
        <v>175</v>
      </c>
      <c r="V1160" s="193" t="str">
        <f t="shared" si="83"/>
        <v>Palu</v>
      </c>
      <c r="AP1160" s="3" t="s">
        <v>1657</v>
      </c>
    </row>
    <row r="1161" spans="2:42" ht="15" customHeight="1" x14ac:dyDescent="0.2">
      <c r="B1161" s="193">
        <v>1</v>
      </c>
      <c r="C1161" s="347" t="s">
        <v>1587</v>
      </c>
      <c r="D1161" s="347" t="str">
        <f t="shared" si="84"/>
        <v>RBDPL001042HSA</v>
      </c>
      <c r="E1161" s="193" t="s">
        <v>938</v>
      </c>
      <c r="F1161" s="193" t="s">
        <v>1481</v>
      </c>
      <c r="G1161" s="193" t="s">
        <v>1647</v>
      </c>
      <c r="H1161" s="193" t="s">
        <v>103</v>
      </c>
      <c r="I1161" s="193" t="s">
        <v>3</v>
      </c>
      <c r="J1161" s="193" t="str">
        <f t="shared" si="85"/>
        <v>6 Roda</v>
      </c>
      <c r="K1161" s="194">
        <v>46139</v>
      </c>
      <c r="L1161" s="195">
        <v>4010</v>
      </c>
      <c r="M1161" s="195">
        <v>13500</v>
      </c>
      <c r="N1161" s="195">
        <v>9490</v>
      </c>
      <c r="O1161" s="195"/>
      <c r="P1161" s="196">
        <v>0.49791666666666662</v>
      </c>
      <c r="Q1161" s="196">
        <v>0.52569444444444446</v>
      </c>
      <c r="R1161" s="193" t="s">
        <v>137</v>
      </c>
      <c r="S1161" s="193" t="s">
        <v>1384</v>
      </c>
      <c r="T1161" s="197">
        <f t="shared" si="82"/>
        <v>360</v>
      </c>
      <c r="U1161" s="193" t="s">
        <v>932</v>
      </c>
      <c r="V1161" s="193" t="str">
        <f t="shared" si="83"/>
        <v>Makassar</v>
      </c>
      <c r="AP1161" s="3" t="s">
        <v>1647</v>
      </c>
    </row>
    <row r="1162" spans="2:42" ht="15" customHeight="1" x14ac:dyDescent="0.2">
      <c r="B1162" s="193">
        <v>1</v>
      </c>
      <c r="C1162" s="347" t="s">
        <v>1588</v>
      </c>
      <c r="D1162" s="347" t="str">
        <f t="shared" si="84"/>
        <v>RBDPL001044HSA</v>
      </c>
      <c r="E1162" s="193" t="s">
        <v>934</v>
      </c>
      <c r="F1162" s="193" t="s">
        <v>1481</v>
      </c>
      <c r="G1162" s="193" t="s">
        <v>1647</v>
      </c>
      <c r="H1162" s="193" t="s">
        <v>103</v>
      </c>
      <c r="I1162" s="193" t="s">
        <v>3</v>
      </c>
      <c r="J1162" s="193" t="str">
        <f t="shared" si="85"/>
        <v>6 Roda</v>
      </c>
      <c r="K1162" s="194">
        <v>46139</v>
      </c>
      <c r="L1162" s="195">
        <v>3910</v>
      </c>
      <c r="M1162" s="195">
        <v>13230</v>
      </c>
      <c r="N1162" s="195">
        <v>9320</v>
      </c>
      <c r="O1162" s="195"/>
      <c r="P1162" s="196">
        <v>0.52083333333333337</v>
      </c>
      <c r="Q1162" s="196">
        <v>0.55972222222222223</v>
      </c>
      <c r="R1162" s="193" t="s">
        <v>137</v>
      </c>
      <c r="S1162" s="193" t="s">
        <v>1382</v>
      </c>
      <c r="T1162" s="197">
        <f t="shared" si="82"/>
        <v>360</v>
      </c>
      <c r="U1162" s="193" t="s">
        <v>932</v>
      </c>
      <c r="V1162" s="193" t="str">
        <f t="shared" si="83"/>
        <v>Makassar</v>
      </c>
      <c r="AP1162" s="3" t="s">
        <v>1647</v>
      </c>
    </row>
    <row r="1163" spans="2:42" ht="15" customHeight="1" x14ac:dyDescent="0.2">
      <c r="B1163" s="193">
        <v>1</v>
      </c>
      <c r="C1163" s="347" t="s">
        <v>1589</v>
      </c>
      <c r="D1163" s="347" t="str">
        <f t="shared" si="84"/>
        <v>RBDPL001047PUP</v>
      </c>
      <c r="E1163" s="193" t="s">
        <v>76</v>
      </c>
      <c r="F1163" s="193" t="s">
        <v>1682</v>
      </c>
      <c r="G1163" s="193" t="s">
        <v>1689</v>
      </c>
      <c r="H1163" s="193" t="s">
        <v>1590</v>
      </c>
      <c r="I1163" s="193" t="s">
        <v>3</v>
      </c>
      <c r="J1163" s="193" t="str">
        <f t="shared" si="85"/>
        <v>12 Roda</v>
      </c>
      <c r="K1163" s="194">
        <v>46139</v>
      </c>
      <c r="L1163" s="195">
        <v>17470</v>
      </c>
      <c r="M1163" s="195">
        <v>46380</v>
      </c>
      <c r="N1163" s="195">
        <v>28910</v>
      </c>
      <c r="O1163" s="195"/>
      <c r="P1163" s="196">
        <v>0.58402777777777781</v>
      </c>
      <c r="Q1163" s="196">
        <v>0.61388888888888882</v>
      </c>
      <c r="R1163" s="193" t="s">
        <v>137</v>
      </c>
      <c r="S1163" s="193" t="s">
        <v>1372</v>
      </c>
      <c r="T1163" s="197">
        <f t="shared" si="82"/>
        <v>642</v>
      </c>
      <c r="U1163" s="193" t="s">
        <v>69</v>
      </c>
      <c r="V1163" s="193" t="str">
        <f t="shared" si="83"/>
        <v>Torobulu</v>
      </c>
      <c r="AP1163" s="3" t="s">
        <v>1689</v>
      </c>
    </row>
    <row r="1164" spans="2:42" ht="15" customHeight="1" x14ac:dyDescent="0.2">
      <c r="B1164" s="193">
        <v>1</v>
      </c>
      <c r="C1164" s="347" t="s">
        <v>1591</v>
      </c>
      <c r="D1164" s="347" t="str">
        <f t="shared" si="84"/>
        <v>RBDPL001048TDJ</v>
      </c>
      <c r="E1164" s="193" t="s">
        <v>70</v>
      </c>
      <c r="F1164" s="193" t="s">
        <v>1683</v>
      </c>
      <c r="G1164" s="193" t="s">
        <v>1690</v>
      </c>
      <c r="H1164" s="193" t="s">
        <v>1523</v>
      </c>
      <c r="I1164" s="193" t="s">
        <v>3</v>
      </c>
      <c r="J1164" s="193" t="str">
        <f t="shared" si="85"/>
        <v>12 Roda</v>
      </c>
      <c r="K1164" s="194">
        <v>46139</v>
      </c>
      <c r="L1164" s="195">
        <v>17180</v>
      </c>
      <c r="M1164" s="195">
        <v>46040</v>
      </c>
      <c r="N1164" s="195">
        <v>28860</v>
      </c>
      <c r="O1164" s="195"/>
      <c r="P1164" s="196">
        <v>0.59027777777777779</v>
      </c>
      <c r="Q1164" s="196">
        <v>0.64444444444444449</v>
      </c>
      <c r="R1164" s="193" t="s">
        <v>137</v>
      </c>
      <c r="S1164" s="193" t="s">
        <v>1499</v>
      </c>
      <c r="T1164" s="197">
        <f t="shared" si="82"/>
        <v>473</v>
      </c>
      <c r="U1164" s="193" t="s">
        <v>69</v>
      </c>
      <c r="V1164" s="193" t="str">
        <f t="shared" si="83"/>
        <v>Siumbatu</v>
      </c>
      <c r="AP1164" s="3" t="s">
        <v>1690</v>
      </c>
    </row>
    <row r="1165" spans="2:42" ht="15" customHeight="1" x14ac:dyDescent="0.2">
      <c r="B1165" s="193">
        <v>1</v>
      </c>
      <c r="C1165" s="347" t="s">
        <v>309</v>
      </c>
      <c r="D1165" s="347" t="str">
        <f t="shared" si="84"/>
        <v>CPO000167JAS</v>
      </c>
      <c r="E1165" s="193" t="s">
        <v>1047</v>
      </c>
      <c r="F1165" s="193" t="s">
        <v>1726</v>
      </c>
      <c r="G1165" s="193" t="s">
        <v>1594</v>
      </c>
      <c r="H1165" s="193" t="s">
        <v>49</v>
      </c>
      <c r="I1165" s="193" t="s">
        <v>41</v>
      </c>
      <c r="J1165" s="193" t="str">
        <f t="shared" si="85"/>
        <v>6 Roda</v>
      </c>
      <c r="K1165" s="194">
        <v>46140</v>
      </c>
      <c r="L1165" s="195">
        <v>13620</v>
      </c>
      <c r="M1165" s="195">
        <v>4010</v>
      </c>
      <c r="N1165" s="195">
        <v>9610</v>
      </c>
      <c r="O1165" s="195">
        <v>9600</v>
      </c>
      <c r="P1165" s="196">
        <v>0.84236111111111101</v>
      </c>
      <c r="Q1165" s="196">
        <v>0.86388888888888893</v>
      </c>
      <c r="R1165" s="193" t="s">
        <v>1221</v>
      </c>
      <c r="S1165" s="193"/>
      <c r="T1165" s="197">
        <f t="shared" si="82"/>
        <v>68</v>
      </c>
      <c r="U1165" s="193"/>
      <c r="V1165" s="193" t="s">
        <v>68</v>
      </c>
      <c r="AP1165" s="3" t="s">
        <v>1594</v>
      </c>
    </row>
    <row r="1166" spans="2:42" ht="15" customHeight="1" x14ac:dyDescent="0.2">
      <c r="B1166" s="193">
        <v>1</v>
      </c>
      <c r="C1166" s="347" t="s">
        <v>308</v>
      </c>
      <c r="D1166" s="347" t="str">
        <f t="shared" si="84"/>
        <v>CPO000166JAS</v>
      </c>
      <c r="E1166" s="193" t="s">
        <v>158</v>
      </c>
      <c r="F1166" s="193" t="s">
        <v>1726</v>
      </c>
      <c r="G1166" s="193" t="s">
        <v>1594</v>
      </c>
      <c r="H1166" s="193" t="s">
        <v>49</v>
      </c>
      <c r="I1166" s="193" t="s">
        <v>41</v>
      </c>
      <c r="J1166" s="193" t="str">
        <f t="shared" si="85"/>
        <v>6 Roda</v>
      </c>
      <c r="K1166" s="194">
        <v>46140</v>
      </c>
      <c r="L1166" s="195">
        <v>13830</v>
      </c>
      <c r="M1166" s="195">
        <v>3860</v>
      </c>
      <c r="N1166" s="195">
        <v>9970</v>
      </c>
      <c r="O1166" s="195">
        <v>10020</v>
      </c>
      <c r="P1166" s="196">
        <v>0.75763888888888886</v>
      </c>
      <c r="Q1166" s="196">
        <v>0.78055555555555556</v>
      </c>
      <c r="R1166" s="193" t="s">
        <v>1221</v>
      </c>
      <c r="S1166" s="193"/>
      <c r="T1166" s="197">
        <f t="shared" si="82"/>
        <v>68</v>
      </c>
      <c r="U1166" s="193"/>
      <c r="V1166" s="193" t="s">
        <v>68</v>
      </c>
      <c r="AP1166" s="3" t="s">
        <v>1594</v>
      </c>
    </row>
    <row r="1167" spans="2:42" ht="15" customHeight="1" x14ac:dyDescent="0.2">
      <c r="B1167" s="193">
        <v>1</v>
      </c>
      <c r="C1167" s="347" t="s">
        <v>307</v>
      </c>
      <c r="D1167" s="347" t="str">
        <f t="shared" si="84"/>
        <v>CPO000165JAS</v>
      </c>
      <c r="E1167" s="193" t="s">
        <v>1268</v>
      </c>
      <c r="F1167" s="193" t="s">
        <v>1726</v>
      </c>
      <c r="G1167" s="193" t="s">
        <v>1594</v>
      </c>
      <c r="H1167" s="193" t="s">
        <v>49</v>
      </c>
      <c r="I1167" s="193" t="s">
        <v>41</v>
      </c>
      <c r="J1167" s="193" t="str">
        <f t="shared" si="85"/>
        <v>6 Roda</v>
      </c>
      <c r="K1167" s="194">
        <v>46140</v>
      </c>
      <c r="L1167" s="195">
        <v>13600</v>
      </c>
      <c r="M1167" s="195">
        <v>3960</v>
      </c>
      <c r="N1167" s="195">
        <v>9640</v>
      </c>
      <c r="O1167" s="195">
        <v>9660</v>
      </c>
      <c r="P1167" s="196">
        <v>0.75277777777777777</v>
      </c>
      <c r="Q1167" s="196">
        <v>0.7715277777777777</v>
      </c>
      <c r="R1167" s="193" t="s">
        <v>1221</v>
      </c>
      <c r="S1167" s="193"/>
      <c r="T1167" s="197">
        <f t="shared" si="82"/>
        <v>68</v>
      </c>
      <c r="U1167" s="193"/>
      <c r="V1167" s="193" t="s">
        <v>68</v>
      </c>
      <c r="AP1167" s="3" t="s">
        <v>1594</v>
      </c>
    </row>
    <row r="1168" spans="2:42" ht="15" customHeight="1" x14ac:dyDescent="0.2">
      <c r="B1168" s="193">
        <v>1</v>
      </c>
      <c r="C1168" s="347" t="s">
        <v>306</v>
      </c>
      <c r="D1168" s="347" t="str">
        <f t="shared" si="84"/>
        <v>CPO000164JAS</v>
      </c>
      <c r="E1168" s="193" t="s">
        <v>1276</v>
      </c>
      <c r="F1168" s="193" t="s">
        <v>1726</v>
      </c>
      <c r="G1168" s="193" t="s">
        <v>1594</v>
      </c>
      <c r="H1168" s="193" t="s">
        <v>49</v>
      </c>
      <c r="I1168" s="193" t="s">
        <v>41</v>
      </c>
      <c r="J1168" s="193" t="str">
        <f t="shared" si="85"/>
        <v>6 Roda</v>
      </c>
      <c r="K1168" s="194">
        <v>46140</v>
      </c>
      <c r="L1168" s="195">
        <v>13930</v>
      </c>
      <c r="M1168" s="195">
        <v>4000</v>
      </c>
      <c r="N1168" s="195">
        <v>9930</v>
      </c>
      <c r="O1168" s="195">
        <v>9960</v>
      </c>
      <c r="P1168" s="196">
        <v>0.75138888888888899</v>
      </c>
      <c r="Q1168" s="196">
        <v>0.77361111111111114</v>
      </c>
      <c r="R1168" s="193" t="s">
        <v>1221</v>
      </c>
      <c r="S1168" s="193"/>
      <c r="T1168" s="197">
        <f t="shared" si="82"/>
        <v>68</v>
      </c>
      <c r="U1168" s="193"/>
      <c r="V1168" s="193" t="s">
        <v>68</v>
      </c>
      <c r="AP1168" s="3" t="s">
        <v>1594</v>
      </c>
    </row>
    <row r="1169" spans="2:42" ht="15" customHeight="1" x14ac:dyDescent="0.2">
      <c r="B1169" s="193">
        <v>1</v>
      </c>
      <c r="C1169" s="347" t="s">
        <v>305</v>
      </c>
      <c r="D1169" s="347" t="str">
        <f t="shared" si="84"/>
        <v>CPO000163JAS</v>
      </c>
      <c r="E1169" s="193" t="s">
        <v>163</v>
      </c>
      <c r="F1169" s="193" t="s">
        <v>1726</v>
      </c>
      <c r="G1169" s="193" t="s">
        <v>1594</v>
      </c>
      <c r="H1169" s="193" t="s">
        <v>49</v>
      </c>
      <c r="I1169" s="193" t="s">
        <v>41</v>
      </c>
      <c r="J1169" s="193" t="str">
        <f t="shared" si="85"/>
        <v>6 Roda</v>
      </c>
      <c r="K1169" s="194">
        <v>46140</v>
      </c>
      <c r="L1169" s="195">
        <v>13980</v>
      </c>
      <c r="M1169" s="195">
        <v>3910</v>
      </c>
      <c r="N1169" s="195">
        <v>10070</v>
      </c>
      <c r="O1169" s="195">
        <v>10060</v>
      </c>
      <c r="P1169" s="196">
        <v>0.73125000000000007</v>
      </c>
      <c r="Q1169" s="196">
        <v>0.75</v>
      </c>
      <c r="R1169" s="193" t="s">
        <v>1221</v>
      </c>
      <c r="S1169" s="193"/>
      <c r="T1169" s="197">
        <f t="shared" si="82"/>
        <v>68</v>
      </c>
      <c r="U1169" s="193"/>
      <c r="V1169" s="193" t="s">
        <v>68</v>
      </c>
      <c r="AP1169" s="3" t="s">
        <v>1594</v>
      </c>
    </row>
    <row r="1170" spans="2:42" ht="15" customHeight="1" x14ac:dyDescent="0.2">
      <c r="B1170" s="193">
        <v>1</v>
      </c>
      <c r="C1170" s="347" t="s">
        <v>304</v>
      </c>
      <c r="D1170" s="347" t="str">
        <f t="shared" si="84"/>
        <v>CPO000162JAS</v>
      </c>
      <c r="E1170" s="193" t="s">
        <v>153</v>
      </c>
      <c r="F1170" s="193" t="s">
        <v>1726</v>
      </c>
      <c r="G1170" s="193" t="s">
        <v>1594</v>
      </c>
      <c r="H1170" s="193" t="s">
        <v>49</v>
      </c>
      <c r="I1170" s="193" t="s">
        <v>41</v>
      </c>
      <c r="J1170" s="193" t="str">
        <f t="shared" si="85"/>
        <v>6 Roda</v>
      </c>
      <c r="K1170" s="194">
        <v>46140</v>
      </c>
      <c r="L1170" s="195">
        <v>13630</v>
      </c>
      <c r="M1170" s="195">
        <v>4030</v>
      </c>
      <c r="N1170" s="195">
        <v>9600</v>
      </c>
      <c r="O1170" s="195">
        <v>9580</v>
      </c>
      <c r="P1170" s="196">
        <v>0.7090277777777777</v>
      </c>
      <c r="Q1170" s="196">
        <v>0.74722222222222223</v>
      </c>
      <c r="R1170" s="193" t="s">
        <v>1221</v>
      </c>
      <c r="S1170" s="193"/>
      <c r="T1170" s="197">
        <f t="shared" si="82"/>
        <v>68</v>
      </c>
      <c r="U1170" s="193"/>
      <c r="V1170" s="193" t="s">
        <v>68</v>
      </c>
      <c r="AP1170" s="3" t="s">
        <v>1594</v>
      </c>
    </row>
    <row r="1171" spans="2:42" ht="15" customHeight="1" x14ac:dyDescent="0.2">
      <c r="B1171" s="193">
        <v>1</v>
      </c>
      <c r="C1171" s="347" t="s">
        <v>319</v>
      </c>
      <c r="D1171" s="347" t="str">
        <f t="shared" ref="D1171:D1202" si="86">I1171&amp;C1171&amp;_xlfn.XLOOKUP(H1171,$AM$4:$AM$24,$AN$4:$AN$24,"")</f>
        <v>CPO000177JAS</v>
      </c>
      <c r="E1171" s="193" t="s">
        <v>1268</v>
      </c>
      <c r="F1171" s="193" t="s">
        <v>1726</v>
      </c>
      <c r="G1171" s="193" t="s">
        <v>1594</v>
      </c>
      <c r="H1171" s="193" t="s">
        <v>49</v>
      </c>
      <c r="I1171" s="193" t="s">
        <v>41</v>
      </c>
      <c r="J1171" s="193" t="str">
        <f t="shared" si="85"/>
        <v>6 Roda</v>
      </c>
      <c r="K1171" s="194">
        <v>46140</v>
      </c>
      <c r="L1171" s="195">
        <v>13570</v>
      </c>
      <c r="M1171" s="195">
        <v>3930</v>
      </c>
      <c r="N1171" s="195">
        <v>9640</v>
      </c>
      <c r="O1171" s="195">
        <v>9560</v>
      </c>
      <c r="P1171" s="196">
        <v>4.2361111111111106E-2</v>
      </c>
      <c r="Q1171" s="196">
        <v>7.9861111111111105E-2</v>
      </c>
      <c r="R1171" s="193" t="s">
        <v>1221</v>
      </c>
      <c r="S1171" s="193"/>
      <c r="T1171" s="197">
        <f t="shared" si="82"/>
        <v>68</v>
      </c>
      <c r="U1171" s="193"/>
      <c r="V1171" s="193" t="s">
        <v>68</v>
      </c>
      <c r="AP1171" s="3" t="s">
        <v>1594</v>
      </c>
    </row>
    <row r="1172" spans="2:42" ht="15" customHeight="1" x14ac:dyDescent="0.2">
      <c r="B1172" s="193">
        <v>1</v>
      </c>
      <c r="C1172" s="347" t="s">
        <v>318</v>
      </c>
      <c r="D1172" s="347" t="str">
        <f t="shared" si="86"/>
        <v>CPO000176JAS</v>
      </c>
      <c r="E1172" s="193" t="s">
        <v>1276</v>
      </c>
      <c r="F1172" s="193" t="s">
        <v>1726</v>
      </c>
      <c r="G1172" s="193" t="s">
        <v>1594</v>
      </c>
      <c r="H1172" s="193" t="s">
        <v>49</v>
      </c>
      <c r="I1172" s="193" t="s">
        <v>41</v>
      </c>
      <c r="J1172" s="193" t="str">
        <f t="shared" si="85"/>
        <v>6 Roda</v>
      </c>
      <c r="K1172" s="194">
        <v>46140</v>
      </c>
      <c r="L1172" s="195">
        <v>13930</v>
      </c>
      <c r="M1172" s="195">
        <v>3970</v>
      </c>
      <c r="N1172" s="195">
        <v>9960</v>
      </c>
      <c r="O1172" s="195">
        <v>9890</v>
      </c>
      <c r="P1172" s="196">
        <v>4.0972222222222222E-2</v>
      </c>
      <c r="Q1172" s="196">
        <v>8.1944444444444445E-2</v>
      </c>
      <c r="R1172" s="193" t="s">
        <v>1221</v>
      </c>
      <c r="S1172" s="193"/>
      <c r="T1172" s="197">
        <f t="shared" si="82"/>
        <v>68</v>
      </c>
      <c r="U1172" s="193"/>
      <c r="V1172" s="193" t="s">
        <v>68</v>
      </c>
      <c r="AP1172" s="3" t="s">
        <v>1594</v>
      </c>
    </row>
    <row r="1173" spans="2:42" ht="15" customHeight="1" x14ac:dyDescent="0.2">
      <c r="B1173" s="193">
        <v>1</v>
      </c>
      <c r="C1173" s="347" t="s">
        <v>317</v>
      </c>
      <c r="D1173" s="347" t="str">
        <f t="shared" si="86"/>
        <v>CPO000175JAS</v>
      </c>
      <c r="E1173" s="193" t="s">
        <v>153</v>
      </c>
      <c r="F1173" s="193" t="s">
        <v>1726</v>
      </c>
      <c r="G1173" s="193" t="s">
        <v>1594</v>
      </c>
      <c r="H1173" s="193" t="s">
        <v>49</v>
      </c>
      <c r="I1173" s="193" t="s">
        <v>41</v>
      </c>
      <c r="J1173" s="193" t="str">
        <f t="shared" si="85"/>
        <v>6 Roda</v>
      </c>
      <c r="K1173" s="194">
        <v>46140</v>
      </c>
      <c r="L1173" s="195">
        <v>13620</v>
      </c>
      <c r="M1173" s="195">
        <v>4050</v>
      </c>
      <c r="N1173" s="195">
        <v>9570</v>
      </c>
      <c r="O1173" s="195">
        <v>9540</v>
      </c>
      <c r="P1173" s="196">
        <v>3.6805555555555557E-2</v>
      </c>
      <c r="Q1173" s="196">
        <v>6.3888888888888884E-2</v>
      </c>
      <c r="R1173" s="193" t="s">
        <v>1221</v>
      </c>
      <c r="S1173" s="193"/>
      <c r="T1173" s="197">
        <f t="shared" si="82"/>
        <v>68</v>
      </c>
      <c r="U1173" s="193"/>
      <c r="V1173" s="193" t="s">
        <v>68</v>
      </c>
      <c r="AP1173" s="3" t="s">
        <v>1594</v>
      </c>
    </row>
    <row r="1174" spans="2:42" ht="15" customHeight="1" x14ac:dyDescent="0.2">
      <c r="B1174" s="193">
        <v>1</v>
      </c>
      <c r="C1174" s="347" t="s">
        <v>316</v>
      </c>
      <c r="D1174" s="347" t="str">
        <f t="shared" si="86"/>
        <v>CPO000174JAS</v>
      </c>
      <c r="E1174" s="193" t="s">
        <v>163</v>
      </c>
      <c r="F1174" s="193" t="s">
        <v>1726</v>
      </c>
      <c r="G1174" s="193" t="s">
        <v>1594</v>
      </c>
      <c r="H1174" s="193" t="s">
        <v>49</v>
      </c>
      <c r="I1174" s="193" t="s">
        <v>41</v>
      </c>
      <c r="J1174" s="193" t="str">
        <f t="shared" ref="J1174:J1205" si="87">IF(MIN(L1174,M1174)&lt;=5000,"6 Roda",IF(MIN(L1174,M1174)&lt;=13800,"10 Roda","12 Roda"))</f>
        <v>6 Roda</v>
      </c>
      <c r="K1174" s="194">
        <v>46140</v>
      </c>
      <c r="L1174" s="195">
        <v>13940</v>
      </c>
      <c r="M1174" s="195">
        <v>3890</v>
      </c>
      <c r="N1174" s="195">
        <v>10050</v>
      </c>
      <c r="O1174" s="195">
        <v>10000</v>
      </c>
      <c r="P1174" s="196">
        <v>3.4722222222222224E-2</v>
      </c>
      <c r="Q1174" s="196">
        <v>5.6944444444444443E-2</v>
      </c>
      <c r="R1174" s="193" t="s">
        <v>1221</v>
      </c>
      <c r="S1174" s="193"/>
      <c r="T1174" s="197">
        <f t="shared" si="82"/>
        <v>68</v>
      </c>
      <c r="U1174" s="193"/>
      <c r="V1174" s="193" t="s">
        <v>68</v>
      </c>
      <c r="AP1174" s="3" t="s">
        <v>1594</v>
      </c>
    </row>
    <row r="1175" spans="2:42" ht="15" customHeight="1" x14ac:dyDescent="0.2">
      <c r="B1175" s="193">
        <v>1</v>
      </c>
      <c r="C1175" s="347" t="s">
        <v>315</v>
      </c>
      <c r="D1175" s="347" t="str">
        <f t="shared" si="86"/>
        <v>CPO000173JAS</v>
      </c>
      <c r="E1175" s="193" t="s">
        <v>158</v>
      </c>
      <c r="F1175" s="193" t="s">
        <v>1726</v>
      </c>
      <c r="G1175" s="193" t="s">
        <v>1594</v>
      </c>
      <c r="H1175" s="193" t="s">
        <v>49</v>
      </c>
      <c r="I1175" s="193" t="s">
        <v>41</v>
      </c>
      <c r="J1175" s="193" t="str">
        <f t="shared" si="87"/>
        <v>6 Roda</v>
      </c>
      <c r="K1175" s="194">
        <v>46140</v>
      </c>
      <c r="L1175" s="195">
        <v>13810</v>
      </c>
      <c r="M1175" s="195">
        <v>3780</v>
      </c>
      <c r="N1175" s="195">
        <v>10030</v>
      </c>
      <c r="O1175" s="195">
        <v>9930</v>
      </c>
      <c r="P1175" s="196">
        <v>3.3333333333333333E-2</v>
      </c>
      <c r="Q1175" s="196">
        <v>6.1111111111111116E-2</v>
      </c>
      <c r="R1175" s="193" t="s">
        <v>1221</v>
      </c>
      <c r="S1175" s="193"/>
      <c r="T1175" s="197">
        <f t="shared" si="82"/>
        <v>68</v>
      </c>
      <c r="U1175" s="193"/>
      <c r="V1175" s="193" t="s">
        <v>68</v>
      </c>
      <c r="AP1175" s="3" t="s">
        <v>1594</v>
      </c>
    </row>
    <row r="1176" spans="2:42" ht="15" customHeight="1" x14ac:dyDescent="0.2">
      <c r="B1176" s="193">
        <v>1</v>
      </c>
      <c r="C1176" s="347" t="s">
        <v>314</v>
      </c>
      <c r="D1176" s="347" t="str">
        <f t="shared" si="86"/>
        <v>CPO000172JAS</v>
      </c>
      <c r="E1176" s="193" t="s">
        <v>194</v>
      </c>
      <c r="F1176" s="193" t="s">
        <v>1726</v>
      </c>
      <c r="G1176" s="193" t="s">
        <v>1594</v>
      </c>
      <c r="H1176" s="193" t="s">
        <v>49</v>
      </c>
      <c r="I1176" s="193" t="s">
        <v>41</v>
      </c>
      <c r="J1176" s="193" t="str">
        <f t="shared" si="87"/>
        <v>6 Roda</v>
      </c>
      <c r="K1176" s="194">
        <v>46140</v>
      </c>
      <c r="L1176" s="195">
        <v>13080</v>
      </c>
      <c r="M1176" s="195">
        <v>3790</v>
      </c>
      <c r="N1176" s="195">
        <v>9290</v>
      </c>
      <c r="O1176" s="195">
        <v>9290</v>
      </c>
      <c r="P1176" s="196">
        <v>2.2222222222222223E-2</v>
      </c>
      <c r="Q1176" s="196">
        <v>4.3750000000000004E-2</v>
      </c>
      <c r="R1176" s="193" t="s">
        <v>1221</v>
      </c>
      <c r="S1176" s="193"/>
      <c r="T1176" s="197">
        <f t="shared" si="82"/>
        <v>68</v>
      </c>
      <c r="U1176" s="193"/>
      <c r="V1176" s="193" t="s">
        <v>68</v>
      </c>
      <c r="AP1176" s="3" t="s">
        <v>1594</v>
      </c>
    </row>
    <row r="1177" spans="2:42" ht="15" customHeight="1" x14ac:dyDescent="0.2">
      <c r="B1177" s="193">
        <v>1</v>
      </c>
      <c r="C1177" s="347" t="s">
        <v>313</v>
      </c>
      <c r="D1177" s="347" t="str">
        <f t="shared" si="86"/>
        <v>CPO000171JAS</v>
      </c>
      <c r="E1177" s="193" t="s">
        <v>1592</v>
      </c>
      <c r="F1177" s="193" t="s">
        <v>1726</v>
      </c>
      <c r="G1177" s="193" t="s">
        <v>1594</v>
      </c>
      <c r="H1177" s="193" t="s">
        <v>49</v>
      </c>
      <c r="I1177" s="193" t="s">
        <v>41</v>
      </c>
      <c r="J1177" s="193" t="str">
        <f t="shared" si="87"/>
        <v>6 Roda</v>
      </c>
      <c r="K1177" s="194">
        <v>46140</v>
      </c>
      <c r="L1177" s="195">
        <v>13270</v>
      </c>
      <c r="M1177" s="195">
        <v>3910</v>
      </c>
      <c r="N1177" s="195">
        <v>9360</v>
      </c>
      <c r="O1177" s="195">
        <v>9350</v>
      </c>
      <c r="P1177" s="196">
        <v>0.98541666666666661</v>
      </c>
      <c r="Q1177" s="196">
        <v>2.9861111111111113E-2</v>
      </c>
      <c r="R1177" s="193" t="s">
        <v>1221</v>
      </c>
      <c r="S1177" s="193"/>
      <c r="T1177" s="197">
        <f t="shared" si="82"/>
        <v>68</v>
      </c>
      <c r="U1177" s="193"/>
      <c r="V1177" s="193" t="s">
        <v>68</v>
      </c>
      <c r="AP1177" s="3" t="s">
        <v>1594</v>
      </c>
    </row>
    <row r="1178" spans="2:42" ht="15" customHeight="1" x14ac:dyDescent="0.2">
      <c r="B1178" s="193">
        <v>1</v>
      </c>
      <c r="C1178" s="347" t="s">
        <v>312</v>
      </c>
      <c r="D1178" s="347" t="str">
        <f t="shared" si="86"/>
        <v>CPO000170JAS</v>
      </c>
      <c r="E1178" s="193" t="s">
        <v>1593</v>
      </c>
      <c r="F1178" s="193" t="s">
        <v>1726</v>
      </c>
      <c r="G1178" s="193" t="s">
        <v>1594</v>
      </c>
      <c r="H1178" s="193" t="s">
        <v>49</v>
      </c>
      <c r="I1178" s="193" t="s">
        <v>41</v>
      </c>
      <c r="J1178" s="193" t="str">
        <f t="shared" si="87"/>
        <v>6 Roda</v>
      </c>
      <c r="K1178" s="194">
        <v>46140</v>
      </c>
      <c r="L1178" s="195">
        <v>13910</v>
      </c>
      <c r="M1178" s="195">
        <v>4190</v>
      </c>
      <c r="N1178" s="195">
        <v>9720</v>
      </c>
      <c r="O1178" s="195">
        <v>9680</v>
      </c>
      <c r="P1178" s="196">
        <v>0.98472222222222217</v>
      </c>
      <c r="Q1178" s="196">
        <v>2.013888888888889E-2</v>
      </c>
      <c r="R1178" s="193" t="s">
        <v>1221</v>
      </c>
      <c r="S1178" s="193"/>
      <c r="T1178" s="197">
        <f t="shared" si="82"/>
        <v>68</v>
      </c>
      <c r="U1178" s="193"/>
      <c r="V1178" s="193" t="s">
        <v>68</v>
      </c>
      <c r="AP1178" s="3" t="s">
        <v>1594</v>
      </c>
    </row>
    <row r="1179" spans="2:42" ht="15" customHeight="1" x14ac:dyDescent="0.2">
      <c r="B1179" s="193">
        <v>1</v>
      </c>
      <c r="C1179" s="347" t="s">
        <v>311</v>
      </c>
      <c r="D1179" s="347" t="str">
        <f t="shared" si="86"/>
        <v>CPO000169JAS</v>
      </c>
      <c r="E1179" s="193" t="s">
        <v>39</v>
      </c>
      <c r="F1179" s="193" t="s">
        <v>1726</v>
      </c>
      <c r="G1179" s="193" t="s">
        <v>1594</v>
      </c>
      <c r="H1179" s="193" t="s">
        <v>49</v>
      </c>
      <c r="I1179" s="193" t="s">
        <v>41</v>
      </c>
      <c r="J1179" s="193" t="str">
        <f t="shared" si="87"/>
        <v>6 Roda</v>
      </c>
      <c r="K1179" s="194">
        <v>46140</v>
      </c>
      <c r="L1179" s="195">
        <v>13610</v>
      </c>
      <c r="M1179" s="195">
        <v>4050</v>
      </c>
      <c r="N1179" s="195">
        <v>9560</v>
      </c>
      <c r="O1179" s="195">
        <v>9510</v>
      </c>
      <c r="P1179" s="196">
        <v>0.98333333333333339</v>
      </c>
      <c r="Q1179" s="196">
        <v>1.8749999999999999E-2</v>
      </c>
      <c r="R1179" s="193" t="s">
        <v>1221</v>
      </c>
      <c r="S1179" s="193"/>
      <c r="T1179" s="197">
        <f t="shared" si="82"/>
        <v>68</v>
      </c>
      <c r="U1179" s="193"/>
      <c r="V1179" s="193" t="s">
        <v>68</v>
      </c>
      <c r="AP1179" s="3" t="s">
        <v>1594</v>
      </c>
    </row>
    <row r="1180" spans="2:42" ht="15" customHeight="1" x14ac:dyDescent="0.2">
      <c r="B1180" s="193">
        <v>1</v>
      </c>
      <c r="C1180" s="347" t="s">
        <v>310</v>
      </c>
      <c r="D1180" s="347" t="str">
        <f t="shared" si="86"/>
        <v>CPO000168JAS</v>
      </c>
      <c r="E1180" s="193" t="s">
        <v>149</v>
      </c>
      <c r="F1180" s="193" t="s">
        <v>1726</v>
      </c>
      <c r="G1180" s="193" t="s">
        <v>1594</v>
      </c>
      <c r="H1180" s="193" t="s">
        <v>49</v>
      </c>
      <c r="I1180" s="193" t="s">
        <v>41</v>
      </c>
      <c r="J1180" s="193" t="str">
        <f t="shared" si="87"/>
        <v>6 Roda</v>
      </c>
      <c r="K1180" s="194">
        <v>46140</v>
      </c>
      <c r="L1180" s="195">
        <v>13890</v>
      </c>
      <c r="M1180" s="195">
        <v>4040</v>
      </c>
      <c r="N1180" s="195">
        <v>9850</v>
      </c>
      <c r="O1180" s="195">
        <v>9830</v>
      </c>
      <c r="P1180" s="196">
        <v>0.97986111111111107</v>
      </c>
      <c r="Q1180" s="196">
        <v>1.3888888888888888E-2</v>
      </c>
      <c r="R1180" s="193" t="s">
        <v>1221</v>
      </c>
      <c r="S1180" s="193"/>
      <c r="T1180" s="197">
        <f t="shared" si="82"/>
        <v>68</v>
      </c>
      <c r="U1180" s="193"/>
      <c r="V1180" s="193" t="s">
        <v>68</v>
      </c>
      <c r="AP1180" s="3" t="s">
        <v>1594</v>
      </c>
    </row>
    <row r="1181" spans="2:42" ht="15" customHeight="1" x14ac:dyDescent="0.2">
      <c r="B1181" s="193">
        <v>1</v>
      </c>
      <c r="C1181" s="347" t="s">
        <v>320</v>
      </c>
      <c r="D1181" s="347" t="str">
        <f t="shared" si="86"/>
        <v>CPO000178JAS</v>
      </c>
      <c r="E1181" s="193" t="s">
        <v>1047</v>
      </c>
      <c r="F1181" s="193" t="s">
        <v>1726</v>
      </c>
      <c r="G1181" s="193" t="s">
        <v>1594</v>
      </c>
      <c r="H1181" s="193" t="s">
        <v>49</v>
      </c>
      <c r="I1181" s="193" t="s">
        <v>41</v>
      </c>
      <c r="J1181" s="193" t="str">
        <f t="shared" si="87"/>
        <v>6 Roda</v>
      </c>
      <c r="K1181" s="194">
        <v>46141</v>
      </c>
      <c r="L1181" s="195">
        <v>13600</v>
      </c>
      <c r="M1181" s="195">
        <v>3990</v>
      </c>
      <c r="N1181" s="195">
        <v>9610</v>
      </c>
      <c r="O1181" s="195">
        <v>9590</v>
      </c>
      <c r="P1181" s="196">
        <v>0.47430555555555554</v>
      </c>
      <c r="Q1181" s="196">
        <v>0.51041666666666663</v>
      </c>
      <c r="R1181" s="193" t="s">
        <v>137</v>
      </c>
      <c r="S1181" s="193"/>
      <c r="T1181" s="197">
        <f t="shared" si="82"/>
        <v>68</v>
      </c>
      <c r="U1181" s="193"/>
      <c r="V1181" s="193" t="s">
        <v>68</v>
      </c>
      <c r="AP1181" s="3" t="s">
        <v>1594</v>
      </c>
    </row>
    <row r="1182" spans="2:42" ht="15" customHeight="1" x14ac:dyDescent="0.2">
      <c r="B1182" s="193">
        <v>1</v>
      </c>
      <c r="C1182" s="347" t="s">
        <v>321</v>
      </c>
      <c r="D1182" s="347" t="str">
        <f t="shared" si="86"/>
        <v>CPO000179JAS</v>
      </c>
      <c r="E1182" s="193" t="s">
        <v>163</v>
      </c>
      <c r="F1182" s="193" t="s">
        <v>1726</v>
      </c>
      <c r="G1182" s="193" t="s">
        <v>1594</v>
      </c>
      <c r="H1182" s="193" t="s">
        <v>49</v>
      </c>
      <c r="I1182" s="193" t="s">
        <v>41</v>
      </c>
      <c r="J1182" s="193" t="str">
        <f t="shared" si="87"/>
        <v>6 Roda</v>
      </c>
      <c r="K1182" s="194">
        <v>46141</v>
      </c>
      <c r="L1182" s="195">
        <v>13980</v>
      </c>
      <c r="M1182" s="195">
        <v>3920</v>
      </c>
      <c r="N1182" s="195">
        <v>10060</v>
      </c>
      <c r="O1182" s="195">
        <v>10020</v>
      </c>
      <c r="P1182" s="196">
        <v>0.48680555555555555</v>
      </c>
      <c r="Q1182" s="196">
        <v>0.50763888888888886</v>
      </c>
      <c r="R1182" s="193" t="s">
        <v>137</v>
      </c>
      <c r="S1182" s="193"/>
      <c r="T1182" s="197">
        <f t="shared" si="82"/>
        <v>68</v>
      </c>
      <c r="U1182" s="193"/>
      <c r="V1182" s="193" t="s">
        <v>68</v>
      </c>
      <c r="AP1182" s="3" t="s">
        <v>1594</v>
      </c>
    </row>
    <row r="1183" spans="2:42" ht="15" customHeight="1" x14ac:dyDescent="0.2">
      <c r="B1183" s="193">
        <v>1</v>
      </c>
      <c r="C1183" s="347" t="s">
        <v>322</v>
      </c>
      <c r="D1183" s="347" t="str">
        <f t="shared" si="86"/>
        <v>CPO000180JAS</v>
      </c>
      <c r="E1183" s="193" t="s">
        <v>1276</v>
      </c>
      <c r="F1183" s="193" t="s">
        <v>1726</v>
      </c>
      <c r="G1183" s="193" t="s">
        <v>1594</v>
      </c>
      <c r="H1183" s="193" t="s">
        <v>49</v>
      </c>
      <c r="I1183" s="193" t="s">
        <v>41</v>
      </c>
      <c r="J1183" s="193" t="str">
        <f t="shared" si="87"/>
        <v>6 Roda</v>
      </c>
      <c r="K1183" s="194">
        <v>46141</v>
      </c>
      <c r="L1183" s="195">
        <v>13930</v>
      </c>
      <c r="M1183" s="195">
        <v>3990</v>
      </c>
      <c r="N1183" s="195">
        <v>9940</v>
      </c>
      <c r="O1183" s="195">
        <v>9950</v>
      </c>
      <c r="P1183" s="196">
        <v>0.49374999999999997</v>
      </c>
      <c r="Q1183" s="196">
        <v>0.51944444444444449</v>
      </c>
      <c r="R1183" s="193" t="s">
        <v>137</v>
      </c>
      <c r="S1183" s="193"/>
      <c r="T1183" s="197">
        <f t="shared" si="82"/>
        <v>68</v>
      </c>
      <c r="U1183" s="193"/>
      <c r="V1183" s="193" t="s">
        <v>68</v>
      </c>
      <c r="AP1183" s="3" t="s">
        <v>1594</v>
      </c>
    </row>
    <row r="1184" spans="2:42" ht="15" customHeight="1" x14ac:dyDescent="0.2">
      <c r="B1184" s="193">
        <v>1</v>
      </c>
      <c r="C1184" s="347" t="s">
        <v>323</v>
      </c>
      <c r="D1184" s="347" t="str">
        <f t="shared" si="86"/>
        <v>CPO000181JAS</v>
      </c>
      <c r="E1184" s="193" t="s">
        <v>1268</v>
      </c>
      <c r="F1184" s="193" t="s">
        <v>1726</v>
      </c>
      <c r="G1184" s="193" t="s">
        <v>1594</v>
      </c>
      <c r="H1184" s="193" t="s">
        <v>49</v>
      </c>
      <c r="I1184" s="193" t="s">
        <v>41</v>
      </c>
      <c r="J1184" s="193" t="str">
        <f t="shared" si="87"/>
        <v>6 Roda</v>
      </c>
      <c r="K1184" s="194">
        <v>46141</v>
      </c>
      <c r="L1184" s="195">
        <v>13550</v>
      </c>
      <c r="M1184" s="195">
        <v>3940</v>
      </c>
      <c r="N1184" s="195">
        <v>9610</v>
      </c>
      <c r="O1184" s="195">
        <v>9610</v>
      </c>
      <c r="P1184" s="196">
        <v>0.5541666666666667</v>
      </c>
      <c r="Q1184" s="196">
        <v>0.56944444444444442</v>
      </c>
      <c r="R1184" s="193" t="s">
        <v>137</v>
      </c>
      <c r="S1184" s="193"/>
      <c r="T1184" s="197">
        <f t="shared" si="82"/>
        <v>68</v>
      </c>
      <c r="U1184" s="193"/>
      <c r="V1184" s="193" t="s">
        <v>68</v>
      </c>
      <c r="AP1184" s="3" t="s">
        <v>1594</v>
      </c>
    </row>
    <row r="1185" spans="2:42" ht="15" customHeight="1" x14ac:dyDescent="0.2">
      <c r="B1185" s="193">
        <v>1</v>
      </c>
      <c r="C1185" s="347" t="s">
        <v>324</v>
      </c>
      <c r="D1185" s="347" t="str">
        <f t="shared" si="86"/>
        <v>CPO000182JAS</v>
      </c>
      <c r="E1185" s="193" t="s">
        <v>149</v>
      </c>
      <c r="F1185" s="193" t="s">
        <v>1726</v>
      </c>
      <c r="G1185" s="193" t="s">
        <v>1594</v>
      </c>
      <c r="H1185" s="193" t="s">
        <v>49</v>
      </c>
      <c r="I1185" s="193" t="s">
        <v>41</v>
      </c>
      <c r="J1185" s="193" t="str">
        <f t="shared" si="87"/>
        <v>6 Roda</v>
      </c>
      <c r="K1185" s="194">
        <v>46141</v>
      </c>
      <c r="L1185" s="195">
        <v>13840</v>
      </c>
      <c r="M1185" s="195">
        <v>4010</v>
      </c>
      <c r="N1185" s="195">
        <v>9830</v>
      </c>
      <c r="O1185" s="195">
        <v>9800</v>
      </c>
      <c r="P1185" s="196">
        <v>0.56527777777777777</v>
      </c>
      <c r="Q1185" s="196">
        <v>0.5854166666666667</v>
      </c>
      <c r="R1185" s="193" t="s">
        <v>137</v>
      </c>
      <c r="S1185" s="193"/>
      <c r="T1185" s="197">
        <f t="shared" si="82"/>
        <v>68</v>
      </c>
      <c r="U1185" s="193"/>
      <c r="V1185" s="193" t="s">
        <v>68</v>
      </c>
      <c r="AP1185" s="3" t="s">
        <v>1594</v>
      </c>
    </row>
    <row r="1186" spans="2:42" ht="15" customHeight="1" x14ac:dyDescent="0.2">
      <c r="B1186" s="193">
        <v>1</v>
      </c>
      <c r="C1186" s="347" t="s">
        <v>325</v>
      </c>
      <c r="D1186" s="347" t="str">
        <f t="shared" si="86"/>
        <v>CPO000183JAS</v>
      </c>
      <c r="E1186" s="193" t="s">
        <v>39</v>
      </c>
      <c r="F1186" s="193" t="s">
        <v>1726</v>
      </c>
      <c r="G1186" s="193" t="s">
        <v>1594</v>
      </c>
      <c r="H1186" s="193" t="s">
        <v>49</v>
      </c>
      <c r="I1186" s="193" t="s">
        <v>41</v>
      </c>
      <c r="J1186" s="193" t="str">
        <f t="shared" si="87"/>
        <v>6 Roda</v>
      </c>
      <c r="K1186" s="194">
        <v>46141</v>
      </c>
      <c r="L1186" s="195">
        <v>13580</v>
      </c>
      <c r="M1186" s="195">
        <v>4020</v>
      </c>
      <c r="N1186" s="195">
        <v>9560</v>
      </c>
      <c r="O1186" s="195">
        <v>9530</v>
      </c>
      <c r="P1186" s="196">
        <v>0.56736111111111109</v>
      </c>
      <c r="Q1186" s="196">
        <v>0.58680555555555558</v>
      </c>
      <c r="R1186" s="193" t="s">
        <v>137</v>
      </c>
      <c r="S1186" s="193"/>
      <c r="T1186" s="197">
        <f t="shared" si="82"/>
        <v>68</v>
      </c>
      <c r="U1186" s="193"/>
      <c r="V1186" s="193" t="s">
        <v>68</v>
      </c>
      <c r="AP1186" s="3" t="s">
        <v>1594</v>
      </c>
    </row>
    <row r="1187" spans="2:42" ht="15" customHeight="1" x14ac:dyDescent="0.2">
      <c r="B1187" s="193">
        <v>1</v>
      </c>
      <c r="C1187" s="347" t="s">
        <v>326</v>
      </c>
      <c r="D1187" s="347" t="str">
        <f t="shared" si="86"/>
        <v>CPO000184JAS</v>
      </c>
      <c r="E1187" s="193" t="s">
        <v>1593</v>
      </c>
      <c r="F1187" s="193" t="s">
        <v>1726</v>
      </c>
      <c r="G1187" s="193" t="s">
        <v>1594</v>
      </c>
      <c r="H1187" s="193" t="s">
        <v>49</v>
      </c>
      <c r="I1187" s="193" t="s">
        <v>41</v>
      </c>
      <c r="J1187" s="193" t="str">
        <f t="shared" si="87"/>
        <v>6 Roda</v>
      </c>
      <c r="K1187" s="194">
        <v>46141</v>
      </c>
      <c r="L1187" s="195">
        <v>13880</v>
      </c>
      <c r="M1187" s="195">
        <v>4170</v>
      </c>
      <c r="N1187" s="195">
        <v>9710</v>
      </c>
      <c r="O1187" s="195">
        <v>9730</v>
      </c>
      <c r="P1187" s="196">
        <v>0.59027777777777779</v>
      </c>
      <c r="Q1187" s="196">
        <v>0.61249999999999993</v>
      </c>
      <c r="R1187" s="193" t="s">
        <v>137</v>
      </c>
      <c r="S1187" s="193"/>
      <c r="T1187" s="197">
        <f t="shared" si="82"/>
        <v>68</v>
      </c>
      <c r="U1187" s="193"/>
      <c r="V1187" s="193" t="s">
        <v>68</v>
      </c>
      <c r="AP1187" s="3" t="s">
        <v>1594</v>
      </c>
    </row>
    <row r="1188" spans="2:42" ht="15" customHeight="1" x14ac:dyDescent="0.2">
      <c r="B1188" s="193">
        <v>1</v>
      </c>
      <c r="C1188" s="347" t="s">
        <v>327</v>
      </c>
      <c r="D1188" s="347" t="str">
        <f t="shared" si="86"/>
        <v>CPO000185JAS</v>
      </c>
      <c r="E1188" s="193" t="s">
        <v>1592</v>
      </c>
      <c r="F1188" s="193" t="s">
        <v>1726</v>
      </c>
      <c r="G1188" s="193" t="s">
        <v>1594</v>
      </c>
      <c r="H1188" s="193" t="s">
        <v>49</v>
      </c>
      <c r="I1188" s="193" t="s">
        <v>41</v>
      </c>
      <c r="J1188" s="193" t="str">
        <f t="shared" si="87"/>
        <v>6 Roda</v>
      </c>
      <c r="K1188" s="194">
        <v>46141</v>
      </c>
      <c r="L1188" s="195">
        <v>13210</v>
      </c>
      <c r="M1188" s="195">
        <v>3930</v>
      </c>
      <c r="N1188" s="195">
        <v>9280</v>
      </c>
      <c r="O1188" s="195">
        <v>9290</v>
      </c>
      <c r="P1188" s="196">
        <v>0.59097222222222223</v>
      </c>
      <c r="Q1188" s="196">
        <v>0.60763888888888895</v>
      </c>
      <c r="R1188" s="193" t="s">
        <v>137</v>
      </c>
      <c r="S1188" s="193"/>
      <c r="T1188" s="197">
        <f t="shared" si="82"/>
        <v>68</v>
      </c>
      <c r="U1188" s="193"/>
      <c r="V1188" s="193" t="s">
        <v>68</v>
      </c>
      <c r="AP1188" s="3" t="s">
        <v>1594</v>
      </c>
    </row>
    <row r="1189" spans="2:42" ht="15" customHeight="1" x14ac:dyDescent="0.2">
      <c r="B1189" s="193">
        <v>1</v>
      </c>
      <c r="C1189" s="347" t="s">
        <v>328</v>
      </c>
      <c r="D1189" s="347" t="str">
        <f t="shared" si="86"/>
        <v>CPO000186JAS</v>
      </c>
      <c r="E1189" s="193" t="s">
        <v>1595</v>
      </c>
      <c r="F1189" s="193" t="s">
        <v>1726</v>
      </c>
      <c r="G1189" s="193" t="s">
        <v>1594</v>
      </c>
      <c r="H1189" s="193" t="s">
        <v>49</v>
      </c>
      <c r="I1189" s="193" t="s">
        <v>41</v>
      </c>
      <c r="J1189" s="193" t="str">
        <f t="shared" si="87"/>
        <v>10 Roda</v>
      </c>
      <c r="K1189" s="194">
        <v>46141</v>
      </c>
      <c r="L1189" s="195">
        <v>26860</v>
      </c>
      <c r="M1189" s="195">
        <v>8290</v>
      </c>
      <c r="N1189" s="195">
        <v>18570</v>
      </c>
      <c r="O1189" s="195">
        <v>18570</v>
      </c>
      <c r="P1189" s="196">
        <v>0.65763888888888888</v>
      </c>
      <c r="Q1189" s="196">
        <v>0.69166666666666676</v>
      </c>
      <c r="R1189" s="193" t="s">
        <v>137</v>
      </c>
      <c r="S1189" s="193"/>
      <c r="T1189" s="197">
        <f t="shared" si="82"/>
        <v>68</v>
      </c>
      <c r="U1189" s="193"/>
      <c r="V1189" s="193" t="s">
        <v>68</v>
      </c>
      <c r="AP1189" s="3" t="s">
        <v>1594</v>
      </c>
    </row>
    <row r="1190" spans="2:42" ht="15" customHeight="1" x14ac:dyDescent="0.2">
      <c r="B1190" s="193">
        <v>1</v>
      </c>
      <c r="C1190" s="347" t="s">
        <v>329</v>
      </c>
      <c r="D1190" s="347" t="str">
        <f t="shared" si="86"/>
        <v>CPO000187JAS</v>
      </c>
      <c r="E1190" s="193" t="s">
        <v>1272</v>
      </c>
      <c r="F1190" s="193" t="s">
        <v>1726</v>
      </c>
      <c r="G1190" s="193" t="s">
        <v>1594</v>
      </c>
      <c r="H1190" s="193" t="s">
        <v>49</v>
      </c>
      <c r="I1190" s="193" t="s">
        <v>41</v>
      </c>
      <c r="J1190" s="193" t="str">
        <f t="shared" si="87"/>
        <v>10 Roda</v>
      </c>
      <c r="K1190" s="194">
        <v>46141</v>
      </c>
      <c r="L1190" s="195">
        <v>28640</v>
      </c>
      <c r="M1190" s="195">
        <v>8160</v>
      </c>
      <c r="N1190" s="195">
        <v>20480</v>
      </c>
      <c r="O1190" s="195">
        <v>20520</v>
      </c>
      <c r="P1190" s="196">
        <v>0.66111111111111109</v>
      </c>
      <c r="Q1190" s="196">
        <v>0.69374999999999998</v>
      </c>
      <c r="R1190" s="193" t="s">
        <v>137</v>
      </c>
      <c r="S1190" s="193"/>
      <c r="T1190" s="197">
        <f t="shared" si="82"/>
        <v>68</v>
      </c>
      <c r="U1190" s="193"/>
      <c r="V1190" s="193" t="s">
        <v>68</v>
      </c>
      <c r="AP1190" s="3" t="s">
        <v>1594</v>
      </c>
    </row>
    <row r="1191" spans="2:42" ht="15" customHeight="1" x14ac:dyDescent="0.2">
      <c r="B1191" s="193">
        <v>1</v>
      </c>
      <c r="C1191" s="347" t="s">
        <v>330</v>
      </c>
      <c r="D1191" s="347" t="str">
        <f t="shared" si="86"/>
        <v>CPO000188JAS</v>
      </c>
      <c r="E1191" s="193" t="s">
        <v>1047</v>
      </c>
      <c r="F1191" s="193" t="s">
        <v>1726</v>
      </c>
      <c r="G1191" s="193" t="s">
        <v>1594</v>
      </c>
      <c r="H1191" s="193" t="s">
        <v>49</v>
      </c>
      <c r="I1191" s="193" t="s">
        <v>41</v>
      </c>
      <c r="J1191" s="193" t="str">
        <f t="shared" si="87"/>
        <v>6 Roda</v>
      </c>
      <c r="K1191" s="194">
        <v>46141</v>
      </c>
      <c r="L1191" s="195">
        <v>13540</v>
      </c>
      <c r="M1191" s="195">
        <v>3960</v>
      </c>
      <c r="N1191" s="195">
        <v>9580</v>
      </c>
      <c r="O1191" s="195">
        <v>9540</v>
      </c>
      <c r="P1191" s="196">
        <v>0.7270833333333333</v>
      </c>
      <c r="Q1191" s="196">
        <v>0.7402777777777777</v>
      </c>
      <c r="R1191" s="193" t="s">
        <v>1221</v>
      </c>
      <c r="S1191" s="193"/>
      <c r="T1191" s="197">
        <f t="shared" si="82"/>
        <v>68</v>
      </c>
      <c r="U1191" s="193"/>
      <c r="V1191" s="193" t="s">
        <v>68</v>
      </c>
      <c r="AP1191" s="3" t="s">
        <v>1594</v>
      </c>
    </row>
    <row r="1192" spans="2:42" ht="15" customHeight="1" x14ac:dyDescent="0.2">
      <c r="B1192" s="193">
        <v>1</v>
      </c>
      <c r="C1192" s="347" t="s">
        <v>331</v>
      </c>
      <c r="D1192" s="347" t="str">
        <f t="shared" si="86"/>
        <v>CPO000189JAS</v>
      </c>
      <c r="E1192" s="193" t="s">
        <v>1276</v>
      </c>
      <c r="F1192" s="193" t="s">
        <v>1726</v>
      </c>
      <c r="G1192" s="193" t="s">
        <v>1594</v>
      </c>
      <c r="H1192" s="193" t="s">
        <v>49</v>
      </c>
      <c r="I1192" s="193" t="s">
        <v>41</v>
      </c>
      <c r="J1192" s="193" t="str">
        <f t="shared" si="87"/>
        <v>6 Roda</v>
      </c>
      <c r="K1192" s="194">
        <v>46141</v>
      </c>
      <c r="L1192" s="195">
        <v>13920</v>
      </c>
      <c r="M1192" s="195">
        <v>4000</v>
      </c>
      <c r="N1192" s="195">
        <v>9920</v>
      </c>
      <c r="O1192" s="195">
        <v>9870</v>
      </c>
      <c r="P1192" s="196">
        <v>0.74583333333333324</v>
      </c>
      <c r="Q1192" s="196">
        <v>0.77083333333333337</v>
      </c>
      <c r="R1192" s="193" t="s">
        <v>1221</v>
      </c>
      <c r="S1192" s="193"/>
      <c r="T1192" s="197">
        <f t="shared" si="82"/>
        <v>68</v>
      </c>
      <c r="U1192" s="193"/>
      <c r="V1192" s="193" t="s">
        <v>68</v>
      </c>
      <c r="AP1192" s="3" t="s">
        <v>1594</v>
      </c>
    </row>
    <row r="1193" spans="2:42" ht="15" customHeight="1" x14ac:dyDescent="0.2">
      <c r="B1193" s="193">
        <v>1</v>
      </c>
      <c r="C1193" s="347" t="s">
        <v>332</v>
      </c>
      <c r="D1193" s="347" t="str">
        <f t="shared" si="86"/>
        <v>CPO000190JAS</v>
      </c>
      <c r="E1193" s="193" t="s">
        <v>163</v>
      </c>
      <c r="F1193" s="193" t="s">
        <v>1726</v>
      </c>
      <c r="G1193" s="193" t="s">
        <v>1594</v>
      </c>
      <c r="H1193" s="193" t="s">
        <v>49</v>
      </c>
      <c r="I1193" s="193" t="s">
        <v>41</v>
      </c>
      <c r="J1193" s="193" t="str">
        <f t="shared" si="87"/>
        <v>6 Roda</v>
      </c>
      <c r="K1193" s="194">
        <v>46141</v>
      </c>
      <c r="L1193" s="195">
        <v>13920</v>
      </c>
      <c r="M1193" s="195">
        <v>3900</v>
      </c>
      <c r="N1193" s="195">
        <v>10020</v>
      </c>
      <c r="O1193" s="195">
        <v>9990</v>
      </c>
      <c r="P1193" s="196">
        <v>0.77361111111111114</v>
      </c>
      <c r="Q1193" s="196">
        <v>0.78888888888888886</v>
      </c>
      <c r="R1193" s="193" t="s">
        <v>1221</v>
      </c>
      <c r="S1193" s="193"/>
      <c r="T1193" s="197">
        <f t="shared" si="82"/>
        <v>68</v>
      </c>
      <c r="U1193" s="193"/>
      <c r="V1193" s="193" t="s">
        <v>68</v>
      </c>
      <c r="AP1193" s="3" t="s">
        <v>1594</v>
      </c>
    </row>
    <row r="1194" spans="2:42" ht="15" customHeight="1" x14ac:dyDescent="0.2">
      <c r="B1194" s="193">
        <v>1</v>
      </c>
      <c r="C1194" s="347" t="s">
        <v>333</v>
      </c>
      <c r="D1194" s="347" t="str">
        <f t="shared" si="86"/>
        <v>CPO000191JAS</v>
      </c>
      <c r="E1194" s="193" t="s">
        <v>194</v>
      </c>
      <c r="F1194" s="193" t="s">
        <v>1726</v>
      </c>
      <c r="G1194" s="193" t="s">
        <v>1594</v>
      </c>
      <c r="H1194" s="193" t="s">
        <v>49</v>
      </c>
      <c r="I1194" s="193" t="s">
        <v>41</v>
      </c>
      <c r="J1194" s="193" t="str">
        <f t="shared" si="87"/>
        <v>6 Roda</v>
      </c>
      <c r="K1194" s="194">
        <v>46141</v>
      </c>
      <c r="L1194" s="195">
        <v>13060</v>
      </c>
      <c r="M1194" s="195">
        <v>3840</v>
      </c>
      <c r="N1194" s="195">
        <v>9220</v>
      </c>
      <c r="O1194" s="195">
        <v>9270</v>
      </c>
      <c r="P1194" s="196">
        <v>0.77500000000000002</v>
      </c>
      <c r="Q1194" s="196">
        <v>0.79861111111111116</v>
      </c>
      <c r="R1194" s="193" t="s">
        <v>1221</v>
      </c>
      <c r="S1194" s="193"/>
      <c r="T1194" s="197">
        <f t="shared" si="82"/>
        <v>68</v>
      </c>
      <c r="U1194" s="193"/>
      <c r="V1194" s="193" t="s">
        <v>68</v>
      </c>
      <c r="AP1194" s="3" t="s">
        <v>1594</v>
      </c>
    </row>
    <row r="1195" spans="2:42" ht="15" customHeight="1" x14ac:dyDescent="0.2">
      <c r="B1195" s="193">
        <v>1</v>
      </c>
      <c r="C1195" s="347" t="s">
        <v>335</v>
      </c>
      <c r="D1195" s="347" t="str">
        <f t="shared" si="86"/>
        <v>CPO000192JAS</v>
      </c>
      <c r="E1195" s="193" t="s">
        <v>1592</v>
      </c>
      <c r="F1195" s="193" t="s">
        <v>1726</v>
      </c>
      <c r="G1195" s="193" t="s">
        <v>1594</v>
      </c>
      <c r="H1195" s="193" t="s">
        <v>49</v>
      </c>
      <c r="I1195" s="193" t="s">
        <v>41</v>
      </c>
      <c r="J1195" s="193" t="str">
        <f t="shared" si="87"/>
        <v>6 Roda</v>
      </c>
      <c r="K1195" s="194">
        <v>46141</v>
      </c>
      <c r="L1195" s="195">
        <v>13210</v>
      </c>
      <c r="M1195" s="195">
        <v>3910</v>
      </c>
      <c r="N1195" s="195">
        <v>9300</v>
      </c>
      <c r="O1195" s="195">
        <v>9220</v>
      </c>
      <c r="P1195" s="196">
        <v>0.81041666666666667</v>
      </c>
      <c r="Q1195" s="196">
        <v>0.82916666666666661</v>
      </c>
      <c r="R1195" s="193" t="s">
        <v>1221</v>
      </c>
      <c r="S1195" s="193"/>
      <c r="T1195" s="197">
        <f t="shared" si="82"/>
        <v>68</v>
      </c>
      <c r="U1195" s="193"/>
      <c r="V1195" s="193" t="s">
        <v>68</v>
      </c>
      <c r="AP1195" s="3" t="s">
        <v>1594</v>
      </c>
    </row>
    <row r="1196" spans="2:42" ht="15" customHeight="1" x14ac:dyDescent="0.2">
      <c r="B1196" s="193">
        <v>1</v>
      </c>
      <c r="C1196" s="347" t="s">
        <v>336</v>
      </c>
      <c r="D1196" s="347" t="str">
        <f t="shared" si="86"/>
        <v>CPO000193JAS</v>
      </c>
      <c r="E1196" s="193" t="s">
        <v>149</v>
      </c>
      <c r="F1196" s="193" t="s">
        <v>1726</v>
      </c>
      <c r="G1196" s="193" t="s">
        <v>1594</v>
      </c>
      <c r="H1196" s="193" t="s">
        <v>49</v>
      </c>
      <c r="I1196" s="193" t="s">
        <v>41</v>
      </c>
      <c r="J1196" s="193" t="str">
        <f t="shared" si="87"/>
        <v>6 Roda</v>
      </c>
      <c r="K1196" s="194">
        <v>46141</v>
      </c>
      <c r="L1196" s="195">
        <v>13810</v>
      </c>
      <c r="M1196" s="195">
        <v>4020</v>
      </c>
      <c r="N1196" s="195">
        <v>9790</v>
      </c>
      <c r="O1196" s="195">
        <v>9750</v>
      </c>
      <c r="P1196" s="196">
        <v>0.81180555555555556</v>
      </c>
      <c r="Q1196" s="196">
        <v>0.83194444444444438</v>
      </c>
      <c r="R1196" s="193" t="s">
        <v>1221</v>
      </c>
      <c r="S1196" s="193"/>
      <c r="T1196" s="197">
        <f t="shared" si="82"/>
        <v>68</v>
      </c>
      <c r="U1196" s="193"/>
      <c r="V1196" s="193" t="s">
        <v>68</v>
      </c>
      <c r="AP1196" s="3" t="s">
        <v>1594</v>
      </c>
    </row>
    <row r="1197" spans="2:42" ht="15" customHeight="1" x14ac:dyDescent="0.2">
      <c r="B1197" s="193">
        <v>1</v>
      </c>
      <c r="C1197" s="347" t="s">
        <v>337</v>
      </c>
      <c r="D1197" s="347" t="str">
        <f t="shared" si="86"/>
        <v>CPO000194JAS</v>
      </c>
      <c r="E1197" s="193" t="s">
        <v>1595</v>
      </c>
      <c r="F1197" s="193" t="s">
        <v>1726</v>
      </c>
      <c r="G1197" s="193" t="s">
        <v>1594</v>
      </c>
      <c r="H1197" s="193" t="s">
        <v>49</v>
      </c>
      <c r="I1197" s="193" t="s">
        <v>41</v>
      </c>
      <c r="J1197" s="193" t="str">
        <f t="shared" si="87"/>
        <v>10 Roda</v>
      </c>
      <c r="K1197" s="194">
        <v>46141</v>
      </c>
      <c r="L1197" s="195">
        <v>26790</v>
      </c>
      <c r="M1197" s="195">
        <v>8260</v>
      </c>
      <c r="N1197" s="195">
        <v>18530</v>
      </c>
      <c r="O1197" s="195">
        <v>18470</v>
      </c>
      <c r="P1197" s="196">
        <v>0.90694444444444444</v>
      </c>
      <c r="Q1197" s="196">
        <v>0.94097222222222221</v>
      </c>
      <c r="R1197" s="193" t="s">
        <v>1221</v>
      </c>
      <c r="S1197" s="193"/>
      <c r="T1197" s="197">
        <f t="shared" si="82"/>
        <v>68</v>
      </c>
      <c r="U1197" s="193"/>
      <c r="V1197" s="193" t="s">
        <v>68</v>
      </c>
      <c r="AP1197" s="3" t="s">
        <v>1594</v>
      </c>
    </row>
    <row r="1198" spans="2:42" ht="15" customHeight="1" x14ac:dyDescent="0.2">
      <c r="B1198" s="193">
        <v>1</v>
      </c>
      <c r="C1198" s="347" t="s">
        <v>338</v>
      </c>
      <c r="D1198" s="347" t="str">
        <f t="shared" si="86"/>
        <v>CPO000195JAS</v>
      </c>
      <c r="E1198" s="193" t="s">
        <v>1272</v>
      </c>
      <c r="F1198" s="193" t="s">
        <v>1726</v>
      </c>
      <c r="G1198" s="193" t="s">
        <v>1594</v>
      </c>
      <c r="H1198" s="193" t="s">
        <v>49</v>
      </c>
      <c r="I1198" s="193" t="s">
        <v>41</v>
      </c>
      <c r="J1198" s="193" t="str">
        <f t="shared" si="87"/>
        <v>10 Roda</v>
      </c>
      <c r="K1198" s="194">
        <v>46141</v>
      </c>
      <c r="L1198" s="195">
        <v>28600</v>
      </c>
      <c r="M1198" s="195">
        <v>8140</v>
      </c>
      <c r="N1198" s="195">
        <v>20460</v>
      </c>
      <c r="O1198" s="195">
        <v>20390</v>
      </c>
      <c r="P1198" s="196">
        <v>0.90833333333333333</v>
      </c>
      <c r="Q1198" s="196">
        <v>0.93402777777777779</v>
      </c>
      <c r="R1198" s="193" t="s">
        <v>1221</v>
      </c>
      <c r="S1198" s="193"/>
      <c r="T1198" s="197">
        <f t="shared" si="82"/>
        <v>68</v>
      </c>
      <c r="U1198" s="193"/>
      <c r="V1198" s="193" t="s">
        <v>68</v>
      </c>
      <c r="AP1198" s="3" t="s">
        <v>1594</v>
      </c>
    </row>
    <row r="1199" spans="2:42" ht="15" customHeight="1" x14ac:dyDescent="0.2">
      <c r="B1199" s="193">
        <v>1</v>
      </c>
      <c r="C1199" s="347" t="s">
        <v>339</v>
      </c>
      <c r="D1199" s="347" t="str">
        <f t="shared" si="86"/>
        <v>CPO000196JAS</v>
      </c>
      <c r="E1199" s="193" t="s">
        <v>1047</v>
      </c>
      <c r="F1199" s="193" t="s">
        <v>1726</v>
      </c>
      <c r="G1199" s="193" t="s">
        <v>1594</v>
      </c>
      <c r="H1199" s="193" t="s">
        <v>49</v>
      </c>
      <c r="I1199" s="193" t="s">
        <v>41</v>
      </c>
      <c r="J1199" s="193" t="str">
        <f t="shared" si="87"/>
        <v>6 Roda</v>
      </c>
      <c r="K1199" s="194">
        <v>46141</v>
      </c>
      <c r="L1199" s="195">
        <v>13510</v>
      </c>
      <c r="M1199" s="195">
        <v>3930</v>
      </c>
      <c r="N1199" s="195">
        <v>9580</v>
      </c>
      <c r="O1199" s="195">
        <v>9540</v>
      </c>
      <c r="P1199" s="196">
        <v>0.93680555555555556</v>
      </c>
      <c r="Q1199" s="196">
        <v>0.95000000000000007</v>
      </c>
      <c r="R1199" s="193" t="s">
        <v>1221</v>
      </c>
      <c r="S1199" s="193"/>
      <c r="T1199" s="197">
        <f t="shared" si="82"/>
        <v>68</v>
      </c>
      <c r="U1199" s="193"/>
      <c r="V1199" s="193" t="s">
        <v>68</v>
      </c>
      <c r="AP1199" s="3" t="s">
        <v>1594</v>
      </c>
    </row>
    <row r="1200" spans="2:42" ht="15" customHeight="1" x14ac:dyDescent="0.2">
      <c r="B1200" s="193">
        <v>1</v>
      </c>
      <c r="C1200" s="347" t="s">
        <v>340</v>
      </c>
      <c r="D1200" s="347" t="str">
        <f t="shared" si="86"/>
        <v>CPO000197JAS</v>
      </c>
      <c r="E1200" s="193" t="s">
        <v>163</v>
      </c>
      <c r="F1200" s="193" t="s">
        <v>1726</v>
      </c>
      <c r="G1200" s="193" t="s">
        <v>1594</v>
      </c>
      <c r="H1200" s="193" t="s">
        <v>49</v>
      </c>
      <c r="I1200" s="193" t="s">
        <v>41</v>
      </c>
      <c r="J1200" s="193" t="str">
        <f t="shared" si="87"/>
        <v>6 Roda</v>
      </c>
      <c r="K1200" s="194">
        <v>46141</v>
      </c>
      <c r="L1200" s="195">
        <v>13870</v>
      </c>
      <c r="M1200" s="195">
        <v>3860</v>
      </c>
      <c r="N1200" s="195">
        <v>10010</v>
      </c>
      <c r="O1200" s="195">
        <v>9960</v>
      </c>
      <c r="P1200" s="196">
        <v>0.98055555555555562</v>
      </c>
      <c r="Q1200" s="196">
        <v>0.99305555555555547</v>
      </c>
      <c r="R1200" s="193" t="s">
        <v>1221</v>
      </c>
      <c r="S1200" s="193"/>
      <c r="T1200" s="197">
        <f t="shared" si="82"/>
        <v>68</v>
      </c>
      <c r="U1200" s="193"/>
      <c r="V1200" s="193" t="s">
        <v>68</v>
      </c>
      <c r="AP1200" s="3" t="s">
        <v>1594</v>
      </c>
    </row>
    <row r="1201" spans="2:42" ht="15" customHeight="1" x14ac:dyDescent="0.2">
      <c r="B1201" s="193">
        <v>1</v>
      </c>
      <c r="C1201" s="347" t="s">
        <v>1596</v>
      </c>
      <c r="D1201" s="347" t="str">
        <f t="shared" si="86"/>
        <v>RBDPL001057HSA</v>
      </c>
      <c r="E1201" s="193" t="s">
        <v>936</v>
      </c>
      <c r="F1201" s="193" t="s">
        <v>1481</v>
      </c>
      <c r="G1201" s="193" t="s">
        <v>1647</v>
      </c>
      <c r="H1201" s="193" t="s">
        <v>103</v>
      </c>
      <c r="I1201" s="193" t="s">
        <v>3</v>
      </c>
      <c r="J1201" s="193" t="str">
        <f t="shared" si="87"/>
        <v>6 Roda</v>
      </c>
      <c r="K1201" s="194">
        <v>46140</v>
      </c>
      <c r="L1201" s="195">
        <v>4280</v>
      </c>
      <c r="M1201" s="195">
        <v>14430</v>
      </c>
      <c r="N1201" s="195">
        <v>10150</v>
      </c>
      <c r="O1201" s="195"/>
      <c r="P1201" s="196">
        <v>0.46527777777777773</v>
      </c>
      <c r="Q1201" s="196">
        <v>0.4993055555555555</v>
      </c>
      <c r="R1201" s="193" t="s">
        <v>137</v>
      </c>
      <c r="S1201" s="193" t="s">
        <v>1385</v>
      </c>
      <c r="T1201" s="197">
        <f t="shared" ref="T1201:T1264" si="88">IFERROR(_xlfn.XLOOKUP(H1201,$AM$4:$AM$18,$AP$4:$AP$18,""),0)</f>
        <v>360</v>
      </c>
      <c r="U1201" s="193" t="s">
        <v>932</v>
      </c>
      <c r="V1201" s="193" t="str">
        <f t="shared" ref="V1201:V1256" si="89">IFERROR(_xlfn.XLOOKUP(H1201,$AM$4:$AM$18,$AO$4:$AO$18,""),"")</f>
        <v>Makassar</v>
      </c>
      <c r="AP1201" s="3" t="s">
        <v>1647</v>
      </c>
    </row>
    <row r="1202" spans="2:42" ht="15" customHeight="1" x14ac:dyDescent="0.2">
      <c r="B1202" s="193">
        <v>1</v>
      </c>
      <c r="C1202" s="347" t="s">
        <v>1597</v>
      </c>
      <c r="D1202" s="347" t="str">
        <f t="shared" si="86"/>
        <v>RBDPL001056SCM</v>
      </c>
      <c r="E1202" s="193" t="s">
        <v>962</v>
      </c>
      <c r="F1202" s="193" t="s">
        <v>1418</v>
      </c>
      <c r="G1202" s="193" t="s">
        <v>1652</v>
      </c>
      <c r="H1202" s="193" t="s">
        <v>107</v>
      </c>
      <c r="I1202" s="193" t="s">
        <v>3</v>
      </c>
      <c r="J1202" s="193" t="str">
        <f t="shared" si="87"/>
        <v>6 Roda</v>
      </c>
      <c r="K1202" s="194">
        <v>46140</v>
      </c>
      <c r="L1202" s="195">
        <v>4480</v>
      </c>
      <c r="M1202" s="195">
        <v>13720</v>
      </c>
      <c r="N1202" s="195">
        <v>9240</v>
      </c>
      <c r="O1202" s="195"/>
      <c r="P1202" s="196">
        <v>0.38125000000000003</v>
      </c>
      <c r="Q1202" s="196">
        <v>0.42777777777777781</v>
      </c>
      <c r="R1202" s="193" t="s">
        <v>137</v>
      </c>
      <c r="S1202" s="193" t="s">
        <v>1398</v>
      </c>
      <c r="T1202" s="197">
        <f t="shared" si="88"/>
        <v>400</v>
      </c>
      <c r="U1202" s="193" t="s">
        <v>932</v>
      </c>
      <c r="V1202" s="193" t="str">
        <f t="shared" si="89"/>
        <v>Gowa</v>
      </c>
      <c r="AP1202" s="3" t="s">
        <v>1652</v>
      </c>
    </row>
    <row r="1203" spans="2:42" ht="15" customHeight="1" x14ac:dyDescent="0.2">
      <c r="B1203" s="193">
        <v>1</v>
      </c>
      <c r="C1203" s="347" t="s">
        <v>1598</v>
      </c>
      <c r="D1203" s="347" t="str">
        <f t="shared" ref="D1203:D1234" si="90">I1203&amp;C1203&amp;_xlfn.XLOOKUP(H1203,$AM$4:$AM$24,$AN$4:$AN$24,"")</f>
        <v>RBDPL001055SCM</v>
      </c>
      <c r="E1203" s="193" t="s">
        <v>171</v>
      </c>
      <c r="F1203" s="193" t="s">
        <v>1418</v>
      </c>
      <c r="G1203" s="193" t="s">
        <v>1652</v>
      </c>
      <c r="H1203" s="193" t="s">
        <v>107</v>
      </c>
      <c r="I1203" s="193" t="s">
        <v>3</v>
      </c>
      <c r="J1203" s="193" t="str">
        <f t="shared" si="87"/>
        <v>6 Roda</v>
      </c>
      <c r="K1203" s="194">
        <v>46140</v>
      </c>
      <c r="L1203" s="195">
        <v>3700</v>
      </c>
      <c r="M1203" s="195">
        <v>13330</v>
      </c>
      <c r="N1203" s="195">
        <v>9630</v>
      </c>
      <c r="O1203" s="195"/>
      <c r="P1203" s="196">
        <v>0.37986111111111115</v>
      </c>
      <c r="Q1203" s="196">
        <v>0.4152777777777778</v>
      </c>
      <c r="R1203" s="193" t="s">
        <v>137</v>
      </c>
      <c r="S1203" s="193" t="s">
        <v>1616</v>
      </c>
      <c r="T1203" s="197">
        <f t="shared" si="88"/>
        <v>400</v>
      </c>
      <c r="U1203" s="193" t="s">
        <v>932</v>
      </c>
      <c r="V1203" s="193" t="str">
        <f t="shared" si="89"/>
        <v>Gowa</v>
      </c>
      <c r="AP1203" s="3" t="s">
        <v>1652</v>
      </c>
    </row>
    <row r="1204" spans="2:42" ht="15" customHeight="1" x14ac:dyDescent="0.2">
      <c r="B1204" s="193">
        <v>1</v>
      </c>
      <c r="C1204" s="347" t="s">
        <v>1599</v>
      </c>
      <c r="D1204" s="347" t="str">
        <f t="shared" si="90"/>
        <v>RBDPL001054SCM</v>
      </c>
      <c r="E1204" s="193" t="s">
        <v>1498</v>
      </c>
      <c r="F1204" s="193" t="s">
        <v>1418</v>
      </c>
      <c r="G1204" s="193" t="s">
        <v>1652</v>
      </c>
      <c r="H1204" s="193" t="s">
        <v>107</v>
      </c>
      <c r="I1204" s="193" t="s">
        <v>3</v>
      </c>
      <c r="J1204" s="193" t="str">
        <f t="shared" si="87"/>
        <v>6 Roda</v>
      </c>
      <c r="K1204" s="194">
        <v>46140</v>
      </c>
      <c r="L1204" s="195">
        <v>4070</v>
      </c>
      <c r="M1204" s="195">
        <v>13110</v>
      </c>
      <c r="N1204" s="195">
        <v>9040</v>
      </c>
      <c r="O1204" s="195"/>
      <c r="P1204" s="196">
        <v>0.37708333333333338</v>
      </c>
      <c r="Q1204" s="196">
        <v>0.40347222222222223</v>
      </c>
      <c r="R1204" s="193" t="s">
        <v>137</v>
      </c>
      <c r="S1204" s="193" t="s">
        <v>1466</v>
      </c>
      <c r="T1204" s="197">
        <f t="shared" si="88"/>
        <v>400</v>
      </c>
      <c r="U1204" s="193" t="s">
        <v>932</v>
      </c>
      <c r="V1204" s="193" t="str">
        <f t="shared" si="89"/>
        <v>Gowa</v>
      </c>
      <c r="AP1204" s="3" t="s">
        <v>1652</v>
      </c>
    </row>
    <row r="1205" spans="2:42" ht="15" customHeight="1" x14ac:dyDescent="0.2">
      <c r="B1205" s="193">
        <v>1</v>
      </c>
      <c r="C1205" s="347" t="s">
        <v>1600</v>
      </c>
      <c r="D1205" s="347" t="str">
        <f t="shared" si="90"/>
        <v>RBDPL001059SCM</v>
      </c>
      <c r="E1205" s="193" t="s">
        <v>1615</v>
      </c>
      <c r="F1205" s="193" t="s">
        <v>1418</v>
      </c>
      <c r="G1205" s="193" t="s">
        <v>1652</v>
      </c>
      <c r="H1205" s="193" t="s">
        <v>107</v>
      </c>
      <c r="I1205" s="193" t="s">
        <v>3</v>
      </c>
      <c r="J1205" s="193" t="str">
        <f t="shared" si="87"/>
        <v>6 Roda</v>
      </c>
      <c r="K1205" s="194">
        <v>46140</v>
      </c>
      <c r="L1205" s="195">
        <v>4620</v>
      </c>
      <c r="M1205" s="195">
        <v>14340</v>
      </c>
      <c r="N1205" s="195">
        <v>9720</v>
      </c>
      <c r="O1205" s="195"/>
      <c r="P1205" s="196">
        <v>0.76597222222222217</v>
      </c>
      <c r="Q1205" s="196">
        <v>0.79027777777777775</v>
      </c>
      <c r="R1205" s="193" t="s">
        <v>42</v>
      </c>
      <c r="S1205" s="193" t="s">
        <v>1617</v>
      </c>
      <c r="T1205" s="197">
        <f t="shared" si="88"/>
        <v>400</v>
      </c>
      <c r="U1205" s="193" t="s">
        <v>932</v>
      </c>
      <c r="V1205" s="193" t="str">
        <f t="shared" si="89"/>
        <v>Gowa</v>
      </c>
      <c r="AP1205" s="3" t="s">
        <v>1652</v>
      </c>
    </row>
    <row r="1206" spans="2:42" ht="15" customHeight="1" x14ac:dyDescent="0.2">
      <c r="B1206" s="193">
        <v>1</v>
      </c>
      <c r="C1206" s="347" t="s">
        <v>1580</v>
      </c>
      <c r="D1206" s="347" t="str">
        <f t="shared" si="90"/>
        <v>RBDPL001052WIN</v>
      </c>
      <c r="E1206" s="193" t="s">
        <v>46</v>
      </c>
      <c r="F1206" s="193" t="s">
        <v>1642</v>
      </c>
      <c r="G1206" s="193" t="s">
        <v>1691</v>
      </c>
      <c r="H1206" s="193" t="s">
        <v>115</v>
      </c>
      <c r="I1206" s="193" t="s">
        <v>3</v>
      </c>
      <c r="J1206" s="193" t="str">
        <f t="shared" ref="J1206:J1269" si="91">IF(MIN(L1206,M1206)&lt;=5000,"6 Roda",IF(MIN(L1206,M1206)&lt;=13800,"10 Roda","12 Roda"))</f>
        <v>10 Roda</v>
      </c>
      <c r="K1206" s="194">
        <v>46140</v>
      </c>
      <c r="L1206" s="195">
        <v>11600</v>
      </c>
      <c r="M1206" s="195">
        <v>26710</v>
      </c>
      <c r="N1206" s="195">
        <v>15110</v>
      </c>
      <c r="O1206" s="195"/>
      <c r="P1206" s="196">
        <v>0.62430555555555556</v>
      </c>
      <c r="Q1206" s="196">
        <v>0.65277777777777779</v>
      </c>
      <c r="R1206" s="193" t="s">
        <v>137</v>
      </c>
      <c r="S1206" s="193" t="s">
        <v>1393</v>
      </c>
      <c r="T1206" s="197">
        <f t="shared" si="88"/>
        <v>642</v>
      </c>
      <c r="U1206" s="193" t="s">
        <v>69</v>
      </c>
      <c r="V1206" s="193" t="str">
        <f t="shared" si="89"/>
        <v>Torobulu</v>
      </c>
      <c r="AP1206" s="3" t="s">
        <v>1691</v>
      </c>
    </row>
    <row r="1207" spans="2:42" ht="15" customHeight="1" x14ac:dyDescent="0.2">
      <c r="B1207" s="193">
        <v>1</v>
      </c>
      <c r="C1207" s="347" t="s">
        <v>1601</v>
      </c>
      <c r="D1207" s="347" t="str">
        <f t="shared" si="90"/>
        <v>RBDPL001063DA</v>
      </c>
      <c r="E1207" s="193" t="s">
        <v>1278</v>
      </c>
      <c r="F1207" s="193" t="s">
        <v>1419</v>
      </c>
      <c r="G1207" s="193" t="s">
        <v>1655</v>
      </c>
      <c r="H1207" s="193" t="s">
        <v>111</v>
      </c>
      <c r="I1207" s="193" t="s">
        <v>3</v>
      </c>
      <c r="J1207" s="193" t="str">
        <f t="shared" si="91"/>
        <v>6 Roda</v>
      </c>
      <c r="K1207" s="194">
        <v>46141</v>
      </c>
      <c r="L1207" s="195">
        <v>4260</v>
      </c>
      <c r="M1207" s="195">
        <v>14260</v>
      </c>
      <c r="N1207" s="195">
        <v>10000</v>
      </c>
      <c r="O1207" s="195"/>
      <c r="P1207" s="196">
        <v>0.59305555555555556</v>
      </c>
      <c r="Q1207" s="196">
        <v>0.61041666666666672</v>
      </c>
      <c r="R1207" s="193" t="s">
        <v>137</v>
      </c>
      <c r="S1207" s="193" t="s">
        <v>1519</v>
      </c>
      <c r="T1207" s="197">
        <f t="shared" si="88"/>
        <v>360</v>
      </c>
      <c r="U1207" s="193" t="s">
        <v>932</v>
      </c>
      <c r="V1207" s="193" t="str">
        <f t="shared" si="89"/>
        <v>Makassar</v>
      </c>
      <c r="AP1207" s="3" t="s">
        <v>1655</v>
      </c>
    </row>
    <row r="1208" spans="2:42" ht="15" customHeight="1" x14ac:dyDescent="0.2">
      <c r="B1208" s="193">
        <v>1</v>
      </c>
      <c r="C1208" s="347" t="s">
        <v>1602</v>
      </c>
      <c r="D1208" s="347" t="str">
        <f t="shared" si="90"/>
        <v>RBDPL001062DA</v>
      </c>
      <c r="E1208" s="193" t="s">
        <v>1274</v>
      </c>
      <c r="F1208" s="193" t="s">
        <v>1419</v>
      </c>
      <c r="G1208" s="193" t="s">
        <v>1655</v>
      </c>
      <c r="H1208" s="193" t="s">
        <v>111</v>
      </c>
      <c r="I1208" s="193" t="s">
        <v>3</v>
      </c>
      <c r="J1208" s="193" t="str">
        <f t="shared" si="91"/>
        <v>6 Roda</v>
      </c>
      <c r="K1208" s="194">
        <v>46141</v>
      </c>
      <c r="L1208" s="195">
        <v>3840</v>
      </c>
      <c r="M1208" s="195">
        <v>13440</v>
      </c>
      <c r="N1208" s="195">
        <v>9600</v>
      </c>
      <c r="O1208" s="195"/>
      <c r="P1208" s="196">
        <v>0.56388888888888888</v>
      </c>
      <c r="Q1208" s="196">
        <v>0.60347222222222219</v>
      </c>
      <c r="R1208" s="193" t="s">
        <v>137</v>
      </c>
      <c r="S1208" s="193" t="s">
        <v>1516</v>
      </c>
      <c r="T1208" s="197">
        <f t="shared" si="88"/>
        <v>360</v>
      </c>
      <c r="U1208" s="193" t="s">
        <v>932</v>
      </c>
      <c r="V1208" s="193" t="str">
        <f t="shared" si="89"/>
        <v>Makassar</v>
      </c>
      <c r="AP1208" s="3" t="s">
        <v>1655</v>
      </c>
    </row>
    <row r="1209" spans="2:42" ht="15" customHeight="1" x14ac:dyDescent="0.2">
      <c r="B1209" s="193">
        <v>1</v>
      </c>
      <c r="C1209" s="347" t="s">
        <v>1603</v>
      </c>
      <c r="D1209" s="347" t="str">
        <f t="shared" si="90"/>
        <v>RBDPL001061DA</v>
      </c>
      <c r="E1209" s="193" t="s">
        <v>236</v>
      </c>
      <c r="F1209" s="193" t="s">
        <v>1419</v>
      </c>
      <c r="G1209" s="193" t="s">
        <v>1655</v>
      </c>
      <c r="H1209" s="193" t="s">
        <v>111</v>
      </c>
      <c r="I1209" s="193" t="s">
        <v>3</v>
      </c>
      <c r="J1209" s="193" t="str">
        <f t="shared" si="91"/>
        <v>6 Roda</v>
      </c>
      <c r="K1209" s="194">
        <v>46141</v>
      </c>
      <c r="L1209" s="195">
        <v>4030</v>
      </c>
      <c r="M1209" s="195">
        <v>13060</v>
      </c>
      <c r="N1209" s="195">
        <v>9030</v>
      </c>
      <c r="O1209" s="195"/>
      <c r="P1209" s="196">
        <v>0.56041666666666667</v>
      </c>
      <c r="Q1209" s="196">
        <v>0.58819444444444446</v>
      </c>
      <c r="R1209" s="193" t="s">
        <v>137</v>
      </c>
      <c r="S1209" s="193" t="s">
        <v>1466</v>
      </c>
      <c r="T1209" s="197">
        <f t="shared" si="88"/>
        <v>360</v>
      </c>
      <c r="U1209" s="193" t="s">
        <v>932</v>
      </c>
      <c r="V1209" s="193" t="str">
        <f t="shared" si="89"/>
        <v>Makassar</v>
      </c>
      <c r="AP1209" s="3" t="s">
        <v>1655</v>
      </c>
    </row>
    <row r="1210" spans="2:42" ht="15" customHeight="1" x14ac:dyDescent="0.2">
      <c r="B1210" s="193">
        <v>1</v>
      </c>
      <c r="C1210" s="347" t="s">
        <v>1604</v>
      </c>
      <c r="D1210" s="347" t="str">
        <f t="shared" si="90"/>
        <v>RBDPL001060DA</v>
      </c>
      <c r="E1210" s="193" t="s">
        <v>1239</v>
      </c>
      <c r="F1210" s="193" t="s">
        <v>1419</v>
      </c>
      <c r="G1210" s="193" t="s">
        <v>1655</v>
      </c>
      <c r="H1210" s="193" t="s">
        <v>111</v>
      </c>
      <c r="I1210" s="193" t="s">
        <v>3</v>
      </c>
      <c r="J1210" s="193" t="str">
        <f t="shared" si="91"/>
        <v>12 Roda</v>
      </c>
      <c r="K1210" s="194">
        <v>46141</v>
      </c>
      <c r="L1210" s="195">
        <v>18980</v>
      </c>
      <c r="M1210" s="195">
        <v>42680</v>
      </c>
      <c r="N1210" s="195">
        <v>23700</v>
      </c>
      <c r="O1210" s="195"/>
      <c r="P1210" s="196">
        <v>0.3840277777777778</v>
      </c>
      <c r="Q1210" s="196">
        <v>0.50972222222222219</v>
      </c>
      <c r="R1210" s="193" t="s">
        <v>137</v>
      </c>
      <c r="S1210" s="193" t="s">
        <v>1783</v>
      </c>
      <c r="T1210" s="197">
        <f t="shared" si="88"/>
        <v>360</v>
      </c>
      <c r="U1210" s="193" t="s">
        <v>932</v>
      </c>
      <c r="V1210" s="193" t="str">
        <f t="shared" si="89"/>
        <v>Makassar</v>
      </c>
      <c r="AP1210" s="3" t="s">
        <v>1655</v>
      </c>
    </row>
    <row r="1211" spans="2:42" ht="15" customHeight="1" x14ac:dyDescent="0.2">
      <c r="B1211" s="193">
        <v>1</v>
      </c>
      <c r="C1211" s="347" t="s">
        <v>1605</v>
      </c>
      <c r="D1211" s="347" t="str">
        <f t="shared" si="90"/>
        <v>RBDPL001064DA</v>
      </c>
      <c r="E1211" s="193" t="s">
        <v>830</v>
      </c>
      <c r="F1211" s="193" t="s">
        <v>1419</v>
      </c>
      <c r="G1211" s="193" t="s">
        <v>1655</v>
      </c>
      <c r="H1211" s="193" t="s">
        <v>111</v>
      </c>
      <c r="I1211" s="193" t="s">
        <v>3</v>
      </c>
      <c r="J1211" s="193" t="str">
        <f t="shared" si="91"/>
        <v>6 Roda</v>
      </c>
      <c r="K1211" s="194">
        <v>46141</v>
      </c>
      <c r="L1211" s="195">
        <v>4110</v>
      </c>
      <c r="M1211" s="195">
        <v>13300</v>
      </c>
      <c r="N1211" s="195">
        <v>9190</v>
      </c>
      <c r="O1211" s="195"/>
      <c r="P1211" s="196">
        <v>0.6333333333333333</v>
      </c>
      <c r="Q1211" s="196">
        <v>0.65694444444444444</v>
      </c>
      <c r="R1211" s="193" t="s">
        <v>137</v>
      </c>
      <c r="S1211" s="193" t="s">
        <v>1618</v>
      </c>
      <c r="T1211" s="197">
        <f t="shared" si="88"/>
        <v>360</v>
      </c>
      <c r="U1211" s="193" t="s">
        <v>932</v>
      </c>
      <c r="V1211" s="193" t="str">
        <f t="shared" si="89"/>
        <v>Makassar</v>
      </c>
      <c r="AP1211" s="3" t="s">
        <v>1655</v>
      </c>
    </row>
    <row r="1212" spans="2:42" ht="15" customHeight="1" x14ac:dyDescent="0.2">
      <c r="B1212" s="193">
        <v>1</v>
      </c>
      <c r="C1212" s="347" t="s">
        <v>1606</v>
      </c>
      <c r="D1212" s="347" t="str">
        <f t="shared" si="90"/>
        <v>RBDPL001065DA</v>
      </c>
      <c r="E1212" s="193" t="s">
        <v>938</v>
      </c>
      <c r="F1212" s="193" t="s">
        <v>1419</v>
      </c>
      <c r="G1212" s="193" t="s">
        <v>1655</v>
      </c>
      <c r="H1212" s="193" t="s">
        <v>111</v>
      </c>
      <c r="I1212" s="193" t="s">
        <v>3</v>
      </c>
      <c r="J1212" s="193" t="str">
        <f t="shared" si="91"/>
        <v>6 Roda</v>
      </c>
      <c r="K1212" s="194">
        <v>46141</v>
      </c>
      <c r="L1212" s="195">
        <v>4000</v>
      </c>
      <c r="M1212" s="195">
        <v>13480</v>
      </c>
      <c r="N1212" s="195">
        <v>9480</v>
      </c>
      <c r="O1212" s="195"/>
      <c r="P1212" s="196">
        <v>0.64861111111111114</v>
      </c>
      <c r="Q1212" s="196">
        <v>0.66805555555555562</v>
      </c>
      <c r="R1212" s="193" t="s">
        <v>137</v>
      </c>
      <c r="S1212" s="193" t="s">
        <v>1384</v>
      </c>
      <c r="T1212" s="197">
        <f t="shared" si="88"/>
        <v>360</v>
      </c>
      <c r="U1212" s="193" t="s">
        <v>932</v>
      </c>
      <c r="V1212" s="193" t="str">
        <f t="shared" si="89"/>
        <v>Makassar</v>
      </c>
      <c r="AP1212" s="3" t="s">
        <v>1655</v>
      </c>
    </row>
    <row r="1213" spans="2:42" ht="15" customHeight="1" x14ac:dyDescent="0.2">
      <c r="B1213" s="193">
        <v>1</v>
      </c>
      <c r="C1213" s="347" t="s">
        <v>1607</v>
      </c>
      <c r="D1213" s="347" t="str">
        <f t="shared" si="90"/>
        <v>RBDPL001069DA</v>
      </c>
      <c r="E1213" s="193" t="s">
        <v>1515</v>
      </c>
      <c r="F1213" s="193" t="s">
        <v>1419</v>
      </c>
      <c r="G1213" s="193" t="s">
        <v>1655</v>
      </c>
      <c r="H1213" s="193" t="s">
        <v>111</v>
      </c>
      <c r="I1213" s="193" t="s">
        <v>3</v>
      </c>
      <c r="J1213" s="193" t="str">
        <f t="shared" si="91"/>
        <v>6 Roda</v>
      </c>
      <c r="K1213" s="194">
        <v>46141</v>
      </c>
      <c r="L1213" s="195">
        <v>3930</v>
      </c>
      <c r="M1213" s="195">
        <v>13630</v>
      </c>
      <c r="N1213" s="195">
        <v>9700</v>
      </c>
      <c r="O1213" s="195"/>
      <c r="P1213" s="196">
        <v>0.72638888888888886</v>
      </c>
      <c r="Q1213" s="196">
        <v>0.75555555555555554</v>
      </c>
      <c r="R1213" s="193" t="s">
        <v>42</v>
      </c>
      <c r="S1213" s="193" t="s">
        <v>1520</v>
      </c>
      <c r="T1213" s="197">
        <f t="shared" si="88"/>
        <v>360</v>
      </c>
      <c r="U1213" s="193" t="s">
        <v>932</v>
      </c>
      <c r="V1213" s="193" t="str">
        <f t="shared" si="89"/>
        <v>Makassar</v>
      </c>
      <c r="AP1213" s="3" t="s">
        <v>1655</v>
      </c>
    </row>
    <row r="1214" spans="2:42" ht="15" customHeight="1" x14ac:dyDescent="0.2">
      <c r="B1214" s="193">
        <v>1</v>
      </c>
      <c r="C1214" s="347" t="s">
        <v>1608</v>
      </c>
      <c r="D1214" s="347" t="str">
        <f t="shared" si="90"/>
        <v>RBDPL001071DA</v>
      </c>
      <c r="E1214" s="193" t="s">
        <v>1307</v>
      </c>
      <c r="F1214" s="193" t="s">
        <v>1419</v>
      </c>
      <c r="G1214" s="193" t="s">
        <v>1655</v>
      </c>
      <c r="H1214" s="193" t="s">
        <v>111</v>
      </c>
      <c r="I1214" s="193" t="s">
        <v>3</v>
      </c>
      <c r="J1214" s="193" t="str">
        <f t="shared" si="91"/>
        <v>6 Roda</v>
      </c>
      <c r="K1214" s="194">
        <v>46141</v>
      </c>
      <c r="L1214" s="195">
        <v>3920</v>
      </c>
      <c r="M1214" s="195">
        <v>13300</v>
      </c>
      <c r="N1214" s="195">
        <v>9380</v>
      </c>
      <c r="O1214" s="195"/>
      <c r="P1214" s="196">
        <v>0.75763888888888886</v>
      </c>
      <c r="Q1214" s="196">
        <v>0.77708333333333324</v>
      </c>
      <c r="R1214" s="193" t="s">
        <v>42</v>
      </c>
      <c r="S1214" s="193" t="s">
        <v>1517</v>
      </c>
      <c r="T1214" s="197">
        <f t="shared" si="88"/>
        <v>360</v>
      </c>
      <c r="U1214" s="193" t="s">
        <v>932</v>
      </c>
      <c r="V1214" s="193" t="str">
        <f t="shared" si="89"/>
        <v>Makassar</v>
      </c>
      <c r="AP1214" s="3" t="s">
        <v>1655</v>
      </c>
    </row>
    <row r="1215" spans="2:42" ht="15" customHeight="1" x14ac:dyDescent="0.2">
      <c r="B1215" s="193">
        <v>1</v>
      </c>
      <c r="C1215" s="347" t="s">
        <v>1609</v>
      </c>
      <c r="D1215" s="347" t="str">
        <f t="shared" si="90"/>
        <v>RBDPL001073HSA</v>
      </c>
      <c r="E1215" s="193" t="s">
        <v>983</v>
      </c>
      <c r="F1215" s="193" t="s">
        <v>1481</v>
      </c>
      <c r="G1215" s="193" t="s">
        <v>1647</v>
      </c>
      <c r="H1215" s="193" t="s">
        <v>103</v>
      </c>
      <c r="I1215" s="193" t="s">
        <v>3</v>
      </c>
      <c r="J1215" s="193" t="str">
        <f t="shared" si="91"/>
        <v>6 Roda</v>
      </c>
      <c r="K1215" s="194">
        <v>46141</v>
      </c>
      <c r="L1215" s="195">
        <v>4070</v>
      </c>
      <c r="M1215" s="195">
        <v>13380</v>
      </c>
      <c r="N1215" s="195">
        <v>9310</v>
      </c>
      <c r="O1215" s="195"/>
      <c r="P1215" s="196">
        <v>0.78402777777777777</v>
      </c>
      <c r="Q1215" s="196">
        <v>0.80069444444444438</v>
      </c>
      <c r="R1215" s="193" t="s">
        <v>42</v>
      </c>
      <c r="S1215" s="193" t="s">
        <v>1387</v>
      </c>
      <c r="T1215" s="197">
        <f t="shared" si="88"/>
        <v>360</v>
      </c>
      <c r="U1215" s="193" t="s">
        <v>932</v>
      </c>
      <c r="V1215" s="193" t="str">
        <f t="shared" si="89"/>
        <v>Makassar</v>
      </c>
      <c r="AP1215" s="3" t="s">
        <v>1647</v>
      </c>
    </row>
    <row r="1216" spans="2:42" ht="15" customHeight="1" x14ac:dyDescent="0.2">
      <c r="B1216" s="193">
        <v>1</v>
      </c>
      <c r="C1216" s="347" t="s">
        <v>1610</v>
      </c>
      <c r="D1216" s="347" t="str">
        <f t="shared" si="90"/>
        <v>RBDPL001072HSA</v>
      </c>
      <c r="E1216" s="193" t="s">
        <v>997</v>
      </c>
      <c r="F1216" s="193" t="s">
        <v>1481</v>
      </c>
      <c r="G1216" s="193" t="s">
        <v>1647</v>
      </c>
      <c r="H1216" s="193" t="s">
        <v>103</v>
      </c>
      <c r="I1216" s="193" t="s">
        <v>3</v>
      </c>
      <c r="J1216" s="193" t="str">
        <f t="shared" si="91"/>
        <v>6 Roda</v>
      </c>
      <c r="K1216" s="194">
        <v>46141</v>
      </c>
      <c r="L1216" s="195">
        <v>3880</v>
      </c>
      <c r="M1216" s="195">
        <v>13450</v>
      </c>
      <c r="N1216" s="195">
        <v>9570</v>
      </c>
      <c r="O1216" s="195"/>
      <c r="P1216" s="196">
        <v>0.77083333333333337</v>
      </c>
      <c r="Q1216" s="196">
        <v>0.78819444444444453</v>
      </c>
      <c r="R1216" s="193" t="s">
        <v>42</v>
      </c>
      <c r="S1216" s="193" t="s">
        <v>1376</v>
      </c>
      <c r="T1216" s="197">
        <f t="shared" si="88"/>
        <v>360</v>
      </c>
      <c r="U1216" s="193" t="s">
        <v>932</v>
      </c>
      <c r="V1216" s="193" t="str">
        <f t="shared" si="89"/>
        <v>Makassar</v>
      </c>
      <c r="AP1216" s="3" t="s">
        <v>1647</v>
      </c>
    </row>
    <row r="1217" spans="2:42" ht="15" customHeight="1" x14ac:dyDescent="0.2">
      <c r="B1217" s="193">
        <v>1</v>
      </c>
      <c r="C1217" s="347" t="s">
        <v>1611</v>
      </c>
      <c r="D1217" s="347" t="str">
        <f t="shared" si="90"/>
        <v>RBDPL001070HSA</v>
      </c>
      <c r="E1217" s="193" t="s">
        <v>166</v>
      </c>
      <c r="F1217" s="193" t="s">
        <v>1481</v>
      </c>
      <c r="G1217" s="193" t="s">
        <v>1647</v>
      </c>
      <c r="H1217" s="193" t="s">
        <v>103</v>
      </c>
      <c r="I1217" s="193" t="s">
        <v>3</v>
      </c>
      <c r="J1217" s="193" t="str">
        <f t="shared" si="91"/>
        <v>6 Roda</v>
      </c>
      <c r="K1217" s="194">
        <v>46141</v>
      </c>
      <c r="L1217" s="195">
        <v>3890</v>
      </c>
      <c r="M1217" s="195">
        <v>13300</v>
      </c>
      <c r="N1217" s="195">
        <v>9410</v>
      </c>
      <c r="O1217" s="195"/>
      <c r="P1217" s="196">
        <v>0.74444444444444446</v>
      </c>
      <c r="Q1217" s="196">
        <v>0.76597222222222217</v>
      </c>
      <c r="R1217" s="193" t="s">
        <v>42</v>
      </c>
      <c r="S1217" s="193" t="s">
        <v>1390</v>
      </c>
      <c r="T1217" s="197">
        <f t="shared" si="88"/>
        <v>360</v>
      </c>
      <c r="U1217" s="193" t="s">
        <v>932</v>
      </c>
      <c r="V1217" s="193" t="str">
        <f t="shared" si="89"/>
        <v>Makassar</v>
      </c>
      <c r="AP1217" s="3" t="s">
        <v>1647</v>
      </c>
    </row>
    <row r="1218" spans="2:42" ht="15" customHeight="1" x14ac:dyDescent="0.2">
      <c r="B1218" s="193">
        <v>1</v>
      </c>
      <c r="C1218" s="347" t="s">
        <v>1612</v>
      </c>
      <c r="D1218" s="347" t="str">
        <f t="shared" si="90"/>
        <v>RBDPL001068HSA</v>
      </c>
      <c r="E1218" s="193" t="s">
        <v>940</v>
      </c>
      <c r="F1218" s="193" t="s">
        <v>1481</v>
      </c>
      <c r="G1218" s="193" t="s">
        <v>1647</v>
      </c>
      <c r="H1218" s="193" t="s">
        <v>103</v>
      </c>
      <c r="I1218" s="193" t="s">
        <v>3</v>
      </c>
      <c r="J1218" s="193" t="str">
        <f t="shared" si="91"/>
        <v>6 Roda</v>
      </c>
      <c r="K1218" s="194">
        <v>46141</v>
      </c>
      <c r="L1218" s="195">
        <v>4010</v>
      </c>
      <c r="M1218" s="195">
        <v>13550</v>
      </c>
      <c r="N1218" s="195">
        <v>9540</v>
      </c>
      <c r="O1218" s="195"/>
      <c r="P1218" s="196">
        <v>0.71111111111111114</v>
      </c>
      <c r="Q1218" s="196">
        <v>0.74236111111111114</v>
      </c>
      <c r="R1218" s="193" t="s">
        <v>42</v>
      </c>
      <c r="S1218" s="193" t="s">
        <v>1383</v>
      </c>
      <c r="T1218" s="197">
        <f t="shared" si="88"/>
        <v>360</v>
      </c>
      <c r="U1218" s="193" t="s">
        <v>932</v>
      </c>
      <c r="V1218" s="193" t="str">
        <f t="shared" si="89"/>
        <v>Makassar</v>
      </c>
      <c r="AP1218" s="3" t="s">
        <v>1647</v>
      </c>
    </row>
    <row r="1219" spans="2:42" ht="15" customHeight="1" x14ac:dyDescent="0.2">
      <c r="B1219" s="193">
        <v>1</v>
      </c>
      <c r="C1219" s="347" t="s">
        <v>1613</v>
      </c>
      <c r="D1219" s="347" t="str">
        <f t="shared" si="90"/>
        <v>RBDPL001067HSA</v>
      </c>
      <c r="E1219" s="193" t="s">
        <v>934</v>
      </c>
      <c r="F1219" s="193" t="s">
        <v>1481</v>
      </c>
      <c r="G1219" s="193" t="s">
        <v>1647</v>
      </c>
      <c r="H1219" s="193" t="s">
        <v>103</v>
      </c>
      <c r="I1219" s="193" t="s">
        <v>3</v>
      </c>
      <c r="J1219" s="193" t="str">
        <f t="shared" si="91"/>
        <v>6 Roda</v>
      </c>
      <c r="K1219" s="194">
        <v>46141</v>
      </c>
      <c r="L1219" s="195">
        <v>3880</v>
      </c>
      <c r="M1219" s="195">
        <v>13200</v>
      </c>
      <c r="N1219" s="195">
        <v>9320</v>
      </c>
      <c r="O1219" s="195"/>
      <c r="P1219" s="196">
        <v>0.70694444444444438</v>
      </c>
      <c r="Q1219" s="196">
        <v>0.72916666666666663</v>
      </c>
      <c r="R1219" s="193" t="s">
        <v>42</v>
      </c>
      <c r="S1219" s="193" t="s">
        <v>1382</v>
      </c>
      <c r="T1219" s="197">
        <f t="shared" si="88"/>
        <v>360</v>
      </c>
      <c r="U1219" s="193" t="s">
        <v>932</v>
      </c>
      <c r="V1219" s="193" t="str">
        <f t="shared" si="89"/>
        <v>Makassar</v>
      </c>
      <c r="AP1219" s="3" t="s">
        <v>1647</v>
      </c>
    </row>
    <row r="1220" spans="2:42" ht="15" customHeight="1" x14ac:dyDescent="0.2">
      <c r="B1220" s="193">
        <v>1</v>
      </c>
      <c r="C1220" s="347" t="s">
        <v>1614</v>
      </c>
      <c r="D1220" s="347" t="str">
        <f t="shared" si="90"/>
        <v>RBDPL001066TDJ</v>
      </c>
      <c r="E1220" s="193" t="s">
        <v>56</v>
      </c>
      <c r="F1220" s="193" t="s">
        <v>1643</v>
      </c>
      <c r="G1220" s="193" t="s">
        <v>1692</v>
      </c>
      <c r="H1220" s="193" t="s">
        <v>1523</v>
      </c>
      <c r="I1220" s="193" t="s">
        <v>3</v>
      </c>
      <c r="J1220" s="193" t="str">
        <f t="shared" si="91"/>
        <v>10 Roda</v>
      </c>
      <c r="K1220" s="194">
        <v>46141</v>
      </c>
      <c r="L1220" s="195">
        <v>10670</v>
      </c>
      <c r="M1220" s="195">
        <v>25150</v>
      </c>
      <c r="N1220" s="195">
        <v>14480</v>
      </c>
      <c r="O1220" s="195"/>
      <c r="P1220" s="196">
        <v>0.65555555555555556</v>
      </c>
      <c r="Q1220" s="196">
        <v>0.6875</v>
      </c>
      <c r="R1220" s="193" t="s">
        <v>137</v>
      </c>
      <c r="S1220" s="193" t="s">
        <v>1781</v>
      </c>
      <c r="T1220" s="197">
        <f t="shared" si="88"/>
        <v>473</v>
      </c>
      <c r="U1220" s="193" t="s">
        <v>69</v>
      </c>
      <c r="V1220" s="193" t="str">
        <f t="shared" si="89"/>
        <v>Siumbatu</v>
      </c>
      <c r="AP1220" s="3" t="s">
        <v>1692</v>
      </c>
    </row>
    <row r="1221" spans="2:42" ht="15" customHeight="1" x14ac:dyDescent="0.2">
      <c r="B1221" s="193">
        <v>1</v>
      </c>
      <c r="C1221" s="347" t="s">
        <v>1619</v>
      </c>
      <c r="D1221" s="347" t="str">
        <f t="shared" si="90"/>
        <v>RBDPL001076SCM</v>
      </c>
      <c r="E1221" s="193" t="s">
        <v>181</v>
      </c>
      <c r="F1221" s="193" t="s">
        <v>1418</v>
      </c>
      <c r="G1221" s="193" t="s">
        <v>1652</v>
      </c>
      <c r="H1221" s="193" t="s">
        <v>107</v>
      </c>
      <c r="I1221" s="193" t="s">
        <v>3</v>
      </c>
      <c r="J1221" s="193" t="str">
        <f t="shared" si="91"/>
        <v>6 Roda</v>
      </c>
      <c r="K1221" s="194">
        <v>46142</v>
      </c>
      <c r="L1221" s="195">
        <v>4040</v>
      </c>
      <c r="M1221" s="195">
        <v>13680</v>
      </c>
      <c r="N1221" s="195">
        <v>9640</v>
      </c>
      <c r="O1221" s="195"/>
      <c r="P1221" s="196">
        <v>0.41180555555555554</v>
      </c>
      <c r="Q1221" s="196">
        <v>0.4381944444444445</v>
      </c>
      <c r="R1221" s="193" t="s">
        <v>137</v>
      </c>
      <c r="S1221" s="193" t="s">
        <v>1477</v>
      </c>
      <c r="T1221" s="197">
        <f t="shared" si="88"/>
        <v>400</v>
      </c>
      <c r="U1221" s="193" t="s">
        <v>175</v>
      </c>
      <c r="V1221" s="193" t="str">
        <f t="shared" si="89"/>
        <v>Gowa</v>
      </c>
      <c r="AP1221" s="3" t="s">
        <v>1652</v>
      </c>
    </row>
    <row r="1222" spans="2:42" ht="15" customHeight="1" x14ac:dyDescent="0.2">
      <c r="B1222" s="193">
        <v>1</v>
      </c>
      <c r="C1222" s="347" t="s">
        <v>1620</v>
      </c>
      <c r="D1222" s="347" t="str">
        <f t="shared" si="90"/>
        <v>RBDPL001077SCM</v>
      </c>
      <c r="E1222" s="193" t="s">
        <v>169</v>
      </c>
      <c r="F1222" s="193" t="s">
        <v>1418</v>
      </c>
      <c r="G1222" s="193" t="s">
        <v>1652</v>
      </c>
      <c r="H1222" s="193" t="s">
        <v>107</v>
      </c>
      <c r="I1222" s="193" t="s">
        <v>3</v>
      </c>
      <c r="J1222" s="193" t="str">
        <f t="shared" si="91"/>
        <v>6 Roda</v>
      </c>
      <c r="K1222" s="194">
        <v>46142</v>
      </c>
      <c r="L1222" s="195">
        <v>4030</v>
      </c>
      <c r="M1222" s="195">
        <v>13560</v>
      </c>
      <c r="N1222" s="195">
        <v>9530</v>
      </c>
      <c r="O1222" s="195"/>
      <c r="P1222" s="196">
        <v>0.4145833333333333</v>
      </c>
      <c r="Q1222" s="196">
        <v>0.44791666666666669</v>
      </c>
      <c r="R1222" s="193" t="s">
        <v>137</v>
      </c>
      <c r="S1222" s="193" t="s">
        <v>1378</v>
      </c>
      <c r="T1222" s="197">
        <f t="shared" si="88"/>
        <v>400</v>
      </c>
      <c r="U1222" s="193" t="s">
        <v>175</v>
      </c>
      <c r="V1222" s="193" t="str">
        <f t="shared" si="89"/>
        <v>Gowa</v>
      </c>
      <c r="AP1222" s="3" t="s">
        <v>1652</v>
      </c>
    </row>
    <row r="1223" spans="2:42" ht="15" customHeight="1" x14ac:dyDescent="0.2">
      <c r="B1223" s="193">
        <v>1</v>
      </c>
      <c r="C1223" s="347" t="s">
        <v>1621</v>
      </c>
      <c r="D1223" s="347" t="str">
        <f t="shared" si="90"/>
        <v>RBDPL001078SCM</v>
      </c>
      <c r="E1223" s="193" t="s">
        <v>1308</v>
      </c>
      <c r="F1223" s="193" t="s">
        <v>1418</v>
      </c>
      <c r="G1223" s="193" t="s">
        <v>1652</v>
      </c>
      <c r="H1223" s="193" t="s">
        <v>107</v>
      </c>
      <c r="I1223" s="193" t="s">
        <v>3</v>
      </c>
      <c r="J1223" s="193" t="str">
        <f t="shared" si="91"/>
        <v>6 Roda</v>
      </c>
      <c r="K1223" s="194">
        <v>46142</v>
      </c>
      <c r="L1223" s="195">
        <v>3890</v>
      </c>
      <c r="M1223" s="195">
        <v>13130</v>
      </c>
      <c r="N1223" s="195">
        <v>9240</v>
      </c>
      <c r="O1223" s="195"/>
      <c r="P1223" s="196">
        <v>0.45416666666666666</v>
      </c>
      <c r="Q1223" s="196">
        <v>0.47638888888888892</v>
      </c>
      <c r="R1223" s="193" t="s">
        <v>137</v>
      </c>
      <c r="S1223" s="193" t="s">
        <v>1518</v>
      </c>
      <c r="T1223" s="197">
        <f t="shared" si="88"/>
        <v>400</v>
      </c>
      <c r="U1223" s="193" t="s">
        <v>175</v>
      </c>
      <c r="V1223" s="193" t="str">
        <f t="shared" si="89"/>
        <v>Gowa</v>
      </c>
      <c r="AP1223" s="3" t="s">
        <v>1652</v>
      </c>
    </row>
    <row r="1224" spans="2:42" ht="15" customHeight="1" x14ac:dyDescent="0.2">
      <c r="B1224" s="193">
        <v>1</v>
      </c>
      <c r="C1224" s="347" t="s">
        <v>1622</v>
      </c>
      <c r="D1224" s="347" t="str">
        <f t="shared" si="90"/>
        <v>RBDPL001079SCM</v>
      </c>
      <c r="E1224" s="193" t="s">
        <v>1631</v>
      </c>
      <c r="F1224" s="193" t="s">
        <v>1418</v>
      </c>
      <c r="G1224" s="193" t="s">
        <v>1652</v>
      </c>
      <c r="H1224" s="193" t="s">
        <v>107</v>
      </c>
      <c r="I1224" s="193" t="s">
        <v>3</v>
      </c>
      <c r="J1224" s="193" t="str">
        <f t="shared" si="91"/>
        <v>6 Roda</v>
      </c>
      <c r="K1224" s="194">
        <v>46142</v>
      </c>
      <c r="L1224" s="195">
        <v>4020</v>
      </c>
      <c r="M1224" s="195">
        <v>13390</v>
      </c>
      <c r="N1224" s="195">
        <v>9370</v>
      </c>
      <c r="O1224" s="195"/>
      <c r="P1224" s="196">
        <v>0.45624999999999999</v>
      </c>
      <c r="Q1224" s="196">
        <v>0.48749999999999999</v>
      </c>
      <c r="R1224" s="193" t="s">
        <v>137</v>
      </c>
      <c r="S1224" s="193" t="s">
        <v>1633</v>
      </c>
      <c r="T1224" s="197">
        <f t="shared" si="88"/>
        <v>400</v>
      </c>
      <c r="U1224" s="193" t="s">
        <v>175</v>
      </c>
      <c r="V1224" s="193" t="str">
        <f t="shared" si="89"/>
        <v>Gowa</v>
      </c>
      <c r="AP1224" s="3" t="s">
        <v>1652</v>
      </c>
    </row>
    <row r="1225" spans="2:42" ht="15" customHeight="1" x14ac:dyDescent="0.2">
      <c r="B1225" s="193">
        <v>1</v>
      </c>
      <c r="C1225" s="347" t="s">
        <v>1623</v>
      </c>
      <c r="D1225" s="347" t="str">
        <f t="shared" si="90"/>
        <v>RBDPL001080DA</v>
      </c>
      <c r="E1225" s="193" t="s">
        <v>936</v>
      </c>
      <c r="F1225" s="193" t="s">
        <v>1419</v>
      </c>
      <c r="G1225" s="193" t="s">
        <v>1655</v>
      </c>
      <c r="H1225" s="193" t="s">
        <v>111</v>
      </c>
      <c r="I1225" s="193" t="s">
        <v>3</v>
      </c>
      <c r="J1225" s="193" t="str">
        <f t="shared" si="91"/>
        <v>6 Roda</v>
      </c>
      <c r="K1225" s="194">
        <v>46142</v>
      </c>
      <c r="L1225" s="195">
        <v>4270</v>
      </c>
      <c r="M1225" s="195">
        <v>13580</v>
      </c>
      <c r="N1225" s="195">
        <v>9310</v>
      </c>
      <c r="O1225" s="195"/>
      <c r="P1225" s="196">
        <v>0.47222222222222227</v>
      </c>
      <c r="Q1225" s="196">
        <v>0.49305555555555558</v>
      </c>
      <c r="R1225" s="193" t="s">
        <v>137</v>
      </c>
      <c r="S1225" s="193" t="s">
        <v>1385</v>
      </c>
      <c r="T1225" s="197">
        <f t="shared" si="88"/>
        <v>360</v>
      </c>
      <c r="U1225" s="193" t="s">
        <v>932</v>
      </c>
      <c r="V1225" s="193" t="str">
        <f t="shared" si="89"/>
        <v>Makassar</v>
      </c>
      <c r="AP1225" s="3" t="s">
        <v>1655</v>
      </c>
    </row>
    <row r="1226" spans="2:42" ht="15" customHeight="1" x14ac:dyDescent="0.2">
      <c r="B1226" s="193">
        <v>1</v>
      </c>
      <c r="C1226" s="347" t="s">
        <v>1624</v>
      </c>
      <c r="D1226" s="347" t="str">
        <f t="shared" si="90"/>
        <v>RBDPL001088DA</v>
      </c>
      <c r="E1226" s="193" t="s">
        <v>936</v>
      </c>
      <c r="F1226" s="193" t="s">
        <v>1419</v>
      </c>
      <c r="G1226" s="193" t="s">
        <v>1655</v>
      </c>
      <c r="H1226" s="193" t="s">
        <v>111</v>
      </c>
      <c r="I1226" s="193" t="s">
        <v>3</v>
      </c>
      <c r="J1226" s="193" t="str">
        <f t="shared" si="91"/>
        <v>6 Roda</v>
      </c>
      <c r="K1226" s="194">
        <v>46142</v>
      </c>
      <c r="L1226" s="195">
        <v>4260</v>
      </c>
      <c r="M1226" s="195">
        <v>14410</v>
      </c>
      <c r="N1226" s="195">
        <v>10150</v>
      </c>
      <c r="O1226" s="195"/>
      <c r="P1226" s="196">
        <v>0.90555555555555556</v>
      </c>
      <c r="Q1226" s="196">
        <v>0.90625</v>
      </c>
      <c r="R1226" s="193" t="s">
        <v>42</v>
      </c>
      <c r="S1226" s="193" t="s">
        <v>1385</v>
      </c>
      <c r="T1226" s="197">
        <f t="shared" si="88"/>
        <v>360</v>
      </c>
      <c r="U1226" s="193" t="s">
        <v>932</v>
      </c>
      <c r="V1226" s="193" t="str">
        <f t="shared" si="89"/>
        <v>Makassar</v>
      </c>
      <c r="AP1226" s="3" t="s">
        <v>1655</v>
      </c>
    </row>
    <row r="1227" spans="2:42" ht="15" customHeight="1" x14ac:dyDescent="0.2">
      <c r="B1227" s="193">
        <v>1</v>
      </c>
      <c r="C1227" s="347" t="s">
        <v>1625</v>
      </c>
      <c r="D1227" s="347" t="str">
        <f t="shared" si="90"/>
        <v>RBDPL001081BJL</v>
      </c>
      <c r="E1227" s="193" t="s">
        <v>1567</v>
      </c>
      <c r="F1227" s="193" t="s">
        <v>1363</v>
      </c>
      <c r="G1227" s="193" t="s">
        <v>1657</v>
      </c>
      <c r="H1227" s="193" t="s">
        <v>86</v>
      </c>
      <c r="I1227" s="193" t="s">
        <v>3</v>
      </c>
      <c r="J1227" s="193" t="str">
        <f t="shared" si="91"/>
        <v>6 Roda</v>
      </c>
      <c r="K1227" s="194">
        <v>46142</v>
      </c>
      <c r="L1227" s="195">
        <v>3870</v>
      </c>
      <c r="M1227" s="195">
        <v>13210</v>
      </c>
      <c r="N1227" s="195">
        <v>9340</v>
      </c>
      <c r="O1227" s="195"/>
      <c r="P1227" s="196">
        <v>0.48888888888888887</v>
      </c>
      <c r="Q1227" s="196">
        <v>0.5083333333333333</v>
      </c>
      <c r="R1227" s="193" t="s">
        <v>137</v>
      </c>
      <c r="S1227" s="193" t="s">
        <v>1634</v>
      </c>
      <c r="T1227" s="197">
        <f t="shared" si="88"/>
        <v>562</v>
      </c>
      <c r="U1227" s="193" t="s">
        <v>175</v>
      </c>
      <c r="V1227" s="193" t="str">
        <f t="shared" si="89"/>
        <v>Palu</v>
      </c>
      <c r="AP1227" s="3" t="s">
        <v>1657</v>
      </c>
    </row>
    <row r="1228" spans="2:42" ht="15" customHeight="1" x14ac:dyDescent="0.2">
      <c r="B1228" s="193">
        <v>1</v>
      </c>
      <c r="C1228" s="347" t="s">
        <v>1626</v>
      </c>
      <c r="D1228" s="347" t="str">
        <f t="shared" si="90"/>
        <v>RBDPL001082SCM</v>
      </c>
      <c r="E1228" s="193" t="s">
        <v>1632</v>
      </c>
      <c r="F1228" s="193" t="s">
        <v>1418</v>
      </c>
      <c r="G1228" s="193" t="s">
        <v>1652</v>
      </c>
      <c r="H1228" s="193" t="s">
        <v>107</v>
      </c>
      <c r="I1228" s="193" t="s">
        <v>3</v>
      </c>
      <c r="J1228" s="193" t="str">
        <f t="shared" si="91"/>
        <v>6 Roda</v>
      </c>
      <c r="K1228" s="194">
        <v>46142</v>
      </c>
      <c r="L1228" s="195">
        <v>3850</v>
      </c>
      <c r="M1228" s="195">
        <v>13600</v>
      </c>
      <c r="N1228" s="195">
        <v>9750</v>
      </c>
      <c r="O1228" s="195"/>
      <c r="P1228" s="196">
        <v>0.57847222222222217</v>
      </c>
      <c r="Q1228" s="196">
        <v>0.59791666666666665</v>
      </c>
      <c r="R1228" s="193" t="s">
        <v>137</v>
      </c>
      <c r="S1228" s="193" t="s">
        <v>1635</v>
      </c>
      <c r="T1228" s="197">
        <f t="shared" si="88"/>
        <v>400</v>
      </c>
      <c r="U1228" s="193" t="s">
        <v>175</v>
      </c>
      <c r="V1228" s="193" t="str">
        <f t="shared" si="89"/>
        <v>Gowa</v>
      </c>
      <c r="AP1228" s="3" t="s">
        <v>1652</v>
      </c>
    </row>
    <row r="1229" spans="2:42" ht="15" customHeight="1" x14ac:dyDescent="0.2">
      <c r="B1229" s="193">
        <v>1</v>
      </c>
      <c r="C1229" s="347" t="s">
        <v>1627</v>
      </c>
      <c r="D1229" s="347" t="str">
        <f t="shared" si="90"/>
        <v>RBDPL001083SCM</v>
      </c>
      <c r="E1229" s="193" t="s">
        <v>174</v>
      </c>
      <c r="F1229" s="193" t="s">
        <v>1418</v>
      </c>
      <c r="G1229" s="193" t="s">
        <v>1652</v>
      </c>
      <c r="H1229" s="193" t="s">
        <v>107</v>
      </c>
      <c r="I1229" s="193" t="s">
        <v>3</v>
      </c>
      <c r="J1229" s="193" t="str">
        <f t="shared" si="91"/>
        <v>6 Roda</v>
      </c>
      <c r="K1229" s="194">
        <v>46142</v>
      </c>
      <c r="L1229" s="195">
        <v>4310</v>
      </c>
      <c r="M1229" s="195">
        <v>13440</v>
      </c>
      <c r="N1229" s="195">
        <v>9130</v>
      </c>
      <c r="O1229" s="195"/>
      <c r="P1229" s="196">
        <v>0.64583333333333337</v>
      </c>
      <c r="Q1229" s="196">
        <v>0.66041666666666665</v>
      </c>
      <c r="R1229" s="193" t="s">
        <v>137</v>
      </c>
      <c r="S1229" s="193" t="s">
        <v>1465</v>
      </c>
      <c r="T1229" s="197">
        <f t="shared" si="88"/>
        <v>400</v>
      </c>
      <c r="U1229" s="193" t="s">
        <v>175</v>
      </c>
      <c r="V1229" s="193" t="str">
        <f t="shared" si="89"/>
        <v>Gowa</v>
      </c>
      <c r="AP1229" s="3" t="s">
        <v>1652</v>
      </c>
    </row>
    <row r="1230" spans="2:42" ht="15" customHeight="1" x14ac:dyDescent="0.2">
      <c r="B1230" s="193">
        <v>1</v>
      </c>
      <c r="C1230" s="347" t="s">
        <v>1628</v>
      </c>
      <c r="D1230" s="347" t="str">
        <f t="shared" si="90"/>
        <v>RBDPL001084SCM</v>
      </c>
      <c r="E1230" s="193" t="s">
        <v>830</v>
      </c>
      <c r="F1230" s="193" t="s">
        <v>1418</v>
      </c>
      <c r="G1230" s="193" t="s">
        <v>1652</v>
      </c>
      <c r="H1230" s="193" t="s">
        <v>107</v>
      </c>
      <c r="I1230" s="193" t="s">
        <v>3</v>
      </c>
      <c r="J1230" s="193" t="str">
        <f t="shared" si="91"/>
        <v>6 Roda</v>
      </c>
      <c r="K1230" s="194">
        <v>46142</v>
      </c>
      <c r="L1230" s="195">
        <v>4090</v>
      </c>
      <c r="M1230" s="195">
        <v>13270</v>
      </c>
      <c r="N1230" s="195">
        <v>9180</v>
      </c>
      <c r="O1230" s="195"/>
      <c r="P1230" s="196">
        <v>0.70486111111111116</v>
      </c>
      <c r="Q1230" s="196">
        <v>0.72916666666666663</v>
      </c>
      <c r="R1230" s="193" t="s">
        <v>42</v>
      </c>
      <c r="S1230" s="193" t="s">
        <v>1618</v>
      </c>
      <c r="T1230" s="197">
        <f t="shared" si="88"/>
        <v>400</v>
      </c>
      <c r="U1230" s="193" t="s">
        <v>175</v>
      </c>
      <c r="V1230" s="193" t="str">
        <f t="shared" si="89"/>
        <v>Gowa</v>
      </c>
      <c r="AP1230" s="3" t="s">
        <v>1652</v>
      </c>
    </row>
    <row r="1231" spans="2:42" ht="15" customHeight="1" x14ac:dyDescent="0.2">
      <c r="B1231" s="193">
        <v>1</v>
      </c>
      <c r="C1231" s="347" t="s">
        <v>1629</v>
      </c>
      <c r="D1231" s="347" t="str">
        <f t="shared" si="90"/>
        <v>RBDPL001086SCM</v>
      </c>
      <c r="E1231" s="193" t="s">
        <v>160</v>
      </c>
      <c r="F1231" s="193" t="s">
        <v>1418</v>
      </c>
      <c r="G1231" s="193" t="s">
        <v>1652</v>
      </c>
      <c r="H1231" s="193" t="s">
        <v>107</v>
      </c>
      <c r="I1231" s="193" t="s">
        <v>3</v>
      </c>
      <c r="J1231" s="193" t="str">
        <f t="shared" si="91"/>
        <v>6 Roda</v>
      </c>
      <c r="K1231" s="194">
        <v>46142</v>
      </c>
      <c r="L1231" s="195">
        <v>3650</v>
      </c>
      <c r="M1231" s="195">
        <v>13550</v>
      </c>
      <c r="N1231" s="195">
        <v>9900</v>
      </c>
      <c r="O1231" s="195"/>
      <c r="P1231" s="196">
        <v>0.73472222222222217</v>
      </c>
      <c r="Q1231" s="196">
        <v>0.82986111111111116</v>
      </c>
      <c r="R1231" s="193" t="s">
        <v>42</v>
      </c>
      <c r="S1231" s="193" t="s">
        <v>1636</v>
      </c>
      <c r="T1231" s="197">
        <f t="shared" si="88"/>
        <v>400</v>
      </c>
      <c r="U1231" s="193" t="s">
        <v>175</v>
      </c>
      <c r="V1231" s="193" t="str">
        <f t="shared" si="89"/>
        <v>Gowa</v>
      </c>
      <c r="AP1231" s="3" t="s">
        <v>1652</v>
      </c>
    </row>
    <row r="1232" spans="2:42" ht="15" customHeight="1" x14ac:dyDescent="0.2">
      <c r="B1232" s="193">
        <v>1</v>
      </c>
      <c r="C1232" s="347" t="s">
        <v>1630</v>
      </c>
      <c r="D1232" s="347" t="str">
        <f t="shared" si="90"/>
        <v>RBDPL001085WIN</v>
      </c>
      <c r="E1232" s="193" t="s">
        <v>70</v>
      </c>
      <c r="F1232" s="193" t="s">
        <v>1644</v>
      </c>
      <c r="G1232" s="193" t="s">
        <v>1693</v>
      </c>
      <c r="H1232" s="193" t="s">
        <v>115</v>
      </c>
      <c r="I1232" s="193" t="s">
        <v>3</v>
      </c>
      <c r="J1232" s="193" t="str">
        <f t="shared" si="91"/>
        <v>12 Roda</v>
      </c>
      <c r="K1232" s="194">
        <v>46142</v>
      </c>
      <c r="L1232" s="195">
        <v>17260</v>
      </c>
      <c r="M1232" s="195">
        <v>46150</v>
      </c>
      <c r="N1232" s="195">
        <v>28890</v>
      </c>
      <c r="O1232" s="195"/>
      <c r="P1232" s="196">
        <v>0.71944444444444444</v>
      </c>
      <c r="Q1232" s="196">
        <v>0.80972222222222223</v>
      </c>
      <c r="R1232" s="193" t="s">
        <v>42</v>
      </c>
      <c r="S1232" s="193" t="s">
        <v>1499</v>
      </c>
      <c r="T1232" s="197">
        <f t="shared" si="88"/>
        <v>642</v>
      </c>
      <c r="U1232" s="193" t="s">
        <v>69</v>
      </c>
      <c r="V1232" s="193" t="str">
        <f t="shared" si="89"/>
        <v>Torobulu</v>
      </c>
      <c r="AP1232" s="3" t="s">
        <v>1693</v>
      </c>
    </row>
    <row r="1233" spans="2:42" ht="15" customHeight="1" x14ac:dyDescent="0.2">
      <c r="B1233" s="193">
        <v>1</v>
      </c>
      <c r="C1233" s="347" t="s">
        <v>342</v>
      </c>
      <c r="D1233" s="347" t="str">
        <f t="shared" si="90"/>
        <v>CPO000199JAS</v>
      </c>
      <c r="E1233" s="193" t="s">
        <v>1047</v>
      </c>
      <c r="F1233" s="193" t="s">
        <v>1726</v>
      </c>
      <c r="G1233" s="193" t="s">
        <v>1594</v>
      </c>
      <c r="H1233" s="193" t="s">
        <v>49</v>
      </c>
      <c r="I1233" s="193" t="s">
        <v>41</v>
      </c>
      <c r="J1233" s="193" t="str">
        <f t="shared" si="91"/>
        <v>6 Roda</v>
      </c>
      <c r="K1233" s="194">
        <v>46142</v>
      </c>
      <c r="L1233" s="195">
        <v>13490</v>
      </c>
      <c r="M1233" s="195">
        <v>3920</v>
      </c>
      <c r="N1233" s="195">
        <v>9570</v>
      </c>
      <c r="O1233" s="195">
        <v>9560</v>
      </c>
      <c r="P1233" s="196">
        <v>0.46249999999999997</v>
      </c>
      <c r="Q1233" s="196">
        <v>0.49444444444444446</v>
      </c>
      <c r="R1233" s="193" t="s">
        <v>137</v>
      </c>
      <c r="S1233" s="193"/>
      <c r="T1233" s="197">
        <f t="shared" si="88"/>
        <v>68</v>
      </c>
      <c r="U1233" s="193"/>
      <c r="V1233" s="193" t="s">
        <v>68</v>
      </c>
      <c r="AP1233" s="3" t="s">
        <v>1594</v>
      </c>
    </row>
    <row r="1234" spans="2:42" ht="15" customHeight="1" x14ac:dyDescent="0.2">
      <c r="B1234" s="193">
        <v>1</v>
      </c>
      <c r="C1234" s="347" t="s">
        <v>343</v>
      </c>
      <c r="D1234" s="347" t="str">
        <f t="shared" si="90"/>
        <v>CPO000200JAS</v>
      </c>
      <c r="E1234" s="193" t="s">
        <v>1276</v>
      </c>
      <c r="F1234" s="193" t="s">
        <v>1726</v>
      </c>
      <c r="G1234" s="193" t="s">
        <v>1594</v>
      </c>
      <c r="H1234" s="193" t="s">
        <v>49</v>
      </c>
      <c r="I1234" s="193" t="s">
        <v>41</v>
      </c>
      <c r="J1234" s="193" t="str">
        <f t="shared" si="91"/>
        <v>6 Roda</v>
      </c>
      <c r="K1234" s="194">
        <v>46142</v>
      </c>
      <c r="L1234" s="195">
        <v>13870</v>
      </c>
      <c r="M1234" s="195">
        <v>3940</v>
      </c>
      <c r="N1234" s="195">
        <v>9930</v>
      </c>
      <c r="O1234" s="195">
        <v>9860</v>
      </c>
      <c r="P1234" s="196">
        <v>0.49861111111111112</v>
      </c>
      <c r="Q1234" s="196">
        <v>0.55763888888888891</v>
      </c>
      <c r="R1234" s="193" t="s">
        <v>137</v>
      </c>
      <c r="S1234" s="193"/>
      <c r="T1234" s="197">
        <f t="shared" si="88"/>
        <v>68</v>
      </c>
      <c r="U1234" s="193"/>
      <c r="V1234" s="193" t="s">
        <v>68</v>
      </c>
      <c r="AP1234" s="3" t="s">
        <v>1594</v>
      </c>
    </row>
    <row r="1235" spans="2:42" ht="15" customHeight="1" x14ac:dyDescent="0.2">
      <c r="B1235" s="193">
        <v>1</v>
      </c>
      <c r="C1235" s="347" t="s">
        <v>344</v>
      </c>
      <c r="D1235" s="347" t="str">
        <f t="shared" ref="D1235:D1298" si="92">I1235&amp;C1235&amp;_xlfn.XLOOKUP(H1235,$AM$4:$AM$24,$AN$4:$AN$24,"")</f>
        <v>CPO000201JAS</v>
      </c>
      <c r="E1235" s="193" t="s">
        <v>149</v>
      </c>
      <c r="F1235" s="193" t="s">
        <v>1726</v>
      </c>
      <c r="G1235" s="193" t="s">
        <v>1594</v>
      </c>
      <c r="H1235" s="193" t="s">
        <v>49</v>
      </c>
      <c r="I1235" s="193" t="s">
        <v>41</v>
      </c>
      <c r="J1235" s="193" t="str">
        <f t="shared" si="91"/>
        <v>6 Roda</v>
      </c>
      <c r="K1235" s="194">
        <v>46142</v>
      </c>
      <c r="L1235" s="195">
        <v>13770</v>
      </c>
      <c r="M1235" s="195">
        <v>3980</v>
      </c>
      <c r="N1235" s="195">
        <v>9790</v>
      </c>
      <c r="O1235" s="195">
        <v>9740</v>
      </c>
      <c r="P1235" s="196">
        <v>0.4993055555555555</v>
      </c>
      <c r="Q1235" s="196">
        <v>0.55347222222222225</v>
      </c>
      <c r="R1235" s="193" t="s">
        <v>137</v>
      </c>
      <c r="S1235" s="193"/>
      <c r="T1235" s="197">
        <f t="shared" si="88"/>
        <v>68</v>
      </c>
      <c r="U1235" s="193"/>
      <c r="V1235" s="193" t="s">
        <v>68</v>
      </c>
      <c r="AP1235" s="3" t="s">
        <v>1594</v>
      </c>
    </row>
    <row r="1236" spans="2:42" ht="15" customHeight="1" x14ac:dyDescent="0.2">
      <c r="B1236" s="193">
        <v>1</v>
      </c>
      <c r="C1236" s="347" t="s">
        <v>345</v>
      </c>
      <c r="D1236" s="347" t="str">
        <f t="shared" si="92"/>
        <v>CPO000202JAS</v>
      </c>
      <c r="E1236" s="193" t="s">
        <v>194</v>
      </c>
      <c r="F1236" s="193" t="s">
        <v>1726</v>
      </c>
      <c r="G1236" s="193" t="s">
        <v>1594</v>
      </c>
      <c r="H1236" s="193" t="s">
        <v>49</v>
      </c>
      <c r="I1236" s="193" t="s">
        <v>41</v>
      </c>
      <c r="J1236" s="193" t="str">
        <f t="shared" si="91"/>
        <v>6 Roda</v>
      </c>
      <c r="K1236" s="194">
        <v>46142</v>
      </c>
      <c r="L1236" s="195">
        <v>13040</v>
      </c>
      <c r="M1236" s="195">
        <v>3770</v>
      </c>
      <c r="N1236" s="195">
        <v>9270</v>
      </c>
      <c r="O1236" s="195">
        <v>9130</v>
      </c>
      <c r="P1236" s="196">
        <v>0.50069444444444444</v>
      </c>
      <c r="Q1236" s="196">
        <v>0.55694444444444446</v>
      </c>
      <c r="R1236" s="193" t="s">
        <v>137</v>
      </c>
      <c r="S1236" s="193"/>
      <c r="T1236" s="197">
        <f t="shared" si="88"/>
        <v>68</v>
      </c>
      <c r="U1236" s="193"/>
      <c r="V1236" s="193" t="s">
        <v>68</v>
      </c>
      <c r="AP1236" s="3" t="s">
        <v>1594</v>
      </c>
    </row>
    <row r="1237" spans="2:42" ht="15" customHeight="1" x14ac:dyDescent="0.2">
      <c r="B1237" s="193">
        <v>1</v>
      </c>
      <c r="C1237" s="347" t="s">
        <v>346</v>
      </c>
      <c r="D1237" s="347" t="str">
        <f t="shared" si="92"/>
        <v>CPO000203JAS</v>
      </c>
      <c r="E1237" s="193" t="s">
        <v>1637</v>
      </c>
      <c r="F1237" s="193" t="s">
        <v>1726</v>
      </c>
      <c r="G1237" s="193" t="s">
        <v>1594</v>
      </c>
      <c r="H1237" s="193" t="s">
        <v>49</v>
      </c>
      <c r="I1237" s="193" t="s">
        <v>41</v>
      </c>
      <c r="J1237" s="193" t="str">
        <f t="shared" si="91"/>
        <v>6 Roda</v>
      </c>
      <c r="K1237" s="194">
        <v>46142</v>
      </c>
      <c r="L1237" s="195">
        <v>13190</v>
      </c>
      <c r="M1237" s="195">
        <v>3880</v>
      </c>
      <c r="N1237" s="195">
        <v>9310</v>
      </c>
      <c r="O1237" s="195">
        <v>9240</v>
      </c>
      <c r="P1237" s="196">
        <v>0.55972222222222223</v>
      </c>
      <c r="Q1237" s="196">
        <v>0.57638888888888895</v>
      </c>
      <c r="R1237" s="193" t="s">
        <v>137</v>
      </c>
      <c r="S1237" s="193"/>
      <c r="T1237" s="197">
        <f t="shared" si="88"/>
        <v>68</v>
      </c>
      <c r="U1237" s="193"/>
      <c r="V1237" s="193" t="s">
        <v>68</v>
      </c>
      <c r="AP1237" s="3" t="s">
        <v>1594</v>
      </c>
    </row>
    <row r="1238" spans="2:42" ht="15" customHeight="1" x14ac:dyDescent="0.2">
      <c r="B1238" s="193">
        <v>1</v>
      </c>
      <c r="C1238" s="347" t="s">
        <v>347</v>
      </c>
      <c r="D1238" s="347" t="str">
        <f t="shared" si="92"/>
        <v>CPO000204JAS</v>
      </c>
      <c r="E1238" s="193" t="s">
        <v>163</v>
      </c>
      <c r="F1238" s="193" t="s">
        <v>1726</v>
      </c>
      <c r="G1238" s="193" t="s">
        <v>1594</v>
      </c>
      <c r="H1238" s="193" t="s">
        <v>49</v>
      </c>
      <c r="I1238" s="193" t="s">
        <v>41</v>
      </c>
      <c r="J1238" s="193" t="str">
        <f t="shared" si="91"/>
        <v>6 Roda</v>
      </c>
      <c r="K1238" s="194">
        <v>46142</v>
      </c>
      <c r="L1238" s="195">
        <v>13900</v>
      </c>
      <c r="M1238" s="195">
        <v>3910</v>
      </c>
      <c r="N1238" s="195">
        <v>9990</v>
      </c>
      <c r="O1238" s="195">
        <v>9940</v>
      </c>
      <c r="P1238" s="196">
        <v>0.56111111111111112</v>
      </c>
      <c r="Q1238" s="196">
        <v>0.57430555555555551</v>
      </c>
      <c r="R1238" s="193" t="s">
        <v>137</v>
      </c>
      <c r="S1238" s="193"/>
      <c r="T1238" s="197">
        <f t="shared" si="88"/>
        <v>68</v>
      </c>
      <c r="U1238" s="193"/>
      <c r="V1238" s="193" t="s">
        <v>68</v>
      </c>
      <c r="AP1238" s="3" t="s">
        <v>1594</v>
      </c>
    </row>
    <row r="1239" spans="2:42" ht="15" customHeight="1" x14ac:dyDescent="0.2">
      <c r="B1239" s="193">
        <v>1</v>
      </c>
      <c r="C1239" s="347" t="s">
        <v>1923</v>
      </c>
      <c r="D1239" s="347" t="str">
        <f t="shared" si="92"/>
        <v>RBDPL001089DA</v>
      </c>
      <c r="E1239" s="193" t="s">
        <v>1239</v>
      </c>
      <c r="F1239" s="193"/>
      <c r="G1239" s="193"/>
      <c r="H1239" s="193" t="s">
        <v>111</v>
      </c>
      <c r="I1239" s="193" t="s">
        <v>3</v>
      </c>
      <c r="J1239" s="193" t="str">
        <f t="shared" si="91"/>
        <v>12 Roda</v>
      </c>
      <c r="K1239" s="194">
        <v>46146</v>
      </c>
      <c r="L1239" s="195">
        <v>19020</v>
      </c>
      <c r="M1239" s="195">
        <v>42630</v>
      </c>
      <c r="N1239" s="195">
        <v>23610</v>
      </c>
      <c r="O1239" s="195"/>
      <c r="P1239" s="196">
        <v>0.39027777777777778</v>
      </c>
      <c r="Q1239" s="196">
        <v>0.49236111111111108</v>
      </c>
      <c r="R1239" s="193" t="s">
        <v>137</v>
      </c>
      <c r="S1239" s="193" t="s">
        <v>2028</v>
      </c>
      <c r="T1239" s="197">
        <f t="shared" si="88"/>
        <v>360</v>
      </c>
      <c r="U1239" s="193" t="s">
        <v>175</v>
      </c>
      <c r="V1239" s="193" t="str">
        <f t="shared" si="89"/>
        <v>Makassar</v>
      </c>
    </row>
    <row r="1240" spans="2:42" ht="15" customHeight="1" x14ac:dyDescent="0.2">
      <c r="B1240" s="193">
        <v>1</v>
      </c>
      <c r="C1240" s="347" t="s">
        <v>1924</v>
      </c>
      <c r="D1240" s="347" t="str">
        <f t="shared" si="92"/>
        <v>RBDPL001090DA</v>
      </c>
      <c r="E1240" s="193" t="s">
        <v>2017</v>
      </c>
      <c r="F1240" s="193"/>
      <c r="G1240" s="193"/>
      <c r="H1240" s="193" t="s">
        <v>111</v>
      </c>
      <c r="I1240" s="193" t="s">
        <v>3</v>
      </c>
      <c r="J1240" s="193" t="str">
        <f t="shared" si="91"/>
        <v>6 Roda</v>
      </c>
      <c r="K1240" s="194">
        <v>46146</v>
      </c>
      <c r="L1240" s="195">
        <v>4090</v>
      </c>
      <c r="M1240" s="195">
        <v>13280</v>
      </c>
      <c r="N1240" s="195">
        <v>9190</v>
      </c>
      <c r="O1240" s="195"/>
      <c r="P1240" s="196">
        <v>0.3923611111111111</v>
      </c>
      <c r="Q1240" s="196">
        <v>0.4513888888888889</v>
      </c>
      <c r="R1240" s="193" t="s">
        <v>137</v>
      </c>
      <c r="S1240" s="193" t="s">
        <v>1618</v>
      </c>
      <c r="T1240" s="197">
        <f t="shared" si="88"/>
        <v>360</v>
      </c>
      <c r="U1240" s="193" t="s">
        <v>175</v>
      </c>
      <c r="V1240" s="193" t="str">
        <f t="shared" si="89"/>
        <v>Makassar</v>
      </c>
    </row>
    <row r="1241" spans="2:42" ht="15" customHeight="1" x14ac:dyDescent="0.2">
      <c r="B1241" s="193">
        <v>1</v>
      </c>
      <c r="C1241" s="347" t="s">
        <v>1925</v>
      </c>
      <c r="D1241" s="347" t="str">
        <f t="shared" si="92"/>
        <v>RBDPL001093DA</v>
      </c>
      <c r="E1241" s="193" t="s">
        <v>174</v>
      </c>
      <c r="F1241" s="193"/>
      <c r="G1241" s="193"/>
      <c r="H1241" s="193" t="s">
        <v>111</v>
      </c>
      <c r="I1241" s="193" t="s">
        <v>3</v>
      </c>
      <c r="J1241" s="193" t="str">
        <f t="shared" si="91"/>
        <v>6 Roda</v>
      </c>
      <c r="K1241" s="194">
        <v>46146</v>
      </c>
      <c r="L1241" s="195">
        <v>4310</v>
      </c>
      <c r="M1241" s="195">
        <v>13490</v>
      </c>
      <c r="N1241" s="195">
        <v>9180</v>
      </c>
      <c r="O1241" s="195"/>
      <c r="P1241" s="196">
        <v>0.5625</v>
      </c>
      <c r="Q1241" s="196">
        <v>0.63055555555555554</v>
      </c>
      <c r="R1241" s="193" t="s">
        <v>137</v>
      </c>
      <c r="S1241" s="193" t="s">
        <v>2029</v>
      </c>
      <c r="T1241" s="197">
        <f t="shared" si="88"/>
        <v>360</v>
      </c>
      <c r="U1241" s="193" t="s">
        <v>175</v>
      </c>
      <c r="V1241" s="193" t="str">
        <f t="shared" si="89"/>
        <v>Makassar</v>
      </c>
    </row>
    <row r="1242" spans="2:42" ht="15" customHeight="1" x14ac:dyDescent="0.2">
      <c r="B1242" s="193">
        <v>1</v>
      </c>
      <c r="C1242" s="347" t="s">
        <v>1926</v>
      </c>
      <c r="D1242" s="347" t="str">
        <f t="shared" si="92"/>
        <v>RBDPL001091SCM</v>
      </c>
      <c r="E1242" s="193" t="s">
        <v>2018</v>
      </c>
      <c r="F1242" s="193"/>
      <c r="G1242" s="193"/>
      <c r="H1242" s="193" t="s">
        <v>107</v>
      </c>
      <c r="I1242" s="193" t="s">
        <v>3</v>
      </c>
      <c r="J1242" s="193" t="str">
        <f t="shared" si="91"/>
        <v>6 Roda</v>
      </c>
      <c r="K1242" s="194">
        <v>46146</v>
      </c>
      <c r="L1242" s="195">
        <v>3990</v>
      </c>
      <c r="M1242" s="195">
        <v>13660</v>
      </c>
      <c r="N1242" s="195">
        <v>9670</v>
      </c>
      <c r="O1242" s="195"/>
      <c r="P1242" s="196">
        <v>0.46527777777777773</v>
      </c>
      <c r="Q1242" s="196">
        <v>0.52638888888888891</v>
      </c>
      <c r="R1242" s="193" t="s">
        <v>137</v>
      </c>
      <c r="S1242" s="193" t="s">
        <v>2030</v>
      </c>
      <c r="T1242" s="197">
        <f t="shared" si="88"/>
        <v>400</v>
      </c>
      <c r="U1242" s="193" t="s">
        <v>175</v>
      </c>
      <c r="V1242" s="193" t="str">
        <f t="shared" si="89"/>
        <v>Gowa</v>
      </c>
    </row>
    <row r="1243" spans="2:42" ht="15" customHeight="1" x14ac:dyDescent="0.2">
      <c r="B1243" s="193">
        <v>1</v>
      </c>
      <c r="C1243" s="347" t="s">
        <v>1927</v>
      </c>
      <c r="D1243" s="347" t="str">
        <f t="shared" si="92"/>
        <v>RBDPL001092SCM</v>
      </c>
      <c r="E1243" s="193" t="s">
        <v>1092</v>
      </c>
      <c r="F1243" s="193"/>
      <c r="G1243" s="193"/>
      <c r="H1243" s="193" t="s">
        <v>107</v>
      </c>
      <c r="I1243" s="193" t="s">
        <v>3</v>
      </c>
      <c r="J1243" s="193" t="str">
        <f t="shared" si="91"/>
        <v>6 Roda</v>
      </c>
      <c r="K1243" s="194">
        <v>46146</v>
      </c>
      <c r="L1243" s="195">
        <v>4090</v>
      </c>
      <c r="M1243" s="195">
        <v>13110</v>
      </c>
      <c r="N1243" s="195">
        <v>9020</v>
      </c>
      <c r="O1243" s="195"/>
      <c r="P1243" s="196">
        <v>0.49513888888888885</v>
      </c>
      <c r="Q1243" s="196">
        <v>0.55138888888888882</v>
      </c>
      <c r="R1243" s="193" t="s">
        <v>137</v>
      </c>
      <c r="S1243" s="193" t="s">
        <v>1737</v>
      </c>
      <c r="T1243" s="197">
        <f t="shared" si="88"/>
        <v>400</v>
      </c>
      <c r="U1243" s="193" t="s">
        <v>175</v>
      </c>
      <c r="V1243" s="193" t="str">
        <f t="shared" si="89"/>
        <v>Gowa</v>
      </c>
    </row>
    <row r="1244" spans="2:42" ht="15" customHeight="1" x14ac:dyDescent="0.2">
      <c r="B1244" s="193">
        <v>1</v>
      </c>
      <c r="C1244" s="347" t="s">
        <v>1928</v>
      </c>
      <c r="D1244" s="347" t="str">
        <f t="shared" si="92"/>
        <v>RBDPL001096SCM</v>
      </c>
      <c r="E1244" s="193" t="s">
        <v>174</v>
      </c>
      <c r="F1244" s="193"/>
      <c r="G1244" s="193"/>
      <c r="H1244" s="193" t="s">
        <v>107</v>
      </c>
      <c r="I1244" s="193" t="s">
        <v>3</v>
      </c>
      <c r="J1244" s="193" t="str">
        <f t="shared" si="91"/>
        <v>6 Roda</v>
      </c>
      <c r="K1244" s="194">
        <v>46146</v>
      </c>
      <c r="L1244" s="195">
        <v>4310</v>
      </c>
      <c r="M1244" s="195">
        <v>13450</v>
      </c>
      <c r="N1244" s="195">
        <v>9140</v>
      </c>
      <c r="O1244" s="195"/>
      <c r="P1244" s="196">
        <v>0.79236111111111107</v>
      </c>
      <c r="Q1244" s="196">
        <v>0.81319444444444444</v>
      </c>
      <c r="R1244" s="193" t="s">
        <v>137</v>
      </c>
      <c r="S1244" s="193" t="s">
        <v>2029</v>
      </c>
      <c r="T1244" s="197">
        <f>IFERROR(_xlfn.XLOOKUP(H1244,$AM$4:$AM$18,$AP$4:$AP$18,""),0)</f>
        <v>400</v>
      </c>
      <c r="U1244" s="193" t="s">
        <v>175</v>
      </c>
      <c r="V1244" s="193" t="str">
        <f t="shared" si="89"/>
        <v>Gowa</v>
      </c>
    </row>
    <row r="1245" spans="2:42" ht="15" customHeight="1" x14ac:dyDescent="0.2">
      <c r="B1245" s="193">
        <v>1</v>
      </c>
      <c r="C1245" s="347" t="s">
        <v>1929</v>
      </c>
      <c r="D1245" s="347" t="str">
        <f t="shared" si="92"/>
        <v>RBDPL001094WIN</v>
      </c>
      <c r="E1245" s="193" t="s">
        <v>76</v>
      </c>
      <c r="F1245" s="193"/>
      <c r="G1245" s="193"/>
      <c r="H1245" s="193" t="s">
        <v>115</v>
      </c>
      <c r="I1245" s="193" t="s">
        <v>3</v>
      </c>
      <c r="J1245" s="193" t="str">
        <f t="shared" si="91"/>
        <v>12 Roda</v>
      </c>
      <c r="K1245" s="194">
        <v>46146</v>
      </c>
      <c r="L1245" s="195">
        <v>17290</v>
      </c>
      <c r="M1245" s="195">
        <v>46170</v>
      </c>
      <c r="N1245" s="195">
        <v>28880</v>
      </c>
      <c r="O1245" s="195"/>
      <c r="P1245" s="196">
        <v>0.61458333333333337</v>
      </c>
      <c r="Q1245" s="196">
        <v>0.69861111111111107</v>
      </c>
      <c r="R1245" s="193" t="s">
        <v>137</v>
      </c>
      <c r="S1245" s="193" t="s">
        <v>1372</v>
      </c>
      <c r="T1245" s="197">
        <f t="shared" si="88"/>
        <v>642</v>
      </c>
      <c r="U1245" s="193" t="s">
        <v>69</v>
      </c>
      <c r="V1245" s="193" t="str">
        <f t="shared" si="89"/>
        <v>Torobulu</v>
      </c>
    </row>
    <row r="1246" spans="2:42" ht="15" customHeight="1" x14ac:dyDescent="0.2">
      <c r="B1246" s="193">
        <v>1</v>
      </c>
      <c r="C1246" s="347" t="s">
        <v>1930</v>
      </c>
      <c r="D1246" s="347" t="str">
        <f t="shared" si="92"/>
        <v>RBDPL001095PUP</v>
      </c>
      <c r="E1246" s="193" t="s">
        <v>46</v>
      </c>
      <c r="F1246" s="193"/>
      <c r="G1246" s="193"/>
      <c r="H1246" s="193" t="s">
        <v>1590</v>
      </c>
      <c r="I1246" s="193" t="s">
        <v>3</v>
      </c>
      <c r="J1246" s="193" t="str">
        <f t="shared" si="91"/>
        <v>10 Roda</v>
      </c>
      <c r="K1246" s="194">
        <v>46146</v>
      </c>
      <c r="L1246" s="195">
        <v>11650</v>
      </c>
      <c r="M1246" s="195">
        <v>26730</v>
      </c>
      <c r="N1246" s="195">
        <v>15080</v>
      </c>
      <c r="O1246" s="195"/>
      <c r="P1246" s="196">
        <v>0.62916666666666665</v>
      </c>
      <c r="Q1246" s="196">
        <v>0.70694444444444438</v>
      </c>
      <c r="R1246" s="193" t="s">
        <v>137</v>
      </c>
      <c r="S1246" s="193" t="s">
        <v>1393</v>
      </c>
      <c r="T1246" s="197">
        <f t="shared" si="88"/>
        <v>642</v>
      </c>
      <c r="U1246" s="193" t="s">
        <v>69</v>
      </c>
      <c r="V1246" s="193" t="str">
        <f t="shared" si="89"/>
        <v>Torobulu</v>
      </c>
    </row>
    <row r="1247" spans="2:42" ht="15" customHeight="1" x14ac:dyDescent="0.2">
      <c r="B1247" s="193">
        <v>1</v>
      </c>
      <c r="C1247" s="347" t="s">
        <v>1931</v>
      </c>
      <c r="D1247" s="347" t="str">
        <f t="shared" si="92"/>
        <v>RBDPL001103BJL</v>
      </c>
      <c r="E1247" s="193" t="s">
        <v>1274</v>
      </c>
      <c r="F1247" s="193"/>
      <c r="G1247" s="193"/>
      <c r="H1247" s="193" t="s">
        <v>86</v>
      </c>
      <c r="I1247" s="193" t="s">
        <v>3</v>
      </c>
      <c r="J1247" s="193" t="str">
        <f t="shared" si="91"/>
        <v>6 Roda</v>
      </c>
      <c r="K1247" s="194">
        <v>46147</v>
      </c>
      <c r="L1247" s="195">
        <v>3860</v>
      </c>
      <c r="M1247" s="195">
        <v>13440</v>
      </c>
      <c r="N1247" s="195">
        <v>9580</v>
      </c>
      <c r="O1247" s="195"/>
      <c r="P1247" s="196">
        <v>0.71250000000000002</v>
      </c>
      <c r="Q1247" s="196">
        <v>0.7368055555555556</v>
      </c>
      <c r="R1247" s="193" t="s">
        <v>137</v>
      </c>
      <c r="S1247" s="193" t="s">
        <v>1516</v>
      </c>
      <c r="T1247" s="197">
        <f t="shared" si="88"/>
        <v>562</v>
      </c>
      <c r="U1247" s="193" t="s">
        <v>175</v>
      </c>
      <c r="V1247" s="193" t="str">
        <f t="shared" si="89"/>
        <v>Palu</v>
      </c>
    </row>
    <row r="1248" spans="2:42" ht="15" customHeight="1" x14ac:dyDescent="0.2">
      <c r="B1248" s="193">
        <v>1</v>
      </c>
      <c r="C1248" s="347" t="s">
        <v>1932</v>
      </c>
      <c r="D1248" s="347" t="str">
        <f t="shared" si="92"/>
        <v>RBDPL001097BJL</v>
      </c>
      <c r="E1248" s="193" t="s">
        <v>2019</v>
      </c>
      <c r="F1248" s="193"/>
      <c r="G1248" s="193"/>
      <c r="H1248" s="193" t="s">
        <v>86</v>
      </c>
      <c r="I1248" s="193" t="s">
        <v>3</v>
      </c>
      <c r="J1248" s="193" t="str">
        <f t="shared" si="91"/>
        <v>6 Roda</v>
      </c>
      <c r="K1248" s="194">
        <v>46147</v>
      </c>
      <c r="L1248" s="195">
        <v>3880</v>
      </c>
      <c r="M1248" s="195">
        <v>13210</v>
      </c>
      <c r="N1248" s="195">
        <v>9330</v>
      </c>
      <c r="O1248" s="195"/>
      <c r="P1248" s="196">
        <v>0.61597222222222225</v>
      </c>
      <c r="Q1248" s="196">
        <v>0.65347222222222223</v>
      </c>
      <c r="R1248" s="193" t="s">
        <v>137</v>
      </c>
      <c r="S1248" s="193" t="s">
        <v>1634</v>
      </c>
      <c r="T1248" s="197">
        <f t="shared" si="88"/>
        <v>562</v>
      </c>
      <c r="U1248" s="193" t="s">
        <v>175</v>
      </c>
      <c r="V1248" s="193" t="str">
        <f t="shared" si="89"/>
        <v>Palu</v>
      </c>
    </row>
    <row r="1249" spans="2:22" ht="15" customHeight="1" x14ac:dyDescent="0.2">
      <c r="B1249" s="193">
        <v>1</v>
      </c>
      <c r="C1249" s="347" t="s">
        <v>1933</v>
      </c>
      <c r="D1249" s="347" t="str">
        <f t="shared" si="92"/>
        <v>RBDPL001098BJL</v>
      </c>
      <c r="E1249" s="193" t="s">
        <v>1515</v>
      </c>
      <c r="F1249" s="193"/>
      <c r="G1249" s="193"/>
      <c r="H1249" s="193" t="s">
        <v>86</v>
      </c>
      <c r="I1249" s="193" t="s">
        <v>3</v>
      </c>
      <c r="J1249" s="193" t="str">
        <f t="shared" si="91"/>
        <v>6 Roda</v>
      </c>
      <c r="K1249" s="194">
        <v>46147</v>
      </c>
      <c r="L1249" s="195">
        <v>4010</v>
      </c>
      <c r="M1249" s="195">
        <v>13690</v>
      </c>
      <c r="N1249" s="195">
        <v>9680</v>
      </c>
      <c r="O1249" s="195"/>
      <c r="P1249" s="196">
        <v>0.61805555555555558</v>
      </c>
      <c r="Q1249" s="196">
        <v>0.66736111111111107</v>
      </c>
      <c r="R1249" s="193" t="s">
        <v>137</v>
      </c>
      <c r="S1249" s="193" t="s">
        <v>1520</v>
      </c>
      <c r="T1249" s="197">
        <f t="shared" si="88"/>
        <v>562</v>
      </c>
      <c r="U1249" s="193" t="s">
        <v>175</v>
      </c>
      <c r="V1249" s="193" t="str">
        <f t="shared" si="89"/>
        <v>Palu</v>
      </c>
    </row>
    <row r="1250" spans="2:22" ht="15" customHeight="1" x14ac:dyDescent="0.2">
      <c r="B1250" s="193">
        <v>1</v>
      </c>
      <c r="C1250" s="347" t="s">
        <v>1934</v>
      </c>
      <c r="D1250" s="347" t="str">
        <f t="shared" si="92"/>
        <v>RBDPL001099BJL</v>
      </c>
      <c r="E1250" s="193" t="s">
        <v>1631</v>
      </c>
      <c r="F1250" s="193"/>
      <c r="G1250" s="193"/>
      <c r="H1250" s="193" t="s">
        <v>86</v>
      </c>
      <c r="I1250" s="193" t="s">
        <v>3</v>
      </c>
      <c r="J1250" s="193" t="str">
        <f t="shared" si="91"/>
        <v>6 Roda</v>
      </c>
      <c r="K1250" s="194">
        <v>46147</v>
      </c>
      <c r="L1250" s="195">
        <v>4020</v>
      </c>
      <c r="M1250" s="195">
        <v>13370</v>
      </c>
      <c r="N1250" s="195">
        <v>9350</v>
      </c>
      <c r="O1250" s="195"/>
      <c r="P1250" s="196">
        <v>0.61944444444444446</v>
      </c>
      <c r="Q1250" s="196">
        <v>0.67222222222222217</v>
      </c>
      <c r="R1250" s="193" t="s">
        <v>137</v>
      </c>
      <c r="S1250" s="193" t="s">
        <v>1633</v>
      </c>
      <c r="T1250" s="197">
        <f t="shared" si="88"/>
        <v>562</v>
      </c>
      <c r="U1250" s="193" t="s">
        <v>175</v>
      </c>
      <c r="V1250" s="193" t="str">
        <f t="shared" si="89"/>
        <v>Palu</v>
      </c>
    </row>
    <row r="1251" spans="2:22" ht="15" customHeight="1" x14ac:dyDescent="0.2">
      <c r="B1251" s="193">
        <v>1</v>
      </c>
      <c r="C1251" s="347" t="s">
        <v>1935</v>
      </c>
      <c r="D1251" s="347" t="str">
        <f t="shared" si="92"/>
        <v>RBDPL001101BJL</v>
      </c>
      <c r="E1251" s="193" t="s">
        <v>1278</v>
      </c>
      <c r="F1251" s="193"/>
      <c r="G1251" s="193"/>
      <c r="H1251" s="193" t="s">
        <v>86</v>
      </c>
      <c r="I1251" s="193" t="s">
        <v>3</v>
      </c>
      <c r="J1251" s="193" t="str">
        <f t="shared" si="91"/>
        <v>6 Roda</v>
      </c>
      <c r="K1251" s="194">
        <v>46147</v>
      </c>
      <c r="L1251" s="195">
        <v>4250</v>
      </c>
      <c r="M1251" s="195">
        <v>14230</v>
      </c>
      <c r="N1251" s="195">
        <v>9980</v>
      </c>
      <c r="O1251" s="195"/>
      <c r="P1251" s="196">
        <v>0.67499999999999993</v>
      </c>
      <c r="Q1251" s="196">
        <v>0.70694444444444438</v>
      </c>
      <c r="R1251" s="193" t="s">
        <v>137</v>
      </c>
      <c r="S1251" s="193" t="s">
        <v>1519</v>
      </c>
      <c r="T1251" s="197">
        <f t="shared" si="88"/>
        <v>562</v>
      </c>
      <c r="U1251" s="193" t="s">
        <v>175</v>
      </c>
      <c r="V1251" s="193" t="str">
        <f t="shared" si="89"/>
        <v>Palu</v>
      </c>
    </row>
    <row r="1252" spans="2:22" ht="15" customHeight="1" x14ac:dyDescent="0.2">
      <c r="B1252" s="193">
        <v>1</v>
      </c>
      <c r="C1252" s="347" t="s">
        <v>1936</v>
      </c>
      <c r="D1252" s="347" t="str">
        <f t="shared" si="92"/>
        <v>RBDPL001109BJL</v>
      </c>
      <c r="E1252" s="193" t="s">
        <v>174</v>
      </c>
      <c r="F1252" s="193"/>
      <c r="G1252" s="193"/>
      <c r="H1252" s="193" t="s">
        <v>86</v>
      </c>
      <c r="I1252" s="193" t="s">
        <v>3</v>
      </c>
      <c r="J1252" s="193" t="str">
        <f t="shared" si="91"/>
        <v>6 Roda</v>
      </c>
      <c r="K1252" s="194">
        <v>46147</v>
      </c>
      <c r="L1252" s="195">
        <v>4320</v>
      </c>
      <c r="M1252" s="195">
        <v>13480</v>
      </c>
      <c r="N1252" s="195">
        <v>9160</v>
      </c>
      <c r="O1252" s="195"/>
      <c r="P1252" s="196">
        <v>0.7895833333333333</v>
      </c>
      <c r="Q1252" s="196">
        <v>0.81458333333333333</v>
      </c>
      <c r="R1252" s="193" t="s">
        <v>137</v>
      </c>
      <c r="S1252" s="193" t="s">
        <v>2029</v>
      </c>
      <c r="T1252" s="197">
        <f t="shared" si="88"/>
        <v>562</v>
      </c>
      <c r="U1252" s="193" t="s">
        <v>175</v>
      </c>
      <c r="V1252" s="193" t="str">
        <f t="shared" si="89"/>
        <v>Palu</v>
      </c>
    </row>
    <row r="1253" spans="2:22" ht="15" customHeight="1" x14ac:dyDescent="0.2">
      <c r="B1253" s="193">
        <v>1</v>
      </c>
      <c r="C1253" s="347" t="s">
        <v>1937</v>
      </c>
      <c r="D1253" s="347" t="str">
        <f t="shared" si="92"/>
        <v>RBDPL001105DA</v>
      </c>
      <c r="E1253" s="193" t="s">
        <v>2020</v>
      </c>
      <c r="F1253" s="193"/>
      <c r="G1253" s="193"/>
      <c r="H1253" s="193" t="s">
        <v>111</v>
      </c>
      <c r="I1253" s="193" t="s">
        <v>3</v>
      </c>
      <c r="J1253" s="193" t="str">
        <f t="shared" si="91"/>
        <v>6 Roda</v>
      </c>
      <c r="K1253" s="194">
        <v>46147</v>
      </c>
      <c r="L1253" s="195">
        <v>4120</v>
      </c>
      <c r="M1253" s="195">
        <v>13310</v>
      </c>
      <c r="N1253" s="195">
        <v>9190</v>
      </c>
      <c r="O1253" s="195"/>
      <c r="P1253" s="196">
        <v>0.74097222222222225</v>
      </c>
      <c r="Q1253" s="196">
        <v>0.75624999999999998</v>
      </c>
      <c r="R1253" s="193" t="s">
        <v>137</v>
      </c>
      <c r="S1253" s="193" t="s">
        <v>1618</v>
      </c>
      <c r="T1253" s="197">
        <f t="shared" si="88"/>
        <v>360</v>
      </c>
      <c r="U1253" s="193" t="s">
        <v>175</v>
      </c>
      <c r="V1253" s="193" t="str">
        <f t="shared" si="89"/>
        <v>Makassar</v>
      </c>
    </row>
    <row r="1254" spans="2:22" ht="15" customHeight="1" x14ac:dyDescent="0.2">
      <c r="B1254" s="193">
        <v>1</v>
      </c>
      <c r="C1254" s="347" t="s">
        <v>1938</v>
      </c>
      <c r="D1254" s="347" t="str">
        <f t="shared" si="92"/>
        <v>RBDPL001102DA</v>
      </c>
      <c r="E1254" s="193" t="s">
        <v>53</v>
      </c>
      <c r="F1254" s="193"/>
      <c r="G1254" s="193"/>
      <c r="H1254" s="193" t="s">
        <v>111</v>
      </c>
      <c r="I1254" s="193" t="s">
        <v>3</v>
      </c>
      <c r="J1254" s="193" t="str">
        <f t="shared" si="91"/>
        <v>6 Roda</v>
      </c>
      <c r="K1254" s="194">
        <v>46147</v>
      </c>
      <c r="L1254" s="195">
        <v>3920</v>
      </c>
      <c r="M1254" s="195">
        <v>13480</v>
      </c>
      <c r="N1254" s="195">
        <v>9560</v>
      </c>
      <c r="O1254" s="195"/>
      <c r="P1254" s="196">
        <v>0.7104166666666667</v>
      </c>
      <c r="Q1254" s="196">
        <v>0.73472222222222217</v>
      </c>
      <c r="R1254" s="193" t="s">
        <v>137</v>
      </c>
      <c r="S1254" s="193" t="s">
        <v>1396</v>
      </c>
      <c r="T1254" s="197">
        <f t="shared" si="88"/>
        <v>360</v>
      </c>
      <c r="U1254" s="193" t="s">
        <v>175</v>
      </c>
      <c r="V1254" s="193" t="str">
        <f t="shared" si="89"/>
        <v>Makassar</v>
      </c>
    </row>
    <row r="1255" spans="2:22" ht="15" customHeight="1" x14ac:dyDescent="0.2">
      <c r="B1255" s="193">
        <v>1</v>
      </c>
      <c r="C1255" s="347" t="s">
        <v>1939</v>
      </c>
      <c r="D1255" s="347" t="str">
        <f t="shared" si="92"/>
        <v>RBDPL001106SCM</v>
      </c>
      <c r="E1255" s="193" t="s">
        <v>236</v>
      </c>
      <c r="F1255" s="193"/>
      <c r="G1255" s="193"/>
      <c r="H1255" s="193" t="s">
        <v>107</v>
      </c>
      <c r="I1255" s="193" t="s">
        <v>3</v>
      </c>
      <c r="J1255" s="193" t="str">
        <f t="shared" si="91"/>
        <v>6 Roda</v>
      </c>
      <c r="K1255" s="194">
        <v>46147</v>
      </c>
      <c r="L1255" s="195">
        <v>4090</v>
      </c>
      <c r="M1255" s="195">
        <v>13130</v>
      </c>
      <c r="N1255" s="195">
        <v>9040</v>
      </c>
      <c r="O1255" s="195"/>
      <c r="P1255" s="196">
        <v>0.76041666666666663</v>
      </c>
      <c r="Q1255" s="196">
        <v>0.77500000000000002</v>
      </c>
      <c r="R1255" s="193" t="s">
        <v>137</v>
      </c>
      <c r="S1255" s="193" t="s">
        <v>1466</v>
      </c>
      <c r="T1255" s="197">
        <f t="shared" si="88"/>
        <v>400</v>
      </c>
      <c r="U1255" s="193" t="s">
        <v>175</v>
      </c>
      <c r="V1255" s="193" t="str">
        <f t="shared" si="89"/>
        <v>Gowa</v>
      </c>
    </row>
    <row r="1256" spans="2:22" ht="15" customHeight="1" x14ac:dyDescent="0.2">
      <c r="B1256" s="193">
        <v>1</v>
      </c>
      <c r="C1256" s="347" t="s">
        <v>1940</v>
      </c>
      <c r="D1256" s="347" t="str">
        <f t="shared" si="92"/>
        <v>RBDPL001107SCM</v>
      </c>
      <c r="E1256" s="193" t="s">
        <v>158</v>
      </c>
      <c r="F1256" s="193"/>
      <c r="G1256" s="193"/>
      <c r="H1256" s="193" t="s">
        <v>107</v>
      </c>
      <c r="I1256" s="193" t="s">
        <v>3</v>
      </c>
      <c r="J1256" s="193" t="str">
        <f t="shared" si="91"/>
        <v>6 Roda</v>
      </c>
      <c r="K1256" s="194">
        <v>46147</v>
      </c>
      <c r="L1256" s="195">
        <v>3840</v>
      </c>
      <c r="M1256" s="195">
        <v>13960</v>
      </c>
      <c r="N1256" s="195">
        <v>10120</v>
      </c>
      <c r="O1256" s="195"/>
      <c r="P1256" s="196">
        <v>0.76250000000000007</v>
      </c>
      <c r="Q1256" s="196">
        <v>0.78472222222222221</v>
      </c>
      <c r="R1256" s="193" t="s">
        <v>137</v>
      </c>
      <c r="S1256" s="193" t="s">
        <v>1395</v>
      </c>
      <c r="T1256" s="197">
        <f t="shared" si="88"/>
        <v>400</v>
      </c>
      <c r="U1256" s="193" t="s">
        <v>175</v>
      </c>
      <c r="V1256" s="193" t="str">
        <f t="shared" si="89"/>
        <v>Gowa</v>
      </c>
    </row>
    <row r="1257" spans="2:22" ht="15" customHeight="1" x14ac:dyDescent="0.2">
      <c r="B1257" s="193">
        <v>1</v>
      </c>
      <c r="C1257" s="347" t="s">
        <v>1941</v>
      </c>
      <c r="D1257" s="347" t="str">
        <f t="shared" si="92"/>
        <v>RBDPL001100WIN</v>
      </c>
      <c r="E1257" s="193" t="s">
        <v>70</v>
      </c>
      <c r="F1257" s="193"/>
      <c r="G1257" s="193"/>
      <c r="H1257" s="193" t="s">
        <v>115</v>
      </c>
      <c r="I1257" s="193" t="s">
        <v>3</v>
      </c>
      <c r="J1257" s="193" t="str">
        <f t="shared" si="91"/>
        <v>12 Roda</v>
      </c>
      <c r="K1257" s="194">
        <v>46147</v>
      </c>
      <c r="L1257" s="195">
        <v>17140</v>
      </c>
      <c r="M1257" s="195">
        <v>45890</v>
      </c>
      <c r="N1257" s="195">
        <v>28750</v>
      </c>
      <c r="O1257" s="195"/>
      <c r="P1257" s="196">
        <v>0.62291666666666667</v>
      </c>
      <c r="Q1257" s="196">
        <v>0.70416666666666661</v>
      </c>
      <c r="R1257" s="193" t="s">
        <v>137</v>
      </c>
      <c r="S1257" s="193" t="s">
        <v>1499</v>
      </c>
      <c r="T1257" s="197">
        <f t="shared" si="88"/>
        <v>642</v>
      </c>
      <c r="U1257" s="193" t="s">
        <v>69</v>
      </c>
      <c r="V1257" s="193" t="s">
        <v>2102</v>
      </c>
    </row>
    <row r="1258" spans="2:22" ht="15" customHeight="1" x14ac:dyDescent="0.2">
      <c r="B1258" s="193">
        <v>1</v>
      </c>
      <c r="C1258" s="347" t="s">
        <v>1942</v>
      </c>
      <c r="D1258" s="347" t="str">
        <f t="shared" si="92"/>
        <v>RBDPL001104TDJ</v>
      </c>
      <c r="E1258" s="193" t="s">
        <v>56</v>
      </c>
      <c r="F1258" s="193"/>
      <c r="G1258" s="193"/>
      <c r="H1258" s="193" t="s">
        <v>1523</v>
      </c>
      <c r="I1258" s="193" t="s">
        <v>3</v>
      </c>
      <c r="J1258" s="193" t="str">
        <f t="shared" si="91"/>
        <v>10 Roda</v>
      </c>
      <c r="K1258" s="194">
        <v>46147</v>
      </c>
      <c r="L1258" s="195">
        <v>10590</v>
      </c>
      <c r="M1258" s="195">
        <v>25060</v>
      </c>
      <c r="N1258" s="195">
        <v>14470</v>
      </c>
      <c r="O1258" s="195"/>
      <c r="P1258" s="196">
        <v>0.71666666666666667</v>
      </c>
      <c r="Q1258" s="196">
        <v>0.75</v>
      </c>
      <c r="R1258" s="193" t="s">
        <v>137</v>
      </c>
      <c r="S1258" s="193" t="s">
        <v>2031</v>
      </c>
      <c r="T1258" s="197">
        <f t="shared" si="88"/>
        <v>473</v>
      </c>
      <c r="U1258" s="193" t="s">
        <v>69</v>
      </c>
      <c r="V1258" s="193" t="s">
        <v>2101</v>
      </c>
    </row>
    <row r="1259" spans="2:22" ht="15" customHeight="1" x14ac:dyDescent="0.2">
      <c r="B1259" s="193">
        <v>1</v>
      </c>
      <c r="C1259" s="347" t="s">
        <v>1943</v>
      </c>
      <c r="D1259" s="347" t="str">
        <f t="shared" si="92"/>
        <v>RBDPL001108PUP</v>
      </c>
      <c r="E1259" s="193" t="s">
        <v>183</v>
      </c>
      <c r="F1259" s="193"/>
      <c r="G1259" s="193"/>
      <c r="H1259" s="193" t="s">
        <v>1590</v>
      </c>
      <c r="I1259" s="193" t="s">
        <v>3</v>
      </c>
      <c r="J1259" s="193" t="str">
        <f t="shared" si="91"/>
        <v>6 Roda</v>
      </c>
      <c r="K1259" s="194">
        <v>46147</v>
      </c>
      <c r="L1259" s="195">
        <v>4300</v>
      </c>
      <c r="M1259" s="195">
        <v>14370</v>
      </c>
      <c r="N1259" s="195">
        <v>10070</v>
      </c>
      <c r="O1259" s="195"/>
      <c r="P1259" s="196">
        <v>0.76527777777777783</v>
      </c>
      <c r="Q1259" s="196">
        <v>0.79513888888888884</v>
      </c>
      <c r="R1259" s="193" t="s">
        <v>137</v>
      </c>
      <c r="S1259" s="193" t="s">
        <v>1734</v>
      </c>
      <c r="T1259" s="197">
        <f t="shared" si="88"/>
        <v>642</v>
      </c>
      <c r="U1259" s="193" t="s">
        <v>175</v>
      </c>
      <c r="V1259" s="193" t="s">
        <v>2102</v>
      </c>
    </row>
    <row r="1260" spans="2:22" ht="15" customHeight="1" x14ac:dyDescent="0.2">
      <c r="B1260" s="193">
        <v>1</v>
      </c>
      <c r="C1260" s="347" t="s">
        <v>1944</v>
      </c>
      <c r="D1260" s="347" t="str">
        <f t="shared" si="92"/>
        <v>RBDPL001110BJL</v>
      </c>
      <c r="E1260" s="193" t="s">
        <v>1308</v>
      </c>
      <c r="F1260" s="193"/>
      <c r="G1260" s="193"/>
      <c r="H1260" s="193" t="s">
        <v>86</v>
      </c>
      <c r="I1260" s="193" t="s">
        <v>3</v>
      </c>
      <c r="J1260" s="193" t="str">
        <f t="shared" si="91"/>
        <v>6 Roda</v>
      </c>
      <c r="K1260" s="194">
        <v>46148</v>
      </c>
      <c r="L1260" s="195">
        <v>3920</v>
      </c>
      <c r="M1260" s="195">
        <v>13160</v>
      </c>
      <c r="N1260" s="195">
        <v>9240</v>
      </c>
      <c r="O1260" s="195"/>
      <c r="P1260" s="196">
        <v>0.39097222222222222</v>
      </c>
      <c r="Q1260" s="196">
        <v>0.45833333333333331</v>
      </c>
      <c r="R1260" s="193" t="s">
        <v>137</v>
      </c>
      <c r="S1260" s="193" t="s">
        <v>2032</v>
      </c>
      <c r="T1260" s="197">
        <f t="shared" si="88"/>
        <v>562</v>
      </c>
      <c r="U1260" s="193" t="s">
        <v>175</v>
      </c>
      <c r="V1260" s="193" t="s">
        <v>2099</v>
      </c>
    </row>
    <row r="1261" spans="2:22" ht="15" customHeight="1" x14ac:dyDescent="0.2">
      <c r="B1261" s="193">
        <v>1</v>
      </c>
      <c r="C1261" s="347" t="s">
        <v>1945</v>
      </c>
      <c r="D1261" s="347" t="str">
        <f t="shared" si="92"/>
        <v>RBDPL001111BJL</v>
      </c>
      <c r="E1261" s="193" t="s">
        <v>2021</v>
      </c>
      <c r="F1261" s="193"/>
      <c r="G1261" s="193"/>
      <c r="H1261" s="193" t="s">
        <v>86</v>
      </c>
      <c r="I1261" s="193" t="s">
        <v>3</v>
      </c>
      <c r="J1261" s="193" t="str">
        <f t="shared" si="91"/>
        <v>6 Roda</v>
      </c>
      <c r="K1261" s="194">
        <v>46148</v>
      </c>
      <c r="L1261" s="195">
        <v>4050</v>
      </c>
      <c r="M1261" s="195">
        <v>13430</v>
      </c>
      <c r="N1261" s="195">
        <v>9380</v>
      </c>
      <c r="O1261" s="195"/>
      <c r="P1261" s="196">
        <v>0.39374999999999999</v>
      </c>
      <c r="Q1261" s="196">
        <v>0.4694444444444445</v>
      </c>
      <c r="R1261" s="193" t="s">
        <v>137</v>
      </c>
      <c r="S1261" s="193" t="s">
        <v>1517</v>
      </c>
      <c r="T1261" s="197">
        <f t="shared" si="88"/>
        <v>562</v>
      </c>
      <c r="U1261" s="193" t="s">
        <v>175</v>
      </c>
      <c r="V1261" s="193" t="s">
        <v>2099</v>
      </c>
    </row>
    <row r="1262" spans="2:22" ht="15" customHeight="1" x14ac:dyDescent="0.2">
      <c r="B1262" s="193">
        <v>1</v>
      </c>
      <c r="C1262" s="347" t="s">
        <v>1946</v>
      </c>
      <c r="D1262" s="347" t="str">
        <f t="shared" si="92"/>
        <v>RBDPL001114HSA</v>
      </c>
      <c r="E1262" s="193" t="s">
        <v>147</v>
      </c>
      <c r="F1262" s="193"/>
      <c r="G1262" s="193"/>
      <c r="H1262" s="193" t="s">
        <v>103</v>
      </c>
      <c r="I1262" s="193" t="s">
        <v>3</v>
      </c>
      <c r="J1262" s="193" t="str">
        <f t="shared" si="91"/>
        <v>6 Roda</v>
      </c>
      <c r="K1262" s="194">
        <v>46148</v>
      </c>
      <c r="L1262" s="195">
        <v>3990</v>
      </c>
      <c r="M1262" s="195">
        <v>14090</v>
      </c>
      <c r="N1262" s="195">
        <v>10100</v>
      </c>
      <c r="O1262" s="195"/>
      <c r="P1262" s="196">
        <v>0.6020833333333333</v>
      </c>
      <c r="Q1262" s="196">
        <v>0.62083333333333335</v>
      </c>
      <c r="R1262" s="193" t="s">
        <v>137</v>
      </c>
      <c r="S1262" s="193" t="s">
        <v>1373</v>
      </c>
      <c r="T1262" s="197">
        <f t="shared" si="88"/>
        <v>360</v>
      </c>
      <c r="U1262" s="193" t="s">
        <v>1381</v>
      </c>
      <c r="V1262" s="193" t="s">
        <v>2098</v>
      </c>
    </row>
    <row r="1263" spans="2:22" ht="15" customHeight="1" x14ac:dyDescent="0.2">
      <c r="B1263" s="193">
        <v>1</v>
      </c>
      <c r="C1263" s="347" t="s">
        <v>1947</v>
      </c>
      <c r="D1263" s="347" t="str">
        <f t="shared" si="92"/>
        <v>RBDPL001115HSA</v>
      </c>
      <c r="E1263" s="193" t="s">
        <v>938</v>
      </c>
      <c r="F1263" s="193"/>
      <c r="G1263" s="193"/>
      <c r="H1263" s="193" t="s">
        <v>103</v>
      </c>
      <c r="I1263" s="193" t="s">
        <v>3</v>
      </c>
      <c r="J1263" s="193" t="str">
        <f t="shared" si="91"/>
        <v>6 Roda</v>
      </c>
      <c r="K1263" s="194">
        <v>46148</v>
      </c>
      <c r="L1263" s="195">
        <v>3950</v>
      </c>
      <c r="M1263" s="195">
        <v>13440</v>
      </c>
      <c r="N1263" s="195">
        <v>9490</v>
      </c>
      <c r="O1263" s="195"/>
      <c r="P1263" s="196">
        <v>0.625</v>
      </c>
      <c r="Q1263" s="196">
        <v>0.64166666666666672</v>
      </c>
      <c r="R1263" s="193" t="s">
        <v>137</v>
      </c>
      <c r="S1263" s="193" t="s">
        <v>1384</v>
      </c>
      <c r="T1263" s="197">
        <f t="shared" si="88"/>
        <v>360</v>
      </c>
      <c r="U1263" s="193" t="s">
        <v>1381</v>
      </c>
      <c r="V1263" s="193" t="s">
        <v>2098</v>
      </c>
    </row>
    <row r="1264" spans="2:22" ht="15" customHeight="1" x14ac:dyDescent="0.2">
      <c r="B1264" s="193">
        <v>1</v>
      </c>
      <c r="C1264" s="347" t="s">
        <v>1948</v>
      </c>
      <c r="D1264" s="347" t="str">
        <f t="shared" si="92"/>
        <v>RBDPL001119HSA</v>
      </c>
      <c r="E1264" s="193" t="s">
        <v>934</v>
      </c>
      <c r="F1264" s="193"/>
      <c r="G1264" s="193"/>
      <c r="H1264" s="193" t="s">
        <v>103</v>
      </c>
      <c r="I1264" s="193" t="s">
        <v>3</v>
      </c>
      <c r="J1264" s="193" t="str">
        <f t="shared" si="91"/>
        <v>6 Roda</v>
      </c>
      <c r="K1264" s="194">
        <v>46148</v>
      </c>
      <c r="L1264" s="195">
        <v>3860</v>
      </c>
      <c r="M1264" s="195">
        <v>13160</v>
      </c>
      <c r="N1264" s="195">
        <v>9300</v>
      </c>
      <c r="O1264" s="195"/>
      <c r="P1264" s="196">
        <v>0.69513888888888886</v>
      </c>
      <c r="Q1264" s="196">
        <v>0.71388888888888891</v>
      </c>
      <c r="R1264" s="193" t="s">
        <v>137</v>
      </c>
      <c r="S1264" s="193" t="s">
        <v>2033</v>
      </c>
      <c r="T1264" s="197">
        <f t="shared" si="88"/>
        <v>360</v>
      </c>
      <c r="U1264" s="193" t="s">
        <v>1381</v>
      </c>
      <c r="V1264" s="193" t="s">
        <v>2098</v>
      </c>
    </row>
    <row r="1265" spans="2:22" ht="15" customHeight="1" x14ac:dyDescent="0.2">
      <c r="B1265" s="193">
        <v>1</v>
      </c>
      <c r="C1265" s="347" t="s">
        <v>1949</v>
      </c>
      <c r="D1265" s="347" t="str">
        <f t="shared" si="92"/>
        <v>RBDPL001112DA</v>
      </c>
      <c r="E1265" s="193" t="s">
        <v>1239</v>
      </c>
      <c r="F1265" s="193"/>
      <c r="G1265" s="193"/>
      <c r="H1265" s="193" t="s">
        <v>111</v>
      </c>
      <c r="I1265" s="193" t="s">
        <v>3</v>
      </c>
      <c r="J1265" s="193" t="str">
        <f t="shared" si="91"/>
        <v>12 Roda</v>
      </c>
      <c r="K1265" s="194">
        <v>46148</v>
      </c>
      <c r="L1265" s="195">
        <v>18980</v>
      </c>
      <c r="M1265" s="195">
        <v>42510</v>
      </c>
      <c r="N1265" s="195">
        <v>23530</v>
      </c>
      <c r="O1265" s="195"/>
      <c r="P1265" s="196">
        <v>0.4680555555555555</v>
      </c>
      <c r="Q1265" s="196">
        <v>0.54375000000000007</v>
      </c>
      <c r="R1265" s="193" t="s">
        <v>137</v>
      </c>
      <c r="S1265" s="193" t="s">
        <v>2028</v>
      </c>
      <c r="T1265" s="197">
        <f t="shared" ref="T1265:T1328" si="93">IFERROR(_xlfn.XLOOKUP(H1265,$AM$4:$AM$18,$AP$4:$AP$18,""),0)</f>
        <v>360</v>
      </c>
      <c r="U1265" s="193" t="s">
        <v>175</v>
      </c>
      <c r="V1265" s="193" t="s">
        <v>2098</v>
      </c>
    </row>
    <row r="1266" spans="2:22" ht="15" customHeight="1" x14ac:dyDescent="0.2">
      <c r="B1266" s="193">
        <v>1</v>
      </c>
      <c r="C1266" s="347" t="s">
        <v>1950</v>
      </c>
      <c r="D1266" s="347" t="str">
        <f t="shared" si="92"/>
        <v>RBDPL001113DA</v>
      </c>
      <c r="E1266" s="193" t="s">
        <v>1498</v>
      </c>
      <c r="F1266" s="193"/>
      <c r="G1266" s="193"/>
      <c r="H1266" s="193" t="s">
        <v>111</v>
      </c>
      <c r="I1266" s="193" t="s">
        <v>3</v>
      </c>
      <c r="J1266" s="193" t="str">
        <f t="shared" si="91"/>
        <v>6 Roda</v>
      </c>
      <c r="K1266" s="194">
        <v>46148</v>
      </c>
      <c r="L1266" s="195">
        <v>4100</v>
      </c>
      <c r="M1266" s="195">
        <v>13160</v>
      </c>
      <c r="N1266" s="195">
        <v>9060</v>
      </c>
      <c r="O1266" s="195"/>
      <c r="P1266" s="196">
        <v>0.55763888888888891</v>
      </c>
      <c r="Q1266" s="196">
        <v>0.5756944444444444</v>
      </c>
      <c r="R1266" s="193" t="s">
        <v>137</v>
      </c>
      <c r="S1266" s="193" t="s">
        <v>1466</v>
      </c>
      <c r="T1266" s="197">
        <f t="shared" si="93"/>
        <v>360</v>
      </c>
      <c r="U1266" s="193" t="s">
        <v>175</v>
      </c>
      <c r="V1266" s="193" t="s">
        <v>2098</v>
      </c>
    </row>
    <row r="1267" spans="2:22" ht="15" customHeight="1" x14ac:dyDescent="0.2">
      <c r="B1267" s="193">
        <v>1</v>
      </c>
      <c r="C1267" s="347" t="s">
        <v>1951</v>
      </c>
      <c r="D1267" s="347" t="str">
        <f t="shared" si="92"/>
        <v>RBDPL001117DA</v>
      </c>
      <c r="E1267" s="193" t="s">
        <v>936</v>
      </c>
      <c r="F1267" s="193"/>
      <c r="G1267" s="193"/>
      <c r="H1267" s="193" t="s">
        <v>111</v>
      </c>
      <c r="I1267" s="193" t="s">
        <v>3</v>
      </c>
      <c r="J1267" s="193" t="str">
        <f t="shared" si="91"/>
        <v>6 Roda</v>
      </c>
      <c r="K1267" s="194">
        <v>46148</v>
      </c>
      <c r="L1267" s="195">
        <v>4140</v>
      </c>
      <c r="M1267" s="195">
        <v>14290</v>
      </c>
      <c r="N1267" s="195">
        <v>10150</v>
      </c>
      <c r="O1267" s="195"/>
      <c r="P1267" s="196">
        <v>0.6430555555555556</v>
      </c>
      <c r="Q1267" s="196">
        <v>0.66666666666666663</v>
      </c>
      <c r="R1267" s="193" t="s">
        <v>137</v>
      </c>
      <c r="S1267" s="193" t="s">
        <v>1385</v>
      </c>
      <c r="T1267" s="197">
        <f t="shared" si="93"/>
        <v>360</v>
      </c>
      <c r="U1267" s="193" t="s">
        <v>1381</v>
      </c>
      <c r="V1267" s="193" t="s">
        <v>2098</v>
      </c>
    </row>
    <row r="1268" spans="2:22" ht="15" customHeight="1" x14ac:dyDescent="0.2">
      <c r="B1268" s="193">
        <v>1</v>
      </c>
      <c r="C1268" s="347" t="s">
        <v>1952</v>
      </c>
      <c r="D1268" s="347" t="str">
        <f t="shared" si="92"/>
        <v>RBDPL001118DA</v>
      </c>
      <c r="E1268" s="193" t="s">
        <v>983</v>
      </c>
      <c r="F1268" s="193"/>
      <c r="G1268" s="193"/>
      <c r="H1268" s="193" t="s">
        <v>111</v>
      </c>
      <c r="I1268" s="193" t="s">
        <v>3</v>
      </c>
      <c r="J1268" s="193" t="str">
        <f t="shared" si="91"/>
        <v>6 Roda</v>
      </c>
      <c r="K1268" s="194">
        <v>46148</v>
      </c>
      <c r="L1268" s="195">
        <v>3960</v>
      </c>
      <c r="M1268" s="195">
        <v>13270</v>
      </c>
      <c r="N1268" s="195">
        <v>9310</v>
      </c>
      <c r="O1268" s="195"/>
      <c r="P1268" s="196">
        <v>0.65277777777777779</v>
      </c>
      <c r="Q1268" s="196">
        <v>0.6777777777777777</v>
      </c>
      <c r="R1268" s="193" t="s">
        <v>137</v>
      </c>
      <c r="S1268" s="193" t="s">
        <v>2034</v>
      </c>
      <c r="T1268" s="197">
        <f t="shared" si="93"/>
        <v>360</v>
      </c>
      <c r="U1268" s="193" t="s">
        <v>1381</v>
      </c>
      <c r="V1268" s="193" t="s">
        <v>2098</v>
      </c>
    </row>
    <row r="1269" spans="2:22" ht="15" customHeight="1" x14ac:dyDescent="0.2">
      <c r="B1269" s="193">
        <v>1</v>
      </c>
      <c r="C1269" s="347" t="s">
        <v>1953</v>
      </c>
      <c r="D1269" s="347" t="str">
        <f t="shared" si="92"/>
        <v>RBDPL001116SCM</v>
      </c>
      <c r="E1269" s="193" t="s">
        <v>181</v>
      </c>
      <c r="F1269" s="193"/>
      <c r="G1269" s="193"/>
      <c r="H1269" s="193" t="s">
        <v>107</v>
      </c>
      <c r="I1269" s="193" t="s">
        <v>3</v>
      </c>
      <c r="J1269" s="193" t="str">
        <f t="shared" si="91"/>
        <v>6 Roda</v>
      </c>
      <c r="K1269" s="194">
        <v>46148</v>
      </c>
      <c r="L1269" s="195">
        <v>3990</v>
      </c>
      <c r="M1269" s="195">
        <v>13640</v>
      </c>
      <c r="N1269" s="195">
        <v>9650</v>
      </c>
      <c r="O1269" s="195"/>
      <c r="P1269" s="196">
        <v>0.63124999999999998</v>
      </c>
      <c r="Q1269" s="196">
        <v>0.65069444444444446</v>
      </c>
      <c r="R1269" s="193" t="s">
        <v>137</v>
      </c>
      <c r="S1269" s="193" t="s">
        <v>2030</v>
      </c>
      <c r="T1269" s="197">
        <f t="shared" si="93"/>
        <v>400</v>
      </c>
      <c r="U1269" s="193" t="s">
        <v>175</v>
      </c>
      <c r="V1269" s="193" t="s">
        <v>2098</v>
      </c>
    </row>
    <row r="1270" spans="2:22" ht="15" customHeight="1" x14ac:dyDescent="0.2">
      <c r="B1270" s="193">
        <v>1</v>
      </c>
      <c r="C1270" s="347" t="s">
        <v>1954</v>
      </c>
      <c r="D1270" s="347" t="str">
        <f t="shared" si="92"/>
        <v>RBDPL001120SCM</v>
      </c>
      <c r="E1270" s="193" t="s">
        <v>830</v>
      </c>
      <c r="F1270" s="193"/>
      <c r="G1270" s="193"/>
      <c r="H1270" s="193" t="s">
        <v>107</v>
      </c>
      <c r="I1270" s="193" t="s">
        <v>3</v>
      </c>
      <c r="J1270" s="193" t="str">
        <f t="shared" ref="J1270:J1332" si="94">IF(MIN(L1270,M1270)&lt;=5000,"6 Roda",IF(MIN(L1270,M1270)&lt;=13800,"10 Roda","12 Roda"))</f>
        <v>6 Roda</v>
      </c>
      <c r="K1270" s="194">
        <v>46149</v>
      </c>
      <c r="L1270" s="195">
        <v>4100</v>
      </c>
      <c r="M1270" s="195">
        <v>13280</v>
      </c>
      <c r="N1270" s="195">
        <v>9180</v>
      </c>
      <c r="O1270" s="195"/>
      <c r="P1270" s="196">
        <v>0.43333333333333335</v>
      </c>
      <c r="Q1270" s="196">
        <v>0.47430555555555554</v>
      </c>
      <c r="R1270" s="193" t="s">
        <v>137</v>
      </c>
      <c r="S1270" s="193" t="s">
        <v>1618</v>
      </c>
      <c r="T1270" s="197">
        <f t="shared" si="93"/>
        <v>400</v>
      </c>
      <c r="U1270" s="193" t="s">
        <v>175</v>
      </c>
      <c r="V1270" s="193" t="s">
        <v>2098</v>
      </c>
    </row>
    <row r="1271" spans="2:22" ht="15" customHeight="1" x14ac:dyDescent="0.2">
      <c r="B1271" s="193">
        <v>1</v>
      </c>
      <c r="C1271" s="347" t="s">
        <v>1955</v>
      </c>
      <c r="D1271" s="347" t="str">
        <f t="shared" si="92"/>
        <v>RBDPL001122SCM</v>
      </c>
      <c r="E1271" s="193" t="s">
        <v>153</v>
      </c>
      <c r="F1271" s="193"/>
      <c r="G1271" s="193"/>
      <c r="H1271" s="193" t="s">
        <v>107</v>
      </c>
      <c r="I1271" s="193" t="s">
        <v>3</v>
      </c>
      <c r="J1271" s="193" t="str">
        <f t="shared" si="94"/>
        <v>6 Roda</v>
      </c>
      <c r="K1271" s="194">
        <v>46149</v>
      </c>
      <c r="L1271" s="195">
        <v>3950</v>
      </c>
      <c r="M1271" s="195">
        <v>13620</v>
      </c>
      <c r="N1271" s="195">
        <v>9670</v>
      </c>
      <c r="O1271" s="195"/>
      <c r="P1271" s="196">
        <v>0.63680555555555551</v>
      </c>
      <c r="Q1271" s="196">
        <v>0.66041666666666665</v>
      </c>
      <c r="R1271" s="193" t="s">
        <v>137</v>
      </c>
      <c r="S1271" s="193" t="s">
        <v>1379</v>
      </c>
      <c r="T1271" s="197">
        <f t="shared" si="93"/>
        <v>400</v>
      </c>
      <c r="U1271" s="193" t="s">
        <v>175</v>
      </c>
      <c r="V1271" s="193" t="s">
        <v>2098</v>
      </c>
    </row>
    <row r="1272" spans="2:22" ht="15" customHeight="1" x14ac:dyDescent="0.2">
      <c r="B1272" s="193">
        <v>1</v>
      </c>
      <c r="C1272" s="347" t="s">
        <v>1956</v>
      </c>
      <c r="D1272" s="347" t="str">
        <f t="shared" si="92"/>
        <v>RBDPL001123SCM</v>
      </c>
      <c r="E1272" s="193" t="s">
        <v>151</v>
      </c>
      <c r="F1272" s="193"/>
      <c r="G1272" s="193"/>
      <c r="H1272" s="193" t="s">
        <v>107</v>
      </c>
      <c r="I1272" s="193" t="s">
        <v>3</v>
      </c>
      <c r="J1272" s="193" t="str">
        <f t="shared" si="94"/>
        <v>6 Roda</v>
      </c>
      <c r="K1272" s="194">
        <v>46149</v>
      </c>
      <c r="L1272" s="195">
        <v>4150</v>
      </c>
      <c r="M1272" s="195">
        <v>13600</v>
      </c>
      <c r="N1272" s="195">
        <v>9450</v>
      </c>
      <c r="O1272" s="195"/>
      <c r="P1272" s="196">
        <v>0.63888888888888895</v>
      </c>
      <c r="Q1272" s="196">
        <v>0.68958333333333333</v>
      </c>
      <c r="R1272" s="193" t="s">
        <v>137</v>
      </c>
      <c r="S1272" s="193" t="s">
        <v>1388</v>
      </c>
      <c r="T1272" s="197">
        <f t="shared" si="93"/>
        <v>400</v>
      </c>
      <c r="U1272" s="193" t="s">
        <v>175</v>
      </c>
      <c r="V1272" s="193" t="s">
        <v>2098</v>
      </c>
    </row>
    <row r="1273" spans="2:22" ht="15" customHeight="1" x14ac:dyDescent="0.2">
      <c r="B1273" s="193">
        <v>1</v>
      </c>
      <c r="C1273" s="347" t="s">
        <v>1957</v>
      </c>
      <c r="D1273" s="347" t="str">
        <f t="shared" si="92"/>
        <v>RBDPL001124SCM</v>
      </c>
      <c r="E1273" s="193" t="s">
        <v>2022</v>
      </c>
      <c r="F1273" s="193"/>
      <c r="G1273" s="193"/>
      <c r="H1273" s="193" t="s">
        <v>107</v>
      </c>
      <c r="I1273" s="193" t="s">
        <v>3</v>
      </c>
      <c r="J1273" s="193" t="str">
        <f t="shared" si="94"/>
        <v>6 Roda</v>
      </c>
      <c r="K1273" s="194">
        <v>46149</v>
      </c>
      <c r="L1273" s="195">
        <v>4130</v>
      </c>
      <c r="M1273" s="195">
        <v>13320</v>
      </c>
      <c r="N1273" s="195">
        <v>9190</v>
      </c>
      <c r="O1273" s="195"/>
      <c r="P1273" s="196">
        <v>0.66180555555555554</v>
      </c>
      <c r="Q1273" s="196">
        <v>0.68402777777777779</v>
      </c>
      <c r="R1273" s="193" t="s">
        <v>137</v>
      </c>
      <c r="S1273" s="193" t="s">
        <v>2035</v>
      </c>
      <c r="T1273" s="197">
        <f t="shared" si="93"/>
        <v>400</v>
      </c>
      <c r="U1273" s="193" t="s">
        <v>175</v>
      </c>
      <c r="V1273" s="193" t="s">
        <v>2098</v>
      </c>
    </row>
    <row r="1274" spans="2:22" ht="15" customHeight="1" x14ac:dyDescent="0.2">
      <c r="B1274" s="193">
        <v>1</v>
      </c>
      <c r="C1274" s="347" t="s">
        <v>1958</v>
      </c>
      <c r="D1274" s="347" t="str">
        <f t="shared" si="92"/>
        <v>RBDPL001125SCM</v>
      </c>
      <c r="E1274" s="193" t="s">
        <v>158</v>
      </c>
      <c r="F1274" s="193"/>
      <c r="G1274" s="193"/>
      <c r="H1274" s="193" t="s">
        <v>107</v>
      </c>
      <c r="I1274" s="193" t="s">
        <v>3</v>
      </c>
      <c r="J1274" s="193" t="str">
        <f t="shared" si="94"/>
        <v>6 Roda</v>
      </c>
      <c r="K1274" s="194">
        <v>46149</v>
      </c>
      <c r="L1274" s="195">
        <v>3890</v>
      </c>
      <c r="M1274" s="195">
        <v>14020</v>
      </c>
      <c r="N1274" s="195">
        <v>10130</v>
      </c>
      <c r="O1274" s="195"/>
      <c r="P1274" s="196">
        <v>0.66319444444444442</v>
      </c>
      <c r="Q1274" s="196">
        <v>0.70277777777777783</v>
      </c>
      <c r="R1274" s="193" t="s">
        <v>137</v>
      </c>
      <c r="S1274" s="193" t="s">
        <v>1395</v>
      </c>
      <c r="T1274" s="197">
        <f t="shared" si="93"/>
        <v>400</v>
      </c>
      <c r="U1274" s="193" t="s">
        <v>175</v>
      </c>
      <c r="V1274" s="193" t="s">
        <v>2098</v>
      </c>
    </row>
    <row r="1275" spans="2:22" ht="15" customHeight="1" x14ac:dyDescent="0.2">
      <c r="B1275" s="193">
        <v>1</v>
      </c>
      <c r="C1275" s="347" t="s">
        <v>1959</v>
      </c>
      <c r="D1275" s="347" t="str">
        <f t="shared" si="92"/>
        <v>RBDPL001128SCM</v>
      </c>
      <c r="E1275" s="193" t="s">
        <v>2023</v>
      </c>
      <c r="F1275" s="193"/>
      <c r="G1275" s="193"/>
      <c r="H1275" s="193" t="s">
        <v>107</v>
      </c>
      <c r="I1275" s="193" t="s">
        <v>3</v>
      </c>
      <c r="J1275" s="193" t="str">
        <f t="shared" si="94"/>
        <v>6 Roda</v>
      </c>
      <c r="K1275" s="194">
        <v>46149</v>
      </c>
      <c r="L1275" s="195">
        <v>4010</v>
      </c>
      <c r="M1275" s="195">
        <v>13070</v>
      </c>
      <c r="N1275" s="195">
        <v>9060</v>
      </c>
      <c r="O1275" s="195"/>
      <c r="P1275" s="196">
        <v>0.75555555555555554</v>
      </c>
      <c r="Q1275" s="196">
        <v>0.7993055555555556</v>
      </c>
      <c r="R1275" s="193" t="s">
        <v>137</v>
      </c>
      <c r="S1275" s="193" t="s">
        <v>2036</v>
      </c>
      <c r="T1275" s="197">
        <f t="shared" si="93"/>
        <v>400</v>
      </c>
      <c r="U1275" s="193" t="s">
        <v>175</v>
      </c>
      <c r="V1275" s="193" t="s">
        <v>2098</v>
      </c>
    </row>
    <row r="1276" spans="2:22" ht="15" customHeight="1" x14ac:dyDescent="0.2">
      <c r="B1276" s="193">
        <v>1</v>
      </c>
      <c r="C1276" s="347" t="s">
        <v>1960</v>
      </c>
      <c r="D1276" s="347" t="str">
        <f t="shared" si="92"/>
        <v>RBDPL001126DA</v>
      </c>
      <c r="E1276" s="193" t="s">
        <v>473</v>
      </c>
      <c r="F1276" s="193"/>
      <c r="G1276" s="193"/>
      <c r="H1276" s="193" t="s">
        <v>111</v>
      </c>
      <c r="I1276" s="193" t="s">
        <v>3</v>
      </c>
      <c r="J1276" s="193" t="str">
        <f t="shared" si="94"/>
        <v>6 Roda</v>
      </c>
      <c r="K1276" s="194">
        <v>46149</v>
      </c>
      <c r="L1276" s="195">
        <v>4340</v>
      </c>
      <c r="M1276" s="195">
        <v>14530</v>
      </c>
      <c r="N1276" s="195">
        <v>10190</v>
      </c>
      <c r="O1276" s="195"/>
      <c r="P1276" s="196">
        <v>0.71805555555555556</v>
      </c>
      <c r="Q1276" s="196">
        <v>0.73958333333333337</v>
      </c>
      <c r="R1276" s="193" t="s">
        <v>137</v>
      </c>
      <c r="S1276" s="193" t="s">
        <v>1474</v>
      </c>
      <c r="T1276" s="197">
        <f t="shared" si="93"/>
        <v>360</v>
      </c>
      <c r="U1276" s="193" t="s">
        <v>1381</v>
      </c>
      <c r="V1276" s="193" t="s">
        <v>2098</v>
      </c>
    </row>
    <row r="1277" spans="2:22" ht="15" customHeight="1" x14ac:dyDescent="0.2">
      <c r="B1277" s="193">
        <v>1</v>
      </c>
      <c r="C1277" s="347" t="s">
        <v>1961</v>
      </c>
      <c r="D1277" s="347" t="str">
        <f t="shared" si="92"/>
        <v>RBDPL001127DA</v>
      </c>
      <c r="E1277" s="193" t="s">
        <v>940</v>
      </c>
      <c r="F1277" s="193"/>
      <c r="G1277" s="193"/>
      <c r="H1277" s="193" t="s">
        <v>111</v>
      </c>
      <c r="I1277" s="193" t="s">
        <v>3</v>
      </c>
      <c r="J1277" s="193" t="str">
        <f t="shared" si="94"/>
        <v>6 Roda</v>
      </c>
      <c r="K1277" s="194">
        <v>46149</v>
      </c>
      <c r="L1277" s="195">
        <v>3930</v>
      </c>
      <c r="M1277" s="195">
        <v>13470</v>
      </c>
      <c r="N1277" s="195">
        <v>9540</v>
      </c>
      <c r="O1277" s="195"/>
      <c r="P1277" s="196">
        <v>0.72222222222222221</v>
      </c>
      <c r="Q1277" s="196">
        <v>0.75694444444444453</v>
      </c>
      <c r="R1277" s="193" t="s">
        <v>137</v>
      </c>
      <c r="S1277" s="193" t="s">
        <v>1383</v>
      </c>
      <c r="T1277" s="197">
        <f t="shared" si="93"/>
        <v>360</v>
      </c>
      <c r="U1277" s="193" t="s">
        <v>1381</v>
      </c>
      <c r="V1277" s="193" t="s">
        <v>2098</v>
      </c>
    </row>
    <row r="1278" spans="2:22" ht="15" customHeight="1" x14ac:dyDescent="0.2">
      <c r="B1278" s="193">
        <v>1</v>
      </c>
      <c r="C1278" s="347" t="s">
        <v>1962</v>
      </c>
      <c r="D1278" s="347" t="str">
        <f t="shared" si="92"/>
        <v>RBDPL001129DA</v>
      </c>
      <c r="E1278" s="193" t="s">
        <v>1498</v>
      </c>
      <c r="F1278" s="193"/>
      <c r="G1278" s="193"/>
      <c r="H1278" s="193" t="s">
        <v>111</v>
      </c>
      <c r="I1278" s="193" t="s">
        <v>3</v>
      </c>
      <c r="J1278" s="193" t="str">
        <f t="shared" si="94"/>
        <v>6 Roda</v>
      </c>
      <c r="K1278" s="194">
        <v>46149</v>
      </c>
      <c r="L1278" s="195">
        <v>4090</v>
      </c>
      <c r="M1278" s="195">
        <v>13140</v>
      </c>
      <c r="N1278" s="195">
        <v>9050</v>
      </c>
      <c r="O1278" s="195"/>
      <c r="P1278" s="196">
        <v>0.76111111111111107</v>
      </c>
      <c r="Q1278" s="196">
        <v>0.78263888888888899</v>
      </c>
      <c r="R1278" s="193" t="s">
        <v>137</v>
      </c>
      <c r="S1278" s="193" t="s">
        <v>1466</v>
      </c>
      <c r="T1278" s="197">
        <f t="shared" si="93"/>
        <v>360</v>
      </c>
      <c r="U1278" s="193" t="s">
        <v>1381</v>
      </c>
      <c r="V1278" s="193" t="s">
        <v>2098</v>
      </c>
    </row>
    <row r="1279" spans="2:22" ht="15" customHeight="1" x14ac:dyDescent="0.2">
      <c r="B1279" s="193">
        <v>1</v>
      </c>
      <c r="C1279" s="347" t="s">
        <v>1963</v>
      </c>
      <c r="D1279" s="347" t="str">
        <f t="shared" si="92"/>
        <v>RBDPL001121BJL</v>
      </c>
      <c r="E1279" s="193" t="s">
        <v>2024</v>
      </c>
      <c r="F1279" s="193"/>
      <c r="G1279" s="193"/>
      <c r="H1279" s="193" t="s">
        <v>86</v>
      </c>
      <c r="I1279" s="193" t="s">
        <v>3</v>
      </c>
      <c r="J1279" s="193" t="str">
        <f t="shared" si="94"/>
        <v>6 Roda</v>
      </c>
      <c r="K1279" s="194">
        <v>46149</v>
      </c>
      <c r="L1279" s="195">
        <v>3810</v>
      </c>
      <c r="M1279" s="195">
        <v>13120</v>
      </c>
      <c r="N1279" s="195">
        <v>9310</v>
      </c>
      <c r="O1279" s="195"/>
      <c r="P1279" s="196">
        <v>0.5756944444444444</v>
      </c>
      <c r="Q1279" s="196">
        <v>0.59513888888888888</v>
      </c>
      <c r="R1279" s="193" t="s">
        <v>137</v>
      </c>
      <c r="S1279" s="193" t="s">
        <v>2037</v>
      </c>
      <c r="T1279" s="197">
        <f t="shared" si="93"/>
        <v>562</v>
      </c>
      <c r="U1279" s="193" t="s">
        <v>175</v>
      </c>
      <c r="V1279" s="193" t="s">
        <v>2099</v>
      </c>
    </row>
    <row r="1280" spans="2:22" ht="15" customHeight="1" x14ac:dyDescent="0.2">
      <c r="B1280" s="193">
        <v>1</v>
      </c>
      <c r="C1280" s="347" t="s">
        <v>1964</v>
      </c>
      <c r="D1280" s="347" t="str">
        <f t="shared" si="92"/>
        <v>RBDPL001131DA</v>
      </c>
      <c r="E1280" s="193" t="s">
        <v>1239</v>
      </c>
      <c r="F1280" s="193"/>
      <c r="G1280" s="193"/>
      <c r="H1280" s="193" t="s">
        <v>111</v>
      </c>
      <c r="I1280" s="193" t="s">
        <v>3</v>
      </c>
      <c r="J1280" s="193" t="str">
        <f t="shared" si="94"/>
        <v>12 Roda</v>
      </c>
      <c r="K1280" s="194">
        <v>46150</v>
      </c>
      <c r="L1280" s="195">
        <v>19000</v>
      </c>
      <c r="M1280" s="195">
        <v>42610</v>
      </c>
      <c r="N1280" s="195">
        <v>23610</v>
      </c>
      <c r="O1280" s="195"/>
      <c r="P1280" s="196">
        <v>0.41041666666666665</v>
      </c>
      <c r="Q1280" s="196">
        <v>0.5444444444444444</v>
      </c>
      <c r="R1280" s="193" t="s">
        <v>137</v>
      </c>
      <c r="S1280" s="193" t="s">
        <v>2028</v>
      </c>
      <c r="T1280" s="197">
        <f t="shared" si="93"/>
        <v>360</v>
      </c>
      <c r="U1280" s="193" t="s">
        <v>175</v>
      </c>
      <c r="V1280" s="193" t="s">
        <v>2098</v>
      </c>
    </row>
    <row r="1281" spans="2:22" ht="15" customHeight="1" x14ac:dyDescent="0.2">
      <c r="B1281" s="193">
        <v>1</v>
      </c>
      <c r="C1281" s="347" t="s">
        <v>1965</v>
      </c>
      <c r="D1281" s="347" t="str">
        <f t="shared" si="92"/>
        <v>RBDPL001135DA</v>
      </c>
      <c r="E1281" s="193" t="s">
        <v>983</v>
      </c>
      <c r="F1281" s="193"/>
      <c r="G1281" s="193"/>
      <c r="H1281" s="193" t="s">
        <v>111</v>
      </c>
      <c r="I1281" s="193" t="s">
        <v>3</v>
      </c>
      <c r="J1281" s="193" t="str">
        <f t="shared" si="94"/>
        <v>6 Roda</v>
      </c>
      <c r="K1281" s="194">
        <v>46150</v>
      </c>
      <c r="L1281" s="195">
        <v>4010</v>
      </c>
      <c r="M1281" s="195">
        <v>13320</v>
      </c>
      <c r="N1281" s="195">
        <v>9310</v>
      </c>
      <c r="O1281" s="195"/>
      <c r="P1281" s="196">
        <v>0.59027777777777779</v>
      </c>
      <c r="Q1281" s="196">
        <v>0.61111111111111105</v>
      </c>
      <c r="R1281" s="193" t="s">
        <v>137</v>
      </c>
      <c r="S1281" s="193" t="s">
        <v>2034</v>
      </c>
      <c r="T1281" s="197">
        <f t="shared" si="93"/>
        <v>360</v>
      </c>
      <c r="U1281" s="193" t="s">
        <v>1381</v>
      </c>
      <c r="V1281" s="193" t="s">
        <v>2098</v>
      </c>
    </row>
    <row r="1282" spans="2:22" ht="15" customHeight="1" x14ac:dyDescent="0.2">
      <c r="B1282" s="193">
        <v>1</v>
      </c>
      <c r="C1282" s="347" t="s">
        <v>1966</v>
      </c>
      <c r="D1282" s="347" t="str">
        <f t="shared" si="92"/>
        <v>RBDPL001130SCM</v>
      </c>
      <c r="E1282" s="193" t="s">
        <v>962</v>
      </c>
      <c r="F1282" s="193"/>
      <c r="G1282" s="193"/>
      <c r="H1282" s="193" t="s">
        <v>107</v>
      </c>
      <c r="I1282" s="193" t="s">
        <v>3</v>
      </c>
      <c r="J1282" s="193" t="str">
        <f t="shared" si="94"/>
        <v>6 Roda</v>
      </c>
      <c r="K1282" s="194">
        <v>46150</v>
      </c>
      <c r="L1282" s="195">
        <v>4510</v>
      </c>
      <c r="M1282" s="195">
        <v>13720</v>
      </c>
      <c r="N1282" s="195">
        <v>9210</v>
      </c>
      <c r="O1282" s="195"/>
      <c r="P1282" s="196">
        <v>0.38750000000000001</v>
      </c>
      <c r="Q1282" s="196">
        <v>0.43402777777777773</v>
      </c>
      <c r="R1282" s="193" t="s">
        <v>137</v>
      </c>
      <c r="S1282" s="193" t="s">
        <v>1398</v>
      </c>
      <c r="T1282" s="197">
        <f t="shared" si="93"/>
        <v>400</v>
      </c>
      <c r="U1282" s="193" t="s">
        <v>175</v>
      </c>
      <c r="V1282" s="193" t="s">
        <v>2098</v>
      </c>
    </row>
    <row r="1283" spans="2:22" ht="15" customHeight="1" x14ac:dyDescent="0.2">
      <c r="B1283" s="193">
        <v>1</v>
      </c>
      <c r="C1283" s="347" t="s">
        <v>1967</v>
      </c>
      <c r="D1283" s="347" t="str">
        <f t="shared" si="92"/>
        <v>RBDPL001134SCM</v>
      </c>
      <c r="E1283" s="193" t="s">
        <v>835</v>
      </c>
      <c r="F1283" s="193"/>
      <c r="G1283" s="193"/>
      <c r="H1283" s="193" t="s">
        <v>107</v>
      </c>
      <c r="I1283" s="193" t="s">
        <v>3</v>
      </c>
      <c r="J1283" s="193" t="str">
        <f t="shared" si="94"/>
        <v>6 Roda</v>
      </c>
      <c r="K1283" s="194">
        <v>46150</v>
      </c>
      <c r="L1283" s="195">
        <v>3970</v>
      </c>
      <c r="M1283" s="195">
        <v>13380</v>
      </c>
      <c r="N1283" s="195">
        <v>9410</v>
      </c>
      <c r="O1283" s="195"/>
      <c r="P1283" s="196">
        <v>0.57986111111111105</v>
      </c>
      <c r="Q1283" s="196">
        <v>0.59930555555555554</v>
      </c>
      <c r="R1283" s="193" t="s">
        <v>137</v>
      </c>
      <c r="S1283" s="193" t="s">
        <v>2038</v>
      </c>
      <c r="T1283" s="197">
        <f t="shared" si="93"/>
        <v>400</v>
      </c>
      <c r="U1283" s="193" t="s">
        <v>175</v>
      </c>
      <c r="V1283" s="193" t="s">
        <v>2098</v>
      </c>
    </row>
    <row r="1284" spans="2:22" ht="15" customHeight="1" x14ac:dyDescent="0.2">
      <c r="B1284" s="193">
        <v>1</v>
      </c>
      <c r="C1284" s="347" t="s">
        <v>1968</v>
      </c>
      <c r="D1284" s="347" t="str">
        <f t="shared" si="92"/>
        <v>RBDPL001136SCM</v>
      </c>
      <c r="E1284" s="193" t="s">
        <v>181</v>
      </c>
      <c r="F1284" s="193"/>
      <c r="G1284" s="193"/>
      <c r="H1284" s="193" t="s">
        <v>107</v>
      </c>
      <c r="I1284" s="193" t="s">
        <v>3</v>
      </c>
      <c r="J1284" s="193" t="str">
        <f t="shared" si="94"/>
        <v>6 Roda</v>
      </c>
      <c r="K1284" s="194">
        <v>46150</v>
      </c>
      <c r="L1284" s="195">
        <v>3990</v>
      </c>
      <c r="M1284" s="195">
        <v>13640</v>
      </c>
      <c r="N1284" s="195">
        <v>9650</v>
      </c>
      <c r="O1284" s="195"/>
      <c r="P1284" s="196">
        <v>0.60138888888888886</v>
      </c>
      <c r="Q1284" s="196">
        <v>0.62569444444444444</v>
      </c>
      <c r="R1284" s="193" t="s">
        <v>137</v>
      </c>
      <c r="S1284" s="193" t="s">
        <v>2039</v>
      </c>
      <c r="T1284" s="197">
        <f t="shared" si="93"/>
        <v>400</v>
      </c>
      <c r="U1284" s="193" t="s">
        <v>175</v>
      </c>
      <c r="V1284" s="193" t="s">
        <v>2098</v>
      </c>
    </row>
    <row r="1285" spans="2:22" ht="15" customHeight="1" x14ac:dyDescent="0.2">
      <c r="B1285" s="193">
        <v>1</v>
      </c>
      <c r="C1285" s="347" t="s">
        <v>1969</v>
      </c>
      <c r="D1285" s="347" t="str">
        <f t="shared" si="92"/>
        <v>RBDPL001132BJL</v>
      </c>
      <c r="E1285" s="193" t="s">
        <v>1631</v>
      </c>
      <c r="F1285" s="193"/>
      <c r="G1285" s="193"/>
      <c r="H1285" s="193" t="s">
        <v>86</v>
      </c>
      <c r="I1285" s="193" t="s">
        <v>3</v>
      </c>
      <c r="J1285" s="193" t="str">
        <f t="shared" si="94"/>
        <v>6 Roda</v>
      </c>
      <c r="K1285" s="194">
        <v>46150</v>
      </c>
      <c r="L1285" s="195">
        <v>3970</v>
      </c>
      <c r="M1285" s="195">
        <v>13320</v>
      </c>
      <c r="N1285" s="195">
        <v>9350</v>
      </c>
      <c r="O1285" s="195"/>
      <c r="P1285" s="196">
        <v>0.56180555555555556</v>
      </c>
      <c r="Q1285" s="196">
        <v>0.57847222222222217</v>
      </c>
      <c r="R1285" s="193" t="s">
        <v>137</v>
      </c>
      <c r="S1285" s="193" t="s">
        <v>1633</v>
      </c>
      <c r="T1285" s="197">
        <f t="shared" si="93"/>
        <v>562</v>
      </c>
      <c r="U1285" s="193" t="s">
        <v>175</v>
      </c>
      <c r="V1285" s="193" t="s">
        <v>2099</v>
      </c>
    </row>
    <row r="1286" spans="2:22" ht="15" customHeight="1" x14ac:dyDescent="0.2">
      <c r="B1286" s="193">
        <v>1</v>
      </c>
      <c r="C1286" s="347" t="s">
        <v>1970</v>
      </c>
      <c r="D1286" s="347" t="str">
        <f t="shared" si="92"/>
        <v>RBDPL001133BJL</v>
      </c>
      <c r="E1286" s="193" t="s">
        <v>839</v>
      </c>
      <c r="F1286" s="193"/>
      <c r="G1286" s="193"/>
      <c r="H1286" s="193" t="s">
        <v>86</v>
      </c>
      <c r="I1286" s="193" t="s">
        <v>3</v>
      </c>
      <c r="J1286" s="193" t="str">
        <f t="shared" si="94"/>
        <v>6 Roda</v>
      </c>
      <c r="K1286" s="194">
        <v>46150</v>
      </c>
      <c r="L1286" s="195">
        <v>3860</v>
      </c>
      <c r="M1286" s="195">
        <v>13090</v>
      </c>
      <c r="N1286" s="195">
        <v>9230</v>
      </c>
      <c r="O1286" s="195"/>
      <c r="P1286" s="196">
        <v>0.56388888888888888</v>
      </c>
      <c r="Q1286" s="196">
        <v>0.58819444444444446</v>
      </c>
      <c r="R1286" s="193" t="s">
        <v>137</v>
      </c>
      <c r="S1286" s="193" t="s">
        <v>2040</v>
      </c>
      <c r="T1286" s="197">
        <f t="shared" si="93"/>
        <v>562</v>
      </c>
      <c r="U1286" s="193" t="s">
        <v>175</v>
      </c>
      <c r="V1286" s="193" t="s">
        <v>2099</v>
      </c>
    </row>
    <row r="1287" spans="2:22" ht="15" customHeight="1" x14ac:dyDescent="0.2">
      <c r="B1287" s="193">
        <v>1</v>
      </c>
      <c r="C1287" s="347" t="s">
        <v>1971</v>
      </c>
      <c r="D1287" s="347" t="str">
        <f t="shared" si="92"/>
        <v>RBDPL001137HSA</v>
      </c>
      <c r="E1287" s="193" t="s">
        <v>934</v>
      </c>
      <c r="F1287" s="193"/>
      <c r="G1287" s="193"/>
      <c r="H1287" s="193" t="s">
        <v>103</v>
      </c>
      <c r="I1287" s="193" t="s">
        <v>3</v>
      </c>
      <c r="J1287" s="193" t="str">
        <f t="shared" si="94"/>
        <v>6 Roda</v>
      </c>
      <c r="K1287" s="194">
        <v>46150</v>
      </c>
      <c r="L1287" s="195">
        <v>3910</v>
      </c>
      <c r="M1287" s="195">
        <v>13220</v>
      </c>
      <c r="N1287" s="195">
        <v>9310</v>
      </c>
      <c r="O1287" s="195"/>
      <c r="P1287" s="196">
        <v>0.61458333333333337</v>
      </c>
      <c r="Q1287" s="196">
        <v>0.64166666666666672</v>
      </c>
      <c r="R1287" s="193" t="s">
        <v>137</v>
      </c>
      <c r="S1287" s="193" t="s">
        <v>2033</v>
      </c>
      <c r="T1287" s="197">
        <f t="shared" si="93"/>
        <v>360</v>
      </c>
      <c r="U1287" s="193" t="s">
        <v>1381</v>
      </c>
      <c r="V1287" s="193" t="s">
        <v>2098</v>
      </c>
    </row>
    <row r="1288" spans="2:22" ht="15" customHeight="1" x14ac:dyDescent="0.2">
      <c r="B1288" s="193">
        <v>1</v>
      </c>
      <c r="C1288" s="347" t="s">
        <v>1972</v>
      </c>
      <c r="D1288" s="347" t="str">
        <f t="shared" si="92"/>
        <v>RBDPL001138HSA</v>
      </c>
      <c r="E1288" s="193" t="s">
        <v>147</v>
      </c>
      <c r="F1288" s="193"/>
      <c r="G1288" s="193"/>
      <c r="H1288" s="193" t="s">
        <v>103</v>
      </c>
      <c r="I1288" s="193" t="s">
        <v>3</v>
      </c>
      <c r="J1288" s="193" t="str">
        <f t="shared" si="94"/>
        <v>6 Roda</v>
      </c>
      <c r="K1288" s="194">
        <v>46150</v>
      </c>
      <c r="L1288" s="195">
        <v>3970</v>
      </c>
      <c r="M1288" s="195">
        <v>14080</v>
      </c>
      <c r="N1288" s="195">
        <v>10110</v>
      </c>
      <c r="O1288" s="195"/>
      <c r="P1288" s="196">
        <v>0.62777777777777777</v>
      </c>
      <c r="Q1288" s="196">
        <v>0.69236111111111109</v>
      </c>
      <c r="R1288" s="193" t="s">
        <v>137</v>
      </c>
      <c r="S1288" s="193" t="s">
        <v>1373</v>
      </c>
      <c r="T1288" s="197">
        <f t="shared" si="93"/>
        <v>360</v>
      </c>
      <c r="U1288" s="193" t="s">
        <v>1381</v>
      </c>
      <c r="V1288" s="193" t="s">
        <v>2098</v>
      </c>
    </row>
    <row r="1289" spans="2:22" ht="15" customHeight="1" x14ac:dyDescent="0.2">
      <c r="B1289" s="193">
        <v>1</v>
      </c>
      <c r="C1289" s="347" t="s">
        <v>1973</v>
      </c>
      <c r="D1289" s="347" t="str">
        <f t="shared" si="92"/>
        <v>RBDPL001139HSA</v>
      </c>
      <c r="E1289" s="193" t="s">
        <v>1021</v>
      </c>
      <c r="F1289" s="193"/>
      <c r="G1289" s="193"/>
      <c r="H1289" s="193" t="s">
        <v>103</v>
      </c>
      <c r="I1289" s="193" t="s">
        <v>3</v>
      </c>
      <c r="J1289" s="193" t="str">
        <f t="shared" si="94"/>
        <v>6 Roda</v>
      </c>
      <c r="K1289" s="194">
        <v>46150</v>
      </c>
      <c r="L1289" s="195">
        <v>4000</v>
      </c>
      <c r="M1289" s="195">
        <v>13490</v>
      </c>
      <c r="N1289" s="195">
        <v>9490</v>
      </c>
      <c r="O1289" s="195"/>
      <c r="P1289" s="196">
        <v>0.64513888888888882</v>
      </c>
      <c r="Q1289" s="196">
        <v>0.6972222222222223</v>
      </c>
      <c r="R1289" s="193" t="s">
        <v>137</v>
      </c>
      <c r="S1289" s="193" t="s">
        <v>1384</v>
      </c>
      <c r="T1289" s="197">
        <f t="shared" si="93"/>
        <v>360</v>
      </c>
      <c r="U1289" s="193" t="s">
        <v>1381</v>
      </c>
      <c r="V1289" s="193" t="s">
        <v>2098</v>
      </c>
    </row>
    <row r="1290" spans="2:22" ht="15" customHeight="1" x14ac:dyDescent="0.2">
      <c r="B1290" s="193">
        <v>1</v>
      </c>
      <c r="C1290" s="347" t="s">
        <v>1974</v>
      </c>
      <c r="D1290" s="347" t="str">
        <f t="shared" si="92"/>
        <v>RBDPL001140HSA</v>
      </c>
      <c r="E1290" s="193" t="s">
        <v>936</v>
      </c>
      <c r="F1290" s="193"/>
      <c r="G1290" s="193"/>
      <c r="H1290" s="193" t="s">
        <v>103</v>
      </c>
      <c r="I1290" s="193" t="s">
        <v>3</v>
      </c>
      <c r="J1290" s="193" t="str">
        <f t="shared" si="94"/>
        <v>6 Roda</v>
      </c>
      <c r="K1290" s="194">
        <v>46150</v>
      </c>
      <c r="L1290" s="195">
        <v>4200</v>
      </c>
      <c r="M1290" s="195">
        <v>14350</v>
      </c>
      <c r="N1290" s="195">
        <v>10150</v>
      </c>
      <c r="O1290" s="195"/>
      <c r="P1290" s="196">
        <v>0.69513888888888886</v>
      </c>
      <c r="Q1290" s="196">
        <v>0.71458333333333324</v>
      </c>
      <c r="R1290" s="193" t="s">
        <v>137</v>
      </c>
      <c r="S1290" s="193" t="s">
        <v>1385</v>
      </c>
      <c r="T1290" s="197">
        <f t="shared" si="93"/>
        <v>360</v>
      </c>
      <c r="U1290" s="193" t="s">
        <v>1381</v>
      </c>
      <c r="V1290" s="193" t="s">
        <v>2098</v>
      </c>
    </row>
    <row r="1291" spans="2:22" ht="15" customHeight="1" x14ac:dyDescent="0.2">
      <c r="B1291" s="193">
        <v>1</v>
      </c>
      <c r="C1291" s="347" t="s">
        <v>1975</v>
      </c>
      <c r="D1291" s="347" t="str">
        <f t="shared" si="92"/>
        <v>RBDPL001141PUP</v>
      </c>
      <c r="E1291" s="193" t="s">
        <v>76</v>
      </c>
      <c r="F1291" s="193"/>
      <c r="G1291" s="193"/>
      <c r="H1291" s="193" t="s">
        <v>1590</v>
      </c>
      <c r="I1291" s="193" t="s">
        <v>3</v>
      </c>
      <c r="J1291" s="193" t="str">
        <f t="shared" si="94"/>
        <v>12 Roda</v>
      </c>
      <c r="K1291" s="194">
        <v>46150</v>
      </c>
      <c r="L1291" s="195">
        <v>17690</v>
      </c>
      <c r="M1291" s="195">
        <v>46560</v>
      </c>
      <c r="N1291" s="195">
        <v>28870</v>
      </c>
      <c r="O1291" s="195"/>
      <c r="P1291" s="196">
        <v>0.76666666666666661</v>
      </c>
      <c r="Q1291" s="196">
        <v>0.85138888888888886</v>
      </c>
      <c r="R1291" s="193" t="s">
        <v>137</v>
      </c>
      <c r="S1291" s="193" t="s">
        <v>1372</v>
      </c>
      <c r="T1291" s="197">
        <f t="shared" si="93"/>
        <v>642</v>
      </c>
      <c r="U1291" s="193" t="s">
        <v>69</v>
      </c>
      <c r="V1291" s="193" t="s">
        <v>2102</v>
      </c>
    </row>
    <row r="1292" spans="2:22" ht="15" customHeight="1" x14ac:dyDescent="0.2">
      <c r="B1292" s="193">
        <v>1</v>
      </c>
      <c r="C1292" s="347" t="s">
        <v>1976</v>
      </c>
      <c r="D1292" s="347" t="str">
        <f t="shared" si="92"/>
        <v>RBDPL001142SCM</v>
      </c>
      <c r="E1292" s="193" t="s">
        <v>962</v>
      </c>
      <c r="F1292" s="193"/>
      <c r="G1292" s="193"/>
      <c r="H1292" s="193" t="s">
        <v>107</v>
      </c>
      <c r="I1292" s="193" t="s">
        <v>3</v>
      </c>
      <c r="J1292" s="193" t="str">
        <f t="shared" si="94"/>
        <v>6 Roda</v>
      </c>
      <c r="K1292" s="194">
        <v>46151</v>
      </c>
      <c r="L1292" s="195">
        <v>4500</v>
      </c>
      <c r="M1292" s="195">
        <v>13690</v>
      </c>
      <c r="N1292" s="195">
        <v>9190</v>
      </c>
      <c r="O1292" s="195"/>
      <c r="P1292" s="196">
        <v>0.39027777777777778</v>
      </c>
      <c r="Q1292" s="196">
        <v>0.4368055555555555</v>
      </c>
      <c r="R1292" s="193" t="s">
        <v>137</v>
      </c>
      <c r="S1292" s="193" t="s">
        <v>1398</v>
      </c>
      <c r="T1292" s="197">
        <f t="shared" si="93"/>
        <v>400</v>
      </c>
      <c r="U1292" s="193" t="s">
        <v>175</v>
      </c>
      <c r="V1292" s="193" t="s">
        <v>2098</v>
      </c>
    </row>
    <row r="1293" spans="2:22" ht="15" customHeight="1" x14ac:dyDescent="0.2">
      <c r="B1293" s="193">
        <v>1</v>
      </c>
      <c r="C1293" s="347" t="s">
        <v>1977</v>
      </c>
      <c r="D1293" s="347" t="str">
        <f t="shared" si="92"/>
        <v>RBDPL001143SCM</v>
      </c>
      <c r="E1293" s="193" t="s">
        <v>1092</v>
      </c>
      <c r="F1293" s="193"/>
      <c r="G1293" s="193"/>
      <c r="H1293" s="193" t="s">
        <v>107</v>
      </c>
      <c r="I1293" s="193" t="s">
        <v>3</v>
      </c>
      <c r="J1293" s="193" t="str">
        <f t="shared" si="94"/>
        <v>6 Roda</v>
      </c>
      <c r="K1293" s="194">
        <v>46151</v>
      </c>
      <c r="L1293" s="195">
        <v>4080</v>
      </c>
      <c r="M1293" s="195">
        <v>13140</v>
      </c>
      <c r="N1293" s="195">
        <v>9060</v>
      </c>
      <c r="O1293" s="195"/>
      <c r="P1293" s="196">
        <v>0.40277777777777773</v>
      </c>
      <c r="Q1293" s="196">
        <v>0.44166666666666665</v>
      </c>
      <c r="R1293" s="193" t="s">
        <v>137</v>
      </c>
      <c r="S1293" s="193" t="s">
        <v>1737</v>
      </c>
      <c r="T1293" s="197">
        <f t="shared" si="93"/>
        <v>400</v>
      </c>
      <c r="U1293" s="193" t="s">
        <v>175</v>
      </c>
      <c r="V1293" s="193" t="s">
        <v>2098</v>
      </c>
    </row>
    <row r="1294" spans="2:22" ht="15" customHeight="1" x14ac:dyDescent="0.2">
      <c r="B1294" s="193">
        <v>1</v>
      </c>
      <c r="C1294" s="347" t="s">
        <v>1978</v>
      </c>
      <c r="D1294" s="347" t="str">
        <f t="shared" si="92"/>
        <v>RBDPL001147SCM</v>
      </c>
      <c r="E1294" s="193" t="s">
        <v>473</v>
      </c>
      <c r="F1294" s="193"/>
      <c r="G1294" s="193"/>
      <c r="H1294" s="193" t="s">
        <v>107</v>
      </c>
      <c r="I1294" s="193" t="s">
        <v>3</v>
      </c>
      <c r="J1294" s="193" t="str">
        <f t="shared" si="94"/>
        <v>6 Roda</v>
      </c>
      <c r="K1294" s="194">
        <v>46151</v>
      </c>
      <c r="L1294" s="195">
        <v>4390</v>
      </c>
      <c r="M1294" s="195">
        <v>14540</v>
      </c>
      <c r="N1294" s="195">
        <v>10150</v>
      </c>
      <c r="O1294" s="195"/>
      <c r="P1294" s="196">
        <v>0.6479166666666667</v>
      </c>
      <c r="Q1294" s="196">
        <v>0.67708333333333337</v>
      </c>
      <c r="R1294" s="193" t="s">
        <v>137</v>
      </c>
      <c r="S1294" s="193" t="s">
        <v>1474</v>
      </c>
      <c r="T1294" s="197">
        <f t="shared" si="93"/>
        <v>400</v>
      </c>
      <c r="U1294" s="193" t="s">
        <v>175</v>
      </c>
      <c r="V1294" s="193" t="s">
        <v>2098</v>
      </c>
    </row>
    <row r="1295" spans="2:22" ht="15" customHeight="1" x14ac:dyDescent="0.2">
      <c r="B1295" s="193">
        <v>1</v>
      </c>
      <c r="C1295" s="347" t="s">
        <v>1979</v>
      </c>
      <c r="D1295" s="347" t="str">
        <f t="shared" si="92"/>
        <v>RBDPL001148SCM</v>
      </c>
      <c r="E1295" s="193" t="s">
        <v>84</v>
      </c>
      <c r="F1295" s="193"/>
      <c r="G1295" s="193"/>
      <c r="H1295" s="193" t="s">
        <v>107</v>
      </c>
      <c r="I1295" s="193" t="s">
        <v>3</v>
      </c>
      <c r="J1295" s="193" t="str">
        <f t="shared" si="94"/>
        <v>10 Roda</v>
      </c>
      <c r="K1295" s="194">
        <v>46151</v>
      </c>
      <c r="L1295" s="195">
        <v>12160</v>
      </c>
      <c r="M1295" s="195">
        <v>26970</v>
      </c>
      <c r="N1295" s="195">
        <v>14810</v>
      </c>
      <c r="O1295" s="195"/>
      <c r="P1295" s="196">
        <v>0.70624999999999993</v>
      </c>
      <c r="Q1295" s="196">
        <v>0.73333333333333339</v>
      </c>
      <c r="R1295" s="193" t="s">
        <v>137</v>
      </c>
      <c r="S1295" s="193" t="s">
        <v>1397</v>
      </c>
      <c r="T1295" s="197">
        <f t="shared" si="93"/>
        <v>400</v>
      </c>
      <c r="U1295" s="193" t="s">
        <v>69</v>
      </c>
      <c r="V1295" s="193" t="s">
        <v>2098</v>
      </c>
    </row>
    <row r="1296" spans="2:22" ht="15" customHeight="1" x14ac:dyDescent="0.2">
      <c r="B1296" s="193">
        <v>1</v>
      </c>
      <c r="C1296" s="347" t="s">
        <v>1980</v>
      </c>
      <c r="D1296" s="347" t="str">
        <f t="shared" si="92"/>
        <v>RBDPL001144BJL</v>
      </c>
      <c r="E1296" s="193" t="s">
        <v>174</v>
      </c>
      <c r="F1296" s="193"/>
      <c r="G1296" s="193"/>
      <c r="H1296" s="193" t="s">
        <v>86</v>
      </c>
      <c r="I1296" s="193" t="s">
        <v>3</v>
      </c>
      <c r="J1296" s="193" t="str">
        <f t="shared" si="94"/>
        <v>6 Roda</v>
      </c>
      <c r="K1296" s="194">
        <v>46151</v>
      </c>
      <c r="L1296" s="195">
        <v>4340</v>
      </c>
      <c r="M1296" s="195">
        <v>13530</v>
      </c>
      <c r="N1296" s="195">
        <v>9190</v>
      </c>
      <c r="O1296" s="195"/>
      <c r="P1296" s="196">
        <v>0.44513888888888892</v>
      </c>
      <c r="Q1296" s="196">
        <v>0.46458333333333335</v>
      </c>
      <c r="R1296" s="193" t="s">
        <v>137</v>
      </c>
      <c r="S1296" s="193" t="s">
        <v>2029</v>
      </c>
      <c r="T1296" s="197">
        <f t="shared" si="93"/>
        <v>562</v>
      </c>
      <c r="U1296" s="193" t="s">
        <v>175</v>
      </c>
      <c r="V1296" s="193" t="s">
        <v>2099</v>
      </c>
    </row>
    <row r="1297" spans="2:22" ht="15" customHeight="1" x14ac:dyDescent="0.2">
      <c r="B1297" s="193">
        <v>1</v>
      </c>
      <c r="C1297" s="347" t="s">
        <v>1981</v>
      </c>
      <c r="D1297" s="347" t="str">
        <f t="shared" si="92"/>
        <v>RBDPL001145BJL</v>
      </c>
      <c r="E1297" s="193" t="s">
        <v>2025</v>
      </c>
      <c r="F1297" s="193"/>
      <c r="G1297" s="193"/>
      <c r="H1297" s="193" t="s">
        <v>86</v>
      </c>
      <c r="I1297" s="193" t="s">
        <v>3</v>
      </c>
      <c r="J1297" s="193" t="str">
        <f t="shared" si="94"/>
        <v>6 Roda</v>
      </c>
      <c r="K1297" s="194">
        <v>46151</v>
      </c>
      <c r="L1297" s="195">
        <v>4000</v>
      </c>
      <c r="M1297" s="195">
        <v>13720</v>
      </c>
      <c r="N1297" s="195">
        <v>9720</v>
      </c>
      <c r="O1297" s="195"/>
      <c r="P1297" s="196">
        <v>0.56111111111111112</v>
      </c>
      <c r="Q1297" s="196">
        <v>0.60069444444444442</v>
      </c>
      <c r="R1297" s="193" t="s">
        <v>137</v>
      </c>
      <c r="S1297" s="193" t="s">
        <v>1520</v>
      </c>
      <c r="T1297" s="197">
        <f t="shared" si="93"/>
        <v>562</v>
      </c>
      <c r="U1297" s="193" t="s">
        <v>175</v>
      </c>
      <c r="V1297" s="193" t="s">
        <v>2099</v>
      </c>
    </row>
    <row r="1298" spans="2:22" ht="15" customHeight="1" x14ac:dyDescent="0.2">
      <c r="B1298" s="193">
        <v>1</v>
      </c>
      <c r="C1298" s="347" t="s">
        <v>1982</v>
      </c>
      <c r="D1298" s="347" t="str">
        <f t="shared" si="92"/>
        <v>RBDPL001146DA</v>
      </c>
      <c r="E1298" s="193" t="s">
        <v>1064</v>
      </c>
      <c r="F1298" s="193"/>
      <c r="G1298" s="193"/>
      <c r="H1298" s="193" t="s">
        <v>111</v>
      </c>
      <c r="I1298" s="193" t="s">
        <v>3</v>
      </c>
      <c r="J1298" s="193" t="str">
        <f t="shared" si="94"/>
        <v>6 Roda</v>
      </c>
      <c r="K1298" s="194">
        <v>46151</v>
      </c>
      <c r="L1298" s="195">
        <v>4010</v>
      </c>
      <c r="M1298" s="195">
        <v>13570</v>
      </c>
      <c r="N1298" s="195">
        <v>9560</v>
      </c>
      <c r="O1298" s="195"/>
      <c r="P1298" s="196">
        <v>0.64513888888888882</v>
      </c>
      <c r="Q1298" s="196">
        <v>0.66527777777777775</v>
      </c>
      <c r="R1298" s="193" t="s">
        <v>137</v>
      </c>
      <c r="S1298" s="193" t="s">
        <v>1383</v>
      </c>
      <c r="T1298" s="197">
        <f t="shared" si="93"/>
        <v>360</v>
      </c>
      <c r="U1298" s="193" t="s">
        <v>1381</v>
      </c>
      <c r="V1298" s="193" t="s">
        <v>2098</v>
      </c>
    </row>
    <row r="1299" spans="2:22" ht="15" customHeight="1" x14ac:dyDescent="0.2">
      <c r="B1299" s="193">
        <v>1</v>
      </c>
      <c r="C1299" s="347" t="s">
        <v>1983</v>
      </c>
      <c r="D1299" s="347" t="str">
        <f t="shared" ref="D1299:D1362" si="95">I1299&amp;C1299&amp;_xlfn.XLOOKUP(H1299,$AM$4:$AM$24,$AN$4:$AN$24,"")</f>
        <v>RBDPL001149DA</v>
      </c>
      <c r="E1299" s="193" t="s">
        <v>1572</v>
      </c>
      <c r="F1299" s="193"/>
      <c r="G1299" s="193"/>
      <c r="H1299" s="193" t="s">
        <v>111</v>
      </c>
      <c r="I1299" s="193" t="s">
        <v>3</v>
      </c>
      <c r="J1299" s="193" t="str">
        <f t="shared" si="94"/>
        <v>12 Roda</v>
      </c>
      <c r="K1299" s="194">
        <v>46153</v>
      </c>
      <c r="L1299" s="195">
        <v>18970</v>
      </c>
      <c r="M1299" s="195">
        <v>42670</v>
      </c>
      <c r="N1299" s="195">
        <v>23700</v>
      </c>
      <c r="O1299" s="195"/>
      <c r="P1299" s="196">
        <v>0.3743055555555555</v>
      </c>
      <c r="Q1299" s="196">
        <v>0.44305555555555554</v>
      </c>
      <c r="R1299" s="193" t="s">
        <v>137</v>
      </c>
      <c r="S1299" s="193" t="s">
        <v>2041</v>
      </c>
      <c r="T1299" s="197">
        <f t="shared" si="93"/>
        <v>360</v>
      </c>
      <c r="U1299" s="193" t="s">
        <v>175</v>
      </c>
      <c r="V1299" s="193" t="s">
        <v>2098</v>
      </c>
    </row>
    <row r="1300" spans="2:22" ht="15" customHeight="1" x14ac:dyDescent="0.2">
      <c r="B1300" s="193">
        <v>1</v>
      </c>
      <c r="C1300" s="347" t="s">
        <v>1984</v>
      </c>
      <c r="D1300" s="347" t="str">
        <f t="shared" si="95"/>
        <v>RBDPL001152DA</v>
      </c>
      <c r="E1300" s="193" t="s">
        <v>958</v>
      </c>
      <c r="F1300" s="193"/>
      <c r="G1300" s="193"/>
      <c r="H1300" s="193" t="s">
        <v>111</v>
      </c>
      <c r="I1300" s="193" t="s">
        <v>3</v>
      </c>
      <c r="J1300" s="193" t="str">
        <f t="shared" si="94"/>
        <v>6 Roda</v>
      </c>
      <c r="K1300" s="194">
        <v>46153</v>
      </c>
      <c r="L1300" s="195">
        <v>4190</v>
      </c>
      <c r="M1300" s="195">
        <v>13640</v>
      </c>
      <c r="N1300" s="195">
        <v>9450</v>
      </c>
      <c r="O1300" s="195"/>
      <c r="P1300" s="196">
        <v>0.45208333333333334</v>
      </c>
      <c r="Q1300" s="196">
        <v>0.51388888888888895</v>
      </c>
      <c r="R1300" s="193" t="s">
        <v>137</v>
      </c>
      <c r="S1300" s="193" t="s">
        <v>1388</v>
      </c>
      <c r="T1300" s="197">
        <f t="shared" si="93"/>
        <v>360</v>
      </c>
      <c r="U1300" s="193" t="s">
        <v>175</v>
      </c>
      <c r="V1300" s="193" t="s">
        <v>2098</v>
      </c>
    </row>
    <row r="1301" spans="2:22" ht="15" customHeight="1" x14ac:dyDescent="0.2">
      <c r="B1301" s="193">
        <v>1</v>
      </c>
      <c r="C1301" s="347" t="s">
        <v>1985</v>
      </c>
      <c r="D1301" s="347" t="str">
        <f t="shared" si="95"/>
        <v>RBDPL001155DA</v>
      </c>
      <c r="E1301" s="193" t="s">
        <v>1032</v>
      </c>
      <c r="F1301" s="193"/>
      <c r="G1301" s="193"/>
      <c r="H1301" s="193" t="s">
        <v>111</v>
      </c>
      <c r="I1301" s="193" t="s">
        <v>3</v>
      </c>
      <c r="J1301" s="193" t="str">
        <f t="shared" si="94"/>
        <v>6 Roda</v>
      </c>
      <c r="K1301" s="194">
        <v>46153</v>
      </c>
      <c r="L1301" s="195">
        <v>4260</v>
      </c>
      <c r="M1301" s="195">
        <v>14330</v>
      </c>
      <c r="N1301" s="195">
        <v>10070</v>
      </c>
      <c r="O1301" s="195"/>
      <c r="P1301" s="196">
        <v>0.5131944444444444</v>
      </c>
      <c r="Q1301" s="196">
        <v>0.59791666666666665</v>
      </c>
      <c r="R1301" s="193" t="s">
        <v>137</v>
      </c>
      <c r="S1301" s="193" t="s">
        <v>1385</v>
      </c>
      <c r="T1301" s="197">
        <f t="shared" si="93"/>
        <v>360</v>
      </c>
      <c r="U1301" s="193" t="s">
        <v>1381</v>
      </c>
      <c r="V1301" s="193" t="s">
        <v>2100</v>
      </c>
    </row>
    <row r="1302" spans="2:22" ht="15" customHeight="1" x14ac:dyDescent="0.2">
      <c r="B1302" s="193">
        <v>1</v>
      </c>
      <c r="C1302" s="347" t="s">
        <v>1986</v>
      </c>
      <c r="D1302" s="347" t="str">
        <f t="shared" si="95"/>
        <v>RBDPL001172DA</v>
      </c>
      <c r="E1302" s="193" t="s">
        <v>936</v>
      </c>
      <c r="F1302" s="193"/>
      <c r="G1302" s="193"/>
      <c r="H1302" s="193" t="s">
        <v>111</v>
      </c>
      <c r="I1302" s="193" t="s">
        <v>3</v>
      </c>
      <c r="J1302" s="193" t="str">
        <f t="shared" si="94"/>
        <v>6 Roda</v>
      </c>
      <c r="K1302" s="194">
        <v>46153</v>
      </c>
      <c r="L1302" s="195">
        <v>4250</v>
      </c>
      <c r="M1302" s="195">
        <v>14410</v>
      </c>
      <c r="N1302" s="195">
        <v>10160</v>
      </c>
      <c r="O1302" s="195"/>
      <c r="P1302" s="196">
        <v>0.77638888888888891</v>
      </c>
      <c r="Q1302" s="196">
        <v>0.79791666666666661</v>
      </c>
      <c r="R1302" s="193" t="s">
        <v>42</v>
      </c>
      <c r="S1302" s="193" t="s">
        <v>1385</v>
      </c>
      <c r="T1302" s="197">
        <f t="shared" si="93"/>
        <v>360</v>
      </c>
      <c r="U1302" s="193" t="s">
        <v>1381</v>
      </c>
      <c r="V1302" s="193" t="s">
        <v>2098</v>
      </c>
    </row>
    <row r="1303" spans="2:22" ht="15" customHeight="1" x14ac:dyDescent="0.2">
      <c r="B1303" s="193">
        <v>1</v>
      </c>
      <c r="C1303" s="347" t="s">
        <v>1987</v>
      </c>
      <c r="D1303" s="347" t="str">
        <f t="shared" si="95"/>
        <v>RBDPL001166DA</v>
      </c>
      <c r="E1303" s="193" t="s">
        <v>1272</v>
      </c>
      <c r="F1303" s="193"/>
      <c r="G1303" s="193"/>
      <c r="H1303" s="193" t="s">
        <v>111</v>
      </c>
      <c r="I1303" s="193" t="s">
        <v>3</v>
      </c>
      <c r="J1303" s="193" t="str">
        <f t="shared" si="94"/>
        <v>10 Roda</v>
      </c>
      <c r="K1303" s="194">
        <v>46153</v>
      </c>
      <c r="L1303" s="195">
        <v>8110</v>
      </c>
      <c r="M1303" s="195">
        <v>28940</v>
      </c>
      <c r="N1303" s="195">
        <v>20830</v>
      </c>
      <c r="O1303" s="195"/>
      <c r="P1303" s="196">
        <v>0.70138888888888884</v>
      </c>
      <c r="Q1303" s="196">
        <v>0.74375000000000002</v>
      </c>
      <c r="R1303" s="193" t="s">
        <v>42</v>
      </c>
      <c r="S1303" s="193" t="s">
        <v>2042</v>
      </c>
      <c r="T1303" s="197">
        <f t="shared" si="93"/>
        <v>360</v>
      </c>
      <c r="U1303" s="193" t="s">
        <v>175</v>
      </c>
      <c r="V1303" s="193" t="s">
        <v>2098</v>
      </c>
    </row>
    <row r="1304" spans="2:22" ht="15" customHeight="1" x14ac:dyDescent="0.2">
      <c r="B1304" s="193">
        <v>1</v>
      </c>
      <c r="C1304" s="347" t="s">
        <v>1988</v>
      </c>
      <c r="D1304" s="347" t="str">
        <f t="shared" si="95"/>
        <v>RBDPL001150SCM</v>
      </c>
      <c r="E1304" s="193" t="s">
        <v>1092</v>
      </c>
      <c r="F1304" s="193"/>
      <c r="G1304" s="193"/>
      <c r="H1304" s="193" t="s">
        <v>107</v>
      </c>
      <c r="I1304" s="193" t="s">
        <v>3</v>
      </c>
      <c r="J1304" s="193" t="str">
        <f t="shared" si="94"/>
        <v>6 Roda</v>
      </c>
      <c r="K1304" s="194">
        <v>46153</v>
      </c>
      <c r="L1304" s="195">
        <v>4080</v>
      </c>
      <c r="M1304" s="195">
        <v>13100</v>
      </c>
      <c r="N1304" s="195">
        <v>9020</v>
      </c>
      <c r="O1304" s="195"/>
      <c r="P1304" s="196">
        <v>0.44722222222222219</v>
      </c>
      <c r="Q1304" s="196">
        <v>0.49722222222222223</v>
      </c>
      <c r="R1304" s="193" t="s">
        <v>137</v>
      </c>
      <c r="S1304" s="193" t="s">
        <v>1737</v>
      </c>
      <c r="T1304" s="197">
        <f t="shared" si="93"/>
        <v>400</v>
      </c>
      <c r="U1304" s="193" t="s">
        <v>175</v>
      </c>
      <c r="V1304" s="193" t="s">
        <v>2098</v>
      </c>
    </row>
    <row r="1305" spans="2:22" ht="15" customHeight="1" x14ac:dyDescent="0.2">
      <c r="B1305" s="193">
        <v>1</v>
      </c>
      <c r="C1305" s="347" t="s">
        <v>1989</v>
      </c>
      <c r="D1305" s="347" t="str">
        <f t="shared" si="95"/>
        <v>RBDPL001151SCM</v>
      </c>
      <c r="E1305" s="193" t="s">
        <v>1498</v>
      </c>
      <c r="F1305" s="193"/>
      <c r="G1305" s="193"/>
      <c r="H1305" s="193" t="s">
        <v>107</v>
      </c>
      <c r="I1305" s="193" t="s">
        <v>3</v>
      </c>
      <c r="J1305" s="193" t="str">
        <f t="shared" si="94"/>
        <v>6 Roda</v>
      </c>
      <c r="K1305" s="194">
        <v>46153</v>
      </c>
      <c r="L1305" s="195">
        <v>4080</v>
      </c>
      <c r="M1305" s="195">
        <v>13120</v>
      </c>
      <c r="N1305" s="195">
        <v>9040</v>
      </c>
      <c r="O1305" s="195"/>
      <c r="P1305" s="196">
        <v>0.44861111111111113</v>
      </c>
      <c r="Q1305" s="196">
        <v>0.50347222222222221</v>
      </c>
      <c r="R1305" s="193" t="s">
        <v>137</v>
      </c>
      <c r="S1305" s="193" t="s">
        <v>1466</v>
      </c>
      <c r="T1305" s="197">
        <f t="shared" si="93"/>
        <v>400</v>
      </c>
      <c r="U1305" s="193" t="s">
        <v>175</v>
      </c>
      <c r="V1305" s="193" t="s">
        <v>2098</v>
      </c>
    </row>
    <row r="1306" spans="2:22" ht="15" customHeight="1" x14ac:dyDescent="0.2">
      <c r="B1306" s="193">
        <v>1</v>
      </c>
      <c r="C1306" s="347" t="s">
        <v>1990</v>
      </c>
      <c r="D1306" s="347" t="str">
        <f t="shared" si="95"/>
        <v>RBDPL001156SCM</v>
      </c>
      <c r="E1306" s="193" t="s">
        <v>962</v>
      </c>
      <c r="F1306" s="193"/>
      <c r="G1306" s="193"/>
      <c r="H1306" s="193" t="s">
        <v>107</v>
      </c>
      <c r="I1306" s="193" t="s">
        <v>3</v>
      </c>
      <c r="J1306" s="193" t="str">
        <f t="shared" si="94"/>
        <v>6 Roda</v>
      </c>
      <c r="K1306" s="194">
        <v>46153</v>
      </c>
      <c r="L1306" s="195">
        <v>4500</v>
      </c>
      <c r="M1306" s="195">
        <v>13670</v>
      </c>
      <c r="N1306" s="195">
        <v>9170</v>
      </c>
      <c r="O1306" s="195"/>
      <c r="P1306" s="196">
        <v>0.59513888888888888</v>
      </c>
      <c r="Q1306" s="196">
        <v>0.61458333333333337</v>
      </c>
      <c r="R1306" s="193" t="s">
        <v>137</v>
      </c>
      <c r="S1306" s="193" t="s">
        <v>2043</v>
      </c>
      <c r="T1306" s="197">
        <f t="shared" si="93"/>
        <v>400</v>
      </c>
      <c r="U1306" s="193" t="s">
        <v>175</v>
      </c>
      <c r="V1306" s="193" t="s">
        <v>2098</v>
      </c>
    </row>
    <row r="1307" spans="2:22" ht="15" customHeight="1" x14ac:dyDescent="0.2">
      <c r="B1307" s="193">
        <v>1</v>
      </c>
      <c r="C1307" s="347" t="s">
        <v>1991</v>
      </c>
      <c r="D1307" s="347" t="str">
        <f t="shared" si="95"/>
        <v>RBDPL001157SCM</v>
      </c>
      <c r="E1307" s="193" t="s">
        <v>158</v>
      </c>
      <c r="F1307" s="193"/>
      <c r="G1307" s="193"/>
      <c r="H1307" s="193" t="s">
        <v>107</v>
      </c>
      <c r="I1307" s="193" t="s">
        <v>3</v>
      </c>
      <c r="J1307" s="193" t="str">
        <f t="shared" si="94"/>
        <v>6 Roda</v>
      </c>
      <c r="K1307" s="194">
        <v>46153</v>
      </c>
      <c r="L1307" s="195">
        <v>3880</v>
      </c>
      <c r="M1307" s="195">
        <v>13980</v>
      </c>
      <c r="N1307" s="195">
        <v>10100</v>
      </c>
      <c r="O1307" s="195"/>
      <c r="P1307" s="196">
        <v>0.59652777777777777</v>
      </c>
      <c r="Q1307" s="196">
        <v>0.62569444444444444</v>
      </c>
      <c r="R1307" s="193" t="s">
        <v>137</v>
      </c>
      <c r="S1307" s="193" t="s">
        <v>1395</v>
      </c>
      <c r="T1307" s="197">
        <f t="shared" si="93"/>
        <v>400</v>
      </c>
      <c r="U1307" s="193" t="s">
        <v>175</v>
      </c>
      <c r="V1307" s="193" t="s">
        <v>2098</v>
      </c>
    </row>
    <row r="1308" spans="2:22" ht="15" customHeight="1" x14ac:dyDescent="0.2">
      <c r="B1308" s="193">
        <v>1</v>
      </c>
      <c r="C1308" s="347" t="s">
        <v>1992</v>
      </c>
      <c r="D1308" s="347" t="str">
        <f t="shared" si="95"/>
        <v>RBDPL001158SCM</v>
      </c>
      <c r="E1308" s="193" t="s">
        <v>153</v>
      </c>
      <c r="F1308" s="193"/>
      <c r="G1308" s="193"/>
      <c r="H1308" s="193" t="s">
        <v>107</v>
      </c>
      <c r="I1308" s="193" t="s">
        <v>3</v>
      </c>
      <c r="J1308" s="193" t="str">
        <f t="shared" si="94"/>
        <v>6 Roda</v>
      </c>
      <c r="K1308" s="194">
        <v>46153</v>
      </c>
      <c r="L1308" s="195">
        <v>3970</v>
      </c>
      <c r="M1308" s="195">
        <v>13640</v>
      </c>
      <c r="N1308" s="195">
        <v>9670</v>
      </c>
      <c r="O1308" s="195"/>
      <c r="P1308" s="196">
        <v>0.6166666666666667</v>
      </c>
      <c r="Q1308" s="196">
        <v>0.63958333333333328</v>
      </c>
      <c r="R1308" s="193" t="s">
        <v>137</v>
      </c>
      <c r="S1308" s="193" t="s">
        <v>1379</v>
      </c>
      <c r="T1308" s="197">
        <f t="shared" si="93"/>
        <v>400</v>
      </c>
      <c r="U1308" s="193" t="s">
        <v>175</v>
      </c>
      <c r="V1308" s="193" t="s">
        <v>2098</v>
      </c>
    </row>
    <row r="1309" spans="2:22" ht="15" customHeight="1" x14ac:dyDescent="0.2">
      <c r="B1309" s="193">
        <v>1</v>
      </c>
      <c r="C1309" s="347" t="s">
        <v>1993</v>
      </c>
      <c r="D1309" s="347" t="str">
        <f t="shared" si="95"/>
        <v>RBDPL001160SCM</v>
      </c>
      <c r="E1309" s="193" t="s">
        <v>2023</v>
      </c>
      <c r="F1309" s="193"/>
      <c r="G1309" s="193"/>
      <c r="H1309" s="193" t="s">
        <v>107</v>
      </c>
      <c r="I1309" s="193" t="s">
        <v>3</v>
      </c>
      <c r="J1309" s="193" t="str">
        <f t="shared" si="94"/>
        <v>6 Roda</v>
      </c>
      <c r="K1309" s="194">
        <v>46153</v>
      </c>
      <c r="L1309" s="195">
        <v>4060</v>
      </c>
      <c r="M1309" s="195">
        <v>13120</v>
      </c>
      <c r="N1309" s="195">
        <v>9060</v>
      </c>
      <c r="O1309" s="195"/>
      <c r="P1309" s="196">
        <v>0.62847222222222221</v>
      </c>
      <c r="Q1309" s="196">
        <v>0.65486111111111112</v>
      </c>
      <c r="R1309" s="193" t="s">
        <v>137</v>
      </c>
      <c r="S1309" s="193" t="s">
        <v>2044</v>
      </c>
      <c r="T1309" s="197">
        <f t="shared" si="93"/>
        <v>400</v>
      </c>
      <c r="U1309" s="193" t="s">
        <v>175</v>
      </c>
      <c r="V1309" s="193" t="s">
        <v>2098</v>
      </c>
    </row>
    <row r="1310" spans="2:22" ht="15" customHeight="1" x14ac:dyDescent="0.2">
      <c r="B1310" s="193">
        <v>1</v>
      </c>
      <c r="C1310" s="347" t="s">
        <v>1994</v>
      </c>
      <c r="D1310" s="347" t="str">
        <f t="shared" si="95"/>
        <v>RBDPL001163SCM</v>
      </c>
      <c r="E1310" s="193" t="s">
        <v>1062</v>
      </c>
      <c r="F1310" s="193"/>
      <c r="G1310" s="193"/>
      <c r="H1310" s="193" t="s">
        <v>107</v>
      </c>
      <c r="I1310" s="193" t="s">
        <v>3</v>
      </c>
      <c r="J1310" s="193" t="str">
        <f t="shared" si="94"/>
        <v>6 Roda</v>
      </c>
      <c r="K1310" s="194">
        <v>46153</v>
      </c>
      <c r="L1310" s="195">
        <v>4020</v>
      </c>
      <c r="M1310" s="195">
        <v>13490</v>
      </c>
      <c r="N1310" s="195">
        <v>9470</v>
      </c>
      <c r="O1310" s="195"/>
      <c r="P1310" s="196">
        <v>0.66319444444444442</v>
      </c>
      <c r="Q1310" s="196">
        <v>0.69513888888888886</v>
      </c>
      <c r="R1310" s="193" t="s">
        <v>137</v>
      </c>
      <c r="S1310" s="193" t="s">
        <v>1378</v>
      </c>
      <c r="T1310" s="197">
        <f t="shared" si="93"/>
        <v>400</v>
      </c>
      <c r="U1310" s="193" t="s">
        <v>175</v>
      </c>
      <c r="V1310" s="193" t="s">
        <v>2098</v>
      </c>
    </row>
    <row r="1311" spans="2:22" ht="15" customHeight="1" x14ac:dyDescent="0.2">
      <c r="B1311" s="193">
        <v>1</v>
      </c>
      <c r="C1311" s="347" t="s">
        <v>1995</v>
      </c>
      <c r="D1311" s="347" t="str">
        <f t="shared" si="95"/>
        <v>RBDPL001165SCM</v>
      </c>
      <c r="E1311" s="193" t="s">
        <v>181</v>
      </c>
      <c r="F1311" s="193"/>
      <c r="G1311" s="193"/>
      <c r="H1311" s="193" t="s">
        <v>107</v>
      </c>
      <c r="I1311" s="193" t="s">
        <v>3</v>
      </c>
      <c r="J1311" s="193" t="str">
        <f t="shared" si="94"/>
        <v>6 Roda</v>
      </c>
      <c r="K1311" s="194">
        <v>46153</v>
      </c>
      <c r="L1311" s="195">
        <v>3980</v>
      </c>
      <c r="M1311" s="195">
        <v>13640</v>
      </c>
      <c r="N1311" s="195">
        <v>9660</v>
      </c>
      <c r="O1311" s="195"/>
      <c r="P1311" s="196">
        <v>0.69861111111111107</v>
      </c>
      <c r="Q1311" s="196">
        <v>0.72430555555555554</v>
      </c>
      <c r="R1311" s="193" t="s">
        <v>42</v>
      </c>
      <c r="S1311" s="193" t="s">
        <v>2030</v>
      </c>
      <c r="T1311" s="197">
        <f t="shared" si="93"/>
        <v>400</v>
      </c>
      <c r="U1311" s="193" t="s">
        <v>175</v>
      </c>
      <c r="V1311" s="193" t="s">
        <v>2098</v>
      </c>
    </row>
    <row r="1312" spans="2:22" ht="15" customHeight="1" x14ac:dyDescent="0.2">
      <c r="B1312" s="193">
        <v>1</v>
      </c>
      <c r="C1312" s="347" t="s">
        <v>1996</v>
      </c>
      <c r="D1312" s="347" t="str">
        <f t="shared" si="95"/>
        <v>RBDPL001167SCM</v>
      </c>
      <c r="E1312" s="193" t="s">
        <v>835</v>
      </c>
      <c r="F1312" s="193"/>
      <c r="G1312" s="193"/>
      <c r="H1312" s="193" t="s">
        <v>107</v>
      </c>
      <c r="I1312" s="193" t="s">
        <v>3</v>
      </c>
      <c r="J1312" s="193" t="str">
        <f t="shared" si="94"/>
        <v>6 Roda</v>
      </c>
      <c r="K1312" s="194">
        <v>46153</v>
      </c>
      <c r="L1312" s="195">
        <v>4030</v>
      </c>
      <c r="M1312" s="195">
        <v>13460</v>
      </c>
      <c r="N1312" s="195">
        <v>9430</v>
      </c>
      <c r="O1312" s="195"/>
      <c r="P1312" s="196">
        <v>0.70347222222222217</v>
      </c>
      <c r="Q1312" s="196">
        <v>0.74722222222222223</v>
      </c>
      <c r="R1312" s="193" t="s">
        <v>42</v>
      </c>
      <c r="S1312" s="193" t="s">
        <v>2038</v>
      </c>
      <c r="T1312" s="197">
        <f t="shared" si="93"/>
        <v>400</v>
      </c>
      <c r="U1312" s="193" t="s">
        <v>175</v>
      </c>
      <c r="V1312" s="193" t="s">
        <v>2098</v>
      </c>
    </row>
    <row r="1313" spans="2:22" ht="15" customHeight="1" x14ac:dyDescent="0.2">
      <c r="B1313" s="193">
        <v>1</v>
      </c>
      <c r="C1313" s="347" t="s">
        <v>1997</v>
      </c>
      <c r="D1313" s="347" t="str">
        <f t="shared" si="95"/>
        <v>RBDPL001169SCM</v>
      </c>
      <c r="E1313" s="193" t="s">
        <v>53</v>
      </c>
      <c r="F1313" s="193"/>
      <c r="G1313" s="193"/>
      <c r="H1313" s="193" t="s">
        <v>107</v>
      </c>
      <c r="I1313" s="193" t="s">
        <v>3</v>
      </c>
      <c r="J1313" s="193" t="str">
        <f t="shared" si="94"/>
        <v>6 Roda</v>
      </c>
      <c r="K1313" s="194">
        <v>46153</v>
      </c>
      <c r="L1313" s="195">
        <v>3810</v>
      </c>
      <c r="M1313" s="195">
        <v>13390</v>
      </c>
      <c r="N1313" s="195">
        <v>9580</v>
      </c>
      <c r="O1313" s="195"/>
      <c r="P1313" s="196">
        <v>0.72361111111111109</v>
      </c>
      <c r="Q1313" s="196">
        <v>0.77013888888888893</v>
      </c>
      <c r="R1313" s="193" t="s">
        <v>42</v>
      </c>
      <c r="S1313" s="193" t="s">
        <v>1396</v>
      </c>
      <c r="T1313" s="197">
        <f t="shared" si="93"/>
        <v>400</v>
      </c>
      <c r="U1313" s="193" t="s">
        <v>175</v>
      </c>
      <c r="V1313" s="193" t="s">
        <v>2098</v>
      </c>
    </row>
    <row r="1314" spans="2:22" ht="15" customHeight="1" x14ac:dyDescent="0.2">
      <c r="B1314" s="193">
        <v>1</v>
      </c>
      <c r="C1314" s="347" t="s">
        <v>1998</v>
      </c>
      <c r="D1314" s="347" t="str">
        <f t="shared" si="95"/>
        <v>RBDPL001170SCM</v>
      </c>
      <c r="E1314" s="193" t="s">
        <v>830</v>
      </c>
      <c r="F1314" s="193"/>
      <c r="G1314" s="193"/>
      <c r="H1314" s="193" t="s">
        <v>107</v>
      </c>
      <c r="I1314" s="193" t="s">
        <v>3</v>
      </c>
      <c r="J1314" s="193" t="str">
        <f t="shared" si="94"/>
        <v>6 Roda</v>
      </c>
      <c r="K1314" s="194">
        <v>46153</v>
      </c>
      <c r="L1314" s="195">
        <v>4040</v>
      </c>
      <c r="M1314" s="195">
        <v>13210</v>
      </c>
      <c r="N1314" s="195">
        <v>9170</v>
      </c>
      <c r="O1314" s="195"/>
      <c r="P1314" s="196">
        <v>0.75486111111111109</v>
      </c>
      <c r="Q1314" s="196">
        <v>0.77777777777777779</v>
      </c>
      <c r="R1314" s="193" t="s">
        <v>42</v>
      </c>
      <c r="S1314" s="193" t="s">
        <v>1618</v>
      </c>
      <c r="T1314" s="197">
        <f t="shared" si="93"/>
        <v>400</v>
      </c>
      <c r="U1314" s="193" t="s">
        <v>175</v>
      </c>
      <c r="V1314" s="193" t="s">
        <v>2098</v>
      </c>
    </row>
    <row r="1315" spans="2:22" ht="15" customHeight="1" x14ac:dyDescent="0.2">
      <c r="B1315" s="193">
        <v>1</v>
      </c>
      <c r="C1315" s="347" t="s">
        <v>1999</v>
      </c>
      <c r="D1315" s="347" t="str">
        <f t="shared" si="95"/>
        <v>RBDPL001159SCM</v>
      </c>
      <c r="E1315" s="193" t="s">
        <v>2026</v>
      </c>
      <c r="F1315" s="193"/>
      <c r="G1315" s="193"/>
      <c r="H1315" s="193" t="s">
        <v>107</v>
      </c>
      <c r="I1315" s="193" t="s">
        <v>3</v>
      </c>
      <c r="J1315" s="193" t="str">
        <f t="shared" si="94"/>
        <v>6 Roda</v>
      </c>
      <c r="K1315" s="194">
        <v>46153</v>
      </c>
      <c r="L1315" s="195">
        <v>4140</v>
      </c>
      <c r="M1315" s="195">
        <v>13340</v>
      </c>
      <c r="N1315" s="195">
        <v>9200</v>
      </c>
      <c r="O1315" s="195"/>
      <c r="P1315" s="196">
        <v>0.61875000000000002</v>
      </c>
      <c r="Q1315" s="196">
        <v>0.6430555555555556</v>
      </c>
      <c r="R1315" s="193" t="s">
        <v>137</v>
      </c>
      <c r="S1315" s="193" t="s">
        <v>2035</v>
      </c>
      <c r="T1315" s="197">
        <f t="shared" si="93"/>
        <v>400</v>
      </c>
      <c r="U1315" s="193" t="s">
        <v>175</v>
      </c>
      <c r="V1315" s="193" t="s">
        <v>2098</v>
      </c>
    </row>
    <row r="1316" spans="2:22" ht="15" customHeight="1" x14ac:dyDescent="0.2">
      <c r="B1316" s="193">
        <v>1</v>
      </c>
      <c r="C1316" s="347" t="s">
        <v>2000</v>
      </c>
      <c r="D1316" s="347" t="str">
        <f t="shared" si="95"/>
        <v>RBDPL001153TDJ</v>
      </c>
      <c r="E1316" s="193" t="s">
        <v>46</v>
      </c>
      <c r="F1316" s="193"/>
      <c r="G1316" s="193"/>
      <c r="H1316" s="193" t="s">
        <v>1523</v>
      </c>
      <c r="I1316" s="193" t="s">
        <v>3</v>
      </c>
      <c r="J1316" s="193" t="str">
        <f t="shared" si="94"/>
        <v>10 Roda</v>
      </c>
      <c r="K1316" s="194">
        <v>46153</v>
      </c>
      <c r="L1316" s="195">
        <v>12230</v>
      </c>
      <c r="M1316" s="195">
        <v>27300</v>
      </c>
      <c r="N1316" s="195">
        <v>15070</v>
      </c>
      <c r="O1316" s="195"/>
      <c r="P1316" s="196">
        <v>0.48333333333333334</v>
      </c>
      <c r="Q1316" s="196">
        <v>0.57986111111111105</v>
      </c>
      <c r="R1316" s="193" t="s">
        <v>137</v>
      </c>
      <c r="S1316" s="193" t="s">
        <v>1393</v>
      </c>
      <c r="T1316" s="197">
        <f t="shared" si="93"/>
        <v>473</v>
      </c>
      <c r="U1316" s="193" t="s">
        <v>69</v>
      </c>
      <c r="V1316" s="193" t="s">
        <v>2101</v>
      </c>
    </row>
    <row r="1317" spans="2:22" ht="15" customHeight="1" x14ac:dyDescent="0.2">
      <c r="B1317" s="193">
        <v>1</v>
      </c>
      <c r="C1317" s="347" t="s">
        <v>2001</v>
      </c>
      <c r="D1317" s="347" t="str">
        <f t="shared" si="95"/>
        <v>RBDPL001154WIN</v>
      </c>
      <c r="E1317" s="193" t="s">
        <v>70</v>
      </c>
      <c r="F1317" s="193"/>
      <c r="G1317" s="193"/>
      <c r="H1317" s="193" t="s">
        <v>115</v>
      </c>
      <c r="I1317" s="193" t="s">
        <v>3</v>
      </c>
      <c r="J1317" s="193" t="str">
        <f t="shared" si="94"/>
        <v>12 Roda</v>
      </c>
      <c r="K1317" s="194">
        <v>46153</v>
      </c>
      <c r="L1317" s="195">
        <v>17680</v>
      </c>
      <c r="M1317" s="195">
        <v>46420</v>
      </c>
      <c r="N1317" s="195">
        <v>28740</v>
      </c>
      <c r="O1317" s="195"/>
      <c r="P1317" s="196">
        <v>0.48472222222222222</v>
      </c>
      <c r="Q1317" s="196">
        <v>0.59236111111111112</v>
      </c>
      <c r="R1317" s="193" t="s">
        <v>137</v>
      </c>
      <c r="S1317" s="193" t="s">
        <v>1499</v>
      </c>
      <c r="T1317" s="197">
        <f t="shared" si="93"/>
        <v>642</v>
      </c>
      <c r="U1317" s="193" t="s">
        <v>69</v>
      </c>
      <c r="V1317" s="193" t="s">
        <v>2102</v>
      </c>
    </row>
    <row r="1318" spans="2:22" ht="15" customHeight="1" x14ac:dyDescent="0.2">
      <c r="B1318" s="193">
        <v>1</v>
      </c>
      <c r="C1318" s="347" t="s">
        <v>2002</v>
      </c>
      <c r="D1318" s="347" t="str">
        <f t="shared" si="95"/>
        <v>RBDPL001162BJL</v>
      </c>
      <c r="E1318" s="193" t="s">
        <v>1567</v>
      </c>
      <c r="F1318" s="193"/>
      <c r="G1318" s="193"/>
      <c r="H1318" s="193" t="s">
        <v>86</v>
      </c>
      <c r="I1318" s="193" t="s">
        <v>3</v>
      </c>
      <c r="J1318" s="193" t="str">
        <f t="shared" si="94"/>
        <v>6 Roda</v>
      </c>
      <c r="K1318" s="194">
        <v>46153</v>
      </c>
      <c r="L1318" s="195">
        <v>3920</v>
      </c>
      <c r="M1318" s="195">
        <v>13260</v>
      </c>
      <c r="N1318" s="195">
        <v>9340</v>
      </c>
      <c r="O1318" s="195"/>
      <c r="P1318" s="196">
        <v>0.66111111111111109</v>
      </c>
      <c r="Q1318" s="196">
        <v>0.69374999999999998</v>
      </c>
      <c r="R1318" s="193" t="s">
        <v>137</v>
      </c>
      <c r="S1318" s="193" t="s">
        <v>1634</v>
      </c>
      <c r="T1318" s="197">
        <f t="shared" si="93"/>
        <v>562</v>
      </c>
      <c r="U1318" s="193" t="s">
        <v>175</v>
      </c>
      <c r="V1318" s="193" t="s">
        <v>2099</v>
      </c>
    </row>
    <row r="1319" spans="2:22" ht="15" customHeight="1" x14ac:dyDescent="0.2">
      <c r="B1319" s="193">
        <v>1</v>
      </c>
      <c r="C1319" s="347" t="s">
        <v>2003</v>
      </c>
      <c r="D1319" s="347" t="str">
        <f t="shared" si="95"/>
        <v>RBDPL001161HSA</v>
      </c>
      <c r="E1319" s="193" t="s">
        <v>934</v>
      </c>
      <c r="F1319" s="193"/>
      <c r="G1319" s="193"/>
      <c r="H1319" s="193" t="s">
        <v>103</v>
      </c>
      <c r="I1319" s="193" t="s">
        <v>3</v>
      </c>
      <c r="J1319" s="193" t="str">
        <f t="shared" si="94"/>
        <v>6 Roda</v>
      </c>
      <c r="K1319" s="194">
        <v>46153</v>
      </c>
      <c r="L1319" s="195">
        <v>3880</v>
      </c>
      <c r="M1319" s="195">
        <v>13180</v>
      </c>
      <c r="N1319" s="195">
        <v>9300</v>
      </c>
      <c r="O1319" s="195"/>
      <c r="P1319" s="196">
        <v>0.65347222222222223</v>
      </c>
      <c r="Q1319" s="196">
        <v>0.67291666666666661</v>
      </c>
      <c r="R1319" s="193" t="s">
        <v>137</v>
      </c>
      <c r="S1319" s="193" t="s">
        <v>2033</v>
      </c>
      <c r="T1319" s="197">
        <f t="shared" si="93"/>
        <v>360</v>
      </c>
      <c r="U1319" s="193" t="s">
        <v>1381</v>
      </c>
      <c r="V1319" s="193" t="s">
        <v>2098</v>
      </c>
    </row>
    <row r="1320" spans="2:22" ht="15" customHeight="1" x14ac:dyDescent="0.2">
      <c r="B1320" s="193">
        <v>1</v>
      </c>
      <c r="C1320" s="347" t="s">
        <v>2004</v>
      </c>
      <c r="D1320" s="347" t="str">
        <f t="shared" si="95"/>
        <v>RBDPL001164HSA</v>
      </c>
      <c r="E1320" s="193" t="s">
        <v>938</v>
      </c>
      <c r="F1320" s="193"/>
      <c r="G1320" s="193"/>
      <c r="H1320" s="193" t="s">
        <v>103</v>
      </c>
      <c r="I1320" s="193" t="s">
        <v>3</v>
      </c>
      <c r="J1320" s="193" t="str">
        <f t="shared" si="94"/>
        <v>6 Roda</v>
      </c>
      <c r="K1320" s="194">
        <v>46153</v>
      </c>
      <c r="L1320" s="195">
        <v>4000</v>
      </c>
      <c r="M1320" s="195">
        <v>13490</v>
      </c>
      <c r="N1320" s="195">
        <v>9490</v>
      </c>
      <c r="O1320" s="195"/>
      <c r="P1320" s="196">
        <v>0.6972222222222223</v>
      </c>
      <c r="Q1320" s="196">
        <v>0.71250000000000002</v>
      </c>
      <c r="R1320" s="193" t="s">
        <v>42</v>
      </c>
      <c r="S1320" s="193" t="s">
        <v>1384</v>
      </c>
      <c r="T1320" s="197">
        <f t="shared" si="93"/>
        <v>360</v>
      </c>
      <c r="U1320" s="193" t="s">
        <v>1381</v>
      </c>
      <c r="V1320" s="193" t="s">
        <v>2098</v>
      </c>
    </row>
    <row r="1321" spans="2:22" ht="15" customHeight="1" x14ac:dyDescent="0.2">
      <c r="B1321" s="193">
        <v>1</v>
      </c>
      <c r="C1321" s="347" t="s">
        <v>2005</v>
      </c>
      <c r="D1321" s="347" t="str">
        <f t="shared" si="95"/>
        <v>RBDPL001168HSA</v>
      </c>
      <c r="E1321" s="193" t="s">
        <v>147</v>
      </c>
      <c r="F1321" s="193"/>
      <c r="G1321" s="193"/>
      <c r="H1321" s="193" t="s">
        <v>103</v>
      </c>
      <c r="I1321" s="193" t="s">
        <v>3</v>
      </c>
      <c r="J1321" s="193" t="str">
        <f t="shared" si="94"/>
        <v>6 Roda</v>
      </c>
      <c r="K1321" s="194">
        <v>46153</v>
      </c>
      <c r="L1321" s="195">
        <v>3960</v>
      </c>
      <c r="M1321" s="195">
        <v>14060</v>
      </c>
      <c r="N1321" s="195">
        <v>10100</v>
      </c>
      <c r="O1321" s="195"/>
      <c r="P1321" s="196">
        <v>0.72222222222222221</v>
      </c>
      <c r="Q1321" s="196">
        <v>0.7583333333333333</v>
      </c>
      <c r="R1321" s="193" t="s">
        <v>42</v>
      </c>
      <c r="S1321" s="193" t="s">
        <v>1373</v>
      </c>
      <c r="T1321" s="197">
        <f t="shared" si="93"/>
        <v>360</v>
      </c>
      <c r="U1321" s="193" t="s">
        <v>1381</v>
      </c>
      <c r="V1321" s="193" t="s">
        <v>2098</v>
      </c>
    </row>
    <row r="1322" spans="2:22" ht="15" customHeight="1" x14ac:dyDescent="0.2">
      <c r="B1322" s="193">
        <v>1</v>
      </c>
      <c r="C1322" s="347" t="s">
        <v>2006</v>
      </c>
      <c r="D1322" s="347" t="str">
        <f t="shared" si="95"/>
        <v>RBDPL001171HSA</v>
      </c>
      <c r="E1322" s="193" t="s">
        <v>2027</v>
      </c>
      <c r="F1322" s="193"/>
      <c r="G1322" s="193"/>
      <c r="H1322" s="193" t="s">
        <v>103</v>
      </c>
      <c r="I1322" s="193" t="s">
        <v>3</v>
      </c>
      <c r="J1322" s="193" t="str">
        <f t="shared" si="94"/>
        <v>6 Roda</v>
      </c>
      <c r="K1322" s="194">
        <v>46153</v>
      </c>
      <c r="L1322" s="195">
        <v>4020</v>
      </c>
      <c r="M1322" s="195">
        <v>13300</v>
      </c>
      <c r="N1322" s="195">
        <v>9280</v>
      </c>
      <c r="O1322" s="195"/>
      <c r="P1322" s="196">
        <v>0.75694444444444453</v>
      </c>
      <c r="Q1322" s="196">
        <v>0.79027777777777775</v>
      </c>
      <c r="R1322" s="193" t="s">
        <v>42</v>
      </c>
      <c r="S1322" s="193" t="s">
        <v>2034</v>
      </c>
      <c r="T1322" s="197">
        <f t="shared" si="93"/>
        <v>360</v>
      </c>
      <c r="U1322" s="193" t="s">
        <v>175</v>
      </c>
      <c r="V1322" s="193" t="s">
        <v>2098</v>
      </c>
    </row>
    <row r="1323" spans="2:22" ht="15" customHeight="1" x14ac:dyDescent="0.2">
      <c r="B1323" s="193">
        <v>1</v>
      </c>
      <c r="C1323" s="347" t="s">
        <v>2007</v>
      </c>
      <c r="D1323" s="347" t="str">
        <f t="shared" si="95"/>
        <v>RBDPL001173BJL</v>
      </c>
      <c r="E1323" s="193" t="s">
        <v>1278</v>
      </c>
      <c r="F1323" s="193"/>
      <c r="G1323" s="193"/>
      <c r="H1323" s="193" t="s">
        <v>86</v>
      </c>
      <c r="I1323" s="193" t="s">
        <v>3</v>
      </c>
      <c r="J1323" s="193" t="str">
        <f t="shared" si="94"/>
        <v>6 Roda</v>
      </c>
      <c r="K1323" s="194">
        <v>46154</v>
      </c>
      <c r="L1323" s="195">
        <v>4260</v>
      </c>
      <c r="M1323" s="195">
        <v>14240</v>
      </c>
      <c r="N1323" s="195">
        <v>9980</v>
      </c>
      <c r="O1323" s="195"/>
      <c r="P1323" s="196">
        <v>0.35833333333333334</v>
      </c>
      <c r="Q1323" s="196">
        <v>0.38611111111111113</v>
      </c>
      <c r="R1323" s="193" t="s">
        <v>137</v>
      </c>
      <c r="S1323" s="193" t="s">
        <v>1519</v>
      </c>
      <c r="T1323" s="197">
        <f t="shared" si="93"/>
        <v>562</v>
      </c>
      <c r="U1323" s="193" t="s">
        <v>175</v>
      </c>
      <c r="V1323" s="193" t="s">
        <v>2099</v>
      </c>
    </row>
    <row r="1324" spans="2:22" ht="15" customHeight="1" x14ac:dyDescent="0.2">
      <c r="B1324" s="193">
        <v>1</v>
      </c>
      <c r="C1324" s="347" t="s">
        <v>2008</v>
      </c>
      <c r="D1324" s="347" t="str">
        <f t="shared" si="95"/>
        <v>RBDPL001174BJL</v>
      </c>
      <c r="E1324" s="193" t="s">
        <v>174</v>
      </c>
      <c r="F1324" s="193"/>
      <c r="G1324" s="193"/>
      <c r="H1324" s="193" t="s">
        <v>86</v>
      </c>
      <c r="I1324" s="193" t="s">
        <v>3</v>
      </c>
      <c r="J1324" s="193" t="str">
        <f t="shared" si="94"/>
        <v>6 Roda</v>
      </c>
      <c r="K1324" s="194">
        <v>46154</v>
      </c>
      <c r="L1324" s="195">
        <v>4360</v>
      </c>
      <c r="M1324" s="195">
        <v>13530</v>
      </c>
      <c r="N1324" s="195">
        <v>9170</v>
      </c>
      <c r="O1324" s="195"/>
      <c r="P1324" s="196">
        <v>0.40138888888888885</v>
      </c>
      <c r="Q1324" s="196">
        <v>0.42083333333333334</v>
      </c>
      <c r="R1324" s="193" t="s">
        <v>137</v>
      </c>
      <c r="S1324" s="193" t="s">
        <v>2029</v>
      </c>
      <c r="T1324" s="197">
        <f t="shared" si="93"/>
        <v>562</v>
      </c>
      <c r="U1324" s="193" t="s">
        <v>175</v>
      </c>
      <c r="V1324" s="193" t="s">
        <v>2099</v>
      </c>
    </row>
    <row r="1325" spans="2:22" ht="15" customHeight="1" x14ac:dyDescent="0.2">
      <c r="B1325" s="193">
        <v>1</v>
      </c>
      <c r="C1325" s="347" t="s">
        <v>2009</v>
      </c>
      <c r="D1325" s="347" t="str">
        <f t="shared" si="95"/>
        <v>RBDPL001178BJL</v>
      </c>
      <c r="E1325" s="193" t="s">
        <v>2024</v>
      </c>
      <c r="F1325" s="193"/>
      <c r="G1325" s="193"/>
      <c r="H1325" s="193" t="s">
        <v>86</v>
      </c>
      <c r="I1325" s="193" t="s">
        <v>3</v>
      </c>
      <c r="J1325" s="193" t="str">
        <f t="shared" si="94"/>
        <v>6 Roda</v>
      </c>
      <c r="K1325" s="194">
        <v>46154</v>
      </c>
      <c r="L1325" s="195">
        <v>3850</v>
      </c>
      <c r="M1325" s="195">
        <v>13180</v>
      </c>
      <c r="N1325" s="195">
        <v>9330</v>
      </c>
      <c r="O1325" s="195"/>
      <c r="P1325" s="196">
        <v>0.49652777777777773</v>
      </c>
      <c r="Q1325" s="196">
        <v>0.51736111111111105</v>
      </c>
      <c r="R1325" s="193" t="s">
        <v>137</v>
      </c>
      <c r="S1325" s="193" t="s">
        <v>2037</v>
      </c>
      <c r="T1325" s="197">
        <f t="shared" si="93"/>
        <v>562</v>
      </c>
      <c r="U1325" s="193" t="s">
        <v>175</v>
      </c>
      <c r="V1325" s="193" t="s">
        <v>2099</v>
      </c>
    </row>
    <row r="1326" spans="2:22" ht="15" customHeight="1" x14ac:dyDescent="0.2">
      <c r="B1326" s="193">
        <v>1</v>
      </c>
      <c r="C1326" s="347" t="s">
        <v>2010</v>
      </c>
      <c r="D1326" s="347" t="str">
        <f t="shared" si="95"/>
        <v>RBDPL001179DA</v>
      </c>
      <c r="E1326" s="193" t="s">
        <v>1595</v>
      </c>
      <c r="F1326" s="193"/>
      <c r="G1326" s="193"/>
      <c r="H1326" s="193" t="s">
        <v>111</v>
      </c>
      <c r="I1326" s="193" t="s">
        <v>3</v>
      </c>
      <c r="J1326" s="193" t="str">
        <f t="shared" si="94"/>
        <v>10 Roda</v>
      </c>
      <c r="K1326" s="194">
        <v>46154</v>
      </c>
      <c r="L1326" s="195">
        <v>8320</v>
      </c>
      <c r="M1326" s="195">
        <v>27120</v>
      </c>
      <c r="N1326" s="195">
        <v>18800</v>
      </c>
      <c r="O1326" s="195"/>
      <c r="P1326" s="196">
        <v>0.5708333333333333</v>
      </c>
      <c r="Q1326" s="196">
        <v>0.60069444444444442</v>
      </c>
      <c r="R1326" s="193" t="s">
        <v>137</v>
      </c>
      <c r="S1326" s="193" t="s">
        <v>2045</v>
      </c>
      <c r="T1326" s="197">
        <f t="shared" si="93"/>
        <v>360</v>
      </c>
      <c r="U1326" s="193" t="s">
        <v>175</v>
      </c>
      <c r="V1326" s="193" t="s">
        <v>2098</v>
      </c>
    </row>
    <row r="1327" spans="2:22" ht="15" customHeight="1" x14ac:dyDescent="0.2">
      <c r="B1327" s="193">
        <v>1</v>
      </c>
      <c r="C1327" s="347" t="s">
        <v>2011</v>
      </c>
      <c r="D1327" s="347" t="str">
        <f t="shared" si="95"/>
        <v>RBDPL001180TDJ</v>
      </c>
      <c r="E1327" s="193" t="s">
        <v>56</v>
      </c>
      <c r="F1327" s="193"/>
      <c r="G1327" s="193"/>
      <c r="H1327" s="193" t="s">
        <v>1523</v>
      </c>
      <c r="I1327" s="193" t="s">
        <v>3</v>
      </c>
      <c r="J1327" s="193" t="str">
        <f t="shared" si="94"/>
        <v>10 Roda</v>
      </c>
      <c r="K1327" s="194">
        <v>46154</v>
      </c>
      <c r="L1327" s="195">
        <v>10920</v>
      </c>
      <c r="M1327" s="195">
        <v>25440</v>
      </c>
      <c r="N1327" s="195">
        <v>14520</v>
      </c>
      <c r="O1327" s="195"/>
      <c r="P1327" s="196">
        <v>0.57500000000000007</v>
      </c>
      <c r="Q1327" s="196">
        <v>0.61736111111111114</v>
      </c>
      <c r="R1327" s="193" t="s">
        <v>137</v>
      </c>
      <c r="S1327" s="193" t="s">
        <v>2031</v>
      </c>
      <c r="T1327" s="197">
        <f t="shared" si="93"/>
        <v>473</v>
      </c>
      <c r="U1327" s="193" t="s">
        <v>69</v>
      </c>
      <c r="V1327" s="193" t="s">
        <v>2101</v>
      </c>
    </row>
    <row r="1328" spans="2:22" ht="15" customHeight="1" x14ac:dyDescent="0.2">
      <c r="B1328" s="193">
        <v>1</v>
      </c>
      <c r="C1328" s="347" t="s">
        <v>2012</v>
      </c>
      <c r="D1328" s="347" t="str">
        <f t="shared" si="95"/>
        <v>RBDPL001175HSA</v>
      </c>
      <c r="E1328" s="193" t="s">
        <v>940</v>
      </c>
      <c r="F1328" s="193"/>
      <c r="G1328" s="193"/>
      <c r="H1328" s="193" t="s">
        <v>103</v>
      </c>
      <c r="I1328" s="193" t="s">
        <v>3</v>
      </c>
      <c r="J1328" s="193" t="str">
        <f t="shared" si="94"/>
        <v>6 Roda</v>
      </c>
      <c r="K1328" s="194">
        <v>46154</v>
      </c>
      <c r="L1328" s="195">
        <v>4080</v>
      </c>
      <c r="M1328" s="195">
        <v>13630</v>
      </c>
      <c r="N1328" s="195">
        <v>9550</v>
      </c>
      <c r="O1328" s="195"/>
      <c r="P1328" s="196">
        <v>0.44513888888888892</v>
      </c>
      <c r="Q1328" s="196">
        <v>0.46388888888888885</v>
      </c>
      <c r="R1328" s="193" t="s">
        <v>137</v>
      </c>
      <c r="S1328" s="193" t="s">
        <v>1383</v>
      </c>
      <c r="T1328" s="197">
        <f t="shared" si="93"/>
        <v>360</v>
      </c>
      <c r="U1328" s="193" t="s">
        <v>1381</v>
      </c>
      <c r="V1328" s="193" t="s">
        <v>2098</v>
      </c>
    </row>
    <row r="1329" spans="2:22" ht="15" customHeight="1" x14ac:dyDescent="0.2">
      <c r="B1329" s="193">
        <v>1</v>
      </c>
      <c r="C1329" s="347" t="s">
        <v>2013</v>
      </c>
      <c r="D1329" s="347" t="str">
        <f t="shared" si="95"/>
        <v>RBDPL001176SCM</v>
      </c>
      <c r="E1329" s="193" t="s">
        <v>962</v>
      </c>
      <c r="F1329" s="193"/>
      <c r="G1329" s="193"/>
      <c r="H1329" s="193" t="s">
        <v>107</v>
      </c>
      <c r="I1329" s="193" t="s">
        <v>3</v>
      </c>
      <c r="J1329" s="193" t="str">
        <f t="shared" si="94"/>
        <v>6 Roda</v>
      </c>
      <c r="K1329" s="194">
        <v>46154</v>
      </c>
      <c r="L1329" s="195">
        <v>4520</v>
      </c>
      <c r="M1329" s="195">
        <v>13730</v>
      </c>
      <c r="N1329" s="195">
        <v>9210</v>
      </c>
      <c r="O1329" s="195"/>
      <c r="P1329" s="196">
        <v>0.45</v>
      </c>
      <c r="Q1329" s="196">
        <v>0.47986111111111113</v>
      </c>
      <c r="R1329" s="193" t="s">
        <v>137</v>
      </c>
      <c r="S1329" s="193" t="s">
        <v>1398</v>
      </c>
      <c r="T1329" s="197">
        <f>IFERROR(_xlfn.XLOOKUP(H1329,$AM$4:$AM$18,$AP$4:$AP$18,""),0)</f>
        <v>400</v>
      </c>
      <c r="U1329" s="193" t="s">
        <v>175</v>
      </c>
      <c r="V1329" s="193" t="s">
        <v>2098</v>
      </c>
    </row>
    <row r="1330" spans="2:22" ht="15" customHeight="1" x14ac:dyDescent="0.2">
      <c r="B1330" s="193">
        <v>1</v>
      </c>
      <c r="C1330" s="347" t="s">
        <v>2014</v>
      </c>
      <c r="D1330" s="347" t="str">
        <f t="shared" si="95"/>
        <v>RBDPL001177SCM</v>
      </c>
      <c r="E1330" s="193" t="s">
        <v>151</v>
      </c>
      <c r="F1330" s="193"/>
      <c r="G1330" s="193"/>
      <c r="H1330" s="193" t="s">
        <v>107</v>
      </c>
      <c r="I1330" s="193" t="s">
        <v>3</v>
      </c>
      <c r="J1330" s="193" t="str">
        <f t="shared" si="94"/>
        <v>6 Roda</v>
      </c>
      <c r="K1330" s="194">
        <v>46154</v>
      </c>
      <c r="L1330" s="195">
        <v>4220</v>
      </c>
      <c r="M1330" s="195">
        <v>13660</v>
      </c>
      <c r="N1330" s="195">
        <v>9440</v>
      </c>
      <c r="O1330" s="195"/>
      <c r="P1330" s="196">
        <v>0.46666666666666662</v>
      </c>
      <c r="Q1330" s="196">
        <v>0.4993055555555555</v>
      </c>
      <c r="R1330" s="193" t="s">
        <v>137</v>
      </c>
      <c r="S1330" s="193" t="s">
        <v>1388</v>
      </c>
      <c r="T1330" s="197">
        <f>IFERROR(_xlfn.XLOOKUP(H1330,$AM$4:$AM$18,$AP$4:$AP$18,""),0)</f>
        <v>400</v>
      </c>
      <c r="U1330" s="193" t="s">
        <v>175</v>
      </c>
      <c r="V1330" s="193" t="s">
        <v>2098</v>
      </c>
    </row>
    <row r="1331" spans="2:22" ht="15" customHeight="1" x14ac:dyDescent="0.2">
      <c r="B1331" s="193">
        <v>1</v>
      </c>
      <c r="C1331" s="347" t="s">
        <v>2015</v>
      </c>
      <c r="D1331" s="347" t="str">
        <f t="shared" si="95"/>
        <v>RBDPL001181SCM</v>
      </c>
      <c r="E1331" s="193" t="s">
        <v>183</v>
      </c>
      <c r="F1331" s="193"/>
      <c r="G1331" s="193"/>
      <c r="H1331" s="193" t="s">
        <v>107</v>
      </c>
      <c r="I1331" s="193" t="s">
        <v>3</v>
      </c>
      <c r="J1331" s="193" t="str">
        <f t="shared" si="94"/>
        <v>6 Roda</v>
      </c>
      <c r="K1331" s="194">
        <v>46154</v>
      </c>
      <c r="L1331" s="195">
        <v>4130</v>
      </c>
      <c r="M1331" s="195">
        <v>14200</v>
      </c>
      <c r="N1331" s="195">
        <v>10070</v>
      </c>
      <c r="O1331" s="195"/>
      <c r="P1331" s="196">
        <v>0.6020833333333333</v>
      </c>
      <c r="Q1331" s="196">
        <v>0.62847222222222221</v>
      </c>
      <c r="R1331" s="193" t="s">
        <v>137</v>
      </c>
      <c r="S1331" s="193" t="s">
        <v>1734</v>
      </c>
      <c r="T1331" s="197">
        <f>IFERROR(_xlfn.XLOOKUP(H1331,$AM$4:$AM$18,$AP$4:$AP$18,""),0)</f>
        <v>400</v>
      </c>
      <c r="U1331" s="193" t="s">
        <v>175</v>
      </c>
      <c r="V1331" s="193" t="s">
        <v>2098</v>
      </c>
    </row>
    <row r="1332" spans="2:22" ht="15" customHeight="1" x14ac:dyDescent="0.2">
      <c r="B1332" s="193">
        <v>1</v>
      </c>
      <c r="C1332" s="347" t="s">
        <v>2016</v>
      </c>
      <c r="D1332" s="347" t="str">
        <f t="shared" si="95"/>
        <v>RBDPL001182SCM</v>
      </c>
      <c r="E1332" s="193" t="s">
        <v>473</v>
      </c>
      <c r="F1332" s="193"/>
      <c r="G1332" s="193"/>
      <c r="H1332" s="193" t="s">
        <v>107</v>
      </c>
      <c r="I1332" s="193" t="s">
        <v>3</v>
      </c>
      <c r="J1332" s="193" t="str">
        <f t="shared" si="94"/>
        <v>6 Roda</v>
      </c>
      <c r="K1332" s="194">
        <v>46154</v>
      </c>
      <c r="L1332" s="195">
        <v>4340</v>
      </c>
      <c r="M1332" s="195">
        <v>14410</v>
      </c>
      <c r="N1332" s="195">
        <v>10070</v>
      </c>
      <c r="O1332" s="195"/>
      <c r="P1332" s="196">
        <v>0.72777777777777775</v>
      </c>
      <c r="Q1332" s="196">
        <v>0.74444444444444446</v>
      </c>
      <c r="R1332" s="193" t="s">
        <v>42</v>
      </c>
      <c r="S1332" s="193" t="s">
        <v>1474</v>
      </c>
      <c r="T1332" s="197">
        <f>IFERROR(_xlfn.XLOOKUP(H1332,$AM$4:$AM$18,$AP$4:$AP$18,""),0)</f>
        <v>400</v>
      </c>
      <c r="U1332" s="193" t="s">
        <v>175</v>
      </c>
      <c r="V1332" s="193" t="s">
        <v>2098</v>
      </c>
    </row>
    <row r="1333" spans="2:22" ht="15" customHeight="1" x14ac:dyDescent="0.2">
      <c r="B1333" s="193">
        <v>1</v>
      </c>
      <c r="C1333" s="347" t="s">
        <v>2046</v>
      </c>
      <c r="D1333" s="347" t="str">
        <f t="shared" si="95"/>
        <v>RBDPL001188DA</v>
      </c>
      <c r="E1333" s="193" t="s">
        <v>169</v>
      </c>
      <c r="F1333" s="193"/>
      <c r="G1333" s="193"/>
      <c r="H1333" s="193" t="s">
        <v>111</v>
      </c>
      <c r="I1333" s="193" t="s">
        <v>3</v>
      </c>
      <c r="J1333" s="193" t="str">
        <f t="shared" ref="J1333:J1396" si="96">IF(MIN(L1333,M1333)&lt;=5000,"6 Roda",IF(MIN(L1333,M1333)&lt;=13800,"10 Roda","12 Roda"))</f>
        <v>6 Roda</v>
      </c>
      <c r="K1333" s="194">
        <v>46155</v>
      </c>
      <c r="L1333" s="195">
        <v>4000</v>
      </c>
      <c r="M1333" s="195">
        <v>13500</v>
      </c>
      <c r="N1333" s="195">
        <v>9500</v>
      </c>
      <c r="O1333" s="195"/>
      <c r="P1333" s="196">
        <v>0.59513888888888888</v>
      </c>
      <c r="Q1333" s="196">
        <v>0.61388888888888882</v>
      </c>
      <c r="R1333" s="193" t="s">
        <v>137</v>
      </c>
      <c r="S1333" s="193" t="s">
        <v>1378</v>
      </c>
      <c r="T1333" s="197">
        <f t="shared" ref="T1333:T1396" si="97">IFERROR(_xlfn.XLOOKUP(H1333,$AM$4:$AM$18,$AP$4:$AP$18,""),0)</f>
        <v>360</v>
      </c>
      <c r="U1333" s="193" t="s">
        <v>175</v>
      </c>
      <c r="V1333" s="193" t="s">
        <v>2098</v>
      </c>
    </row>
    <row r="1334" spans="2:22" ht="15" customHeight="1" x14ac:dyDescent="0.2">
      <c r="B1334" s="193">
        <v>1</v>
      </c>
      <c r="C1334" s="347" t="s">
        <v>2047</v>
      </c>
      <c r="D1334" s="347" t="str">
        <f t="shared" si="95"/>
        <v>RBDPL001196DA</v>
      </c>
      <c r="E1334" s="193" t="s">
        <v>983</v>
      </c>
      <c r="F1334" s="193"/>
      <c r="G1334" s="193"/>
      <c r="H1334" s="193" t="s">
        <v>111</v>
      </c>
      <c r="I1334" s="193" t="s">
        <v>3</v>
      </c>
      <c r="J1334" s="193" t="str">
        <f t="shared" si="96"/>
        <v>6 Roda</v>
      </c>
      <c r="K1334" s="194">
        <v>46155</v>
      </c>
      <c r="L1334" s="195">
        <v>4010</v>
      </c>
      <c r="M1334" s="195">
        <v>13330</v>
      </c>
      <c r="N1334" s="195">
        <v>9320</v>
      </c>
      <c r="O1334" s="195"/>
      <c r="P1334" s="196">
        <v>0.6875</v>
      </c>
      <c r="Q1334" s="196">
        <v>0.74930555555555556</v>
      </c>
      <c r="R1334" s="193" t="s">
        <v>42</v>
      </c>
      <c r="S1334" s="193" t="s">
        <v>2034</v>
      </c>
      <c r="T1334" s="197">
        <f t="shared" si="97"/>
        <v>360</v>
      </c>
      <c r="U1334" s="193" t="s">
        <v>1381</v>
      </c>
      <c r="V1334" s="193" t="s">
        <v>2098</v>
      </c>
    </row>
    <row r="1335" spans="2:22" ht="15" customHeight="1" x14ac:dyDescent="0.2">
      <c r="B1335" s="193">
        <v>1</v>
      </c>
      <c r="C1335" s="347" t="s">
        <v>2048</v>
      </c>
      <c r="D1335" s="347" t="str">
        <f t="shared" si="95"/>
        <v>RBDPL001197DA</v>
      </c>
      <c r="E1335" s="193" t="s">
        <v>938</v>
      </c>
      <c r="F1335" s="193"/>
      <c r="G1335" s="193"/>
      <c r="H1335" s="193" t="s">
        <v>111</v>
      </c>
      <c r="I1335" s="193" t="s">
        <v>3</v>
      </c>
      <c r="J1335" s="193" t="str">
        <f t="shared" si="96"/>
        <v>6 Roda</v>
      </c>
      <c r="K1335" s="194">
        <v>46155</v>
      </c>
      <c r="L1335" s="195">
        <v>3990</v>
      </c>
      <c r="M1335" s="195">
        <v>13500</v>
      </c>
      <c r="N1335" s="195">
        <v>9510</v>
      </c>
      <c r="O1335" s="195"/>
      <c r="P1335" s="196">
        <v>0.72013888888888899</v>
      </c>
      <c r="Q1335" s="196">
        <v>0.76874999999999993</v>
      </c>
      <c r="R1335" s="193" t="s">
        <v>42</v>
      </c>
      <c r="S1335" s="193" t="s">
        <v>1384</v>
      </c>
      <c r="T1335" s="197">
        <f t="shared" si="97"/>
        <v>360</v>
      </c>
      <c r="U1335" s="193" t="s">
        <v>1381</v>
      </c>
      <c r="V1335" s="193" t="s">
        <v>2098</v>
      </c>
    </row>
    <row r="1336" spans="2:22" ht="15" customHeight="1" x14ac:dyDescent="0.2">
      <c r="B1336" s="193">
        <v>1</v>
      </c>
      <c r="C1336" s="347" t="s">
        <v>2049</v>
      </c>
      <c r="D1336" s="347" t="str">
        <f t="shared" si="95"/>
        <v>RBDPL001189BJL</v>
      </c>
      <c r="E1336" s="193" t="s">
        <v>1631</v>
      </c>
      <c r="F1336" s="193"/>
      <c r="G1336" s="193"/>
      <c r="H1336" s="193" t="s">
        <v>86</v>
      </c>
      <c r="I1336" s="193" t="s">
        <v>3</v>
      </c>
      <c r="J1336" s="193" t="str">
        <f t="shared" si="96"/>
        <v>6 Roda</v>
      </c>
      <c r="K1336" s="194">
        <v>46155</v>
      </c>
      <c r="L1336" s="195">
        <v>4080</v>
      </c>
      <c r="M1336" s="195">
        <v>13450</v>
      </c>
      <c r="N1336" s="195">
        <v>9370</v>
      </c>
      <c r="O1336" s="195"/>
      <c r="P1336" s="196">
        <v>0.6020833333333333</v>
      </c>
      <c r="Q1336" s="196">
        <v>0.63402777777777775</v>
      </c>
      <c r="R1336" s="193" t="s">
        <v>137</v>
      </c>
      <c r="S1336" s="193" t="s">
        <v>1633</v>
      </c>
      <c r="T1336" s="197">
        <f t="shared" si="97"/>
        <v>562</v>
      </c>
      <c r="U1336" s="193" t="s">
        <v>175</v>
      </c>
      <c r="V1336" s="193" t="s">
        <v>2099</v>
      </c>
    </row>
    <row r="1337" spans="2:22" ht="15" customHeight="1" x14ac:dyDescent="0.2">
      <c r="B1337" s="193">
        <v>1</v>
      </c>
      <c r="C1337" s="347" t="s">
        <v>2050</v>
      </c>
      <c r="D1337" s="347" t="str">
        <f t="shared" si="95"/>
        <v>RBDPL001191HSA</v>
      </c>
      <c r="E1337" s="193" t="s">
        <v>934</v>
      </c>
      <c r="F1337" s="193"/>
      <c r="G1337" s="193"/>
      <c r="H1337" s="193" t="s">
        <v>103</v>
      </c>
      <c r="I1337" s="193" t="s">
        <v>3</v>
      </c>
      <c r="J1337" s="193" t="str">
        <f t="shared" si="96"/>
        <v>6 Roda</v>
      </c>
      <c r="K1337" s="194">
        <v>46155</v>
      </c>
      <c r="L1337" s="195">
        <v>3880</v>
      </c>
      <c r="M1337" s="195">
        <v>13180</v>
      </c>
      <c r="N1337" s="195">
        <v>9300</v>
      </c>
      <c r="O1337" s="195"/>
      <c r="P1337" s="196">
        <v>0.64513888888888882</v>
      </c>
      <c r="Q1337" s="196">
        <v>0.66875000000000007</v>
      </c>
      <c r="R1337" s="193" t="s">
        <v>137</v>
      </c>
      <c r="S1337" s="193" t="s">
        <v>2033</v>
      </c>
      <c r="T1337" s="197">
        <f t="shared" si="97"/>
        <v>360</v>
      </c>
      <c r="U1337" s="193" t="s">
        <v>1381</v>
      </c>
      <c r="V1337" s="193" t="s">
        <v>2098</v>
      </c>
    </row>
    <row r="1338" spans="2:22" ht="15" customHeight="1" x14ac:dyDescent="0.2">
      <c r="B1338" s="193">
        <v>1</v>
      </c>
      <c r="C1338" s="347" t="s">
        <v>2051</v>
      </c>
      <c r="D1338" s="347" t="str">
        <f t="shared" si="95"/>
        <v>RBDPL001190HSA</v>
      </c>
      <c r="E1338" s="193" t="s">
        <v>936</v>
      </c>
      <c r="F1338" s="193"/>
      <c r="G1338" s="193"/>
      <c r="H1338" s="193" t="s">
        <v>103</v>
      </c>
      <c r="I1338" s="193" t="s">
        <v>3</v>
      </c>
      <c r="J1338" s="193" t="str">
        <f t="shared" si="96"/>
        <v>6 Roda</v>
      </c>
      <c r="K1338" s="194">
        <v>46155</v>
      </c>
      <c r="L1338" s="195">
        <v>4230</v>
      </c>
      <c r="M1338" s="195">
        <v>14380</v>
      </c>
      <c r="N1338" s="195">
        <v>10150</v>
      </c>
      <c r="O1338" s="195"/>
      <c r="P1338" s="196">
        <v>0.62569444444444444</v>
      </c>
      <c r="Q1338" s="196">
        <v>0.65138888888888891</v>
      </c>
      <c r="R1338" s="193" t="s">
        <v>137</v>
      </c>
      <c r="S1338" s="193" t="s">
        <v>1385</v>
      </c>
      <c r="T1338" s="197">
        <f t="shared" si="97"/>
        <v>360</v>
      </c>
      <c r="U1338" s="193" t="s">
        <v>1381</v>
      </c>
      <c r="V1338" s="193" t="s">
        <v>2098</v>
      </c>
    </row>
    <row r="1339" spans="2:22" ht="15" customHeight="1" x14ac:dyDescent="0.2">
      <c r="B1339" s="193">
        <v>1</v>
      </c>
      <c r="C1339" s="347" t="s">
        <v>2052</v>
      </c>
      <c r="D1339" s="347" t="str">
        <f t="shared" si="95"/>
        <v>RBDPL001183SCM</v>
      </c>
      <c r="E1339" s="193" t="s">
        <v>153</v>
      </c>
      <c r="F1339" s="193"/>
      <c r="G1339" s="193"/>
      <c r="H1339" s="193" t="s">
        <v>107</v>
      </c>
      <c r="I1339" s="193" t="s">
        <v>3</v>
      </c>
      <c r="J1339" s="193" t="str">
        <f t="shared" si="96"/>
        <v>6 Roda</v>
      </c>
      <c r="K1339" s="194">
        <v>46155</v>
      </c>
      <c r="L1339" s="195">
        <v>3980</v>
      </c>
      <c r="M1339" s="195">
        <v>13660</v>
      </c>
      <c r="N1339" s="195">
        <v>9680</v>
      </c>
      <c r="O1339" s="195"/>
      <c r="P1339" s="196">
        <v>0.36736111111111108</v>
      </c>
      <c r="Q1339" s="196">
        <v>0.38472222222222219</v>
      </c>
      <c r="R1339" s="193" t="s">
        <v>137</v>
      </c>
      <c r="S1339" s="193" t="s">
        <v>1379</v>
      </c>
      <c r="T1339" s="197">
        <f t="shared" si="97"/>
        <v>400</v>
      </c>
      <c r="U1339" s="193" t="s">
        <v>175</v>
      </c>
      <c r="V1339" s="193" t="s">
        <v>2098</v>
      </c>
    </row>
    <row r="1340" spans="2:22" ht="15" customHeight="1" x14ac:dyDescent="0.2">
      <c r="B1340" s="193">
        <v>1</v>
      </c>
      <c r="C1340" s="347" t="s">
        <v>2053</v>
      </c>
      <c r="D1340" s="347" t="str">
        <f t="shared" si="95"/>
        <v>RBDPL001184SCM</v>
      </c>
      <c r="E1340" s="193" t="s">
        <v>830</v>
      </c>
      <c r="F1340" s="193"/>
      <c r="G1340" s="193"/>
      <c r="H1340" s="193" t="s">
        <v>107</v>
      </c>
      <c r="I1340" s="193" t="s">
        <v>3</v>
      </c>
      <c r="J1340" s="193" t="str">
        <f t="shared" si="96"/>
        <v>6 Roda</v>
      </c>
      <c r="K1340" s="194">
        <v>46155</v>
      </c>
      <c r="L1340" s="195">
        <v>4170</v>
      </c>
      <c r="M1340" s="195">
        <v>13360</v>
      </c>
      <c r="N1340" s="195">
        <v>9190</v>
      </c>
      <c r="O1340" s="195"/>
      <c r="P1340" s="196">
        <v>0.46249999999999997</v>
      </c>
      <c r="Q1340" s="196">
        <v>0.4861111111111111</v>
      </c>
      <c r="R1340" s="193" t="s">
        <v>137</v>
      </c>
      <c r="S1340" s="193" t="s">
        <v>1618</v>
      </c>
      <c r="T1340" s="197">
        <f t="shared" si="97"/>
        <v>400</v>
      </c>
      <c r="U1340" s="193" t="s">
        <v>175</v>
      </c>
      <c r="V1340" s="193" t="s">
        <v>2098</v>
      </c>
    </row>
    <row r="1341" spans="2:22" ht="15" customHeight="1" x14ac:dyDescent="0.2">
      <c r="B1341" s="193">
        <v>1</v>
      </c>
      <c r="C1341" s="347" t="s">
        <v>2054</v>
      </c>
      <c r="D1341" s="347" t="str">
        <f t="shared" si="95"/>
        <v>RBDPL001185SCM</v>
      </c>
      <c r="E1341" s="193" t="s">
        <v>236</v>
      </c>
      <c r="F1341" s="193"/>
      <c r="G1341" s="193"/>
      <c r="H1341" s="193" t="s">
        <v>107</v>
      </c>
      <c r="I1341" s="193" t="s">
        <v>3</v>
      </c>
      <c r="J1341" s="193" t="str">
        <f t="shared" si="96"/>
        <v>6 Roda</v>
      </c>
      <c r="K1341" s="194">
        <v>46155</v>
      </c>
      <c r="L1341" s="195">
        <v>4130</v>
      </c>
      <c r="M1341" s="195">
        <v>13160</v>
      </c>
      <c r="N1341" s="195">
        <v>9030</v>
      </c>
      <c r="O1341" s="195"/>
      <c r="P1341" s="196">
        <v>0.46597222222222223</v>
      </c>
      <c r="Q1341" s="196">
        <v>0.4993055555555555</v>
      </c>
      <c r="R1341" s="193" t="s">
        <v>137</v>
      </c>
      <c r="S1341" s="193" t="s">
        <v>1466</v>
      </c>
      <c r="T1341" s="197">
        <f t="shared" si="97"/>
        <v>400</v>
      </c>
      <c r="U1341" s="193" t="s">
        <v>175</v>
      </c>
      <c r="V1341" s="193" t="s">
        <v>2098</v>
      </c>
    </row>
    <row r="1342" spans="2:22" ht="15" customHeight="1" x14ac:dyDescent="0.2">
      <c r="B1342" s="193">
        <v>1</v>
      </c>
      <c r="C1342" s="347" t="s">
        <v>2055</v>
      </c>
      <c r="D1342" s="347" t="str">
        <f t="shared" si="95"/>
        <v>RBDPL001186SCM</v>
      </c>
      <c r="E1342" s="193" t="s">
        <v>2023</v>
      </c>
      <c r="F1342" s="193"/>
      <c r="G1342" s="193"/>
      <c r="H1342" s="193" t="s">
        <v>107</v>
      </c>
      <c r="I1342" s="193" t="s">
        <v>3</v>
      </c>
      <c r="J1342" s="193" t="str">
        <f t="shared" si="96"/>
        <v>6 Roda</v>
      </c>
      <c r="K1342" s="194">
        <v>46155</v>
      </c>
      <c r="L1342" s="195">
        <v>3990</v>
      </c>
      <c r="M1342" s="195">
        <v>13060</v>
      </c>
      <c r="N1342" s="195">
        <v>9070</v>
      </c>
      <c r="O1342" s="195"/>
      <c r="P1342" s="196">
        <v>0.4916666666666667</v>
      </c>
      <c r="Q1342" s="196">
        <v>0.50902777777777775</v>
      </c>
      <c r="R1342" s="193" t="s">
        <v>137</v>
      </c>
      <c r="S1342" s="193" t="s">
        <v>2036</v>
      </c>
      <c r="T1342" s="197">
        <f t="shared" si="97"/>
        <v>400</v>
      </c>
      <c r="U1342" s="193" t="s">
        <v>175</v>
      </c>
      <c r="V1342" s="193" t="s">
        <v>2098</v>
      </c>
    </row>
    <row r="1343" spans="2:22" ht="15" customHeight="1" x14ac:dyDescent="0.2">
      <c r="B1343" s="193">
        <v>1</v>
      </c>
      <c r="C1343" s="347" t="s">
        <v>2056</v>
      </c>
      <c r="D1343" s="347" t="str">
        <f t="shared" si="95"/>
        <v>RBDPL001187SCM</v>
      </c>
      <c r="E1343" s="193" t="s">
        <v>2088</v>
      </c>
      <c r="F1343" s="193"/>
      <c r="G1343" s="193"/>
      <c r="H1343" s="193" t="s">
        <v>107</v>
      </c>
      <c r="I1343" s="193" t="s">
        <v>3</v>
      </c>
      <c r="J1343" s="193" t="str">
        <f t="shared" si="96"/>
        <v>6 Roda</v>
      </c>
      <c r="K1343" s="194">
        <v>46155</v>
      </c>
      <c r="L1343" s="195">
        <v>3930</v>
      </c>
      <c r="M1343" s="195">
        <v>13240</v>
      </c>
      <c r="N1343" s="195">
        <v>9310</v>
      </c>
      <c r="O1343" s="195"/>
      <c r="P1343" s="196">
        <v>0.55138888888888882</v>
      </c>
      <c r="Q1343" s="196">
        <v>0.58958333333333335</v>
      </c>
      <c r="R1343" s="193" t="s">
        <v>137</v>
      </c>
      <c r="S1343" s="193" t="s">
        <v>2093</v>
      </c>
      <c r="T1343" s="197">
        <f t="shared" si="97"/>
        <v>400</v>
      </c>
      <c r="U1343" s="193" t="s">
        <v>175</v>
      </c>
      <c r="V1343" s="193" t="s">
        <v>2098</v>
      </c>
    </row>
    <row r="1344" spans="2:22" ht="15" customHeight="1" x14ac:dyDescent="0.2">
      <c r="B1344" s="193">
        <v>1</v>
      </c>
      <c r="C1344" s="347" t="s">
        <v>2057</v>
      </c>
      <c r="D1344" s="347" t="str">
        <f t="shared" si="95"/>
        <v>RBDPL001198SCM</v>
      </c>
      <c r="E1344" s="193" t="s">
        <v>962</v>
      </c>
      <c r="F1344" s="193"/>
      <c r="G1344" s="193"/>
      <c r="H1344" s="193" t="s">
        <v>107</v>
      </c>
      <c r="I1344" s="193" t="s">
        <v>3</v>
      </c>
      <c r="J1344" s="193" t="str">
        <f t="shared" si="96"/>
        <v>6 Roda</v>
      </c>
      <c r="K1344" s="194">
        <v>46155</v>
      </c>
      <c r="L1344" s="195">
        <v>4430</v>
      </c>
      <c r="M1344" s="195">
        <v>13650</v>
      </c>
      <c r="N1344" s="195">
        <v>9220</v>
      </c>
      <c r="O1344" s="195"/>
      <c r="P1344" s="196">
        <v>0.83472222222222225</v>
      </c>
      <c r="Q1344" s="196">
        <v>0.91319444444444453</v>
      </c>
      <c r="R1344" s="193" t="s">
        <v>42</v>
      </c>
      <c r="S1344" s="193" t="s">
        <v>2043</v>
      </c>
      <c r="T1344" s="197">
        <f t="shared" si="97"/>
        <v>400</v>
      </c>
      <c r="U1344" s="193" t="s">
        <v>175</v>
      </c>
      <c r="V1344" s="193" t="s">
        <v>2098</v>
      </c>
    </row>
    <row r="1345" spans="2:22" ht="15" customHeight="1" x14ac:dyDescent="0.2">
      <c r="B1345" s="193">
        <v>1</v>
      </c>
      <c r="C1345" s="347" t="s">
        <v>2058</v>
      </c>
      <c r="D1345" s="347" t="str">
        <f t="shared" si="95"/>
        <v>RBDPL001192SCM</v>
      </c>
      <c r="E1345" s="193" t="s">
        <v>158</v>
      </c>
      <c r="F1345" s="193"/>
      <c r="G1345" s="193"/>
      <c r="H1345" s="193" t="s">
        <v>107</v>
      </c>
      <c r="I1345" s="193" t="s">
        <v>3</v>
      </c>
      <c r="J1345" s="193" t="str">
        <f t="shared" si="96"/>
        <v>6 Roda</v>
      </c>
      <c r="K1345" s="194">
        <v>46155</v>
      </c>
      <c r="L1345" s="195">
        <v>3940</v>
      </c>
      <c r="M1345" s="195">
        <v>14070</v>
      </c>
      <c r="N1345" s="195">
        <v>10130</v>
      </c>
      <c r="O1345" s="195"/>
      <c r="P1345" s="196">
        <v>0.65416666666666667</v>
      </c>
      <c r="Q1345" s="196">
        <v>0.68333333333333324</v>
      </c>
      <c r="R1345" s="193" t="s">
        <v>137</v>
      </c>
      <c r="S1345" s="193" t="s">
        <v>1395</v>
      </c>
      <c r="T1345" s="197">
        <f t="shared" si="97"/>
        <v>400</v>
      </c>
      <c r="U1345" s="193" t="s">
        <v>175</v>
      </c>
      <c r="V1345" s="193" t="s">
        <v>2098</v>
      </c>
    </row>
    <row r="1346" spans="2:22" ht="15" customHeight="1" x14ac:dyDescent="0.2">
      <c r="B1346" s="193">
        <v>1</v>
      </c>
      <c r="C1346" s="347" t="s">
        <v>2059</v>
      </c>
      <c r="D1346" s="347" t="str">
        <f t="shared" si="95"/>
        <v>RBDPL001193SCM</v>
      </c>
      <c r="E1346" s="193" t="s">
        <v>53</v>
      </c>
      <c r="F1346" s="193"/>
      <c r="G1346" s="193"/>
      <c r="H1346" s="193" t="s">
        <v>107</v>
      </c>
      <c r="I1346" s="193" t="s">
        <v>3</v>
      </c>
      <c r="J1346" s="193" t="str">
        <f t="shared" si="96"/>
        <v>6 Roda</v>
      </c>
      <c r="K1346" s="194">
        <v>46155</v>
      </c>
      <c r="L1346" s="195">
        <v>3960</v>
      </c>
      <c r="M1346" s="195">
        <v>13540</v>
      </c>
      <c r="N1346" s="195">
        <v>9580</v>
      </c>
      <c r="O1346" s="195"/>
      <c r="P1346" s="196">
        <v>0.68055555555555547</v>
      </c>
      <c r="Q1346" s="196">
        <v>0.69930555555555562</v>
      </c>
      <c r="R1346" s="193" t="s">
        <v>42</v>
      </c>
      <c r="S1346" s="193" t="s">
        <v>1396</v>
      </c>
      <c r="T1346" s="197">
        <f t="shared" si="97"/>
        <v>400</v>
      </c>
      <c r="U1346" s="193" t="s">
        <v>175</v>
      </c>
      <c r="V1346" s="193" t="s">
        <v>2098</v>
      </c>
    </row>
    <row r="1347" spans="2:22" ht="15" customHeight="1" x14ac:dyDescent="0.2">
      <c r="B1347" s="193">
        <v>1</v>
      </c>
      <c r="C1347" s="347" t="s">
        <v>2060</v>
      </c>
      <c r="D1347" s="347" t="str">
        <f t="shared" si="95"/>
        <v>RBDPL001194SCM</v>
      </c>
      <c r="E1347" s="193" t="s">
        <v>2089</v>
      </c>
      <c r="F1347" s="193"/>
      <c r="G1347" s="193"/>
      <c r="H1347" s="193" t="s">
        <v>107</v>
      </c>
      <c r="I1347" s="193" t="s">
        <v>3</v>
      </c>
      <c r="J1347" s="193" t="str">
        <f t="shared" si="96"/>
        <v>6 Roda</v>
      </c>
      <c r="K1347" s="194">
        <v>46155</v>
      </c>
      <c r="L1347" s="195">
        <v>4010</v>
      </c>
      <c r="M1347" s="195">
        <v>13660</v>
      </c>
      <c r="N1347" s="195">
        <v>9650</v>
      </c>
      <c r="O1347" s="195"/>
      <c r="P1347" s="196">
        <v>0.68263888888888891</v>
      </c>
      <c r="Q1347" s="196">
        <v>0.71597222222222223</v>
      </c>
      <c r="R1347" s="193" t="s">
        <v>42</v>
      </c>
      <c r="S1347" s="193" t="s">
        <v>2030</v>
      </c>
      <c r="T1347" s="197">
        <f t="shared" si="97"/>
        <v>400</v>
      </c>
      <c r="U1347" s="193" t="s">
        <v>175</v>
      </c>
      <c r="V1347" s="193" t="s">
        <v>2098</v>
      </c>
    </row>
    <row r="1348" spans="2:22" ht="15" customHeight="1" x14ac:dyDescent="0.2">
      <c r="B1348" s="193">
        <v>1</v>
      </c>
      <c r="C1348" s="347" t="s">
        <v>2061</v>
      </c>
      <c r="D1348" s="347" t="str">
        <f t="shared" si="95"/>
        <v>RBDPL001195SCM</v>
      </c>
      <c r="E1348" s="193" t="s">
        <v>2026</v>
      </c>
      <c r="F1348" s="193"/>
      <c r="G1348" s="193"/>
      <c r="H1348" s="193" t="s">
        <v>107</v>
      </c>
      <c r="I1348" s="193" t="s">
        <v>3</v>
      </c>
      <c r="J1348" s="193" t="str">
        <f t="shared" si="96"/>
        <v>6 Roda</v>
      </c>
      <c r="K1348" s="194">
        <v>46155</v>
      </c>
      <c r="L1348" s="195">
        <v>4250</v>
      </c>
      <c r="M1348" s="195">
        <v>13470</v>
      </c>
      <c r="N1348" s="195">
        <v>9220</v>
      </c>
      <c r="O1348" s="195"/>
      <c r="P1348" s="196">
        <v>0.68472222222222223</v>
      </c>
      <c r="Q1348" s="196">
        <v>0.73402777777777783</v>
      </c>
      <c r="R1348" s="193" t="s">
        <v>42</v>
      </c>
      <c r="S1348" s="193" t="s">
        <v>2035</v>
      </c>
      <c r="T1348" s="197">
        <f t="shared" si="97"/>
        <v>400</v>
      </c>
      <c r="U1348" s="193" t="s">
        <v>175</v>
      </c>
      <c r="V1348" s="193" t="s">
        <v>2098</v>
      </c>
    </row>
    <row r="1349" spans="2:22" ht="15" customHeight="1" x14ac:dyDescent="0.2">
      <c r="B1349" s="193">
        <v>1</v>
      </c>
      <c r="C1349" s="347" t="s">
        <v>2062</v>
      </c>
      <c r="D1349" s="347" t="str">
        <f t="shared" si="95"/>
        <v>RBDPL001199DA</v>
      </c>
      <c r="E1349" s="193" t="s">
        <v>1064</v>
      </c>
      <c r="F1349" s="193"/>
      <c r="G1349" s="193"/>
      <c r="H1349" s="193" t="s">
        <v>111</v>
      </c>
      <c r="I1349" s="193" t="s">
        <v>3</v>
      </c>
      <c r="J1349" s="193" t="str">
        <f t="shared" si="96"/>
        <v>6 Roda</v>
      </c>
      <c r="K1349" s="194">
        <v>46156</v>
      </c>
      <c r="L1349" s="195">
        <v>4060</v>
      </c>
      <c r="M1349" s="195">
        <v>13590</v>
      </c>
      <c r="N1349" s="195">
        <v>9530</v>
      </c>
      <c r="O1349" s="195"/>
      <c r="P1349" s="196">
        <v>0.59097222222222223</v>
      </c>
      <c r="Q1349" s="196">
        <v>0.66180555555555554</v>
      </c>
      <c r="R1349" s="193" t="s">
        <v>137</v>
      </c>
      <c r="S1349" s="193" t="s">
        <v>1383</v>
      </c>
      <c r="T1349" s="197">
        <f t="shared" si="97"/>
        <v>360</v>
      </c>
      <c r="U1349" s="193" t="s">
        <v>1381</v>
      </c>
      <c r="V1349" s="193" t="s">
        <v>2100</v>
      </c>
    </row>
    <row r="1350" spans="2:22" ht="15" customHeight="1" x14ac:dyDescent="0.2">
      <c r="B1350" s="193">
        <v>1</v>
      </c>
      <c r="C1350" s="347" t="s">
        <v>2063</v>
      </c>
      <c r="D1350" s="347" t="str">
        <f t="shared" si="95"/>
        <v>RBDPL001203DA</v>
      </c>
      <c r="E1350" s="193" t="s">
        <v>940</v>
      </c>
      <c r="F1350" s="193"/>
      <c r="G1350" s="193"/>
      <c r="H1350" s="193" t="s">
        <v>111</v>
      </c>
      <c r="I1350" s="193" t="s">
        <v>3</v>
      </c>
      <c r="J1350" s="193" t="str">
        <f t="shared" si="96"/>
        <v>6 Roda</v>
      </c>
      <c r="K1350" s="194">
        <v>46156</v>
      </c>
      <c r="L1350" s="195">
        <v>4010</v>
      </c>
      <c r="M1350" s="195">
        <v>13540</v>
      </c>
      <c r="N1350" s="195">
        <v>9530</v>
      </c>
      <c r="O1350" s="195"/>
      <c r="P1350" s="196">
        <v>0.9243055555555556</v>
      </c>
      <c r="Q1350" s="196">
        <v>0.93958333333333333</v>
      </c>
      <c r="R1350" s="193" t="s">
        <v>42</v>
      </c>
      <c r="S1350" s="193" t="s">
        <v>1383</v>
      </c>
      <c r="T1350" s="197">
        <f t="shared" si="97"/>
        <v>360</v>
      </c>
      <c r="U1350" s="193" t="s">
        <v>1381</v>
      </c>
      <c r="V1350" s="193" t="s">
        <v>2098</v>
      </c>
    </row>
    <row r="1351" spans="2:22" ht="15" customHeight="1" x14ac:dyDescent="0.2">
      <c r="B1351" s="193">
        <v>1</v>
      </c>
      <c r="C1351" s="347" t="s">
        <v>2064</v>
      </c>
      <c r="D1351" s="347" t="str">
        <f t="shared" si="95"/>
        <v>RBDPL001200SCM</v>
      </c>
      <c r="E1351" s="193" t="s">
        <v>962</v>
      </c>
      <c r="F1351" s="193"/>
      <c r="G1351" s="193"/>
      <c r="H1351" s="193" t="s">
        <v>107</v>
      </c>
      <c r="I1351" s="193" t="s">
        <v>3</v>
      </c>
      <c r="J1351" s="193" t="str">
        <f t="shared" si="96"/>
        <v>6 Roda</v>
      </c>
      <c r="K1351" s="194">
        <v>46156</v>
      </c>
      <c r="L1351" s="195">
        <v>4430</v>
      </c>
      <c r="M1351" s="195">
        <v>13570</v>
      </c>
      <c r="N1351" s="195">
        <v>9140</v>
      </c>
      <c r="O1351" s="195"/>
      <c r="P1351" s="196">
        <v>0.7055555555555556</v>
      </c>
      <c r="Q1351" s="196">
        <v>0.73333333333333339</v>
      </c>
      <c r="R1351" s="193" t="s">
        <v>42</v>
      </c>
      <c r="S1351" s="193" t="s">
        <v>2043</v>
      </c>
      <c r="T1351" s="197">
        <f t="shared" si="97"/>
        <v>400</v>
      </c>
      <c r="U1351" s="193" t="s">
        <v>175</v>
      </c>
      <c r="V1351" s="193" t="s">
        <v>2098</v>
      </c>
    </row>
    <row r="1352" spans="2:22" ht="15" customHeight="1" x14ac:dyDescent="0.2">
      <c r="B1352" s="193">
        <v>1</v>
      </c>
      <c r="C1352" s="347" t="s">
        <v>2065</v>
      </c>
      <c r="D1352" s="347" t="str">
        <f t="shared" si="95"/>
        <v>RBDPL001201TDJ</v>
      </c>
      <c r="E1352" s="193" t="s">
        <v>76</v>
      </c>
      <c r="F1352" s="193"/>
      <c r="G1352" s="193"/>
      <c r="H1352" s="193" t="s">
        <v>1523</v>
      </c>
      <c r="I1352" s="193" t="s">
        <v>3</v>
      </c>
      <c r="J1352" s="193" t="str">
        <f t="shared" si="96"/>
        <v>12 Roda</v>
      </c>
      <c r="K1352" s="194">
        <v>46156</v>
      </c>
      <c r="L1352" s="195">
        <v>17290</v>
      </c>
      <c r="M1352" s="195">
        <v>46140</v>
      </c>
      <c r="N1352" s="195">
        <v>28850</v>
      </c>
      <c r="O1352" s="195"/>
      <c r="P1352" s="196">
        <v>0.7090277777777777</v>
      </c>
      <c r="Q1352" s="196">
        <v>0.76458333333333339</v>
      </c>
      <c r="R1352" s="193" t="s">
        <v>42</v>
      </c>
      <c r="S1352" s="193" t="s">
        <v>1372</v>
      </c>
      <c r="T1352" s="197">
        <f t="shared" si="97"/>
        <v>473</v>
      </c>
      <c r="U1352" s="193" t="s">
        <v>69</v>
      </c>
      <c r="V1352" s="193" t="s">
        <v>2101</v>
      </c>
    </row>
    <row r="1353" spans="2:22" ht="15" customHeight="1" x14ac:dyDescent="0.2">
      <c r="B1353" s="193">
        <v>1</v>
      </c>
      <c r="C1353" s="347" t="s">
        <v>2066</v>
      </c>
      <c r="D1353" s="347" t="str">
        <f t="shared" si="95"/>
        <v>RBDPL001202WIN</v>
      </c>
      <c r="E1353" s="193" t="s">
        <v>46</v>
      </c>
      <c r="F1353" s="193"/>
      <c r="G1353" s="193"/>
      <c r="H1353" s="193" t="s">
        <v>115</v>
      </c>
      <c r="I1353" s="193" t="s">
        <v>3</v>
      </c>
      <c r="J1353" s="193" t="str">
        <f t="shared" si="96"/>
        <v>10 Roda</v>
      </c>
      <c r="K1353" s="194">
        <v>46156</v>
      </c>
      <c r="L1353" s="195">
        <v>11770</v>
      </c>
      <c r="M1353" s="195">
        <v>26860</v>
      </c>
      <c r="N1353" s="195">
        <v>15090</v>
      </c>
      <c r="O1353" s="195"/>
      <c r="P1353" s="196">
        <v>0.71597222222222223</v>
      </c>
      <c r="Q1353" s="196">
        <v>0.78055555555555556</v>
      </c>
      <c r="R1353" s="193" t="s">
        <v>42</v>
      </c>
      <c r="S1353" s="193" t="s">
        <v>1393</v>
      </c>
      <c r="T1353" s="197">
        <f t="shared" si="97"/>
        <v>642</v>
      </c>
      <c r="U1353" s="193" t="s">
        <v>69</v>
      </c>
      <c r="V1353" s="193" t="s">
        <v>2102</v>
      </c>
    </row>
    <row r="1354" spans="2:22" ht="15" customHeight="1" x14ac:dyDescent="0.2">
      <c r="B1354" s="193">
        <v>1</v>
      </c>
      <c r="C1354" s="347" t="s">
        <v>2067</v>
      </c>
      <c r="D1354" s="347" t="str">
        <f t="shared" si="95"/>
        <v>RBDPL001204DA</v>
      </c>
      <c r="E1354" s="193" t="s">
        <v>1572</v>
      </c>
      <c r="F1354" s="193"/>
      <c r="G1354" s="193"/>
      <c r="H1354" s="193" t="s">
        <v>111</v>
      </c>
      <c r="I1354" s="193" t="s">
        <v>3</v>
      </c>
      <c r="J1354" s="193" t="str">
        <f t="shared" si="96"/>
        <v>12 Roda</v>
      </c>
      <c r="K1354" s="194">
        <v>46157</v>
      </c>
      <c r="L1354" s="195">
        <v>18970</v>
      </c>
      <c r="M1354" s="195">
        <v>42610</v>
      </c>
      <c r="N1354" s="195">
        <v>23640</v>
      </c>
      <c r="O1354" s="195"/>
      <c r="P1354" s="196">
        <v>0.37083333333333335</v>
      </c>
      <c r="Q1354" s="196">
        <v>0.42777777777777781</v>
      </c>
      <c r="R1354" s="193" t="s">
        <v>137</v>
      </c>
      <c r="S1354" s="193" t="s">
        <v>2041</v>
      </c>
      <c r="T1354" s="197">
        <f t="shared" si="97"/>
        <v>360</v>
      </c>
      <c r="U1354" s="193" t="s">
        <v>175</v>
      </c>
      <c r="V1354" s="193" t="s">
        <v>2098</v>
      </c>
    </row>
    <row r="1355" spans="2:22" ht="15" customHeight="1" x14ac:dyDescent="0.2">
      <c r="B1355" s="193">
        <v>1</v>
      </c>
      <c r="C1355" s="347" t="s">
        <v>2068</v>
      </c>
      <c r="D1355" s="347" t="str">
        <f t="shared" si="95"/>
        <v>RBDPL001209HSA</v>
      </c>
      <c r="E1355" s="193" t="s">
        <v>938</v>
      </c>
      <c r="F1355" s="193"/>
      <c r="G1355" s="193"/>
      <c r="H1355" s="193" t="s">
        <v>103</v>
      </c>
      <c r="I1355" s="193" t="s">
        <v>3</v>
      </c>
      <c r="J1355" s="193" t="str">
        <f t="shared" si="96"/>
        <v>6 Roda</v>
      </c>
      <c r="K1355" s="194">
        <v>46157</v>
      </c>
      <c r="L1355" s="195">
        <v>3960</v>
      </c>
      <c r="M1355" s="195">
        <v>13440</v>
      </c>
      <c r="N1355" s="195">
        <v>9480</v>
      </c>
      <c r="O1355" s="195"/>
      <c r="P1355" s="196">
        <v>0.6430555555555556</v>
      </c>
      <c r="Q1355" s="196">
        <v>0.66388888888888886</v>
      </c>
      <c r="R1355" s="193" t="s">
        <v>137</v>
      </c>
      <c r="S1355" s="193" t="s">
        <v>1384</v>
      </c>
      <c r="T1355" s="197">
        <f t="shared" si="97"/>
        <v>360</v>
      </c>
      <c r="U1355" s="193" t="s">
        <v>1381</v>
      </c>
      <c r="V1355" s="193" t="s">
        <v>2098</v>
      </c>
    </row>
    <row r="1356" spans="2:22" ht="15" customHeight="1" x14ac:dyDescent="0.2">
      <c r="B1356" s="193">
        <v>1</v>
      </c>
      <c r="C1356" s="347" t="s">
        <v>2069</v>
      </c>
      <c r="D1356" s="347" t="str">
        <f t="shared" si="95"/>
        <v>RBDPL001210HSA</v>
      </c>
      <c r="E1356" s="193" t="s">
        <v>147</v>
      </c>
      <c r="F1356" s="193"/>
      <c r="G1356" s="193"/>
      <c r="H1356" s="193" t="s">
        <v>103</v>
      </c>
      <c r="I1356" s="193" t="s">
        <v>3</v>
      </c>
      <c r="J1356" s="193" t="str">
        <f t="shared" si="96"/>
        <v>6 Roda</v>
      </c>
      <c r="K1356" s="194">
        <v>46157</v>
      </c>
      <c r="L1356" s="195">
        <v>3920</v>
      </c>
      <c r="M1356" s="195">
        <v>14020</v>
      </c>
      <c r="N1356" s="195">
        <v>10100</v>
      </c>
      <c r="O1356" s="195"/>
      <c r="P1356" s="196">
        <v>0.64374999999999993</v>
      </c>
      <c r="Q1356" s="196">
        <v>0.67986111111111114</v>
      </c>
      <c r="R1356" s="193" t="s">
        <v>42</v>
      </c>
      <c r="S1356" s="193" t="s">
        <v>1373</v>
      </c>
      <c r="T1356" s="197">
        <f t="shared" si="97"/>
        <v>360</v>
      </c>
      <c r="U1356" s="193" t="s">
        <v>1381</v>
      </c>
      <c r="V1356" s="193" t="s">
        <v>2098</v>
      </c>
    </row>
    <row r="1357" spans="2:22" ht="15" customHeight="1" x14ac:dyDescent="0.2">
      <c r="B1357" s="193">
        <v>1</v>
      </c>
      <c r="C1357" s="347" t="s">
        <v>2070</v>
      </c>
      <c r="D1357" s="347" t="str">
        <f t="shared" si="95"/>
        <v>RBDPL001212HSA</v>
      </c>
      <c r="E1357" s="193" t="s">
        <v>983</v>
      </c>
      <c r="F1357" s="193"/>
      <c r="G1357" s="193"/>
      <c r="H1357" s="193" t="s">
        <v>103</v>
      </c>
      <c r="I1357" s="193" t="s">
        <v>3</v>
      </c>
      <c r="J1357" s="193" t="str">
        <f t="shared" si="96"/>
        <v>6 Roda</v>
      </c>
      <c r="K1357" s="194">
        <v>46157</v>
      </c>
      <c r="L1357" s="195">
        <v>4020</v>
      </c>
      <c r="M1357" s="195">
        <v>13310</v>
      </c>
      <c r="N1357" s="195">
        <v>9290</v>
      </c>
      <c r="O1357" s="195"/>
      <c r="P1357" s="196">
        <v>0.68611111111111101</v>
      </c>
      <c r="Q1357" s="196">
        <v>0.70972222222222225</v>
      </c>
      <c r="R1357" s="193" t="s">
        <v>42</v>
      </c>
      <c r="S1357" s="193" t="s">
        <v>2034</v>
      </c>
      <c r="T1357" s="197">
        <f t="shared" si="97"/>
        <v>360</v>
      </c>
      <c r="U1357" s="193" t="s">
        <v>1381</v>
      </c>
      <c r="V1357" s="193" t="s">
        <v>2098</v>
      </c>
    </row>
    <row r="1358" spans="2:22" ht="15" customHeight="1" x14ac:dyDescent="0.2">
      <c r="B1358" s="193">
        <v>1</v>
      </c>
      <c r="C1358" s="347" t="s">
        <v>2071</v>
      </c>
      <c r="D1358" s="347" t="str">
        <f t="shared" si="95"/>
        <v>RBDPL001211BJL</v>
      </c>
      <c r="E1358" s="193" t="s">
        <v>174</v>
      </c>
      <c r="F1358" s="193"/>
      <c r="G1358" s="193"/>
      <c r="H1358" s="193" t="s">
        <v>86</v>
      </c>
      <c r="I1358" s="193" t="s">
        <v>3</v>
      </c>
      <c r="J1358" s="193" t="str">
        <f t="shared" si="96"/>
        <v>6 Roda</v>
      </c>
      <c r="K1358" s="194">
        <v>46157</v>
      </c>
      <c r="L1358" s="195">
        <v>4410</v>
      </c>
      <c r="M1358" s="195">
        <v>13560</v>
      </c>
      <c r="N1358" s="195">
        <v>9150</v>
      </c>
      <c r="O1358" s="195"/>
      <c r="P1358" s="196">
        <v>0.66666666666666663</v>
      </c>
      <c r="Q1358" s="196">
        <v>0.69861111111111107</v>
      </c>
      <c r="R1358" s="193" t="s">
        <v>42</v>
      </c>
      <c r="S1358" s="193" t="s">
        <v>2029</v>
      </c>
      <c r="T1358" s="197">
        <f t="shared" si="97"/>
        <v>562</v>
      </c>
      <c r="U1358" s="193" t="s">
        <v>175</v>
      </c>
      <c r="V1358" s="193" t="s">
        <v>2099</v>
      </c>
    </row>
    <row r="1359" spans="2:22" ht="15" customHeight="1" x14ac:dyDescent="0.2">
      <c r="B1359" s="193">
        <v>1</v>
      </c>
      <c r="C1359" s="347" t="s">
        <v>2072</v>
      </c>
      <c r="D1359" s="347" t="str">
        <f t="shared" si="95"/>
        <v>RBDPL001205SCM</v>
      </c>
      <c r="E1359" s="193" t="s">
        <v>1498</v>
      </c>
      <c r="F1359" s="193"/>
      <c r="G1359" s="193"/>
      <c r="H1359" s="193" t="s">
        <v>107</v>
      </c>
      <c r="I1359" s="193" t="s">
        <v>3</v>
      </c>
      <c r="J1359" s="193" t="str">
        <f t="shared" si="96"/>
        <v>6 Roda</v>
      </c>
      <c r="K1359" s="194">
        <v>46157</v>
      </c>
      <c r="L1359" s="195">
        <v>4130</v>
      </c>
      <c r="M1359" s="195">
        <v>13160</v>
      </c>
      <c r="N1359" s="195">
        <v>9030</v>
      </c>
      <c r="O1359" s="195"/>
      <c r="P1359" s="196">
        <v>0.43055555555555558</v>
      </c>
      <c r="Q1359" s="196">
        <v>0.44930555555555557</v>
      </c>
      <c r="R1359" s="193" t="s">
        <v>137</v>
      </c>
      <c r="S1359" s="193" t="s">
        <v>1466</v>
      </c>
      <c r="T1359" s="197">
        <f t="shared" si="97"/>
        <v>400</v>
      </c>
      <c r="U1359" s="193" t="s">
        <v>175</v>
      </c>
      <c r="V1359" s="193" t="s">
        <v>2098</v>
      </c>
    </row>
    <row r="1360" spans="2:22" ht="15" customHeight="1" x14ac:dyDescent="0.2">
      <c r="B1360" s="193">
        <v>1</v>
      </c>
      <c r="C1360" s="347" t="s">
        <v>2073</v>
      </c>
      <c r="D1360" s="347" t="str">
        <f t="shared" si="95"/>
        <v>RBDPL001206SCM</v>
      </c>
      <c r="E1360" s="193" t="s">
        <v>2090</v>
      </c>
      <c r="F1360" s="193"/>
      <c r="G1360" s="193"/>
      <c r="H1360" s="193" t="s">
        <v>107</v>
      </c>
      <c r="I1360" s="193" t="s">
        <v>3</v>
      </c>
      <c r="J1360" s="193" t="str">
        <f t="shared" si="96"/>
        <v>6 Roda</v>
      </c>
      <c r="K1360" s="194">
        <v>46157</v>
      </c>
      <c r="L1360" s="195">
        <v>4210</v>
      </c>
      <c r="M1360" s="195">
        <v>13940</v>
      </c>
      <c r="N1360" s="195">
        <v>9730</v>
      </c>
      <c r="O1360" s="195"/>
      <c r="P1360" s="196">
        <v>0.43263888888888885</v>
      </c>
      <c r="Q1360" s="196">
        <v>0.46111111111111108</v>
      </c>
      <c r="R1360" s="193" t="s">
        <v>137</v>
      </c>
      <c r="S1360" s="193" t="s">
        <v>2094</v>
      </c>
      <c r="T1360" s="197">
        <f t="shared" si="97"/>
        <v>400</v>
      </c>
      <c r="U1360" s="193" t="s">
        <v>175</v>
      </c>
      <c r="V1360" s="193" t="s">
        <v>2098</v>
      </c>
    </row>
    <row r="1361" spans="2:22" ht="15" customHeight="1" x14ac:dyDescent="0.2">
      <c r="B1361" s="193">
        <v>1</v>
      </c>
      <c r="C1361" s="347" t="s">
        <v>2074</v>
      </c>
      <c r="D1361" s="347" t="str">
        <f t="shared" si="95"/>
        <v>RBDPL001207SCM</v>
      </c>
      <c r="E1361" s="193" t="s">
        <v>2088</v>
      </c>
      <c r="F1361" s="193"/>
      <c r="G1361" s="193"/>
      <c r="H1361" s="193" t="s">
        <v>107</v>
      </c>
      <c r="I1361" s="193" t="s">
        <v>3</v>
      </c>
      <c r="J1361" s="193" t="str">
        <f t="shared" si="96"/>
        <v>6 Roda</v>
      </c>
      <c r="K1361" s="194">
        <v>46157</v>
      </c>
      <c r="L1361" s="195">
        <v>3940</v>
      </c>
      <c r="M1361" s="195">
        <v>13260</v>
      </c>
      <c r="N1361" s="195">
        <v>9320</v>
      </c>
      <c r="O1361" s="195"/>
      <c r="P1361" s="196">
        <v>0.60277777777777775</v>
      </c>
      <c r="Q1361" s="196">
        <v>0.62847222222222221</v>
      </c>
      <c r="R1361" s="193" t="s">
        <v>137</v>
      </c>
      <c r="S1361" s="193" t="s">
        <v>2095</v>
      </c>
      <c r="T1361" s="197">
        <f t="shared" si="97"/>
        <v>400</v>
      </c>
      <c r="U1361" s="193" t="s">
        <v>175</v>
      </c>
      <c r="V1361" s="193" t="s">
        <v>2098</v>
      </c>
    </row>
    <row r="1362" spans="2:22" ht="15" customHeight="1" x14ac:dyDescent="0.2">
      <c r="B1362" s="193">
        <v>1</v>
      </c>
      <c r="C1362" s="347" t="s">
        <v>2075</v>
      </c>
      <c r="D1362" s="347" t="str">
        <f t="shared" si="95"/>
        <v>RBDPL001208SCM</v>
      </c>
      <c r="E1362" s="193" t="s">
        <v>835</v>
      </c>
      <c r="F1362" s="193"/>
      <c r="G1362" s="193"/>
      <c r="H1362" s="193" t="s">
        <v>107</v>
      </c>
      <c r="I1362" s="193" t="s">
        <v>3</v>
      </c>
      <c r="J1362" s="193" t="str">
        <f t="shared" si="96"/>
        <v>6 Roda</v>
      </c>
      <c r="K1362" s="194">
        <v>46157</v>
      </c>
      <c r="L1362" s="195">
        <v>3940</v>
      </c>
      <c r="M1362" s="195">
        <v>13360</v>
      </c>
      <c r="N1362" s="195">
        <v>9420</v>
      </c>
      <c r="O1362" s="195"/>
      <c r="P1362" s="196">
        <v>0.60416666666666663</v>
      </c>
      <c r="Q1362" s="196">
        <v>0.64027777777777783</v>
      </c>
      <c r="R1362" s="193" t="s">
        <v>137</v>
      </c>
      <c r="S1362" s="193" t="s">
        <v>2038</v>
      </c>
      <c r="T1362" s="197">
        <f t="shared" si="97"/>
        <v>400</v>
      </c>
      <c r="U1362" s="193" t="s">
        <v>175</v>
      </c>
      <c r="V1362" s="193" t="s">
        <v>2098</v>
      </c>
    </row>
    <row r="1363" spans="2:22" ht="15" customHeight="1" x14ac:dyDescent="0.2">
      <c r="B1363" s="193">
        <v>1</v>
      </c>
      <c r="C1363" s="347" t="s">
        <v>2076</v>
      </c>
      <c r="D1363" s="347" t="str">
        <f t="shared" ref="D1363:D1426" si="98">I1363&amp;C1363&amp;_xlfn.XLOOKUP(H1363,$AM$4:$AM$24,$AN$4:$AN$24,"")</f>
        <v>RBDPL001213SCM</v>
      </c>
      <c r="E1363" s="193" t="s">
        <v>830</v>
      </c>
      <c r="F1363" s="193"/>
      <c r="G1363" s="193"/>
      <c r="H1363" s="193" t="s">
        <v>107</v>
      </c>
      <c r="I1363" s="193" t="s">
        <v>3</v>
      </c>
      <c r="J1363" s="193" t="str">
        <f t="shared" si="96"/>
        <v>6 Roda</v>
      </c>
      <c r="K1363" s="194">
        <v>46157</v>
      </c>
      <c r="L1363" s="195">
        <v>4080</v>
      </c>
      <c r="M1363" s="195">
        <v>13230</v>
      </c>
      <c r="N1363" s="195">
        <v>9150</v>
      </c>
      <c r="O1363" s="195"/>
      <c r="P1363" s="196">
        <v>0.73333333333333339</v>
      </c>
      <c r="Q1363" s="196">
        <v>0.75069444444444444</v>
      </c>
      <c r="R1363" s="193" t="s">
        <v>42</v>
      </c>
      <c r="S1363" s="193" t="s">
        <v>1618</v>
      </c>
      <c r="T1363" s="197">
        <f t="shared" si="97"/>
        <v>400</v>
      </c>
      <c r="U1363" s="193" t="s">
        <v>175</v>
      </c>
      <c r="V1363" s="193" t="s">
        <v>2098</v>
      </c>
    </row>
    <row r="1364" spans="2:22" ht="15" customHeight="1" x14ac:dyDescent="0.2">
      <c r="B1364" s="193">
        <v>1</v>
      </c>
      <c r="C1364" s="347" t="s">
        <v>2077</v>
      </c>
      <c r="D1364" s="347" t="str">
        <f t="shared" si="98"/>
        <v>RBDPL001216DA</v>
      </c>
      <c r="E1364" s="193" t="s">
        <v>936</v>
      </c>
      <c r="F1364" s="193"/>
      <c r="G1364" s="193"/>
      <c r="H1364" s="193" t="s">
        <v>111</v>
      </c>
      <c r="I1364" s="193" t="s">
        <v>3</v>
      </c>
      <c r="J1364" s="193" t="str">
        <f t="shared" si="96"/>
        <v>6 Roda</v>
      </c>
      <c r="K1364" s="194">
        <v>46158</v>
      </c>
      <c r="L1364" s="195">
        <v>4260</v>
      </c>
      <c r="M1364" s="195">
        <v>14400</v>
      </c>
      <c r="N1364" s="195">
        <v>10140</v>
      </c>
      <c r="O1364" s="195"/>
      <c r="P1364" s="196">
        <v>0.41875000000000001</v>
      </c>
      <c r="Q1364" s="196">
        <v>0.44513888888888892</v>
      </c>
      <c r="R1364" s="193" t="s">
        <v>137</v>
      </c>
      <c r="S1364" s="193" t="s">
        <v>1385</v>
      </c>
      <c r="T1364" s="197">
        <f t="shared" si="97"/>
        <v>360</v>
      </c>
      <c r="U1364" s="193" t="s">
        <v>175</v>
      </c>
      <c r="V1364" s="193" t="s">
        <v>2098</v>
      </c>
    </row>
    <row r="1365" spans="2:22" ht="15" customHeight="1" x14ac:dyDescent="0.2">
      <c r="B1365" s="193">
        <v>1</v>
      </c>
      <c r="C1365" s="347" t="s">
        <v>2078</v>
      </c>
      <c r="D1365" s="347" t="str">
        <f t="shared" si="98"/>
        <v>RBDPL001214SCM</v>
      </c>
      <c r="E1365" s="193" t="s">
        <v>1092</v>
      </c>
      <c r="F1365" s="193"/>
      <c r="G1365" s="193"/>
      <c r="H1365" s="193" t="s">
        <v>107</v>
      </c>
      <c r="I1365" s="193" t="s">
        <v>3</v>
      </c>
      <c r="J1365" s="193" t="str">
        <f t="shared" si="96"/>
        <v>6 Roda</v>
      </c>
      <c r="K1365" s="194">
        <v>46158</v>
      </c>
      <c r="L1365" s="195">
        <v>4090</v>
      </c>
      <c r="M1365" s="195">
        <v>13090</v>
      </c>
      <c r="N1365" s="195">
        <v>9000</v>
      </c>
      <c r="O1365" s="195"/>
      <c r="P1365" s="196">
        <v>0.39305555555555555</v>
      </c>
      <c r="Q1365" s="196">
        <v>0.41250000000000003</v>
      </c>
      <c r="R1365" s="193" t="s">
        <v>137</v>
      </c>
      <c r="S1365" s="193" t="s">
        <v>2096</v>
      </c>
      <c r="T1365" s="197">
        <f t="shared" si="97"/>
        <v>400</v>
      </c>
      <c r="U1365" s="193" t="s">
        <v>175</v>
      </c>
      <c r="V1365" s="193" t="s">
        <v>2098</v>
      </c>
    </row>
    <row r="1366" spans="2:22" ht="15" customHeight="1" x14ac:dyDescent="0.2">
      <c r="B1366" s="193">
        <v>1</v>
      </c>
      <c r="C1366" s="347" t="s">
        <v>2079</v>
      </c>
      <c r="D1366" s="347" t="str">
        <f t="shared" si="98"/>
        <v>RBDPL001215SCM</v>
      </c>
      <c r="E1366" s="193" t="s">
        <v>1073</v>
      </c>
      <c r="F1366" s="193"/>
      <c r="G1366" s="193"/>
      <c r="H1366" s="193" t="s">
        <v>107</v>
      </c>
      <c r="I1366" s="193" t="s">
        <v>3</v>
      </c>
      <c r="J1366" s="193" t="str">
        <f t="shared" si="96"/>
        <v>6 Roda</v>
      </c>
      <c r="K1366" s="194">
        <v>46158</v>
      </c>
      <c r="L1366" s="195">
        <v>4080</v>
      </c>
      <c r="M1366" s="195">
        <v>12410</v>
      </c>
      <c r="N1366" s="195">
        <v>8330</v>
      </c>
      <c r="O1366" s="195"/>
      <c r="P1366" s="196">
        <v>0.4069444444444445</v>
      </c>
      <c r="Q1366" s="196">
        <v>0.43194444444444446</v>
      </c>
      <c r="R1366" s="193" t="s">
        <v>137</v>
      </c>
      <c r="S1366" s="193" t="s">
        <v>1374</v>
      </c>
      <c r="T1366" s="197">
        <f t="shared" si="97"/>
        <v>400</v>
      </c>
      <c r="U1366" s="193" t="s">
        <v>175</v>
      </c>
      <c r="V1366" s="193" t="s">
        <v>2098</v>
      </c>
    </row>
    <row r="1367" spans="2:22" ht="15" customHeight="1" x14ac:dyDescent="0.2">
      <c r="B1367" s="193">
        <v>1</v>
      </c>
      <c r="C1367" s="347" t="s">
        <v>2080</v>
      </c>
      <c r="D1367" s="347" t="str">
        <f t="shared" si="98"/>
        <v>RBDPL001217SCM</v>
      </c>
      <c r="E1367" s="193" t="s">
        <v>236</v>
      </c>
      <c r="F1367" s="193"/>
      <c r="G1367" s="193"/>
      <c r="H1367" s="193" t="s">
        <v>107</v>
      </c>
      <c r="I1367" s="193" t="s">
        <v>3</v>
      </c>
      <c r="J1367" s="193" t="str">
        <f t="shared" si="96"/>
        <v>6 Roda</v>
      </c>
      <c r="K1367" s="194">
        <v>46158</v>
      </c>
      <c r="L1367" s="195">
        <v>4210</v>
      </c>
      <c r="M1367" s="195">
        <v>13240</v>
      </c>
      <c r="N1367" s="195">
        <v>9030</v>
      </c>
      <c r="O1367" s="195"/>
      <c r="P1367" s="196">
        <v>0.46875</v>
      </c>
      <c r="Q1367" s="196">
        <v>0.4826388888888889</v>
      </c>
      <c r="R1367" s="193" t="s">
        <v>137</v>
      </c>
      <c r="S1367" s="193" t="s">
        <v>1466</v>
      </c>
      <c r="T1367" s="197">
        <f t="shared" si="97"/>
        <v>400</v>
      </c>
      <c r="U1367" s="193" t="s">
        <v>175</v>
      </c>
      <c r="V1367" s="193" t="s">
        <v>2098</v>
      </c>
    </row>
    <row r="1368" spans="2:22" ht="15" customHeight="1" x14ac:dyDescent="0.2">
      <c r="B1368" s="193">
        <v>1</v>
      </c>
      <c r="C1368" s="347" t="s">
        <v>2081</v>
      </c>
      <c r="D1368" s="347" t="str">
        <f t="shared" si="98"/>
        <v>RBDPL001218SCM</v>
      </c>
      <c r="E1368" s="193" t="s">
        <v>830</v>
      </c>
      <c r="F1368" s="193"/>
      <c r="G1368" s="193"/>
      <c r="H1368" s="193" t="s">
        <v>107</v>
      </c>
      <c r="I1368" s="193" t="s">
        <v>3</v>
      </c>
      <c r="J1368" s="193" t="str">
        <f t="shared" si="96"/>
        <v>6 Roda</v>
      </c>
      <c r="K1368" s="194">
        <v>46158</v>
      </c>
      <c r="L1368" s="195">
        <v>4070</v>
      </c>
      <c r="M1368" s="195">
        <v>13240</v>
      </c>
      <c r="N1368" s="195">
        <v>9170</v>
      </c>
      <c r="O1368" s="195"/>
      <c r="P1368" s="196">
        <v>0.47013888888888888</v>
      </c>
      <c r="Q1368" s="196">
        <v>0.5083333333333333</v>
      </c>
      <c r="R1368" s="193" t="s">
        <v>137</v>
      </c>
      <c r="S1368" s="193" t="s">
        <v>1618</v>
      </c>
      <c r="T1368" s="197">
        <f t="shared" si="97"/>
        <v>400</v>
      </c>
      <c r="U1368" s="193" t="s">
        <v>175</v>
      </c>
      <c r="V1368" s="193" t="s">
        <v>2098</v>
      </c>
    </row>
    <row r="1369" spans="2:22" ht="15" customHeight="1" x14ac:dyDescent="0.2">
      <c r="B1369" s="193">
        <v>1</v>
      </c>
      <c r="C1369" s="347" t="s">
        <v>2082</v>
      </c>
      <c r="D1369" s="347" t="str">
        <f t="shared" si="98"/>
        <v>RBDPL001224SCM</v>
      </c>
      <c r="E1369" s="193" t="s">
        <v>2023</v>
      </c>
      <c r="F1369" s="193"/>
      <c r="G1369" s="193"/>
      <c r="H1369" s="193" t="s">
        <v>107</v>
      </c>
      <c r="I1369" s="193" t="s">
        <v>3</v>
      </c>
      <c r="J1369" s="193" t="str">
        <f t="shared" si="96"/>
        <v>6 Roda</v>
      </c>
      <c r="K1369" s="194">
        <v>46158</v>
      </c>
      <c r="L1369" s="195">
        <v>3990</v>
      </c>
      <c r="M1369" s="195">
        <v>13050</v>
      </c>
      <c r="N1369" s="195">
        <v>9060</v>
      </c>
      <c r="O1369" s="195"/>
      <c r="P1369" s="196">
        <v>0.66111111111111109</v>
      </c>
      <c r="Q1369" s="196">
        <v>0.68680555555555556</v>
      </c>
      <c r="R1369" s="193" t="s">
        <v>42</v>
      </c>
      <c r="S1369" s="193" t="s">
        <v>2044</v>
      </c>
      <c r="T1369" s="197">
        <f t="shared" si="97"/>
        <v>400</v>
      </c>
      <c r="U1369" s="193" t="s">
        <v>175</v>
      </c>
      <c r="V1369" s="193" t="s">
        <v>2098</v>
      </c>
    </row>
    <row r="1370" spans="2:22" ht="15" customHeight="1" x14ac:dyDescent="0.2">
      <c r="B1370" s="193">
        <v>1</v>
      </c>
      <c r="C1370" s="347" t="s">
        <v>2083</v>
      </c>
      <c r="D1370" s="347" t="str">
        <f t="shared" si="98"/>
        <v>RBDPL001223SCM</v>
      </c>
      <c r="E1370" s="193" t="s">
        <v>153</v>
      </c>
      <c r="F1370" s="193"/>
      <c r="G1370" s="193"/>
      <c r="H1370" s="193" t="s">
        <v>107</v>
      </c>
      <c r="I1370" s="193" t="s">
        <v>3</v>
      </c>
      <c r="J1370" s="193" t="str">
        <f t="shared" si="96"/>
        <v>6 Roda</v>
      </c>
      <c r="K1370" s="194">
        <v>46158</v>
      </c>
      <c r="L1370" s="195">
        <v>4000</v>
      </c>
      <c r="M1370" s="195">
        <v>13660</v>
      </c>
      <c r="N1370" s="195">
        <v>9660</v>
      </c>
      <c r="O1370" s="195"/>
      <c r="P1370" s="196">
        <v>0.64930555555555558</v>
      </c>
      <c r="Q1370" s="196">
        <v>0.67361111111111116</v>
      </c>
      <c r="R1370" s="193" t="s">
        <v>42</v>
      </c>
      <c r="S1370" s="193" t="s">
        <v>1379</v>
      </c>
      <c r="T1370" s="197">
        <f t="shared" si="97"/>
        <v>400</v>
      </c>
      <c r="U1370" s="193" t="s">
        <v>175</v>
      </c>
      <c r="V1370" s="193" t="s">
        <v>2098</v>
      </c>
    </row>
    <row r="1371" spans="2:22" ht="15" customHeight="1" x14ac:dyDescent="0.2">
      <c r="B1371" s="193">
        <v>1</v>
      </c>
      <c r="C1371" s="347" t="s">
        <v>2084</v>
      </c>
      <c r="D1371" s="347" t="str">
        <f t="shared" si="98"/>
        <v>RBDPL001222SCM</v>
      </c>
      <c r="E1371" s="193" t="s">
        <v>2091</v>
      </c>
      <c r="F1371" s="193"/>
      <c r="G1371" s="193"/>
      <c r="H1371" s="193" t="s">
        <v>107</v>
      </c>
      <c r="I1371" s="193" t="s">
        <v>3</v>
      </c>
      <c r="J1371" s="193" t="str">
        <f t="shared" si="96"/>
        <v>6 Roda</v>
      </c>
      <c r="K1371" s="194">
        <v>46158</v>
      </c>
      <c r="L1371" s="195">
        <v>4370</v>
      </c>
      <c r="M1371" s="195">
        <v>14500</v>
      </c>
      <c r="N1371" s="195">
        <v>10130</v>
      </c>
      <c r="O1371" s="195"/>
      <c r="P1371" s="196">
        <v>0.64236111111111105</v>
      </c>
      <c r="Q1371" s="196">
        <v>0.65902777777777777</v>
      </c>
      <c r="R1371" s="193" t="s">
        <v>42</v>
      </c>
      <c r="S1371" s="193" t="s">
        <v>1474</v>
      </c>
      <c r="T1371" s="197">
        <f t="shared" si="97"/>
        <v>400</v>
      </c>
      <c r="U1371" s="193" t="s">
        <v>175</v>
      </c>
      <c r="V1371" s="193" t="s">
        <v>2098</v>
      </c>
    </row>
    <row r="1372" spans="2:22" ht="15" customHeight="1" x14ac:dyDescent="0.2">
      <c r="B1372" s="193">
        <v>1</v>
      </c>
      <c r="C1372" s="347" t="s">
        <v>2085</v>
      </c>
      <c r="D1372" s="347" t="str">
        <f t="shared" si="98"/>
        <v>RBDPL001221SCM</v>
      </c>
      <c r="E1372" s="193" t="s">
        <v>2092</v>
      </c>
      <c r="F1372" s="193"/>
      <c r="G1372" s="193"/>
      <c r="H1372" s="193" t="s">
        <v>107</v>
      </c>
      <c r="I1372" s="193" t="s">
        <v>3</v>
      </c>
      <c r="J1372" s="193" t="str">
        <f t="shared" si="96"/>
        <v>6 Roda</v>
      </c>
      <c r="K1372" s="194">
        <v>46158</v>
      </c>
      <c r="L1372" s="195">
        <v>4090</v>
      </c>
      <c r="M1372" s="195">
        <v>13410</v>
      </c>
      <c r="N1372" s="195">
        <v>9320</v>
      </c>
      <c r="O1372" s="195"/>
      <c r="P1372" s="196">
        <v>0.60277777777777775</v>
      </c>
      <c r="Q1372" s="196">
        <v>0.63124999999999998</v>
      </c>
      <c r="R1372" s="193" t="s">
        <v>42</v>
      </c>
      <c r="S1372" s="193" t="s">
        <v>2097</v>
      </c>
      <c r="T1372" s="197">
        <f t="shared" si="97"/>
        <v>400</v>
      </c>
      <c r="U1372" s="193" t="s">
        <v>175</v>
      </c>
      <c r="V1372" s="193" t="s">
        <v>2098</v>
      </c>
    </row>
    <row r="1373" spans="2:22" ht="15" customHeight="1" x14ac:dyDescent="0.2">
      <c r="B1373" s="193">
        <v>1</v>
      </c>
      <c r="C1373" s="347" t="s">
        <v>2086</v>
      </c>
      <c r="D1373" s="347" t="str">
        <f t="shared" si="98"/>
        <v>RBDPL001220SCM</v>
      </c>
      <c r="E1373" s="193" t="s">
        <v>181</v>
      </c>
      <c r="F1373" s="193"/>
      <c r="G1373" s="193"/>
      <c r="H1373" s="193" t="s">
        <v>107</v>
      </c>
      <c r="I1373" s="193" t="s">
        <v>3</v>
      </c>
      <c r="J1373" s="193" t="str">
        <f t="shared" si="96"/>
        <v>6 Roda</v>
      </c>
      <c r="K1373" s="194">
        <v>46158</v>
      </c>
      <c r="L1373" s="195">
        <v>4040</v>
      </c>
      <c r="M1373" s="195">
        <v>13680</v>
      </c>
      <c r="N1373" s="195">
        <v>9640</v>
      </c>
      <c r="O1373" s="195"/>
      <c r="P1373" s="196">
        <v>0.5756944444444444</v>
      </c>
      <c r="Q1373" s="196">
        <v>0.59652777777777777</v>
      </c>
      <c r="R1373" s="193" t="s">
        <v>137</v>
      </c>
      <c r="S1373" s="193" t="s">
        <v>2030</v>
      </c>
      <c r="T1373" s="197">
        <f t="shared" si="97"/>
        <v>400</v>
      </c>
      <c r="U1373" s="193" t="s">
        <v>175</v>
      </c>
      <c r="V1373" s="193" t="s">
        <v>2098</v>
      </c>
    </row>
    <row r="1374" spans="2:22" ht="15" customHeight="1" x14ac:dyDescent="0.2">
      <c r="B1374" s="193">
        <v>1</v>
      </c>
      <c r="C1374" s="347" t="s">
        <v>2087</v>
      </c>
      <c r="D1374" s="347" t="str">
        <f t="shared" si="98"/>
        <v>RBDPL001219HSA</v>
      </c>
      <c r="E1374" s="193" t="s">
        <v>934</v>
      </c>
      <c r="F1374" s="193"/>
      <c r="G1374" s="193"/>
      <c r="H1374" s="193" t="s">
        <v>103</v>
      </c>
      <c r="I1374" s="193" t="s">
        <v>3</v>
      </c>
      <c r="J1374" s="193" t="str">
        <f t="shared" si="96"/>
        <v>6 Roda</v>
      </c>
      <c r="K1374" s="194">
        <v>46158</v>
      </c>
      <c r="L1374" s="195">
        <v>3890</v>
      </c>
      <c r="M1374" s="195">
        <v>13200</v>
      </c>
      <c r="N1374" s="195">
        <v>9310</v>
      </c>
      <c r="O1374" s="195"/>
      <c r="P1374" s="196">
        <v>0.54722222222222217</v>
      </c>
      <c r="Q1374" s="196">
        <v>0.5708333333333333</v>
      </c>
      <c r="R1374" s="193" t="s">
        <v>137</v>
      </c>
      <c r="S1374" s="193" t="s">
        <v>2033</v>
      </c>
      <c r="T1374" s="197">
        <f t="shared" si="97"/>
        <v>360</v>
      </c>
      <c r="U1374" s="193" t="s">
        <v>1381</v>
      </c>
      <c r="V1374" s="193" t="s">
        <v>2098</v>
      </c>
    </row>
    <row r="1375" spans="2:22" ht="15" customHeight="1" x14ac:dyDescent="0.2">
      <c r="B1375" s="193">
        <v>1</v>
      </c>
      <c r="C1375" s="347" t="s">
        <v>353</v>
      </c>
      <c r="D1375" s="347" t="str">
        <f t="shared" si="98"/>
        <v>CPO000210JAS</v>
      </c>
      <c r="E1375" s="193" t="s">
        <v>1276</v>
      </c>
      <c r="F1375" s="193" t="s">
        <v>1726</v>
      </c>
      <c r="G1375" s="193" t="s">
        <v>1594</v>
      </c>
      <c r="H1375" s="193" t="s">
        <v>49</v>
      </c>
      <c r="I1375" s="193" t="s">
        <v>41</v>
      </c>
      <c r="J1375" s="193" t="str">
        <f t="shared" si="96"/>
        <v>6 Roda</v>
      </c>
      <c r="K1375" s="194">
        <v>46142</v>
      </c>
      <c r="L1375" s="195">
        <v>13840</v>
      </c>
      <c r="M1375" s="195">
        <v>3930</v>
      </c>
      <c r="N1375" s="195">
        <v>9910</v>
      </c>
      <c r="O1375" s="195">
        <v>9890</v>
      </c>
      <c r="P1375" s="196">
        <v>0.95347222222222217</v>
      </c>
      <c r="Q1375" s="196">
        <v>0.97638888888888886</v>
      </c>
      <c r="R1375" s="193" t="s">
        <v>1221</v>
      </c>
      <c r="S1375" s="193"/>
      <c r="T1375" s="197">
        <f t="shared" si="97"/>
        <v>68</v>
      </c>
      <c r="U1375" s="193"/>
      <c r="V1375" s="193" t="s">
        <v>68</v>
      </c>
    </row>
    <row r="1376" spans="2:22" ht="15" customHeight="1" x14ac:dyDescent="0.2">
      <c r="B1376" s="193">
        <v>1</v>
      </c>
      <c r="C1376" s="347" t="s">
        <v>352</v>
      </c>
      <c r="D1376" s="347" t="str">
        <f t="shared" si="98"/>
        <v>CPO000209JAS</v>
      </c>
      <c r="E1376" s="193" t="s">
        <v>163</v>
      </c>
      <c r="F1376" s="193" t="s">
        <v>1726</v>
      </c>
      <c r="G1376" s="193" t="s">
        <v>1594</v>
      </c>
      <c r="H1376" s="193" t="s">
        <v>49</v>
      </c>
      <c r="I1376" s="193" t="s">
        <v>41</v>
      </c>
      <c r="J1376" s="193" t="str">
        <f t="shared" si="96"/>
        <v>6 Roda</v>
      </c>
      <c r="K1376" s="194">
        <v>46142</v>
      </c>
      <c r="L1376" s="195">
        <v>13920</v>
      </c>
      <c r="M1376" s="195">
        <v>3920</v>
      </c>
      <c r="N1376" s="195">
        <v>10000</v>
      </c>
      <c r="O1376" s="195">
        <v>9970</v>
      </c>
      <c r="P1376" s="196">
        <v>0.81111111111111101</v>
      </c>
      <c r="Q1376" s="196">
        <v>0.82291666666666663</v>
      </c>
      <c r="R1376" s="193" t="s">
        <v>1221</v>
      </c>
      <c r="S1376" s="193"/>
      <c r="T1376" s="197">
        <f t="shared" si="97"/>
        <v>68</v>
      </c>
      <c r="U1376" s="193"/>
      <c r="V1376" s="193" t="s">
        <v>68</v>
      </c>
    </row>
    <row r="1377" spans="2:22" ht="15" customHeight="1" x14ac:dyDescent="0.2">
      <c r="B1377" s="193">
        <v>1</v>
      </c>
      <c r="C1377" s="347" t="s">
        <v>351</v>
      </c>
      <c r="D1377" s="347" t="str">
        <f t="shared" si="98"/>
        <v>CPO000208JAS</v>
      </c>
      <c r="E1377" s="193" t="s">
        <v>194</v>
      </c>
      <c r="F1377" s="193" t="s">
        <v>1726</v>
      </c>
      <c r="G1377" s="193" t="s">
        <v>1594</v>
      </c>
      <c r="H1377" s="193" t="s">
        <v>49</v>
      </c>
      <c r="I1377" s="193" t="s">
        <v>41</v>
      </c>
      <c r="J1377" s="193" t="str">
        <f t="shared" si="96"/>
        <v>6 Roda</v>
      </c>
      <c r="K1377" s="194">
        <v>46142</v>
      </c>
      <c r="L1377" s="195">
        <v>13000</v>
      </c>
      <c r="M1377" s="195">
        <v>3750</v>
      </c>
      <c r="N1377" s="195">
        <v>9250</v>
      </c>
      <c r="O1377" s="195">
        <v>9230</v>
      </c>
      <c r="P1377" s="196">
        <v>0.78125</v>
      </c>
      <c r="Q1377" s="196">
        <v>0.79722222222222217</v>
      </c>
      <c r="R1377" s="193" t="s">
        <v>1221</v>
      </c>
      <c r="S1377" s="193"/>
      <c r="T1377" s="197">
        <f t="shared" si="97"/>
        <v>68</v>
      </c>
      <c r="U1377" s="193"/>
      <c r="V1377" s="193" t="s">
        <v>68</v>
      </c>
    </row>
    <row r="1378" spans="2:22" ht="15" customHeight="1" x14ac:dyDescent="0.2">
      <c r="B1378" s="193">
        <v>1</v>
      </c>
      <c r="C1378" s="347" t="s">
        <v>350</v>
      </c>
      <c r="D1378" s="347" t="str">
        <f t="shared" si="98"/>
        <v>CPO000207JAS</v>
      </c>
      <c r="E1378" s="193" t="s">
        <v>149</v>
      </c>
      <c r="F1378" s="193" t="s">
        <v>1726</v>
      </c>
      <c r="G1378" s="193" t="s">
        <v>1594</v>
      </c>
      <c r="H1378" s="193" t="s">
        <v>49</v>
      </c>
      <c r="I1378" s="193" t="s">
        <v>41</v>
      </c>
      <c r="J1378" s="193" t="str">
        <f t="shared" si="96"/>
        <v>6 Roda</v>
      </c>
      <c r="K1378" s="194">
        <v>46142</v>
      </c>
      <c r="L1378" s="195">
        <v>13780</v>
      </c>
      <c r="M1378" s="195">
        <v>3990</v>
      </c>
      <c r="N1378" s="195">
        <v>9790</v>
      </c>
      <c r="O1378" s="195">
        <v>9760</v>
      </c>
      <c r="P1378" s="196">
        <v>0.77430555555555547</v>
      </c>
      <c r="Q1378" s="196">
        <v>0.79305555555555562</v>
      </c>
      <c r="R1378" s="193" t="s">
        <v>1221</v>
      </c>
      <c r="S1378" s="193"/>
      <c r="T1378" s="197">
        <f t="shared" si="97"/>
        <v>68</v>
      </c>
      <c r="U1378" s="193"/>
      <c r="V1378" s="193" t="s">
        <v>68</v>
      </c>
    </row>
    <row r="1379" spans="2:22" ht="15" customHeight="1" x14ac:dyDescent="0.2">
      <c r="B1379" s="193">
        <v>1</v>
      </c>
      <c r="C1379" s="347" t="s">
        <v>349</v>
      </c>
      <c r="D1379" s="347" t="str">
        <f t="shared" si="98"/>
        <v>CPO000206JAS</v>
      </c>
      <c r="E1379" s="193" t="s">
        <v>1276</v>
      </c>
      <c r="F1379" s="193" t="s">
        <v>1726</v>
      </c>
      <c r="G1379" s="193" t="s">
        <v>1594</v>
      </c>
      <c r="H1379" s="193" t="s">
        <v>49</v>
      </c>
      <c r="I1379" s="193" t="s">
        <v>41</v>
      </c>
      <c r="J1379" s="193" t="str">
        <f t="shared" si="96"/>
        <v>6 Roda</v>
      </c>
      <c r="K1379" s="194">
        <v>46142</v>
      </c>
      <c r="L1379" s="195">
        <v>13830</v>
      </c>
      <c r="M1379" s="195">
        <v>3920</v>
      </c>
      <c r="N1379" s="195">
        <v>9910</v>
      </c>
      <c r="O1379" s="195">
        <v>9890</v>
      </c>
      <c r="P1379" s="196">
        <v>0.73541666666666661</v>
      </c>
      <c r="Q1379" s="196">
        <v>0.75902777777777775</v>
      </c>
      <c r="R1379" s="193" t="s">
        <v>1221</v>
      </c>
      <c r="S1379" s="193"/>
      <c r="T1379" s="197">
        <f t="shared" si="97"/>
        <v>68</v>
      </c>
      <c r="U1379" s="193"/>
      <c r="V1379" s="193" t="s">
        <v>68</v>
      </c>
    </row>
    <row r="1380" spans="2:22" ht="15" customHeight="1" x14ac:dyDescent="0.2">
      <c r="B1380" s="193">
        <v>1</v>
      </c>
      <c r="C1380" s="347" t="s">
        <v>348</v>
      </c>
      <c r="D1380" s="347" t="str">
        <f t="shared" si="98"/>
        <v>CPO000205JAS</v>
      </c>
      <c r="E1380" s="193" t="s">
        <v>1047</v>
      </c>
      <c r="F1380" s="193" t="s">
        <v>1726</v>
      </c>
      <c r="G1380" s="193" t="s">
        <v>1594</v>
      </c>
      <c r="H1380" s="193" t="s">
        <v>49</v>
      </c>
      <c r="I1380" s="193" t="s">
        <v>41</v>
      </c>
      <c r="J1380" s="193" t="str">
        <f t="shared" si="96"/>
        <v>6 Roda</v>
      </c>
      <c r="K1380" s="194">
        <v>46142</v>
      </c>
      <c r="L1380" s="195">
        <v>13450</v>
      </c>
      <c r="M1380" s="195">
        <v>3890</v>
      </c>
      <c r="N1380" s="195">
        <v>9560</v>
      </c>
      <c r="O1380" s="195">
        <v>9520</v>
      </c>
      <c r="P1380" s="196">
        <v>0.6875</v>
      </c>
      <c r="Q1380" s="196">
        <v>0.7006944444444444</v>
      </c>
      <c r="R1380" s="193" t="s">
        <v>1221</v>
      </c>
      <c r="S1380" s="193"/>
      <c r="T1380" s="197">
        <f t="shared" si="97"/>
        <v>68</v>
      </c>
      <c r="U1380" s="193"/>
      <c r="V1380" s="193" t="s">
        <v>68</v>
      </c>
    </row>
    <row r="1381" spans="2:22" ht="15" customHeight="1" x14ac:dyDescent="0.2">
      <c r="B1381" s="193">
        <v>1</v>
      </c>
      <c r="C1381" s="347" t="s">
        <v>355</v>
      </c>
      <c r="D1381" s="347" t="str">
        <f t="shared" si="98"/>
        <v>CPO000212JAS</v>
      </c>
      <c r="E1381" s="193" t="s">
        <v>151</v>
      </c>
      <c r="F1381" s="193" t="s">
        <v>2106</v>
      </c>
      <c r="G1381" s="193" t="s">
        <v>2105</v>
      </c>
      <c r="H1381" s="193" t="s">
        <v>49</v>
      </c>
      <c r="I1381" s="193" t="s">
        <v>41</v>
      </c>
      <c r="J1381" s="193" t="str">
        <f t="shared" si="96"/>
        <v>6 Roda</v>
      </c>
      <c r="K1381" s="194">
        <v>46147</v>
      </c>
      <c r="L1381" s="195">
        <v>13560</v>
      </c>
      <c r="M1381" s="195">
        <v>4200</v>
      </c>
      <c r="N1381" s="195">
        <v>9360</v>
      </c>
      <c r="O1381" s="195">
        <v>9340</v>
      </c>
      <c r="P1381" s="196">
        <v>0.63263888888888886</v>
      </c>
      <c r="Q1381" s="196">
        <v>0.68263888888888891</v>
      </c>
      <c r="R1381" s="193" t="s">
        <v>137</v>
      </c>
      <c r="S1381" s="193"/>
      <c r="T1381" s="197">
        <f t="shared" si="97"/>
        <v>68</v>
      </c>
      <c r="U1381" s="193"/>
      <c r="V1381" s="193" t="s">
        <v>68</v>
      </c>
    </row>
    <row r="1382" spans="2:22" ht="15" customHeight="1" x14ac:dyDescent="0.2">
      <c r="B1382" s="193">
        <v>1</v>
      </c>
      <c r="C1382" s="347" t="s">
        <v>356</v>
      </c>
      <c r="D1382" s="347" t="str">
        <f t="shared" si="98"/>
        <v>CPO000213JAS</v>
      </c>
      <c r="E1382" s="193" t="s">
        <v>220</v>
      </c>
      <c r="F1382" s="193" t="s">
        <v>2106</v>
      </c>
      <c r="G1382" s="193" t="s">
        <v>2105</v>
      </c>
      <c r="H1382" s="193" t="s">
        <v>49</v>
      </c>
      <c r="I1382" s="193" t="s">
        <v>41</v>
      </c>
      <c r="J1382" s="193" t="str">
        <f t="shared" si="96"/>
        <v>6 Roda</v>
      </c>
      <c r="K1382" s="194">
        <v>46147</v>
      </c>
      <c r="L1382" s="195">
        <v>13630</v>
      </c>
      <c r="M1382" s="195">
        <v>4270</v>
      </c>
      <c r="N1382" s="195">
        <v>9360</v>
      </c>
      <c r="O1382" s="195">
        <v>9350</v>
      </c>
      <c r="P1382" s="196">
        <v>0.6333333333333333</v>
      </c>
      <c r="Q1382" s="196">
        <v>0.67847222222222225</v>
      </c>
      <c r="R1382" s="193" t="s">
        <v>137</v>
      </c>
      <c r="S1382" s="193"/>
      <c r="T1382" s="197">
        <f t="shared" si="97"/>
        <v>68</v>
      </c>
      <c r="U1382" s="193"/>
      <c r="V1382" s="193" t="s">
        <v>68</v>
      </c>
    </row>
    <row r="1383" spans="2:22" ht="15" customHeight="1" x14ac:dyDescent="0.2">
      <c r="B1383" s="193">
        <v>1</v>
      </c>
      <c r="C1383" s="347" t="s">
        <v>357</v>
      </c>
      <c r="D1383" s="347" t="str">
        <f t="shared" si="98"/>
        <v>CPO000214JAS</v>
      </c>
      <c r="E1383" s="193" t="s">
        <v>2026</v>
      </c>
      <c r="F1383" s="193" t="s">
        <v>2106</v>
      </c>
      <c r="G1383" s="193" t="s">
        <v>2105</v>
      </c>
      <c r="H1383" s="193" t="s">
        <v>49</v>
      </c>
      <c r="I1383" s="193" t="s">
        <v>41</v>
      </c>
      <c r="J1383" s="193" t="str">
        <f t="shared" si="96"/>
        <v>6 Roda</v>
      </c>
      <c r="K1383" s="194">
        <v>46147</v>
      </c>
      <c r="L1383" s="195">
        <v>13230</v>
      </c>
      <c r="M1383" s="195">
        <v>4120</v>
      </c>
      <c r="N1383" s="195">
        <v>9110</v>
      </c>
      <c r="O1383" s="195">
        <v>9080</v>
      </c>
      <c r="P1383" s="196">
        <v>0.67569444444444438</v>
      </c>
      <c r="Q1383" s="196">
        <v>0.70000000000000007</v>
      </c>
      <c r="R1383" s="193" t="s">
        <v>137</v>
      </c>
      <c r="S1383" s="193"/>
      <c r="T1383" s="197">
        <f t="shared" si="97"/>
        <v>68</v>
      </c>
      <c r="U1383" s="193"/>
      <c r="V1383" s="193" t="s">
        <v>68</v>
      </c>
    </row>
    <row r="1384" spans="2:22" ht="15" customHeight="1" x14ac:dyDescent="0.2">
      <c r="B1384" s="193">
        <v>1</v>
      </c>
      <c r="C1384" s="347" t="s">
        <v>358</v>
      </c>
      <c r="D1384" s="347" t="str">
        <f t="shared" si="98"/>
        <v>CPO000215JAS</v>
      </c>
      <c r="E1384" s="193" t="s">
        <v>1268</v>
      </c>
      <c r="F1384" s="193" t="s">
        <v>2106</v>
      </c>
      <c r="G1384" s="193" t="s">
        <v>2105</v>
      </c>
      <c r="H1384" s="193" t="s">
        <v>49</v>
      </c>
      <c r="I1384" s="193" t="s">
        <v>41</v>
      </c>
      <c r="J1384" s="193" t="str">
        <f t="shared" si="96"/>
        <v>6 Roda</v>
      </c>
      <c r="K1384" s="194">
        <v>46147</v>
      </c>
      <c r="L1384" s="195">
        <v>13620</v>
      </c>
      <c r="M1384" s="195">
        <v>3940</v>
      </c>
      <c r="N1384" s="195">
        <v>9680</v>
      </c>
      <c r="O1384" s="195">
        <v>9640</v>
      </c>
      <c r="P1384" s="196">
        <v>0.67708333333333337</v>
      </c>
      <c r="Q1384" s="196">
        <v>0.69166666666666676</v>
      </c>
      <c r="R1384" s="193" t="s">
        <v>137</v>
      </c>
      <c r="S1384" s="193"/>
      <c r="T1384" s="197">
        <f t="shared" si="97"/>
        <v>68</v>
      </c>
      <c r="U1384" s="193"/>
      <c r="V1384" s="193" t="s">
        <v>68</v>
      </c>
    </row>
    <row r="1385" spans="2:22" ht="15" customHeight="1" x14ac:dyDescent="0.2">
      <c r="B1385" s="193">
        <v>1</v>
      </c>
      <c r="C1385" s="347" t="s">
        <v>359</v>
      </c>
      <c r="D1385" s="347" t="str">
        <f t="shared" si="98"/>
        <v>CPO000216JAS</v>
      </c>
      <c r="E1385" s="193" t="s">
        <v>153</v>
      </c>
      <c r="F1385" s="193" t="s">
        <v>2106</v>
      </c>
      <c r="G1385" s="193" t="s">
        <v>2105</v>
      </c>
      <c r="H1385" s="193" t="s">
        <v>49</v>
      </c>
      <c r="I1385" s="193" t="s">
        <v>41</v>
      </c>
      <c r="J1385" s="193" t="str">
        <f t="shared" si="96"/>
        <v>6 Roda</v>
      </c>
      <c r="K1385" s="194">
        <v>46147</v>
      </c>
      <c r="L1385" s="195">
        <v>13540</v>
      </c>
      <c r="M1385" s="195">
        <v>3980</v>
      </c>
      <c r="N1385" s="195">
        <v>9560</v>
      </c>
      <c r="O1385" s="195">
        <v>9540</v>
      </c>
      <c r="P1385" s="196">
        <v>0.68541666666666667</v>
      </c>
      <c r="Q1385" s="196">
        <v>0.70277777777777783</v>
      </c>
      <c r="R1385" s="193" t="s">
        <v>137</v>
      </c>
      <c r="S1385" s="193"/>
      <c r="T1385" s="197">
        <f t="shared" si="97"/>
        <v>68</v>
      </c>
      <c r="U1385" s="193"/>
      <c r="V1385" s="193" t="s">
        <v>68</v>
      </c>
    </row>
    <row r="1386" spans="2:22" ht="15" customHeight="1" x14ac:dyDescent="0.2">
      <c r="B1386" s="193">
        <v>1</v>
      </c>
      <c r="C1386" s="347" t="s">
        <v>360</v>
      </c>
      <c r="D1386" s="347" t="str">
        <f t="shared" si="98"/>
        <v>CPO000217JAS</v>
      </c>
      <c r="E1386" s="193" t="s">
        <v>39</v>
      </c>
      <c r="F1386" s="193" t="s">
        <v>2106</v>
      </c>
      <c r="G1386" s="193" t="s">
        <v>2105</v>
      </c>
      <c r="H1386" s="193" t="s">
        <v>49</v>
      </c>
      <c r="I1386" s="193" t="s">
        <v>41</v>
      </c>
      <c r="J1386" s="193" t="str">
        <f t="shared" si="96"/>
        <v>6 Roda</v>
      </c>
      <c r="K1386" s="194">
        <v>46147</v>
      </c>
      <c r="L1386" s="195">
        <v>13600</v>
      </c>
      <c r="M1386" s="195">
        <v>4050</v>
      </c>
      <c r="N1386" s="195">
        <v>9550</v>
      </c>
      <c r="O1386" s="195">
        <v>9530</v>
      </c>
      <c r="P1386" s="196">
        <v>0.75347222222222221</v>
      </c>
      <c r="Q1386" s="196">
        <v>0.7715277777777777</v>
      </c>
      <c r="R1386" s="193" t="s">
        <v>137</v>
      </c>
      <c r="S1386" s="193"/>
      <c r="T1386" s="197">
        <f t="shared" si="97"/>
        <v>68</v>
      </c>
      <c r="U1386" s="193"/>
      <c r="V1386" s="193" t="s">
        <v>68</v>
      </c>
    </row>
    <row r="1387" spans="2:22" ht="15" customHeight="1" x14ac:dyDescent="0.2">
      <c r="B1387" s="193">
        <v>1</v>
      </c>
      <c r="C1387" s="347" t="s">
        <v>361</v>
      </c>
      <c r="D1387" s="347" t="str">
        <f t="shared" si="98"/>
        <v>CPO000218JAS</v>
      </c>
      <c r="E1387" s="193" t="s">
        <v>1593</v>
      </c>
      <c r="F1387" s="193" t="s">
        <v>2106</v>
      </c>
      <c r="G1387" s="193" t="s">
        <v>2105</v>
      </c>
      <c r="H1387" s="193" t="s">
        <v>49</v>
      </c>
      <c r="I1387" s="193" t="s">
        <v>41</v>
      </c>
      <c r="J1387" s="193" t="str">
        <f t="shared" si="96"/>
        <v>6 Roda</v>
      </c>
      <c r="K1387" s="194">
        <v>46147</v>
      </c>
      <c r="L1387" s="195">
        <v>13900</v>
      </c>
      <c r="M1387" s="195">
        <v>4140</v>
      </c>
      <c r="N1387" s="195">
        <v>9760</v>
      </c>
      <c r="O1387" s="195">
        <v>9710</v>
      </c>
      <c r="P1387" s="196">
        <v>0.75555555555555554</v>
      </c>
      <c r="Q1387" s="196">
        <v>0.77013888888888893</v>
      </c>
      <c r="R1387" s="193" t="s">
        <v>137</v>
      </c>
      <c r="S1387" s="193"/>
      <c r="T1387" s="197">
        <f t="shared" si="97"/>
        <v>68</v>
      </c>
      <c r="U1387" s="193"/>
      <c r="V1387" s="193" t="s">
        <v>68</v>
      </c>
    </row>
    <row r="1388" spans="2:22" ht="15" customHeight="1" x14ac:dyDescent="0.2">
      <c r="B1388" s="193">
        <v>1</v>
      </c>
      <c r="C1388" s="347" t="s">
        <v>362</v>
      </c>
      <c r="D1388" s="347" t="str">
        <f t="shared" si="98"/>
        <v>CPO000219JAS</v>
      </c>
      <c r="E1388" s="193" t="s">
        <v>1060</v>
      </c>
      <c r="F1388" s="193" t="s">
        <v>2106</v>
      </c>
      <c r="G1388" s="193" t="s">
        <v>2105</v>
      </c>
      <c r="H1388" s="193" t="s">
        <v>49</v>
      </c>
      <c r="I1388" s="193" t="s">
        <v>41</v>
      </c>
      <c r="J1388" s="193" t="str">
        <f t="shared" si="96"/>
        <v>6 Roda</v>
      </c>
      <c r="K1388" s="194">
        <v>46147</v>
      </c>
      <c r="L1388" s="195">
        <v>12880</v>
      </c>
      <c r="M1388" s="195">
        <v>3960</v>
      </c>
      <c r="N1388" s="195">
        <v>8920</v>
      </c>
      <c r="O1388" s="195">
        <v>8920</v>
      </c>
      <c r="P1388" s="196">
        <v>0.86736111111111114</v>
      </c>
      <c r="Q1388" s="196">
        <v>0.91736111111111107</v>
      </c>
      <c r="R1388" s="193" t="s">
        <v>137</v>
      </c>
      <c r="S1388" s="193"/>
      <c r="T1388" s="197">
        <f t="shared" si="97"/>
        <v>68</v>
      </c>
      <c r="U1388" s="193"/>
      <c r="V1388" s="193" t="s">
        <v>68</v>
      </c>
    </row>
    <row r="1389" spans="2:22" ht="15" customHeight="1" x14ac:dyDescent="0.2">
      <c r="B1389" s="193">
        <v>1</v>
      </c>
      <c r="C1389" s="347" t="s">
        <v>363</v>
      </c>
      <c r="D1389" s="347" t="str">
        <f t="shared" si="98"/>
        <v>CPO000220JAS</v>
      </c>
      <c r="E1389" s="193" t="s">
        <v>220</v>
      </c>
      <c r="F1389" s="193" t="s">
        <v>2106</v>
      </c>
      <c r="G1389" s="193" t="s">
        <v>2105</v>
      </c>
      <c r="H1389" s="193" t="s">
        <v>49</v>
      </c>
      <c r="I1389" s="193" t="s">
        <v>41</v>
      </c>
      <c r="J1389" s="193" t="str">
        <f t="shared" si="96"/>
        <v>6 Roda</v>
      </c>
      <c r="K1389" s="194">
        <v>46147</v>
      </c>
      <c r="L1389" s="195">
        <v>13610</v>
      </c>
      <c r="M1389" s="195">
        <v>4260</v>
      </c>
      <c r="N1389" s="195">
        <v>9350</v>
      </c>
      <c r="O1389" s="195">
        <v>9340</v>
      </c>
      <c r="P1389" s="196">
        <v>0.87847222222222221</v>
      </c>
      <c r="Q1389" s="196">
        <v>0.9159722222222223</v>
      </c>
      <c r="R1389" s="193" t="s">
        <v>137</v>
      </c>
      <c r="S1389" s="193"/>
      <c r="T1389" s="197">
        <f t="shared" si="97"/>
        <v>68</v>
      </c>
      <c r="U1389" s="193"/>
      <c r="V1389" s="193" t="s">
        <v>68</v>
      </c>
    </row>
    <row r="1390" spans="2:22" ht="15" customHeight="1" x14ac:dyDescent="0.2">
      <c r="B1390" s="193">
        <v>1</v>
      </c>
      <c r="C1390" s="347" t="s">
        <v>364</v>
      </c>
      <c r="D1390" s="347" t="str">
        <f t="shared" si="98"/>
        <v>CPO000221JAS</v>
      </c>
      <c r="E1390" s="193" t="s">
        <v>39</v>
      </c>
      <c r="F1390" s="193" t="s">
        <v>2106</v>
      </c>
      <c r="G1390" s="193" t="s">
        <v>2105</v>
      </c>
      <c r="H1390" s="193" t="s">
        <v>49</v>
      </c>
      <c r="I1390" s="193" t="s">
        <v>41</v>
      </c>
      <c r="J1390" s="193" t="str">
        <f t="shared" si="96"/>
        <v>6 Roda</v>
      </c>
      <c r="K1390" s="194">
        <v>46147</v>
      </c>
      <c r="L1390" s="195">
        <v>13580</v>
      </c>
      <c r="M1390" s="195">
        <v>4030</v>
      </c>
      <c r="N1390" s="195">
        <v>9550</v>
      </c>
      <c r="O1390" s="195">
        <v>9530</v>
      </c>
      <c r="P1390" s="196">
        <v>0.9458333333333333</v>
      </c>
      <c r="Q1390" s="196">
        <v>0.96458333333333324</v>
      </c>
      <c r="R1390" s="193" t="s">
        <v>137</v>
      </c>
      <c r="S1390" s="193"/>
      <c r="T1390" s="197">
        <f t="shared" si="97"/>
        <v>68</v>
      </c>
      <c r="U1390" s="193"/>
      <c r="V1390" s="193" t="s">
        <v>68</v>
      </c>
    </row>
    <row r="1391" spans="2:22" ht="15" customHeight="1" x14ac:dyDescent="0.2">
      <c r="B1391" s="193">
        <v>1</v>
      </c>
      <c r="C1391" s="347" t="s">
        <v>365</v>
      </c>
      <c r="D1391" s="347" t="str">
        <f t="shared" si="98"/>
        <v>CPO000222JAS</v>
      </c>
      <c r="E1391" s="193" t="s">
        <v>1593</v>
      </c>
      <c r="F1391" s="193" t="s">
        <v>2106</v>
      </c>
      <c r="G1391" s="193" t="s">
        <v>2105</v>
      </c>
      <c r="H1391" s="193" t="s">
        <v>49</v>
      </c>
      <c r="I1391" s="193" t="s">
        <v>41</v>
      </c>
      <c r="J1391" s="193" t="str">
        <f t="shared" si="96"/>
        <v>6 Roda</v>
      </c>
      <c r="K1391" s="194">
        <v>46147</v>
      </c>
      <c r="L1391" s="195">
        <v>13880</v>
      </c>
      <c r="M1391" s="195">
        <v>4130</v>
      </c>
      <c r="N1391" s="195">
        <v>9750</v>
      </c>
      <c r="O1391" s="195">
        <v>9730</v>
      </c>
      <c r="P1391" s="196">
        <v>0.94652777777777775</v>
      </c>
      <c r="Q1391" s="196">
        <v>0.96388888888888891</v>
      </c>
      <c r="R1391" s="193" t="s">
        <v>137</v>
      </c>
      <c r="S1391" s="193"/>
      <c r="T1391" s="197">
        <f t="shared" si="97"/>
        <v>68</v>
      </c>
      <c r="U1391" s="193"/>
      <c r="V1391" s="193" t="s">
        <v>68</v>
      </c>
    </row>
    <row r="1392" spans="2:22" ht="15" customHeight="1" x14ac:dyDescent="0.2">
      <c r="B1392" s="193">
        <v>1</v>
      </c>
      <c r="C1392" s="347" t="s">
        <v>366</v>
      </c>
      <c r="D1392" s="347" t="str">
        <f t="shared" si="98"/>
        <v>CPO000223JAS</v>
      </c>
      <c r="E1392" s="193" t="s">
        <v>153</v>
      </c>
      <c r="F1392" s="193" t="s">
        <v>2106</v>
      </c>
      <c r="G1392" s="193" t="s">
        <v>2105</v>
      </c>
      <c r="H1392" s="193" t="s">
        <v>49</v>
      </c>
      <c r="I1392" s="193" t="s">
        <v>41</v>
      </c>
      <c r="J1392" s="193" t="str">
        <f t="shared" si="96"/>
        <v>6 Roda</v>
      </c>
      <c r="K1392" s="194">
        <v>46147</v>
      </c>
      <c r="L1392" s="195">
        <v>13550</v>
      </c>
      <c r="M1392" s="195">
        <v>3990</v>
      </c>
      <c r="N1392" s="195">
        <v>9560</v>
      </c>
      <c r="O1392" s="195">
        <v>9530</v>
      </c>
      <c r="P1392" s="196">
        <v>0.95347222222222217</v>
      </c>
      <c r="Q1392" s="196">
        <v>0.97222222222222221</v>
      </c>
      <c r="R1392" s="193" t="s">
        <v>137</v>
      </c>
      <c r="S1392" s="193"/>
      <c r="T1392" s="197">
        <f t="shared" si="97"/>
        <v>68</v>
      </c>
      <c r="U1392" s="193"/>
      <c r="V1392" s="193" t="s">
        <v>68</v>
      </c>
    </row>
    <row r="1393" spans="2:22" ht="15" customHeight="1" x14ac:dyDescent="0.2">
      <c r="B1393" s="193">
        <v>1</v>
      </c>
      <c r="C1393" s="347" t="s">
        <v>367</v>
      </c>
      <c r="D1393" s="347" t="str">
        <f t="shared" si="98"/>
        <v>CPO000224JAS</v>
      </c>
      <c r="E1393" s="193" t="s">
        <v>2026</v>
      </c>
      <c r="F1393" s="193" t="s">
        <v>2106</v>
      </c>
      <c r="G1393" s="193" t="s">
        <v>2105</v>
      </c>
      <c r="H1393" s="193" t="s">
        <v>49</v>
      </c>
      <c r="I1393" s="193" t="s">
        <v>41</v>
      </c>
      <c r="J1393" s="193" t="str">
        <f t="shared" si="96"/>
        <v>6 Roda</v>
      </c>
      <c r="K1393" s="194">
        <v>46147</v>
      </c>
      <c r="L1393" s="195">
        <v>13260</v>
      </c>
      <c r="M1393" s="195">
        <v>4160</v>
      </c>
      <c r="N1393" s="195">
        <v>9100</v>
      </c>
      <c r="O1393" s="195">
        <v>9070</v>
      </c>
      <c r="P1393" s="196">
        <v>0.96666666666666667</v>
      </c>
      <c r="Q1393" s="196">
        <v>0.98402777777777783</v>
      </c>
      <c r="R1393" s="193" t="s">
        <v>137</v>
      </c>
      <c r="S1393" s="193"/>
      <c r="T1393" s="197">
        <f t="shared" si="97"/>
        <v>68</v>
      </c>
      <c r="U1393" s="193"/>
      <c r="V1393" s="193" t="s">
        <v>68</v>
      </c>
    </row>
    <row r="1394" spans="2:22" ht="15" customHeight="1" x14ac:dyDescent="0.2">
      <c r="B1394" s="193">
        <v>1</v>
      </c>
      <c r="C1394" s="347" t="s">
        <v>368</v>
      </c>
      <c r="D1394" s="347" t="str">
        <f t="shared" si="98"/>
        <v>CPO000225JAS</v>
      </c>
      <c r="E1394" s="193" t="s">
        <v>151</v>
      </c>
      <c r="F1394" s="193" t="s">
        <v>2106</v>
      </c>
      <c r="G1394" s="193" t="s">
        <v>2105</v>
      </c>
      <c r="H1394" s="193" t="s">
        <v>49</v>
      </c>
      <c r="I1394" s="193" t="s">
        <v>41</v>
      </c>
      <c r="J1394" s="193" t="str">
        <f t="shared" si="96"/>
        <v>6 Roda</v>
      </c>
      <c r="K1394" s="194">
        <v>46147</v>
      </c>
      <c r="L1394" s="195">
        <v>13540</v>
      </c>
      <c r="M1394" s="195">
        <v>4250</v>
      </c>
      <c r="N1394" s="195">
        <v>9290</v>
      </c>
      <c r="O1394" s="195">
        <v>9340</v>
      </c>
      <c r="P1394" s="196">
        <v>0.96736111111111101</v>
      </c>
      <c r="Q1394" s="196">
        <v>0.98749999999999993</v>
      </c>
      <c r="R1394" s="193" t="s">
        <v>137</v>
      </c>
      <c r="S1394" s="193"/>
      <c r="T1394" s="197">
        <f t="shared" si="97"/>
        <v>68</v>
      </c>
      <c r="U1394" s="193"/>
      <c r="V1394" s="193" t="s">
        <v>68</v>
      </c>
    </row>
    <row r="1395" spans="2:22" ht="15" customHeight="1" x14ac:dyDescent="0.2">
      <c r="B1395" s="193">
        <v>1</v>
      </c>
      <c r="C1395" s="347" t="s">
        <v>369</v>
      </c>
      <c r="D1395" s="347" t="str">
        <f t="shared" si="98"/>
        <v>CPO000226JAS</v>
      </c>
      <c r="E1395" s="193" t="s">
        <v>1268</v>
      </c>
      <c r="F1395" s="193" t="s">
        <v>2106</v>
      </c>
      <c r="G1395" s="193" t="s">
        <v>2105</v>
      </c>
      <c r="H1395" s="193" t="s">
        <v>49</v>
      </c>
      <c r="I1395" s="193" t="s">
        <v>41</v>
      </c>
      <c r="J1395" s="193" t="str">
        <f t="shared" si="96"/>
        <v>6 Roda</v>
      </c>
      <c r="K1395" s="194">
        <v>46147</v>
      </c>
      <c r="L1395" s="195">
        <v>13590</v>
      </c>
      <c r="M1395" s="195">
        <v>3940</v>
      </c>
      <c r="N1395" s="195">
        <v>9650</v>
      </c>
      <c r="O1395" s="195">
        <v>9630</v>
      </c>
      <c r="P1395" s="196">
        <v>0.97152777777777777</v>
      </c>
      <c r="Q1395" s="196">
        <v>0.98611111111111116</v>
      </c>
      <c r="R1395" s="193" t="s">
        <v>137</v>
      </c>
      <c r="S1395" s="193"/>
      <c r="T1395" s="197">
        <f t="shared" si="97"/>
        <v>68</v>
      </c>
      <c r="U1395" s="193"/>
      <c r="V1395" s="193" t="s">
        <v>68</v>
      </c>
    </row>
    <row r="1396" spans="2:22" ht="15" customHeight="1" x14ac:dyDescent="0.2">
      <c r="B1396" s="193">
        <v>1</v>
      </c>
      <c r="C1396" s="347" t="s">
        <v>370</v>
      </c>
      <c r="D1396" s="347" t="str">
        <f t="shared" si="98"/>
        <v>CPO000227JAS</v>
      </c>
      <c r="E1396" s="193" t="s">
        <v>39</v>
      </c>
      <c r="F1396" s="193" t="s">
        <v>2106</v>
      </c>
      <c r="G1396" s="193" t="s">
        <v>2105</v>
      </c>
      <c r="H1396" s="193" t="s">
        <v>49</v>
      </c>
      <c r="I1396" s="193" t="s">
        <v>41</v>
      </c>
      <c r="J1396" s="193" t="str">
        <f t="shared" si="96"/>
        <v>6 Roda</v>
      </c>
      <c r="K1396" s="194">
        <v>46148</v>
      </c>
      <c r="L1396" s="195">
        <v>13590</v>
      </c>
      <c r="M1396" s="195">
        <v>4040</v>
      </c>
      <c r="N1396" s="195">
        <v>9550</v>
      </c>
      <c r="O1396" s="195">
        <v>9530</v>
      </c>
      <c r="P1396" s="196">
        <v>0.50555555555555554</v>
      </c>
      <c r="Q1396" s="196">
        <v>0.57013888888888886</v>
      </c>
      <c r="R1396" s="193" t="s">
        <v>137</v>
      </c>
      <c r="S1396" s="193"/>
      <c r="T1396" s="197">
        <f t="shared" si="97"/>
        <v>68</v>
      </c>
      <c r="U1396" s="193"/>
      <c r="V1396" s="193" t="s">
        <v>68</v>
      </c>
    </row>
    <row r="1397" spans="2:22" ht="15" customHeight="1" x14ac:dyDescent="0.2">
      <c r="B1397" s="193">
        <v>1</v>
      </c>
      <c r="C1397" s="347" t="s">
        <v>371</v>
      </c>
      <c r="D1397" s="347" t="str">
        <f t="shared" si="98"/>
        <v>CPO000228JAS</v>
      </c>
      <c r="E1397" s="193" t="s">
        <v>1593</v>
      </c>
      <c r="F1397" s="193" t="s">
        <v>2106</v>
      </c>
      <c r="G1397" s="193" t="s">
        <v>2105</v>
      </c>
      <c r="H1397" s="193" t="s">
        <v>49</v>
      </c>
      <c r="I1397" s="193" t="s">
        <v>41</v>
      </c>
      <c r="J1397" s="193" t="str">
        <f t="shared" ref="J1397:J1429" si="99">IF(MIN(L1397,M1397)&lt;=5000,"6 Roda",IF(MIN(L1397,M1397)&lt;=13800,"10 Roda","12 Roda"))</f>
        <v>6 Roda</v>
      </c>
      <c r="K1397" s="194">
        <v>46148</v>
      </c>
      <c r="L1397" s="195">
        <v>13940</v>
      </c>
      <c r="M1397" s="195">
        <v>4180</v>
      </c>
      <c r="N1397" s="195">
        <v>9760</v>
      </c>
      <c r="O1397" s="195">
        <v>9730</v>
      </c>
      <c r="P1397" s="196">
        <v>0.50694444444444442</v>
      </c>
      <c r="Q1397" s="196">
        <v>0.57430555555555551</v>
      </c>
      <c r="R1397" s="193" t="s">
        <v>137</v>
      </c>
      <c r="S1397" s="193"/>
      <c r="T1397" s="197">
        <f t="shared" ref="T1397:T1446" si="100">IFERROR(_xlfn.XLOOKUP(H1397,$AM$4:$AM$18,$AP$4:$AP$18,""),0)</f>
        <v>68</v>
      </c>
      <c r="U1397" s="193"/>
      <c r="V1397" s="193" t="s">
        <v>68</v>
      </c>
    </row>
    <row r="1398" spans="2:22" ht="15" customHeight="1" x14ac:dyDescent="0.2">
      <c r="B1398" s="193">
        <v>1</v>
      </c>
      <c r="C1398" s="347" t="s">
        <v>372</v>
      </c>
      <c r="D1398" s="347" t="str">
        <f t="shared" si="98"/>
        <v>CPO000229JAS</v>
      </c>
      <c r="E1398" s="193" t="s">
        <v>220</v>
      </c>
      <c r="F1398" s="193" t="s">
        <v>2106</v>
      </c>
      <c r="G1398" s="193" t="s">
        <v>2105</v>
      </c>
      <c r="H1398" s="193" t="s">
        <v>49</v>
      </c>
      <c r="I1398" s="193" t="s">
        <v>41</v>
      </c>
      <c r="J1398" s="193" t="str">
        <f t="shared" si="99"/>
        <v>6 Roda</v>
      </c>
      <c r="K1398" s="194">
        <v>46148</v>
      </c>
      <c r="L1398" s="195">
        <v>13560</v>
      </c>
      <c r="M1398" s="195">
        <v>4240</v>
      </c>
      <c r="N1398" s="195">
        <v>9320</v>
      </c>
      <c r="O1398" s="195">
        <v>9300</v>
      </c>
      <c r="P1398" s="196">
        <v>0.5083333333333333</v>
      </c>
      <c r="Q1398" s="196">
        <v>0.57361111111111118</v>
      </c>
      <c r="R1398" s="193" t="s">
        <v>137</v>
      </c>
      <c r="S1398" s="193"/>
      <c r="T1398" s="197">
        <f t="shared" si="100"/>
        <v>68</v>
      </c>
      <c r="U1398" s="193"/>
      <c r="V1398" s="193" t="s">
        <v>68</v>
      </c>
    </row>
    <row r="1399" spans="2:22" ht="15" customHeight="1" x14ac:dyDescent="0.2">
      <c r="B1399" s="193">
        <v>1</v>
      </c>
      <c r="C1399" s="347" t="s">
        <v>373</v>
      </c>
      <c r="D1399" s="347" t="str">
        <f t="shared" si="98"/>
        <v>CPO000230JAS</v>
      </c>
      <c r="E1399" s="193" t="s">
        <v>151</v>
      </c>
      <c r="F1399" s="193" t="s">
        <v>2106</v>
      </c>
      <c r="G1399" s="193" t="s">
        <v>2105</v>
      </c>
      <c r="H1399" s="193" t="s">
        <v>49</v>
      </c>
      <c r="I1399" s="193" t="s">
        <v>41</v>
      </c>
      <c r="J1399" s="193" t="str">
        <f t="shared" si="99"/>
        <v>6 Roda</v>
      </c>
      <c r="K1399" s="194">
        <v>46148</v>
      </c>
      <c r="L1399" s="195">
        <v>13520</v>
      </c>
      <c r="M1399" s="195">
        <v>4170</v>
      </c>
      <c r="N1399" s="195">
        <v>9350</v>
      </c>
      <c r="O1399" s="195">
        <v>9360</v>
      </c>
      <c r="P1399" s="196">
        <v>0.57222222222222219</v>
      </c>
      <c r="Q1399" s="196">
        <v>0.59375</v>
      </c>
      <c r="R1399" s="193" t="s">
        <v>137</v>
      </c>
      <c r="S1399" s="193"/>
      <c r="T1399" s="197">
        <f t="shared" si="100"/>
        <v>68</v>
      </c>
      <c r="U1399" s="193"/>
      <c r="V1399" s="193" t="s">
        <v>68</v>
      </c>
    </row>
    <row r="1400" spans="2:22" ht="15" customHeight="1" x14ac:dyDescent="0.2">
      <c r="B1400" s="193">
        <v>1</v>
      </c>
      <c r="C1400" s="347" t="s">
        <v>374</v>
      </c>
      <c r="D1400" s="347" t="str">
        <f t="shared" si="98"/>
        <v>CPO000231JAS</v>
      </c>
      <c r="E1400" s="193" t="s">
        <v>2026</v>
      </c>
      <c r="F1400" s="193" t="s">
        <v>2106</v>
      </c>
      <c r="G1400" s="193" t="s">
        <v>2105</v>
      </c>
      <c r="H1400" s="193" t="s">
        <v>49</v>
      </c>
      <c r="I1400" s="193" t="s">
        <v>41</v>
      </c>
      <c r="J1400" s="193" t="str">
        <f t="shared" si="99"/>
        <v>6 Roda</v>
      </c>
      <c r="K1400" s="194">
        <v>46148</v>
      </c>
      <c r="L1400" s="195">
        <v>13220</v>
      </c>
      <c r="M1400" s="195">
        <v>4140</v>
      </c>
      <c r="N1400" s="195">
        <v>9080</v>
      </c>
      <c r="O1400" s="195">
        <v>9060</v>
      </c>
      <c r="P1400" s="196">
        <v>0.57638888888888895</v>
      </c>
      <c r="Q1400" s="196">
        <v>0.59861111111111109</v>
      </c>
      <c r="R1400" s="193" t="s">
        <v>137</v>
      </c>
      <c r="S1400" s="193"/>
      <c r="T1400" s="197">
        <f t="shared" si="100"/>
        <v>68</v>
      </c>
      <c r="U1400" s="193"/>
      <c r="V1400" s="193" t="s">
        <v>68</v>
      </c>
    </row>
    <row r="1401" spans="2:22" ht="15" customHeight="1" x14ac:dyDescent="0.2">
      <c r="B1401" s="193">
        <v>1</v>
      </c>
      <c r="C1401" s="347" t="s">
        <v>375</v>
      </c>
      <c r="D1401" s="347" t="str">
        <f t="shared" si="98"/>
        <v>CPO000232JAS</v>
      </c>
      <c r="E1401" s="193" t="s">
        <v>2103</v>
      </c>
      <c r="F1401" s="193" t="s">
        <v>2106</v>
      </c>
      <c r="G1401" s="193" t="s">
        <v>2105</v>
      </c>
      <c r="H1401" s="193" t="s">
        <v>49</v>
      </c>
      <c r="I1401" s="193" t="s">
        <v>41</v>
      </c>
      <c r="J1401" s="193" t="str">
        <f t="shared" si="99"/>
        <v>6 Roda</v>
      </c>
      <c r="K1401" s="194">
        <v>46148</v>
      </c>
      <c r="L1401" s="195">
        <v>13530</v>
      </c>
      <c r="M1401" s="195">
        <v>3980</v>
      </c>
      <c r="N1401" s="195">
        <v>9550</v>
      </c>
      <c r="O1401" s="195">
        <v>9530</v>
      </c>
      <c r="P1401" s="196">
        <v>0.57777777777777783</v>
      </c>
      <c r="Q1401" s="196">
        <v>0.60138888888888886</v>
      </c>
      <c r="R1401" s="193" t="s">
        <v>137</v>
      </c>
      <c r="S1401" s="193"/>
      <c r="T1401" s="197">
        <f t="shared" si="100"/>
        <v>68</v>
      </c>
      <c r="U1401" s="193"/>
      <c r="V1401" s="193" t="s">
        <v>68</v>
      </c>
    </row>
    <row r="1402" spans="2:22" ht="15" customHeight="1" x14ac:dyDescent="0.2">
      <c r="B1402" s="193">
        <v>1</v>
      </c>
      <c r="C1402" s="347" t="s">
        <v>376</v>
      </c>
      <c r="D1402" s="347" t="str">
        <f t="shared" si="98"/>
        <v>CPO000233JAS</v>
      </c>
      <c r="E1402" s="193" t="s">
        <v>2104</v>
      </c>
      <c r="F1402" s="193" t="s">
        <v>2106</v>
      </c>
      <c r="G1402" s="193" t="s">
        <v>2105</v>
      </c>
      <c r="H1402" s="193" t="s">
        <v>49</v>
      </c>
      <c r="I1402" s="193" t="s">
        <v>41</v>
      </c>
      <c r="J1402" s="193" t="str">
        <f t="shared" si="99"/>
        <v>6 Roda</v>
      </c>
      <c r="K1402" s="194">
        <v>46148</v>
      </c>
      <c r="L1402" s="195">
        <v>12850</v>
      </c>
      <c r="M1402" s="195">
        <v>3920</v>
      </c>
      <c r="N1402" s="195">
        <v>8930</v>
      </c>
      <c r="O1402" s="195">
        <v>8880</v>
      </c>
      <c r="P1402" s="196">
        <v>0.59652777777777777</v>
      </c>
      <c r="Q1402" s="196">
        <v>0.62847222222222221</v>
      </c>
      <c r="R1402" s="193" t="s">
        <v>137</v>
      </c>
      <c r="S1402" s="193"/>
      <c r="T1402" s="197">
        <f t="shared" si="100"/>
        <v>68</v>
      </c>
      <c r="U1402" s="193"/>
      <c r="V1402" s="193" t="s">
        <v>68</v>
      </c>
    </row>
    <row r="1403" spans="2:22" ht="15" customHeight="1" x14ac:dyDescent="0.2">
      <c r="B1403" s="193">
        <v>1</v>
      </c>
      <c r="C1403" s="347" t="s">
        <v>377</v>
      </c>
      <c r="D1403" s="347" t="str">
        <f t="shared" si="98"/>
        <v>CPO000234JAS</v>
      </c>
      <c r="E1403" s="193" t="s">
        <v>1268</v>
      </c>
      <c r="F1403" s="193" t="s">
        <v>2106</v>
      </c>
      <c r="G1403" s="193" t="s">
        <v>2105</v>
      </c>
      <c r="H1403" s="193" t="s">
        <v>49</v>
      </c>
      <c r="I1403" s="193" t="s">
        <v>41</v>
      </c>
      <c r="J1403" s="193" t="str">
        <f t="shared" si="99"/>
        <v>6 Roda</v>
      </c>
      <c r="K1403" s="194">
        <v>46148</v>
      </c>
      <c r="L1403" s="195">
        <v>13560</v>
      </c>
      <c r="M1403" s="195">
        <v>3920</v>
      </c>
      <c r="N1403" s="195">
        <v>9640</v>
      </c>
      <c r="O1403" s="195">
        <v>9620</v>
      </c>
      <c r="P1403" s="196">
        <v>0.6</v>
      </c>
      <c r="Q1403" s="196">
        <v>0.62986111111111109</v>
      </c>
      <c r="R1403" s="193" t="s">
        <v>137</v>
      </c>
      <c r="S1403" s="193"/>
      <c r="T1403" s="197">
        <f t="shared" si="100"/>
        <v>68</v>
      </c>
      <c r="U1403" s="193"/>
      <c r="V1403" s="193" t="s">
        <v>68</v>
      </c>
    </row>
    <row r="1404" spans="2:22" ht="15" customHeight="1" x14ac:dyDescent="0.2">
      <c r="B1404" s="193">
        <v>1</v>
      </c>
      <c r="C1404" s="347" t="s">
        <v>381</v>
      </c>
      <c r="D1404" s="347" t="str">
        <f t="shared" si="98"/>
        <v>CPO000238JAS</v>
      </c>
      <c r="E1404" s="193" t="s">
        <v>1268</v>
      </c>
      <c r="F1404" s="193" t="s">
        <v>2106</v>
      </c>
      <c r="G1404" s="193" t="s">
        <v>2105</v>
      </c>
      <c r="H1404" s="193" t="s">
        <v>49</v>
      </c>
      <c r="I1404" s="193" t="s">
        <v>41</v>
      </c>
      <c r="J1404" s="193" t="str">
        <f t="shared" si="99"/>
        <v>6 Roda</v>
      </c>
      <c r="K1404" s="194">
        <v>46150</v>
      </c>
      <c r="L1404" s="195">
        <v>13550</v>
      </c>
      <c r="M1404" s="195">
        <v>3910</v>
      </c>
      <c r="N1404" s="195">
        <v>9640</v>
      </c>
      <c r="O1404" s="195">
        <v>9600</v>
      </c>
      <c r="P1404" s="196">
        <v>0.72361111111111109</v>
      </c>
      <c r="Q1404" s="196">
        <v>0.74791666666666667</v>
      </c>
      <c r="R1404" s="193" t="s">
        <v>137</v>
      </c>
      <c r="S1404" s="193"/>
      <c r="T1404" s="197">
        <f t="shared" si="100"/>
        <v>68</v>
      </c>
      <c r="U1404" s="193"/>
      <c r="V1404" s="193" t="s">
        <v>68</v>
      </c>
    </row>
    <row r="1405" spans="2:22" ht="15" customHeight="1" x14ac:dyDescent="0.2">
      <c r="B1405" s="193">
        <v>1</v>
      </c>
      <c r="C1405" s="347" t="s">
        <v>382</v>
      </c>
      <c r="D1405" s="347" t="str">
        <f t="shared" si="98"/>
        <v>CPO000239JAS</v>
      </c>
      <c r="E1405" s="193" t="s">
        <v>1060</v>
      </c>
      <c r="F1405" s="193" t="s">
        <v>2106</v>
      </c>
      <c r="G1405" s="193" t="s">
        <v>2105</v>
      </c>
      <c r="H1405" s="193" t="s">
        <v>49</v>
      </c>
      <c r="I1405" s="193" t="s">
        <v>41</v>
      </c>
      <c r="J1405" s="193" t="str">
        <f t="shared" si="99"/>
        <v>6 Roda</v>
      </c>
      <c r="K1405" s="194">
        <v>46150</v>
      </c>
      <c r="L1405" s="195">
        <v>12840</v>
      </c>
      <c r="M1405" s="195">
        <v>3920</v>
      </c>
      <c r="N1405" s="195">
        <v>8920</v>
      </c>
      <c r="O1405" s="195">
        <v>8880</v>
      </c>
      <c r="P1405" s="196">
        <v>0.72499999999999998</v>
      </c>
      <c r="Q1405" s="196">
        <v>0.75138888888888899</v>
      </c>
      <c r="R1405" s="193" t="s">
        <v>137</v>
      </c>
      <c r="S1405" s="193"/>
      <c r="T1405" s="197">
        <f t="shared" si="100"/>
        <v>68</v>
      </c>
      <c r="U1405" s="193"/>
      <c r="V1405" s="193" t="s">
        <v>68</v>
      </c>
    </row>
    <row r="1406" spans="2:22" ht="15" customHeight="1" x14ac:dyDescent="0.2">
      <c r="B1406" s="193">
        <v>1</v>
      </c>
      <c r="C1406" s="347" t="s">
        <v>383</v>
      </c>
      <c r="D1406" s="347" t="str">
        <f t="shared" si="98"/>
        <v>CPO000240JAS</v>
      </c>
      <c r="E1406" s="193" t="s">
        <v>39</v>
      </c>
      <c r="F1406" s="193" t="s">
        <v>2106</v>
      </c>
      <c r="G1406" s="193" t="s">
        <v>2105</v>
      </c>
      <c r="H1406" s="193" t="s">
        <v>49</v>
      </c>
      <c r="I1406" s="193" t="s">
        <v>41</v>
      </c>
      <c r="J1406" s="193" t="str">
        <f t="shared" si="99"/>
        <v>6 Roda</v>
      </c>
      <c r="K1406" s="194">
        <v>46150</v>
      </c>
      <c r="L1406" s="195">
        <v>13580</v>
      </c>
      <c r="M1406" s="195">
        <v>4040</v>
      </c>
      <c r="N1406" s="195">
        <v>9540</v>
      </c>
      <c r="O1406" s="195">
        <v>9510</v>
      </c>
      <c r="P1406" s="196">
        <v>0.78125</v>
      </c>
      <c r="Q1406" s="196">
        <v>0.79583333333333339</v>
      </c>
      <c r="R1406" s="193" t="s">
        <v>137</v>
      </c>
      <c r="S1406" s="193"/>
      <c r="T1406" s="197">
        <f t="shared" si="100"/>
        <v>68</v>
      </c>
      <c r="U1406" s="193"/>
      <c r="V1406" s="193" t="s">
        <v>68</v>
      </c>
    </row>
    <row r="1407" spans="2:22" ht="15" customHeight="1" x14ac:dyDescent="0.2">
      <c r="B1407" s="193">
        <v>1</v>
      </c>
      <c r="C1407" s="347" t="s">
        <v>384</v>
      </c>
      <c r="D1407" s="347" t="str">
        <f t="shared" si="98"/>
        <v>CPO000241JAS</v>
      </c>
      <c r="E1407" s="193" t="s">
        <v>1593</v>
      </c>
      <c r="F1407" s="193" t="s">
        <v>2106</v>
      </c>
      <c r="G1407" s="193" t="s">
        <v>2105</v>
      </c>
      <c r="H1407" s="193" t="s">
        <v>49</v>
      </c>
      <c r="I1407" s="193" t="s">
        <v>41</v>
      </c>
      <c r="J1407" s="193" t="str">
        <f t="shared" si="99"/>
        <v>6 Roda</v>
      </c>
      <c r="K1407" s="194">
        <v>46150</v>
      </c>
      <c r="L1407" s="195">
        <v>13880</v>
      </c>
      <c r="M1407" s="195">
        <v>4230</v>
      </c>
      <c r="N1407" s="195">
        <v>9650</v>
      </c>
      <c r="O1407" s="195">
        <v>9700</v>
      </c>
      <c r="P1407" s="196">
        <v>0.78263888888888899</v>
      </c>
      <c r="Q1407" s="196">
        <v>0.79652777777777783</v>
      </c>
      <c r="R1407" s="193" t="s">
        <v>137</v>
      </c>
      <c r="S1407" s="193"/>
      <c r="T1407" s="197">
        <f t="shared" si="100"/>
        <v>68</v>
      </c>
      <c r="U1407" s="193"/>
      <c r="V1407" s="193" t="s">
        <v>68</v>
      </c>
    </row>
    <row r="1408" spans="2:22" ht="15" customHeight="1" x14ac:dyDescent="0.2">
      <c r="B1408" s="193">
        <v>1</v>
      </c>
      <c r="C1408" s="347" t="s">
        <v>386</v>
      </c>
      <c r="D1408" s="347" t="str">
        <f t="shared" si="98"/>
        <v>CPO000243JAS</v>
      </c>
      <c r="E1408" s="193" t="s">
        <v>39</v>
      </c>
      <c r="F1408" s="193" t="s">
        <v>2106</v>
      </c>
      <c r="G1408" s="193" t="s">
        <v>2105</v>
      </c>
      <c r="H1408" s="193" t="s">
        <v>49</v>
      </c>
      <c r="I1408" s="193" t="s">
        <v>41</v>
      </c>
      <c r="J1408" s="193" t="str">
        <f t="shared" si="99"/>
        <v>6 Roda</v>
      </c>
      <c r="K1408" s="194">
        <v>46151</v>
      </c>
      <c r="L1408" s="195">
        <v>13580</v>
      </c>
      <c r="M1408" s="195">
        <v>4040</v>
      </c>
      <c r="N1408" s="195">
        <v>9540</v>
      </c>
      <c r="O1408" s="195">
        <v>9510</v>
      </c>
      <c r="P1408" s="196">
        <v>0.48749999999999999</v>
      </c>
      <c r="Q1408" s="196">
        <v>0.50902777777777775</v>
      </c>
      <c r="R1408" s="193" t="s">
        <v>137</v>
      </c>
      <c r="S1408" s="193"/>
      <c r="T1408" s="197">
        <f t="shared" si="100"/>
        <v>68</v>
      </c>
      <c r="U1408" s="193"/>
      <c r="V1408" s="193" t="s">
        <v>68</v>
      </c>
    </row>
    <row r="1409" spans="2:22" ht="15" customHeight="1" x14ac:dyDescent="0.2">
      <c r="B1409" s="193">
        <v>1</v>
      </c>
      <c r="C1409" s="347" t="s">
        <v>387</v>
      </c>
      <c r="D1409" s="347" t="str">
        <f t="shared" si="98"/>
        <v>CPO000244JAS</v>
      </c>
      <c r="E1409" s="193" t="s">
        <v>1593</v>
      </c>
      <c r="F1409" s="193" t="s">
        <v>2106</v>
      </c>
      <c r="G1409" s="193" t="s">
        <v>2105</v>
      </c>
      <c r="H1409" s="193" t="s">
        <v>49</v>
      </c>
      <c r="I1409" s="193" t="s">
        <v>41</v>
      </c>
      <c r="J1409" s="193" t="str">
        <f t="shared" si="99"/>
        <v>6 Roda</v>
      </c>
      <c r="K1409" s="194">
        <v>46151</v>
      </c>
      <c r="L1409" s="195">
        <v>13860</v>
      </c>
      <c r="M1409" s="195">
        <v>4140</v>
      </c>
      <c r="N1409" s="195">
        <v>9720</v>
      </c>
      <c r="O1409" s="195">
        <v>9690</v>
      </c>
      <c r="P1409" s="196">
        <v>0.48819444444444443</v>
      </c>
      <c r="Q1409" s="196">
        <v>0.51041666666666663</v>
      </c>
      <c r="R1409" s="193" t="s">
        <v>137</v>
      </c>
      <c r="S1409" s="193"/>
      <c r="T1409" s="197">
        <f t="shared" si="100"/>
        <v>68</v>
      </c>
      <c r="U1409" s="193"/>
      <c r="V1409" s="193" t="s">
        <v>68</v>
      </c>
    </row>
    <row r="1410" spans="2:22" ht="15" customHeight="1" x14ac:dyDescent="0.2">
      <c r="B1410" s="193">
        <v>1</v>
      </c>
      <c r="C1410" s="347" t="s">
        <v>2110</v>
      </c>
      <c r="D1410" s="347" t="str">
        <f t="shared" si="98"/>
        <v>RBDPL001230HSA</v>
      </c>
      <c r="E1410" s="193" t="s">
        <v>938</v>
      </c>
      <c r="F1410" s="193"/>
      <c r="G1410" s="193"/>
      <c r="H1410" s="193" t="s">
        <v>103</v>
      </c>
      <c r="I1410" s="193" t="s">
        <v>3</v>
      </c>
      <c r="J1410" s="193" t="str">
        <f t="shared" si="99"/>
        <v>6 Roda</v>
      </c>
      <c r="K1410" s="194">
        <v>46160</v>
      </c>
      <c r="L1410" s="195">
        <v>4010</v>
      </c>
      <c r="M1410" s="195">
        <v>13500</v>
      </c>
      <c r="N1410" s="195">
        <v>9490</v>
      </c>
      <c r="O1410" s="195"/>
      <c r="P1410" s="196">
        <v>0.56874999999999998</v>
      </c>
      <c r="Q1410" s="196">
        <v>0.59722222222222221</v>
      </c>
      <c r="R1410" s="193" t="s">
        <v>42</v>
      </c>
      <c r="S1410" s="193" t="s">
        <v>1384</v>
      </c>
      <c r="T1410" s="197">
        <f t="shared" si="100"/>
        <v>360</v>
      </c>
      <c r="U1410" s="193" t="s">
        <v>1381</v>
      </c>
      <c r="V1410" s="193" t="s">
        <v>2098</v>
      </c>
    </row>
    <row r="1411" spans="2:22" ht="15" customHeight="1" x14ac:dyDescent="0.2">
      <c r="B1411" s="193">
        <v>1</v>
      </c>
      <c r="C1411" s="347" t="s">
        <v>2111</v>
      </c>
      <c r="D1411" s="347" t="str">
        <f t="shared" si="98"/>
        <v>RBDPL001231HSA</v>
      </c>
      <c r="E1411" s="193" t="s">
        <v>936</v>
      </c>
      <c r="F1411" s="193"/>
      <c r="G1411" s="193"/>
      <c r="H1411" s="193" t="s">
        <v>103</v>
      </c>
      <c r="I1411" s="193" t="s">
        <v>3</v>
      </c>
      <c r="J1411" s="193" t="str">
        <f t="shared" si="99"/>
        <v>6 Roda</v>
      </c>
      <c r="K1411" s="194">
        <v>46160</v>
      </c>
      <c r="L1411" s="195">
        <v>4260</v>
      </c>
      <c r="M1411" s="195">
        <v>14400</v>
      </c>
      <c r="N1411" s="195">
        <v>10140</v>
      </c>
      <c r="O1411" s="195"/>
      <c r="P1411" s="196">
        <v>0.59236111111111112</v>
      </c>
      <c r="Q1411" s="196">
        <v>0.62222222222222223</v>
      </c>
      <c r="R1411" s="193" t="s">
        <v>42</v>
      </c>
      <c r="S1411" s="193" t="s">
        <v>1385</v>
      </c>
      <c r="T1411" s="197">
        <f t="shared" si="100"/>
        <v>360</v>
      </c>
      <c r="U1411" s="193" t="s">
        <v>1381</v>
      </c>
      <c r="V1411" s="193" t="s">
        <v>2098</v>
      </c>
    </row>
    <row r="1412" spans="2:22" ht="15" customHeight="1" x14ac:dyDescent="0.2">
      <c r="B1412" s="193">
        <v>1</v>
      </c>
      <c r="C1412" s="347" t="s">
        <v>2112</v>
      </c>
      <c r="D1412" s="347" t="str">
        <f t="shared" si="98"/>
        <v>RBDPL001241HSA</v>
      </c>
      <c r="E1412" s="193" t="s">
        <v>983</v>
      </c>
      <c r="F1412" s="193"/>
      <c r="G1412" s="193"/>
      <c r="H1412" s="193" t="s">
        <v>103</v>
      </c>
      <c r="I1412" s="193" t="s">
        <v>3</v>
      </c>
      <c r="J1412" s="193" t="str">
        <f t="shared" si="99"/>
        <v>6 Roda</v>
      </c>
      <c r="K1412" s="194">
        <v>46160</v>
      </c>
      <c r="L1412" s="195">
        <v>3990</v>
      </c>
      <c r="M1412" s="195">
        <v>13280</v>
      </c>
      <c r="N1412" s="195">
        <v>9290</v>
      </c>
      <c r="O1412" s="195"/>
      <c r="P1412" s="196">
        <v>0.73611111111111116</v>
      </c>
      <c r="Q1412" s="196">
        <v>0.78402777777777777</v>
      </c>
      <c r="R1412" s="193" t="s">
        <v>137</v>
      </c>
      <c r="S1412" s="193" t="s">
        <v>2034</v>
      </c>
      <c r="T1412" s="197">
        <f t="shared" si="100"/>
        <v>360</v>
      </c>
      <c r="U1412" s="193" t="s">
        <v>1381</v>
      </c>
      <c r="V1412" s="193" t="s">
        <v>2098</v>
      </c>
    </row>
    <row r="1413" spans="2:22" ht="15" customHeight="1" x14ac:dyDescent="0.2">
      <c r="B1413" s="193">
        <v>1</v>
      </c>
      <c r="C1413" s="347" t="s">
        <v>2113</v>
      </c>
      <c r="D1413" s="347" t="str">
        <f t="shared" si="98"/>
        <v>RBDPL001242HSA</v>
      </c>
      <c r="E1413" s="193" t="s">
        <v>147</v>
      </c>
      <c r="F1413" s="193"/>
      <c r="G1413" s="193"/>
      <c r="H1413" s="193" t="s">
        <v>103</v>
      </c>
      <c r="I1413" s="193" t="s">
        <v>3</v>
      </c>
      <c r="J1413" s="193" t="str">
        <f t="shared" si="99"/>
        <v>6 Roda</v>
      </c>
      <c r="K1413" s="194">
        <v>46160</v>
      </c>
      <c r="L1413" s="195">
        <v>3930</v>
      </c>
      <c r="M1413" s="195">
        <v>14040</v>
      </c>
      <c r="N1413" s="195">
        <v>10110</v>
      </c>
      <c r="O1413" s="195"/>
      <c r="P1413" s="196">
        <v>0.76180555555555562</v>
      </c>
      <c r="Q1413" s="196">
        <v>0.79375000000000007</v>
      </c>
      <c r="R1413" s="193" t="s">
        <v>137</v>
      </c>
      <c r="S1413" s="193" t="s">
        <v>1373</v>
      </c>
      <c r="T1413" s="197">
        <f t="shared" si="100"/>
        <v>360</v>
      </c>
      <c r="U1413" s="193" t="s">
        <v>1381</v>
      </c>
      <c r="V1413" s="193" t="s">
        <v>2098</v>
      </c>
    </row>
    <row r="1414" spans="2:22" ht="15" customHeight="1" x14ac:dyDescent="0.2">
      <c r="B1414" s="193">
        <v>1</v>
      </c>
      <c r="C1414" s="347" t="s">
        <v>2114</v>
      </c>
      <c r="D1414" s="347" t="str">
        <f t="shared" si="98"/>
        <v>RBDPL001225DA</v>
      </c>
      <c r="E1414" s="193" t="s">
        <v>1239</v>
      </c>
      <c r="F1414" s="193"/>
      <c r="G1414" s="193"/>
      <c r="H1414" s="193" t="s">
        <v>111</v>
      </c>
      <c r="I1414" s="193" t="s">
        <v>3</v>
      </c>
      <c r="J1414" s="193" t="str">
        <f t="shared" si="99"/>
        <v>12 Roda</v>
      </c>
      <c r="K1414" s="194">
        <v>46160</v>
      </c>
      <c r="L1414" s="195">
        <v>18980</v>
      </c>
      <c r="M1414" s="195">
        <v>42570</v>
      </c>
      <c r="N1414" s="195">
        <v>23590</v>
      </c>
      <c r="O1414" s="195"/>
      <c r="P1414" s="196">
        <v>0.36874999999999997</v>
      </c>
      <c r="Q1414" s="196">
        <v>0.51458333333333328</v>
      </c>
      <c r="R1414" s="193" t="s">
        <v>42</v>
      </c>
      <c r="S1414" s="193" t="s">
        <v>1783</v>
      </c>
      <c r="T1414" s="197">
        <f t="shared" si="100"/>
        <v>360</v>
      </c>
      <c r="U1414" s="193" t="s">
        <v>175</v>
      </c>
      <c r="V1414" s="193" t="s">
        <v>2098</v>
      </c>
    </row>
    <row r="1415" spans="2:22" ht="15" customHeight="1" x14ac:dyDescent="0.2">
      <c r="B1415" s="193">
        <v>1</v>
      </c>
      <c r="C1415" s="347" t="s">
        <v>2115</v>
      </c>
      <c r="D1415" s="347" t="str">
        <f t="shared" si="98"/>
        <v>RBDPL001226DA</v>
      </c>
      <c r="E1415" s="193" t="s">
        <v>940</v>
      </c>
      <c r="F1415" s="193"/>
      <c r="G1415" s="193"/>
      <c r="H1415" s="193" t="s">
        <v>111</v>
      </c>
      <c r="I1415" s="193" t="s">
        <v>3</v>
      </c>
      <c r="J1415" s="193" t="str">
        <f t="shared" si="99"/>
        <v>6 Roda</v>
      </c>
      <c r="K1415" s="194">
        <v>46160</v>
      </c>
      <c r="L1415" s="195">
        <v>4010</v>
      </c>
      <c r="M1415" s="195">
        <v>13580</v>
      </c>
      <c r="N1415" s="195">
        <v>9570</v>
      </c>
      <c r="O1415" s="195"/>
      <c r="P1415" s="196">
        <v>0.49236111111111108</v>
      </c>
      <c r="Q1415" s="196">
        <v>0.56388888888888888</v>
      </c>
      <c r="R1415" s="193" t="s">
        <v>42</v>
      </c>
      <c r="S1415" s="193" t="s">
        <v>1383</v>
      </c>
      <c r="T1415" s="197">
        <f t="shared" si="100"/>
        <v>360</v>
      </c>
      <c r="U1415" s="193" t="s">
        <v>1381</v>
      </c>
      <c r="V1415" s="193" t="s">
        <v>2098</v>
      </c>
    </row>
    <row r="1416" spans="2:22" ht="15" customHeight="1" x14ac:dyDescent="0.2">
      <c r="B1416" s="193">
        <v>1</v>
      </c>
      <c r="C1416" s="347" t="s">
        <v>2116</v>
      </c>
      <c r="D1416" s="347" t="str">
        <f t="shared" si="98"/>
        <v>RBDPL001228DA</v>
      </c>
      <c r="E1416" s="193" t="s">
        <v>2130</v>
      </c>
      <c r="F1416" s="193"/>
      <c r="G1416" s="193"/>
      <c r="H1416" s="193" t="s">
        <v>111</v>
      </c>
      <c r="I1416" s="193" t="s">
        <v>3</v>
      </c>
      <c r="J1416" s="193" t="str">
        <f t="shared" si="99"/>
        <v>10 Roda</v>
      </c>
      <c r="K1416" s="194">
        <v>46160</v>
      </c>
      <c r="L1416" s="195">
        <v>7870</v>
      </c>
      <c r="M1416" s="195">
        <v>26250</v>
      </c>
      <c r="N1416" s="195">
        <v>18380</v>
      </c>
      <c r="O1416" s="195"/>
      <c r="P1416" s="196">
        <v>0.55972222222222223</v>
      </c>
      <c r="Q1416" s="196">
        <v>0.64444444444444449</v>
      </c>
      <c r="R1416" s="193" t="s">
        <v>42</v>
      </c>
      <c r="S1416" s="193" t="s">
        <v>2131</v>
      </c>
      <c r="T1416" s="197">
        <f t="shared" si="100"/>
        <v>360</v>
      </c>
      <c r="U1416" s="193" t="s">
        <v>175</v>
      </c>
      <c r="V1416" s="193" t="s">
        <v>2098</v>
      </c>
    </row>
    <row r="1417" spans="2:22" ht="15" customHeight="1" x14ac:dyDescent="0.2">
      <c r="B1417" s="193">
        <v>1</v>
      </c>
      <c r="C1417" s="347" t="s">
        <v>2117</v>
      </c>
      <c r="D1417" s="347" t="str">
        <f t="shared" si="98"/>
        <v>RBDPL001229DA</v>
      </c>
      <c r="E1417" s="193" t="s">
        <v>2026</v>
      </c>
      <c r="F1417" s="193"/>
      <c r="G1417" s="193"/>
      <c r="H1417" s="193" t="s">
        <v>111</v>
      </c>
      <c r="I1417" s="193" t="s">
        <v>3</v>
      </c>
      <c r="J1417" s="193" t="str">
        <f t="shared" si="99"/>
        <v>6 Roda</v>
      </c>
      <c r="K1417" s="194">
        <v>46160</v>
      </c>
      <c r="L1417" s="195">
        <v>4220</v>
      </c>
      <c r="M1417" s="195">
        <v>13410</v>
      </c>
      <c r="N1417" s="195">
        <v>9190</v>
      </c>
      <c r="O1417" s="195"/>
      <c r="P1417" s="196">
        <v>0.56736111111111109</v>
      </c>
      <c r="Q1417" s="196">
        <v>0.6069444444444444</v>
      </c>
      <c r="R1417" s="193" t="s">
        <v>42</v>
      </c>
      <c r="S1417" s="193" t="s">
        <v>2035</v>
      </c>
      <c r="T1417" s="197">
        <f t="shared" si="100"/>
        <v>360</v>
      </c>
      <c r="U1417" s="193" t="s">
        <v>175</v>
      </c>
      <c r="V1417" s="193" t="s">
        <v>2098</v>
      </c>
    </row>
    <row r="1418" spans="2:22" ht="15" customHeight="1" x14ac:dyDescent="0.2">
      <c r="B1418" s="193">
        <v>1</v>
      </c>
      <c r="C1418" s="347" t="s">
        <v>2118</v>
      </c>
      <c r="D1418" s="347" t="str">
        <f t="shared" si="98"/>
        <v>RBDPL001236DA</v>
      </c>
      <c r="E1418" s="193" t="s">
        <v>174</v>
      </c>
      <c r="F1418" s="193"/>
      <c r="G1418" s="193"/>
      <c r="H1418" s="193" t="s">
        <v>111</v>
      </c>
      <c r="I1418" s="193" t="s">
        <v>3</v>
      </c>
      <c r="J1418" s="193" t="str">
        <f t="shared" si="99"/>
        <v>6 Roda</v>
      </c>
      <c r="K1418" s="194">
        <v>46160</v>
      </c>
      <c r="L1418" s="195">
        <v>4370</v>
      </c>
      <c r="M1418" s="195">
        <v>13520</v>
      </c>
      <c r="N1418" s="195">
        <v>9150</v>
      </c>
      <c r="O1418" s="195"/>
      <c r="P1418" s="196">
        <v>0.63472222222222219</v>
      </c>
      <c r="Q1418" s="196">
        <v>0.68958333333333333</v>
      </c>
      <c r="R1418" s="193" t="s">
        <v>42</v>
      </c>
      <c r="S1418" s="193" t="s">
        <v>2029</v>
      </c>
      <c r="T1418" s="197">
        <f t="shared" si="100"/>
        <v>360</v>
      </c>
      <c r="U1418" s="193" t="s">
        <v>175</v>
      </c>
      <c r="V1418" s="193" t="s">
        <v>2098</v>
      </c>
    </row>
    <row r="1419" spans="2:22" ht="15" customHeight="1" x14ac:dyDescent="0.2">
      <c r="B1419" s="193">
        <v>1</v>
      </c>
      <c r="C1419" s="347" t="s">
        <v>2119</v>
      </c>
      <c r="D1419" s="347" t="str">
        <f t="shared" si="98"/>
        <v>RBDPL001227SCM</v>
      </c>
      <c r="E1419" s="193" t="s">
        <v>2090</v>
      </c>
      <c r="F1419" s="193"/>
      <c r="G1419" s="193"/>
      <c r="H1419" s="193" t="s">
        <v>107</v>
      </c>
      <c r="I1419" s="193" t="s">
        <v>3</v>
      </c>
      <c r="J1419" s="193" t="str">
        <f t="shared" si="99"/>
        <v>6 Roda</v>
      </c>
      <c r="K1419" s="194">
        <v>46160</v>
      </c>
      <c r="L1419" s="195">
        <v>4190</v>
      </c>
      <c r="M1419" s="195">
        <v>13960</v>
      </c>
      <c r="N1419" s="195">
        <v>9770</v>
      </c>
      <c r="O1419" s="195"/>
      <c r="P1419" s="196">
        <v>0.55763888888888891</v>
      </c>
      <c r="Q1419" s="196">
        <v>0.58819444444444446</v>
      </c>
      <c r="R1419" s="193" t="s">
        <v>42</v>
      </c>
      <c r="S1419" s="193" t="s">
        <v>2094</v>
      </c>
      <c r="T1419" s="197">
        <f t="shared" si="100"/>
        <v>400</v>
      </c>
      <c r="U1419" s="193" t="s">
        <v>175</v>
      </c>
      <c r="V1419" s="193" t="s">
        <v>2098</v>
      </c>
    </row>
    <row r="1420" spans="2:22" ht="15" customHeight="1" x14ac:dyDescent="0.2">
      <c r="B1420" s="193">
        <v>1</v>
      </c>
      <c r="C1420" s="347" t="s">
        <v>2120</v>
      </c>
      <c r="D1420" s="347" t="str">
        <f t="shared" si="98"/>
        <v>RBDPL001232SCM</v>
      </c>
      <c r="E1420" s="193" t="s">
        <v>151</v>
      </c>
      <c r="F1420" s="193"/>
      <c r="G1420" s="193"/>
      <c r="H1420" s="193" t="s">
        <v>107</v>
      </c>
      <c r="I1420" s="193" t="s">
        <v>3</v>
      </c>
      <c r="J1420" s="193" t="str">
        <f t="shared" si="99"/>
        <v>6 Roda</v>
      </c>
      <c r="K1420" s="194">
        <v>46160</v>
      </c>
      <c r="L1420" s="195">
        <v>4190</v>
      </c>
      <c r="M1420" s="195">
        <v>13650</v>
      </c>
      <c r="N1420" s="195">
        <v>9460</v>
      </c>
      <c r="O1420" s="195"/>
      <c r="P1420" s="196">
        <v>0.59444444444444444</v>
      </c>
      <c r="Q1420" s="196">
        <v>0.65486111111111112</v>
      </c>
      <c r="R1420" s="193" t="s">
        <v>42</v>
      </c>
      <c r="S1420" s="193" t="s">
        <v>1388</v>
      </c>
      <c r="T1420" s="197">
        <f t="shared" si="100"/>
        <v>400</v>
      </c>
      <c r="U1420" s="193" t="s">
        <v>175</v>
      </c>
      <c r="V1420" s="193" t="s">
        <v>2098</v>
      </c>
    </row>
    <row r="1421" spans="2:22" ht="15" customHeight="1" x14ac:dyDescent="0.2">
      <c r="B1421" s="193">
        <v>1</v>
      </c>
      <c r="C1421" s="347" t="s">
        <v>2121</v>
      </c>
      <c r="D1421" s="347" t="str">
        <f t="shared" si="98"/>
        <v>RBDPL001235SCM</v>
      </c>
      <c r="E1421" s="193" t="s">
        <v>183</v>
      </c>
      <c r="F1421" s="193"/>
      <c r="G1421" s="193"/>
      <c r="H1421" s="193" t="s">
        <v>107</v>
      </c>
      <c r="I1421" s="193" t="s">
        <v>3</v>
      </c>
      <c r="J1421" s="193" t="str">
        <f t="shared" si="99"/>
        <v>6 Roda</v>
      </c>
      <c r="K1421" s="194">
        <v>46160</v>
      </c>
      <c r="L1421" s="195">
        <v>4170</v>
      </c>
      <c r="M1421" s="195">
        <v>14260</v>
      </c>
      <c r="N1421" s="195">
        <v>10090</v>
      </c>
      <c r="O1421" s="195"/>
      <c r="P1421" s="196">
        <v>0.62638888888888888</v>
      </c>
      <c r="Q1421" s="196">
        <v>0.68402777777777779</v>
      </c>
      <c r="R1421" s="193" t="s">
        <v>42</v>
      </c>
      <c r="S1421" s="193" t="s">
        <v>1734</v>
      </c>
      <c r="T1421" s="197">
        <f t="shared" si="100"/>
        <v>400</v>
      </c>
      <c r="U1421" s="193" t="s">
        <v>175</v>
      </c>
      <c r="V1421" s="193" t="s">
        <v>2098</v>
      </c>
    </row>
    <row r="1422" spans="2:22" ht="15" customHeight="1" x14ac:dyDescent="0.2">
      <c r="B1422" s="193">
        <v>1</v>
      </c>
      <c r="C1422" s="347" t="s">
        <v>2122</v>
      </c>
      <c r="D1422" s="347" t="str">
        <f t="shared" si="98"/>
        <v>RBDPL001237SCM</v>
      </c>
      <c r="E1422" s="193" t="s">
        <v>1023</v>
      </c>
      <c r="F1422" s="193"/>
      <c r="G1422" s="193"/>
      <c r="H1422" s="193" t="s">
        <v>107</v>
      </c>
      <c r="I1422" s="193" t="s">
        <v>3</v>
      </c>
      <c r="J1422" s="193" t="str">
        <f t="shared" si="99"/>
        <v>6 Roda</v>
      </c>
      <c r="K1422" s="194">
        <v>46160</v>
      </c>
      <c r="L1422" s="195">
        <v>4270</v>
      </c>
      <c r="M1422" s="195">
        <v>13910</v>
      </c>
      <c r="N1422" s="195">
        <v>9640</v>
      </c>
      <c r="O1422" s="195"/>
      <c r="P1422" s="196">
        <v>0.64652777777777781</v>
      </c>
      <c r="Q1422" s="196">
        <v>0.70416666666666661</v>
      </c>
      <c r="R1422" s="193" t="s">
        <v>42</v>
      </c>
      <c r="S1422" s="193" t="s">
        <v>2132</v>
      </c>
      <c r="T1422" s="197">
        <f t="shared" si="100"/>
        <v>400</v>
      </c>
      <c r="U1422" s="193" t="s">
        <v>175</v>
      </c>
      <c r="V1422" s="193" t="s">
        <v>2098</v>
      </c>
    </row>
    <row r="1423" spans="2:22" ht="15" customHeight="1" x14ac:dyDescent="0.2">
      <c r="B1423" s="193">
        <v>1</v>
      </c>
      <c r="C1423" s="347" t="s">
        <v>2123</v>
      </c>
      <c r="D1423" s="347" t="str">
        <f t="shared" si="98"/>
        <v>RBDPL001238SCM</v>
      </c>
      <c r="E1423" s="193" t="s">
        <v>2088</v>
      </c>
      <c r="F1423" s="193"/>
      <c r="G1423" s="193"/>
      <c r="H1423" s="193" t="s">
        <v>107</v>
      </c>
      <c r="I1423" s="193" t="s">
        <v>3</v>
      </c>
      <c r="J1423" s="193" t="str">
        <f t="shared" si="99"/>
        <v>6 Roda</v>
      </c>
      <c r="K1423" s="194">
        <v>46160</v>
      </c>
      <c r="L1423" s="195">
        <v>4070</v>
      </c>
      <c r="M1423" s="195">
        <v>13400</v>
      </c>
      <c r="N1423" s="195">
        <v>9330</v>
      </c>
      <c r="O1423" s="195"/>
      <c r="P1423" s="196">
        <v>0.70138888888888884</v>
      </c>
      <c r="Q1423" s="196">
        <v>0.72986111111111107</v>
      </c>
      <c r="R1423" s="193" t="s">
        <v>137</v>
      </c>
      <c r="S1423" s="193" t="s">
        <v>2095</v>
      </c>
      <c r="T1423" s="197">
        <f t="shared" si="100"/>
        <v>400</v>
      </c>
      <c r="U1423" s="193" t="s">
        <v>175</v>
      </c>
      <c r="V1423" s="193" t="s">
        <v>2098</v>
      </c>
    </row>
    <row r="1424" spans="2:22" ht="15" customHeight="1" x14ac:dyDescent="0.2">
      <c r="B1424" s="193">
        <v>1</v>
      </c>
      <c r="C1424" s="347" t="s">
        <v>2124</v>
      </c>
      <c r="D1424" s="347" t="str">
        <f t="shared" si="98"/>
        <v>RBDPL001239SCM</v>
      </c>
      <c r="E1424" s="193" t="s">
        <v>169</v>
      </c>
      <c r="F1424" s="193"/>
      <c r="G1424" s="193"/>
      <c r="H1424" s="193" t="s">
        <v>107</v>
      </c>
      <c r="I1424" s="193" t="s">
        <v>3</v>
      </c>
      <c r="J1424" s="193" t="str">
        <f t="shared" si="99"/>
        <v>6 Roda</v>
      </c>
      <c r="K1424" s="194">
        <v>46160</v>
      </c>
      <c r="L1424" s="195">
        <v>4010</v>
      </c>
      <c r="M1424" s="195">
        <v>13500</v>
      </c>
      <c r="N1424" s="195">
        <v>9490</v>
      </c>
      <c r="O1424" s="195"/>
      <c r="P1424" s="196">
        <v>0.70208333333333339</v>
      </c>
      <c r="Q1424" s="196">
        <v>0.72291666666666676</v>
      </c>
      <c r="R1424" s="193" t="s">
        <v>137</v>
      </c>
      <c r="S1424" s="193" t="s">
        <v>1378</v>
      </c>
      <c r="T1424" s="197">
        <f t="shared" si="100"/>
        <v>400</v>
      </c>
      <c r="U1424" s="193" t="s">
        <v>175</v>
      </c>
      <c r="V1424" s="193" t="s">
        <v>2098</v>
      </c>
    </row>
    <row r="1425" spans="2:22" ht="15" customHeight="1" x14ac:dyDescent="0.2">
      <c r="B1425" s="193">
        <v>1</v>
      </c>
      <c r="C1425" s="347" t="s">
        <v>2125</v>
      </c>
      <c r="D1425" s="347" t="str">
        <f t="shared" si="98"/>
        <v>RBDPL001240SCM</v>
      </c>
      <c r="E1425" s="193" t="s">
        <v>153</v>
      </c>
      <c r="F1425" s="193"/>
      <c r="G1425" s="193"/>
      <c r="H1425" s="193" t="s">
        <v>107</v>
      </c>
      <c r="I1425" s="193" t="s">
        <v>3</v>
      </c>
      <c r="J1425" s="193" t="str">
        <f t="shared" si="99"/>
        <v>6 Roda</v>
      </c>
      <c r="K1425" s="194">
        <v>46160</v>
      </c>
      <c r="L1425" s="195">
        <v>3990</v>
      </c>
      <c r="M1425" s="195">
        <v>13680</v>
      </c>
      <c r="N1425" s="195">
        <v>9690</v>
      </c>
      <c r="O1425" s="195"/>
      <c r="P1425" s="196">
        <v>0.7284722222222223</v>
      </c>
      <c r="Q1425" s="196">
        <v>0.75763888888888886</v>
      </c>
      <c r="R1425" s="193" t="s">
        <v>137</v>
      </c>
      <c r="S1425" s="193" t="s">
        <v>1379</v>
      </c>
      <c r="T1425" s="197">
        <f t="shared" si="100"/>
        <v>400</v>
      </c>
      <c r="U1425" s="193" t="s">
        <v>175</v>
      </c>
      <c r="V1425" s="193" t="s">
        <v>2098</v>
      </c>
    </row>
    <row r="1426" spans="2:22" ht="15" customHeight="1" x14ac:dyDescent="0.2">
      <c r="B1426" s="193">
        <v>1</v>
      </c>
      <c r="C1426" s="347" t="s">
        <v>2126</v>
      </c>
      <c r="D1426" s="347" t="str">
        <f t="shared" si="98"/>
        <v>RBDPL001233BJL</v>
      </c>
      <c r="E1426" s="193" t="s">
        <v>1631</v>
      </c>
      <c r="F1426" s="193"/>
      <c r="G1426" s="193"/>
      <c r="H1426" s="193" t="s">
        <v>86</v>
      </c>
      <c r="I1426" s="193" t="s">
        <v>3</v>
      </c>
      <c r="J1426" s="193" t="str">
        <f t="shared" si="99"/>
        <v>6 Roda</v>
      </c>
      <c r="K1426" s="194">
        <v>46160</v>
      </c>
      <c r="L1426" s="195">
        <v>4020</v>
      </c>
      <c r="M1426" s="195">
        <v>13370</v>
      </c>
      <c r="N1426" s="195">
        <v>9350</v>
      </c>
      <c r="O1426" s="195"/>
      <c r="P1426" s="196">
        <v>0.61527777777777781</v>
      </c>
      <c r="Q1426" s="196">
        <v>0.66319444444444442</v>
      </c>
      <c r="R1426" s="193" t="s">
        <v>42</v>
      </c>
      <c r="S1426" s="193" t="s">
        <v>1633</v>
      </c>
      <c r="T1426" s="197">
        <f t="shared" si="100"/>
        <v>562</v>
      </c>
      <c r="U1426" s="193" t="s">
        <v>175</v>
      </c>
      <c r="V1426" s="193" t="s">
        <v>2099</v>
      </c>
    </row>
    <row r="1427" spans="2:22" ht="15" customHeight="1" x14ac:dyDescent="0.2">
      <c r="B1427" s="193">
        <v>1</v>
      </c>
      <c r="C1427" s="347" t="s">
        <v>2127</v>
      </c>
      <c r="D1427" s="347" t="str">
        <f t="shared" ref="D1427:D1491" si="101">I1427&amp;C1427&amp;_xlfn.XLOOKUP(H1427,$AM$4:$AM$24,$AN$4:$AN$24,"")</f>
        <v>RBDPL001234BJL</v>
      </c>
      <c r="E1427" s="193" t="s">
        <v>839</v>
      </c>
      <c r="F1427" s="193"/>
      <c r="G1427" s="193"/>
      <c r="H1427" s="193" t="s">
        <v>86</v>
      </c>
      <c r="I1427" s="193" t="s">
        <v>3</v>
      </c>
      <c r="J1427" s="193" t="str">
        <f t="shared" si="99"/>
        <v>6 Roda</v>
      </c>
      <c r="K1427" s="194">
        <v>46160</v>
      </c>
      <c r="L1427" s="195">
        <v>3870</v>
      </c>
      <c r="M1427" s="195">
        <v>13070</v>
      </c>
      <c r="N1427" s="195">
        <v>9200</v>
      </c>
      <c r="O1427" s="195"/>
      <c r="P1427" s="196">
        <v>0.61597222222222225</v>
      </c>
      <c r="Q1427" s="196">
        <v>0.67222222222222217</v>
      </c>
      <c r="R1427" s="193" t="s">
        <v>42</v>
      </c>
      <c r="S1427" s="193" t="s">
        <v>2133</v>
      </c>
      <c r="T1427" s="197">
        <f t="shared" si="100"/>
        <v>562</v>
      </c>
      <c r="U1427" s="193" t="s">
        <v>175</v>
      </c>
      <c r="V1427" s="193" t="s">
        <v>2099</v>
      </c>
    </row>
    <row r="1428" spans="2:22" ht="15" customHeight="1" x14ac:dyDescent="0.2">
      <c r="B1428" s="193">
        <v>1</v>
      </c>
      <c r="C1428" s="347" t="s">
        <v>2128</v>
      </c>
      <c r="D1428" s="347" t="str">
        <f t="shared" si="101"/>
        <v>RBDPL001243TDJ</v>
      </c>
      <c r="E1428" s="193" t="s">
        <v>76</v>
      </c>
      <c r="F1428" s="193"/>
      <c r="G1428" s="193"/>
      <c r="H1428" s="193" t="s">
        <v>1523</v>
      </c>
      <c r="I1428" s="193" t="s">
        <v>3</v>
      </c>
      <c r="J1428" s="193" t="str">
        <f t="shared" si="99"/>
        <v>12 Roda</v>
      </c>
      <c r="K1428" s="194">
        <v>46160</v>
      </c>
      <c r="L1428" s="195">
        <v>17170</v>
      </c>
      <c r="M1428" s="195">
        <v>46050</v>
      </c>
      <c r="N1428" s="195">
        <v>28880</v>
      </c>
      <c r="O1428" s="195"/>
      <c r="P1428" s="196">
        <v>0.84097222222222223</v>
      </c>
      <c r="Q1428" s="196">
        <v>0.88958333333333339</v>
      </c>
      <c r="R1428" s="193" t="s">
        <v>137</v>
      </c>
      <c r="S1428" s="193" t="s">
        <v>1372</v>
      </c>
      <c r="T1428" s="197">
        <f t="shared" si="100"/>
        <v>473</v>
      </c>
      <c r="U1428" s="193" t="s">
        <v>69</v>
      </c>
      <c r="V1428" s="193" t="s">
        <v>2102</v>
      </c>
    </row>
    <row r="1429" spans="2:22" ht="15" customHeight="1" x14ac:dyDescent="0.2">
      <c r="B1429" s="193">
        <v>1</v>
      </c>
      <c r="C1429" s="347" t="s">
        <v>2129</v>
      </c>
      <c r="D1429" s="347" t="str">
        <f t="shared" si="101"/>
        <v>RBDPL001244WIN</v>
      </c>
      <c r="E1429" s="193" t="s">
        <v>70</v>
      </c>
      <c r="F1429" s="193"/>
      <c r="G1429" s="193"/>
      <c r="H1429" s="193" t="s">
        <v>115</v>
      </c>
      <c r="I1429" s="193" t="s">
        <v>3</v>
      </c>
      <c r="J1429" s="193" t="str">
        <f t="shared" si="99"/>
        <v>12 Roda</v>
      </c>
      <c r="K1429" s="194">
        <v>46160</v>
      </c>
      <c r="L1429" s="195">
        <v>17420</v>
      </c>
      <c r="M1429" s="195">
        <v>46250</v>
      </c>
      <c r="N1429" s="195">
        <v>28830</v>
      </c>
      <c r="O1429" s="195"/>
      <c r="P1429" s="196">
        <v>0.84513888888888899</v>
      </c>
      <c r="Q1429" s="196">
        <v>0.91111111111111109</v>
      </c>
      <c r="R1429" s="193" t="s">
        <v>137</v>
      </c>
      <c r="S1429" s="193" t="s">
        <v>1499</v>
      </c>
      <c r="T1429" s="197">
        <f t="shared" si="100"/>
        <v>642</v>
      </c>
      <c r="U1429" s="193" t="s">
        <v>69</v>
      </c>
      <c r="V1429" s="193" t="s">
        <v>2101</v>
      </c>
    </row>
    <row r="1430" spans="2:22" ht="15" customHeight="1" x14ac:dyDescent="0.2">
      <c r="B1430" s="193">
        <v>1</v>
      </c>
      <c r="C1430" s="347" t="s">
        <v>391</v>
      </c>
      <c r="D1430" s="347" t="str">
        <f t="shared" si="101"/>
        <v>CPO000248JAS</v>
      </c>
      <c r="E1430" s="193" t="s">
        <v>2134</v>
      </c>
      <c r="F1430" s="193" t="s">
        <v>2106</v>
      </c>
      <c r="G1430" s="193" t="s">
        <v>2105</v>
      </c>
      <c r="H1430" s="193" t="s">
        <v>49</v>
      </c>
      <c r="I1430" s="193" t="s">
        <v>41</v>
      </c>
      <c r="J1430" s="193" t="str">
        <f t="shared" ref="J1430:J1432" si="102">IF(MIN(L1430,M1430)&lt;=5000,"6 Roda",IF(MIN(L1430,M1430)&lt;=13800,"10 Roda","12 Roda"))</f>
        <v>6 Roda</v>
      </c>
      <c r="K1430" s="194">
        <v>46160</v>
      </c>
      <c r="L1430" s="195">
        <v>12930</v>
      </c>
      <c r="M1430" s="195">
        <v>4010</v>
      </c>
      <c r="N1430" s="195">
        <v>8920</v>
      </c>
      <c r="O1430" s="195">
        <v>8890</v>
      </c>
      <c r="P1430" s="196">
        <v>0.73958333333333337</v>
      </c>
      <c r="Q1430" s="196">
        <v>0.81736111111111109</v>
      </c>
      <c r="R1430" s="193" t="s">
        <v>137</v>
      </c>
      <c r="S1430" s="193"/>
      <c r="T1430" s="197">
        <f t="shared" si="100"/>
        <v>68</v>
      </c>
      <c r="U1430" s="193"/>
      <c r="V1430" s="193" t="s">
        <v>68</v>
      </c>
    </row>
    <row r="1431" spans="2:22" ht="15" customHeight="1" x14ac:dyDescent="0.2">
      <c r="B1431" s="193">
        <v>1</v>
      </c>
      <c r="C1431" s="347" t="s">
        <v>392</v>
      </c>
      <c r="D1431" s="347" t="str">
        <f t="shared" si="101"/>
        <v>CPO000249JAS</v>
      </c>
      <c r="E1431" s="193" t="s">
        <v>2135</v>
      </c>
      <c r="F1431" s="193" t="s">
        <v>2106</v>
      </c>
      <c r="G1431" s="193" t="s">
        <v>2105</v>
      </c>
      <c r="H1431" s="193" t="s">
        <v>49</v>
      </c>
      <c r="I1431" s="193" t="s">
        <v>41</v>
      </c>
      <c r="J1431" s="193" t="str">
        <f t="shared" si="102"/>
        <v>6 Roda</v>
      </c>
      <c r="K1431" s="194">
        <v>46160</v>
      </c>
      <c r="L1431" s="195">
        <v>13450</v>
      </c>
      <c r="M1431" s="195">
        <v>3800</v>
      </c>
      <c r="N1431" s="195">
        <v>9650</v>
      </c>
      <c r="O1431" s="195">
        <v>9590</v>
      </c>
      <c r="P1431" s="196">
        <v>0.74097222222222225</v>
      </c>
      <c r="Q1431" s="196">
        <v>0.81388888888888899</v>
      </c>
      <c r="R1431" s="193" t="s">
        <v>137</v>
      </c>
      <c r="S1431" s="193"/>
      <c r="T1431" s="197">
        <f t="shared" si="100"/>
        <v>68</v>
      </c>
      <c r="U1431" s="193"/>
      <c r="V1431" s="193" t="s">
        <v>68</v>
      </c>
    </row>
    <row r="1432" spans="2:22" ht="15" customHeight="1" x14ac:dyDescent="0.2">
      <c r="B1432" s="193">
        <v>1</v>
      </c>
      <c r="C1432" s="347" t="s">
        <v>393</v>
      </c>
      <c r="D1432" s="347" t="str">
        <f t="shared" si="101"/>
        <v>CPO000250JAS</v>
      </c>
      <c r="E1432" s="193" t="s">
        <v>215</v>
      </c>
      <c r="F1432" s="193" t="s">
        <v>2106</v>
      </c>
      <c r="G1432" s="193" t="s">
        <v>2105</v>
      </c>
      <c r="H1432" s="193" t="s">
        <v>49</v>
      </c>
      <c r="I1432" s="193" t="s">
        <v>41</v>
      </c>
      <c r="J1432" s="193" t="str">
        <f t="shared" si="102"/>
        <v>6 Roda</v>
      </c>
      <c r="K1432" s="194">
        <v>46160</v>
      </c>
      <c r="L1432" s="195">
        <v>12860</v>
      </c>
      <c r="M1432" s="195">
        <v>3990</v>
      </c>
      <c r="N1432" s="195">
        <v>8870</v>
      </c>
      <c r="O1432" s="195">
        <v>8820</v>
      </c>
      <c r="P1432" s="196">
        <v>0.87083333333333324</v>
      </c>
      <c r="Q1432" s="196">
        <v>0.89861111111111114</v>
      </c>
      <c r="R1432" s="193" t="s">
        <v>137</v>
      </c>
      <c r="S1432" s="193"/>
      <c r="T1432" s="197">
        <f t="shared" si="100"/>
        <v>68</v>
      </c>
      <c r="U1432" s="193"/>
      <c r="V1432" s="193" t="s">
        <v>68</v>
      </c>
    </row>
    <row r="1433" spans="2:22" ht="15" customHeight="1" x14ac:dyDescent="0.2">
      <c r="B1433" s="193">
        <v>1</v>
      </c>
      <c r="C1433" s="347" t="s">
        <v>395</v>
      </c>
      <c r="D1433" s="347" t="str">
        <f t="shared" si="101"/>
        <v>CPO000252JAS</v>
      </c>
      <c r="E1433" s="193" t="s">
        <v>2134</v>
      </c>
      <c r="F1433" s="193" t="s">
        <v>2106</v>
      </c>
      <c r="G1433" s="193" t="s">
        <v>2105</v>
      </c>
      <c r="H1433" s="193" t="s">
        <v>49</v>
      </c>
      <c r="I1433" s="193" t="s">
        <v>41</v>
      </c>
      <c r="J1433" s="193" t="str">
        <f t="shared" ref="J1433:J1496" si="103">IF(MIN(L1433,M1433)&lt;=5000,"6 Roda",IF(MIN(L1433,M1433)&lt;=13800,"10 Roda","12 Roda"))</f>
        <v>6 Roda</v>
      </c>
      <c r="K1433" s="194">
        <v>46161</v>
      </c>
      <c r="L1433" s="195">
        <v>12870</v>
      </c>
      <c r="M1433" s="195">
        <v>3960</v>
      </c>
      <c r="N1433" s="195">
        <v>8910</v>
      </c>
      <c r="O1433" s="195">
        <v>8840</v>
      </c>
      <c r="P1433" s="196">
        <v>0.45416666666666666</v>
      </c>
      <c r="Q1433" s="196">
        <v>0.49236111111111108</v>
      </c>
      <c r="R1433" s="193" t="s">
        <v>1221</v>
      </c>
      <c r="S1433" s="193"/>
      <c r="T1433" s="197">
        <f t="shared" si="100"/>
        <v>68</v>
      </c>
      <c r="U1433" s="193"/>
      <c r="V1433" s="193" t="s">
        <v>68</v>
      </c>
    </row>
    <row r="1434" spans="2:22" ht="15" customHeight="1" x14ac:dyDescent="0.2">
      <c r="B1434" s="193">
        <v>1</v>
      </c>
      <c r="C1434" s="347" t="s">
        <v>396</v>
      </c>
      <c r="D1434" s="347" t="str">
        <f t="shared" si="101"/>
        <v>CPO000253JAS</v>
      </c>
      <c r="E1434" s="193" t="s">
        <v>1632</v>
      </c>
      <c r="F1434" s="193" t="s">
        <v>2106</v>
      </c>
      <c r="G1434" s="193" t="s">
        <v>2105</v>
      </c>
      <c r="H1434" s="193" t="s">
        <v>49</v>
      </c>
      <c r="I1434" s="193" t="s">
        <v>41</v>
      </c>
      <c r="J1434" s="193" t="str">
        <f t="shared" si="103"/>
        <v>6 Roda</v>
      </c>
      <c r="K1434" s="194">
        <v>46161</v>
      </c>
      <c r="L1434" s="195">
        <v>13470</v>
      </c>
      <c r="M1434" s="195">
        <v>3820</v>
      </c>
      <c r="N1434" s="195">
        <v>9650</v>
      </c>
      <c r="O1434" s="195">
        <v>9620</v>
      </c>
      <c r="P1434" s="196">
        <v>0.46597222222222223</v>
      </c>
      <c r="Q1434" s="196">
        <v>0.48819444444444443</v>
      </c>
      <c r="R1434" s="193" t="s">
        <v>1221</v>
      </c>
      <c r="S1434" s="193"/>
      <c r="T1434" s="197">
        <f t="shared" si="100"/>
        <v>68</v>
      </c>
      <c r="U1434" s="193"/>
      <c r="V1434" s="193" t="s">
        <v>68</v>
      </c>
    </row>
    <row r="1435" spans="2:22" ht="15" customHeight="1" x14ac:dyDescent="0.2">
      <c r="B1435" s="193">
        <v>1</v>
      </c>
      <c r="C1435" s="347" t="s">
        <v>397</v>
      </c>
      <c r="D1435" s="347" t="str">
        <f t="shared" si="101"/>
        <v>CPO000254JAS</v>
      </c>
      <c r="E1435" s="193" t="s">
        <v>215</v>
      </c>
      <c r="F1435" s="193" t="s">
        <v>2106</v>
      </c>
      <c r="G1435" s="193" t="s">
        <v>2105</v>
      </c>
      <c r="H1435" s="193" t="s">
        <v>49</v>
      </c>
      <c r="I1435" s="193" t="s">
        <v>41</v>
      </c>
      <c r="J1435" s="193" t="str">
        <f t="shared" si="103"/>
        <v>6 Roda</v>
      </c>
      <c r="K1435" s="194">
        <v>46161</v>
      </c>
      <c r="L1435" s="195">
        <v>12790</v>
      </c>
      <c r="M1435" s="195">
        <v>3970</v>
      </c>
      <c r="N1435" s="195">
        <v>8820</v>
      </c>
      <c r="O1435" s="195">
        <v>8770</v>
      </c>
      <c r="P1435" s="196">
        <v>0.48055555555555557</v>
      </c>
      <c r="Q1435" s="196">
        <v>0.50416666666666665</v>
      </c>
      <c r="R1435" s="193" t="s">
        <v>1221</v>
      </c>
      <c r="S1435" s="193"/>
      <c r="T1435" s="197">
        <f t="shared" si="100"/>
        <v>68</v>
      </c>
      <c r="U1435" s="193"/>
      <c r="V1435" s="193" t="s">
        <v>68</v>
      </c>
    </row>
    <row r="1436" spans="2:22" ht="15" customHeight="1" x14ac:dyDescent="0.2">
      <c r="B1436" s="193">
        <v>1</v>
      </c>
      <c r="C1436" s="347" t="s">
        <v>398</v>
      </c>
      <c r="D1436" s="347" t="str">
        <f t="shared" si="101"/>
        <v>CPO000255JAS</v>
      </c>
      <c r="E1436" s="193" t="s">
        <v>194</v>
      </c>
      <c r="F1436" s="193" t="s">
        <v>2106</v>
      </c>
      <c r="G1436" s="193" t="s">
        <v>2105</v>
      </c>
      <c r="H1436" s="193" t="s">
        <v>49</v>
      </c>
      <c r="I1436" s="193" t="s">
        <v>41</v>
      </c>
      <c r="J1436" s="193" t="str">
        <f t="shared" si="103"/>
        <v>6 Roda</v>
      </c>
      <c r="K1436" s="194">
        <v>46161</v>
      </c>
      <c r="L1436" s="195">
        <v>13030</v>
      </c>
      <c r="M1436" s="195">
        <v>3770</v>
      </c>
      <c r="N1436" s="195">
        <v>9260</v>
      </c>
      <c r="O1436" s="195">
        <v>9220</v>
      </c>
      <c r="P1436" s="196">
        <v>0.66736111111111107</v>
      </c>
      <c r="Q1436" s="196">
        <v>0.6958333333333333</v>
      </c>
      <c r="R1436" s="193" t="s">
        <v>1221</v>
      </c>
      <c r="S1436" s="193"/>
      <c r="T1436" s="197">
        <f t="shared" si="100"/>
        <v>68</v>
      </c>
      <c r="U1436" s="193"/>
      <c r="V1436" s="193" t="s">
        <v>68</v>
      </c>
    </row>
    <row r="1437" spans="2:22" ht="15" customHeight="1" x14ac:dyDescent="0.2">
      <c r="B1437" s="193">
        <v>1</v>
      </c>
      <c r="C1437" s="347" t="s">
        <v>399</v>
      </c>
      <c r="D1437" s="347" t="str">
        <f t="shared" si="101"/>
        <v>CPO000256JAS</v>
      </c>
      <c r="E1437" s="193" t="s">
        <v>1632</v>
      </c>
      <c r="F1437" s="193" t="s">
        <v>2106</v>
      </c>
      <c r="G1437" s="193" t="s">
        <v>2105</v>
      </c>
      <c r="H1437" s="193" t="s">
        <v>49</v>
      </c>
      <c r="I1437" s="193" t="s">
        <v>41</v>
      </c>
      <c r="J1437" s="193" t="str">
        <f t="shared" si="103"/>
        <v>6 Roda</v>
      </c>
      <c r="K1437" s="194">
        <v>46161</v>
      </c>
      <c r="L1437" s="195">
        <v>13470</v>
      </c>
      <c r="M1437" s="195">
        <v>3830</v>
      </c>
      <c r="N1437" s="195">
        <v>9640</v>
      </c>
      <c r="O1437" s="195">
        <v>9610</v>
      </c>
      <c r="P1437" s="196">
        <v>0.68958333333333333</v>
      </c>
      <c r="Q1437" s="196">
        <v>0.70694444444444438</v>
      </c>
      <c r="R1437" s="193" t="s">
        <v>1221</v>
      </c>
      <c r="S1437" s="193"/>
      <c r="T1437" s="197">
        <f t="shared" si="100"/>
        <v>68</v>
      </c>
      <c r="U1437" s="193"/>
      <c r="V1437" s="193" t="s">
        <v>68</v>
      </c>
    </row>
    <row r="1438" spans="2:22" ht="15" customHeight="1" x14ac:dyDescent="0.2">
      <c r="B1438" s="193">
        <v>1</v>
      </c>
      <c r="C1438" s="347" t="s">
        <v>400</v>
      </c>
      <c r="D1438" s="347" t="str">
        <f t="shared" si="101"/>
        <v>CPO000257JAS</v>
      </c>
      <c r="E1438" s="193" t="s">
        <v>2134</v>
      </c>
      <c r="F1438" s="193" t="s">
        <v>2106</v>
      </c>
      <c r="G1438" s="193" t="s">
        <v>2105</v>
      </c>
      <c r="H1438" s="193" t="s">
        <v>49</v>
      </c>
      <c r="I1438" s="193" t="s">
        <v>41</v>
      </c>
      <c r="J1438" s="193" t="str">
        <f t="shared" si="103"/>
        <v>6 Roda</v>
      </c>
      <c r="K1438" s="194">
        <v>46161</v>
      </c>
      <c r="L1438" s="195">
        <v>12870</v>
      </c>
      <c r="M1438" s="195">
        <v>3970</v>
      </c>
      <c r="N1438" s="195">
        <v>8900</v>
      </c>
      <c r="O1438" s="195">
        <v>8860</v>
      </c>
      <c r="P1438" s="196">
        <v>0.69791666666666663</v>
      </c>
      <c r="Q1438" s="196">
        <v>0.71736111111111101</v>
      </c>
      <c r="R1438" s="193" t="s">
        <v>1221</v>
      </c>
      <c r="S1438" s="193"/>
      <c r="T1438" s="197">
        <f t="shared" si="100"/>
        <v>68</v>
      </c>
      <c r="U1438" s="193"/>
      <c r="V1438" s="193" t="s">
        <v>68</v>
      </c>
    </row>
    <row r="1439" spans="2:22" ht="15" customHeight="1" x14ac:dyDescent="0.2">
      <c r="B1439" s="193">
        <v>1</v>
      </c>
      <c r="C1439" s="347" t="s">
        <v>401</v>
      </c>
      <c r="D1439" s="347" t="str">
        <f t="shared" si="101"/>
        <v>CPO000258JAS</v>
      </c>
      <c r="E1439" s="193" t="s">
        <v>3128</v>
      </c>
      <c r="F1439" s="193" t="s">
        <v>2106</v>
      </c>
      <c r="G1439" s="193" t="s">
        <v>2105</v>
      </c>
      <c r="H1439" s="193" t="s">
        <v>49</v>
      </c>
      <c r="I1439" s="193" t="s">
        <v>41</v>
      </c>
      <c r="J1439" s="193" t="str">
        <f t="shared" si="103"/>
        <v>6 Roda</v>
      </c>
      <c r="K1439" s="194">
        <v>46161</v>
      </c>
      <c r="L1439" s="195">
        <v>12770</v>
      </c>
      <c r="M1439" s="195">
        <v>3970</v>
      </c>
      <c r="N1439" s="195">
        <v>8800</v>
      </c>
      <c r="O1439" s="195">
        <v>8780</v>
      </c>
      <c r="P1439" s="196">
        <v>0.70000000000000007</v>
      </c>
      <c r="Q1439" s="196">
        <v>0.72291666666666676</v>
      </c>
      <c r="R1439" s="193" t="s">
        <v>1221</v>
      </c>
      <c r="S1439" s="193"/>
      <c r="T1439" s="197">
        <f t="shared" si="100"/>
        <v>68</v>
      </c>
      <c r="U1439" s="193"/>
      <c r="V1439" s="193" t="s">
        <v>68</v>
      </c>
    </row>
    <row r="1440" spans="2:22" ht="15" customHeight="1" x14ac:dyDescent="0.2">
      <c r="B1440" s="193">
        <v>1</v>
      </c>
      <c r="C1440" s="347" t="s">
        <v>402</v>
      </c>
      <c r="D1440" s="347" t="str">
        <f t="shared" si="101"/>
        <v>CPO000259JAS</v>
      </c>
      <c r="E1440" s="193" t="s">
        <v>3129</v>
      </c>
      <c r="F1440" s="193" t="s">
        <v>2106</v>
      </c>
      <c r="G1440" s="193" t="s">
        <v>2105</v>
      </c>
      <c r="H1440" s="193" t="s">
        <v>49</v>
      </c>
      <c r="I1440" s="193" t="s">
        <v>41</v>
      </c>
      <c r="J1440" s="193" t="str">
        <f t="shared" si="103"/>
        <v>6 Roda</v>
      </c>
      <c r="K1440" s="194">
        <v>46161</v>
      </c>
      <c r="L1440" s="195">
        <v>12860</v>
      </c>
      <c r="M1440" s="195">
        <v>3960</v>
      </c>
      <c r="N1440" s="195">
        <v>8900</v>
      </c>
      <c r="O1440" s="195">
        <v>8880</v>
      </c>
      <c r="P1440" s="196">
        <v>0.91388888888888886</v>
      </c>
      <c r="Q1440" s="196">
        <v>0.94097222222222221</v>
      </c>
      <c r="R1440" s="193" t="s">
        <v>137</v>
      </c>
      <c r="S1440" s="193"/>
      <c r="T1440" s="197">
        <f t="shared" si="100"/>
        <v>68</v>
      </c>
      <c r="U1440" s="193"/>
      <c r="V1440" s="193" t="s">
        <v>68</v>
      </c>
    </row>
    <row r="1441" spans="2:22" ht="15" customHeight="1" x14ac:dyDescent="0.2">
      <c r="B1441" s="193">
        <v>1</v>
      </c>
      <c r="C1441" s="347" t="s">
        <v>403</v>
      </c>
      <c r="D1441" s="347" t="str">
        <f t="shared" si="101"/>
        <v>CPO000260JAS</v>
      </c>
      <c r="E1441" s="193" t="s">
        <v>1632</v>
      </c>
      <c r="F1441" s="193" t="s">
        <v>2106</v>
      </c>
      <c r="G1441" s="193" t="s">
        <v>2105</v>
      </c>
      <c r="H1441" s="193" t="s">
        <v>49</v>
      </c>
      <c r="I1441" s="193" t="s">
        <v>41</v>
      </c>
      <c r="J1441" s="193" t="str">
        <f t="shared" si="103"/>
        <v>6 Roda</v>
      </c>
      <c r="K1441" s="194">
        <v>46161</v>
      </c>
      <c r="L1441" s="195">
        <v>13440</v>
      </c>
      <c r="M1441" s="195">
        <v>3820</v>
      </c>
      <c r="N1441" s="195">
        <v>9620</v>
      </c>
      <c r="O1441" s="195">
        <v>9580</v>
      </c>
      <c r="P1441" s="196">
        <v>0.93333333333333324</v>
      </c>
      <c r="Q1441" s="196">
        <v>0.94652777777777775</v>
      </c>
      <c r="R1441" s="193" t="s">
        <v>137</v>
      </c>
      <c r="S1441" s="193"/>
      <c r="T1441" s="197">
        <f t="shared" si="100"/>
        <v>68</v>
      </c>
      <c r="U1441" s="193"/>
      <c r="V1441" s="193" t="s">
        <v>68</v>
      </c>
    </row>
    <row r="1442" spans="2:22" ht="15" customHeight="1" x14ac:dyDescent="0.2">
      <c r="B1442" s="193">
        <v>1</v>
      </c>
      <c r="C1442" s="347" t="s">
        <v>404</v>
      </c>
      <c r="D1442" s="347" t="str">
        <f t="shared" si="101"/>
        <v>CPO000261JAS</v>
      </c>
      <c r="E1442" s="193" t="s">
        <v>194</v>
      </c>
      <c r="F1442" s="193" t="s">
        <v>2106</v>
      </c>
      <c r="G1442" s="193" t="s">
        <v>2105</v>
      </c>
      <c r="H1442" s="193" t="s">
        <v>49</v>
      </c>
      <c r="I1442" s="193" t="s">
        <v>41</v>
      </c>
      <c r="J1442" s="193" t="str">
        <f t="shared" si="103"/>
        <v>6 Roda</v>
      </c>
      <c r="K1442" s="194">
        <v>46161</v>
      </c>
      <c r="L1442" s="195">
        <v>13010</v>
      </c>
      <c r="M1442" s="195">
        <v>3780</v>
      </c>
      <c r="N1442" s="195">
        <v>9230</v>
      </c>
      <c r="O1442" s="195">
        <v>9220</v>
      </c>
      <c r="P1442" s="196">
        <v>0.93472222222222223</v>
      </c>
      <c r="Q1442" s="196">
        <v>0.9604166666666667</v>
      </c>
      <c r="R1442" s="193" t="s">
        <v>137</v>
      </c>
      <c r="S1442" s="193"/>
      <c r="T1442" s="197">
        <f t="shared" si="100"/>
        <v>68</v>
      </c>
      <c r="U1442" s="193"/>
      <c r="V1442" s="193" t="s">
        <v>68</v>
      </c>
    </row>
    <row r="1443" spans="2:22" ht="15" customHeight="1" x14ac:dyDescent="0.2">
      <c r="B1443" s="193">
        <v>1</v>
      </c>
      <c r="C1443" s="347" t="s">
        <v>405</v>
      </c>
      <c r="D1443" s="347" t="str">
        <f t="shared" si="101"/>
        <v>CPO000262JAS</v>
      </c>
      <c r="E1443" s="193" t="s">
        <v>215</v>
      </c>
      <c r="F1443" s="193" t="s">
        <v>2106</v>
      </c>
      <c r="G1443" s="193" t="s">
        <v>2105</v>
      </c>
      <c r="H1443" s="193" t="s">
        <v>49</v>
      </c>
      <c r="I1443" s="193" t="s">
        <v>41</v>
      </c>
      <c r="J1443" s="193" t="str">
        <f t="shared" si="103"/>
        <v>6 Roda</v>
      </c>
      <c r="K1443" s="194">
        <v>46161</v>
      </c>
      <c r="L1443" s="195">
        <v>12780</v>
      </c>
      <c r="M1443" s="195">
        <v>3980</v>
      </c>
      <c r="N1443" s="195">
        <v>8800</v>
      </c>
      <c r="O1443" s="195">
        <v>8780</v>
      </c>
      <c r="P1443" s="196">
        <v>0.94513888888888886</v>
      </c>
      <c r="Q1443" s="196">
        <v>0.96736111111111101</v>
      </c>
      <c r="R1443" s="193" t="s">
        <v>137</v>
      </c>
      <c r="S1443" s="193"/>
      <c r="T1443" s="197">
        <f t="shared" si="100"/>
        <v>68</v>
      </c>
      <c r="U1443" s="193"/>
      <c r="V1443" s="193" t="s">
        <v>68</v>
      </c>
    </row>
    <row r="1444" spans="2:22" ht="15" customHeight="1" x14ac:dyDescent="0.2">
      <c r="B1444" s="193">
        <v>1</v>
      </c>
      <c r="C1444" s="347" t="s">
        <v>408</v>
      </c>
      <c r="D1444" s="347" t="str">
        <f t="shared" si="101"/>
        <v>CPO000265JAS</v>
      </c>
      <c r="E1444" s="193" t="s">
        <v>194</v>
      </c>
      <c r="F1444" s="193" t="s">
        <v>2106</v>
      </c>
      <c r="G1444" s="193" t="s">
        <v>2105</v>
      </c>
      <c r="H1444" s="193" t="s">
        <v>49</v>
      </c>
      <c r="I1444" s="193" t="s">
        <v>41</v>
      </c>
      <c r="J1444" s="193" t="str">
        <f t="shared" si="103"/>
        <v>6 Roda</v>
      </c>
      <c r="K1444" s="194">
        <v>46162</v>
      </c>
      <c r="L1444" s="195">
        <v>13020</v>
      </c>
      <c r="M1444" s="195">
        <v>3770</v>
      </c>
      <c r="N1444" s="195">
        <v>9250</v>
      </c>
      <c r="O1444" s="195">
        <v>9210</v>
      </c>
      <c r="P1444" s="196">
        <v>0.49374999999999997</v>
      </c>
      <c r="Q1444" s="196">
        <v>0.51458333333333328</v>
      </c>
      <c r="R1444" s="193" t="s">
        <v>1221</v>
      </c>
      <c r="S1444" s="193"/>
      <c r="T1444" s="197">
        <f t="shared" si="100"/>
        <v>68</v>
      </c>
      <c r="U1444" s="193"/>
      <c r="V1444" s="193" t="s">
        <v>68</v>
      </c>
    </row>
    <row r="1445" spans="2:22" ht="15" customHeight="1" x14ac:dyDescent="0.2">
      <c r="B1445" s="193">
        <v>1</v>
      </c>
      <c r="C1445" s="347" t="s">
        <v>407</v>
      </c>
      <c r="D1445" s="347" t="str">
        <f t="shared" si="101"/>
        <v>CPO000264JAS</v>
      </c>
      <c r="E1445" s="193" t="s">
        <v>3129</v>
      </c>
      <c r="F1445" s="193" t="s">
        <v>2106</v>
      </c>
      <c r="G1445" s="193" t="s">
        <v>2105</v>
      </c>
      <c r="H1445" s="193" t="s">
        <v>49</v>
      </c>
      <c r="I1445" s="193" t="s">
        <v>41</v>
      </c>
      <c r="J1445" s="193" t="str">
        <f t="shared" si="103"/>
        <v>6 Roda</v>
      </c>
      <c r="K1445" s="194">
        <v>46162</v>
      </c>
      <c r="L1445" s="195">
        <v>12830</v>
      </c>
      <c r="M1445" s="195">
        <v>3940</v>
      </c>
      <c r="N1445" s="195">
        <v>8890</v>
      </c>
      <c r="O1445" s="195">
        <v>8850</v>
      </c>
      <c r="P1445" s="196">
        <v>0.49236111111111108</v>
      </c>
      <c r="Q1445" s="196">
        <v>0.51180555555555551</v>
      </c>
      <c r="R1445" s="193" t="s">
        <v>1221</v>
      </c>
      <c r="S1445" s="193"/>
      <c r="T1445" s="197">
        <f t="shared" si="100"/>
        <v>68</v>
      </c>
      <c r="U1445" s="193"/>
      <c r="V1445" s="193" t="s">
        <v>68</v>
      </c>
    </row>
    <row r="1446" spans="2:22" ht="15" customHeight="1" x14ac:dyDescent="0.2">
      <c r="B1446" s="193">
        <v>1</v>
      </c>
      <c r="C1446" s="347" t="s">
        <v>406</v>
      </c>
      <c r="D1446" s="347" t="str">
        <f t="shared" si="101"/>
        <v>CPO000263JAS</v>
      </c>
      <c r="E1446" s="193" t="s">
        <v>1632</v>
      </c>
      <c r="F1446" s="193" t="s">
        <v>2106</v>
      </c>
      <c r="G1446" s="193" t="s">
        <v>2105</v>
      </c>
      <c r="H1446" s="193" t="s">
        <v>49</v>
      </c>
      <c r="I1446" s="193" t="s">
        <v>41</v>
      </c>
      <c r="J1446" s="193" t="str">
        <f t="shared" si="103"/>
        <v>6 Roda</v>
      </c>
      <c r="K1446" s="194">
        <v>46162</v>
      </c>
      <c r="L1446" s="195">
        <v>13490</v>
      </c>
      <c r="M1446" s="195">
        <v>3830</v>
      </c>
      <c r="N1446" s="195">
        <v>9660</v>
      </c>
      <c r="O1446" s="195">
        <v>9620</v>
      </c>
      <c r="P1446" s="196">
        <v>0.46180555555555558</v>
      </c>
      <c r="Q1446" s="196">
        <v>0.48125000000000001</v>
      </c>
      <c r="R1446" s="193" t="s">
        <v>1221</v>
      </c>
      <c r="S1446" s="193"/>
      <c r="T1446" s="197">
        <f t="shared" si="100"/>
        <v>68</v>
      </c>
      <c r="U1446" s="193"/>
      <c r="V1446" s="193" t="s">
        <v>68</v>
      </c>
    </row>
    <row r="1447" spans="2:22" ht="15" customHeight="1" x14ac:dyDescent="0.2">
      <c r="B1447" s="193">
        <v>1</v>
      </c>
      <c r="C1447" s="347" t="s">
        <v>63</v>
      </c>
      <c r="D1447" s="347" t="str">
        <f t="shared" si="101"/>
        <v>B-40000005WNE</v>
      </c>
      <c r="E1447" s="193" t="s">
        <v>64</v>
      </c>
      <c r="F1447" s="193"/>
      <c r="G1447" s="193"/>
      <c r="H1447" s="193" t="s">
        <v>61</v>
      </c>
      <c r="I1447" s="193" t="s">
        <v>66</v>
      </c>
      <c r="J1447" s="193" t="str">
        <f t="shared" si="103"/>
        <v>10 Roda</v>
      </c>
      <c r="K1447" s="194">
        <v>45908</v>
      </c>
      <c r="L1447" s="195">
        <v>24800</v>
      </c>
      <c r="M1447" s="195">
        <v>11480</v>
      </c>
      <c r="N1447" s="195">
        <v>13320</v>
      </c>
      <c r="O1447" s="195"/>
      <c r="P1447" s="196">
        <v>0.56319444444444444</v>
      </c>
      <c r="Q1447" s="196">
        <v>0.67222222222222217</v>
      </c>
      <c r="R1447" s="193" t="s">
        <v>42</v>
      </c>
      <c r="S1447" s="193"/>
      <c r="T1447" s="197"/>
      <c r="U1447" s="193"/>
      <c r="V1447" s="193"/>
    </row>
    <row r="1448" spans="2:22" ht="15" customHeight="1" x14ac:dyDescent="0.2">
      <c r="B1448" s="193">
        <v>1</v>
      </c>
      <c r="C1448" s="347" t="s">
        <v>80</v>
      </c>
      <c r="D1448" s="347" t="str">
        <f t="shared" si="101"/>
        <v>B-40000006WNE</v>
      </c>
      <c r="E1448" s="193" t="s">
        <v>64</v>
      </c>
      <c r="F1448" s="193"/>
      <c r="G1448" s="193"/>
      <c r="H1448" s="193" t="s">
        <v>61</v>
      </c>
      <c r="I1448" s="193" t="s">
        <v>66</v>
      </c>
      <c r="J1448" s="193" t="str">
        <f t="shared" si="103"/>
        <v>10 Roda</v>
      </c>
      <c r="K1448" s="194">
        <v>45909</v>
      </c>
      <c r="L1448" s="195">
        <v>24790</v>
      </c>
      <c r="M1448" s="195">
        <v>11520</v>
      </c>
      <c r="N1448" s="195">
        <v>13270</v>
      </c>
      <c r="O1448" s="195"/>
      <c r="P1448" s="196">
        <v>0.55208333333333337</v>
      </c>
      <c r="Q1448" s="196">
        <v>0.65277777777777779</v>
      </c>
      <c r="R1448" s="193" t="s">
        <v>42</v>
      </c>
      <c r="S1448" s="193"/>
      <c r="T1448" s="197"/>
      <c r="U1448" s="193"/>
      <c r="V1448" s="193"/>
    </row>
    <row r="1449" spans="2:22" ht="15" customHeight="1" x14ac:dyDescent="0.2">
      <c r="B1449" s="193">
        <v>1</v>
      </c>
      <c r="C1449" s="347" t="s">
        <v>90</v>
      </c>
      <c r="D1449" s="347" t="str">
        <f t="shared" si="101"/>
        <v>B-40000007WNE</v>
      </c>
      <c r="E1449" s="193" t="s">
        <v>91</v>
      </c>
      <c r="F1449" s="193"/>
      <c r="G1449" s="193"/>
      <c r="H1449" s="193" t="s">
        <v>61</v>
      </c>
      <c r="I1449" s="193" t="s">
        <v>66</v>
      </c>
      <c r="J1449" s="193" t="str">
        <f t="shared" si="103"/>
        <v>10 Roda</v>
      </c>
      <c r="K1449" s="194">
        <v>45911</v>
      </c>
      <c r="L1449" s="195">
        <v>23970</v>
      </c>
      <c r="M1449" s="195">
        <v>10530</v>
      </c>
      <c r="N1449" s="195">
        <v>13440</v>
      </c>
      <c r="O1449" s="195"/>
      <c r="P1449" s="196">
        <v>0.6479166666666667</v>
      </c>
      <c r="Q1449" s="196">
        <v>0.7055555555555556</v>
      </c>
      <c r="R1449" s="193" t="s">
        <v>42</v>
      </c>
      <c r="S1449" s="193"/>
      <c r="T1449" s="197"/>
      <c r="U1449" s="193"/>
      <c r="V1449" s="193"/>
    </row>
    <row r="1450" spans="2:22" ht="15" customHeight="1" x14ac:dyDescent="0.2">
      <c r="B1450" s="193">
        <v>1</v>
      </c>
      <c r="C1450" s="347" t="s">
        <v>100</v>
      </c>
      <c r="D1450" s="347" t="str">
        <f t="shared" si="101"/>
        <v>B-40000008WNE</v>
      </c>
      <c r="E1450" s="193" t="s">
        <v>91</v>
      </c>
      <c r="F1450" s="193"/>
      <c r="G1450" s="193"/>
      <c r="H1450" s="193" t="s">
        <v>61</v>
      </c>
      <c r="I1450" s="193" t="s">
        <v>66</v>
      </c>
      <c r="J1450" s="193" t="str">
        <f t="shared" si="103"/>
        <v>10 Roda</v>
      </c>
      <c r="K1450" s="194">
        <v>45912</v>
      </c>
      <c r="L1450" s="195">
        <v>23870</v>
      </c>
      <c r="M1450" s="195">
        <v>10510</v>
      </c>
      <c r="N1450" s="195">
        <v>13360</v>
      </c>
      <c r="O1450" s="195"/>
      <c r="P1450" s="196">
        <v>0.56041666666666667</v>
      </c>
      <c r="Q1450" s="196">
        <v>0.625</v>
      </c>
      <c r="R1450" s="193" t="s">
        <v>42</v>
      </c>
      <c r="S1450" s="193"/>
      <c r="T1450" s="197"/>
      <c r="U1450" s="193"/>
      <c r="V1450" s="193"/>
    </row>
    <row r="1451" spans="2:22" ht="15" customHeight="1" x14ac:dyDescent="0.2">
      <c r="B1451" s="193">
        <v>1</v>
      </c>
      <c r="C1451" s="347" t="s">
        <v>109</v>
      </c>
      <c r="D1451" s="347" t="str">
        <f t="shared" si="101"/>
        <v>B-40000009WNE</v>
      </c>
      <c r="E1451" s="193" t="s">
        <v>91</v>
      </c>
      <c r="F1451" s="193"/>
      <c r="G1451" s="193"/>
      <c r="H1451" s="193" t="s">
        <v>61</v>
      </c>
      <c r="I1451" s="193" t="s">
        <v>66</v>
      </c>
      <c r="J1451" s="193" t="str">
        <f t="shared" si="103"/>
        <v>10 Roda</v>
      </c>
      <c r="K1451" s="194">
        <v>45913</v>
      </c>
      <c r="L1451" s="195">
        <v>23930</v>
      </c>
      <c r="M1451" s="195">
        <v>10510</v>
      </c>
      <c r="N1451" s="195">
        <v>13420</v>
      </c>
      <c r="O1451" s="195"/>
      <c r="P1451" s="196">
        <v>0.45416666666666666</v>
      </c>
      <c r="Q1451" s="196">
        <v>0.51250000000000007</v>
      </c>
      <c r="R1451" s="193" t="s">
        <v>42</v>
      </c>
      <c r="S1451" s="193"/>
      <c r="T1451" s="197"/>
      <c r="U1451" s="193"/>
      <c r="V1451" s="193"/>
    </row>
    <row r="1452" spans="2:22" ht="15" customHeight="1" x14ac:dyDescent="0.2">
      <c r="B1452" s="193">
        <v>1</v>
      </c>
      <c r="C1452" s="347" t="s">
        <v>117</v>
      </c>
      <c r="D1452" s="347" t="str">
        <f t="shared" si="101"/>
        <v>B-40000011WNE</v>
      </c>
      <c r="E1452" s="193" t="s">
        <v>91</v>
      </c>
      <c r="F1452" s="193"/>
      <c r="G1452" s="193"/>
      <c r="H1452" s="193" t="s">
        <v>61</v>
      </c>
      <c r="I1452" s="193" t="s">
        <v>66</v>
      </c>
      <c r="J1452" s="193" t="str">
        <f t="shared" si="103"/>
        <v>10 Roda</v>
      </c>
      <c r="K1452" s="194">
        <v>45915</v>
      </c>
      <c r="L1452" s="195">
        <v>24000</v>
      </c>
      <c r="M1452" s="195">
        <v>10540</v>
      </c>
      <c r="N1452" s="195">
        <v>13460</v>
      </c>
      <c r="O1452" s="195"/>
      <c r="P1452" s="196">
        <v>0.65486111111111112</v>
      </c>
      <c r="Q1452" s="196">
        <v>0.70347222222222217</v>
      </c>
      <c r="R1452" s="193" t="s">
        <v>42</v>
      </c>
      <c r="S1452" s="193"/>
      <c r="T1452" s="197"/>
      <c r="U1452" s="193"/>
      <c r="V1452" s="193"/>
    </row>
    <row r="1453" spans="2:22" ht="15" customHeight="1" x14ac:dyDescent="0.2">
      <c r="B1453" s="193">
        <v>1</v>
      </c>
      <c r="C1453" s="347" t="s">
        <v>113</v>
      </c>
      <c r="D1453" s="347" t="str">
        <f t="shared" si="101"/>
        <v>B-40000010WNE</v>
      </c>
      <c r="E1453" s="193" t="s">
        <v>91</v>
      </c>
      <c r="F1453" s="193"/>
      <c r="G1453" s="193"/>
      <c r="H1453" s="193" t="s">
        <v>61</v>
      </c>
      <c r="I1453" s="193" t="s">
        <v>66</v>
      </c>
      <c r="J1453" s="193" t="str">
        <f t="shared" si="103"/>
        <v>10 Roda</v>
      </c>
      <c r="K1453" s="194">
        <v>45915</v>
      </c>
      <c r="L1453" s="195">
        <v>24000</v>
      </c>
      <c r="M1453" s="195">
        <v>10560</v>
      </c>
      <c r="N1453" s="195">
        <v>13440</v>
      </c>
      <c r="O1453" s="195"/>
      <c r="P1453" s="196">
        <v>0.41736111111111113</v>
      </c>
      <c r="Q1453" s="196">
        <v>0.4694444444444445</v>
      </c>
      <c r="R1453" s="193" t="s">
        <v>42</v>
      </c>
      <c r="S1453" s="193"/>
      <c r="T1453" s="197"/>
      <c r="U1453" s="193"/>
      <c r="V1453" s="193"/>
    </row>
    <row r="1454" spans="2:22" ht="15" customHeight="1" x14ac:dyDescent="0.2">
      <c r="B1454" s="193">
        <v>1</v>
      </c>
      <c r="C1454" s="347" t="s">
        <v>577</v>
      </c>
      <c r="D1454" s="347" t="str">
        <f t="shared" si="101"/>
        <v>B-40000431WNE</v>
      </c>
      <c r="E1454" s="193" t="s">
        <v>578</v>
      </c>
      <c r="F1454" s="193"/>
      <c r="G1454" s="193"/>
      <c r="H1454" s="193" t="s">
        <v>61</v>
      </c>
      <c r="I1454" s="193" t="s">
        <v>66</v>
      </c>
      <c r="J1454" s="193" t="str">
        <f t="shared" si="103"/>
        <v>12 Roda</v>
      </c>
      <c r="K1454" s="194">
        <v>46018</v>
      </c>
      <c r="L1454" s="195">
        <v>33860</v>
      </c>
      <c r="M1454" s="195">
        <v>13830</v>
      </c>
      <c r="N1454" s="195">
        <v>20030</v>
      </c>
      <c r="O1454" s="195"/>
      <c r="P1454" s="196">
        <v>0.4694444444444445</v>
      </c>
      <c r="Q1454" s="196">
        <v>0.58263888888888882</v>
      </c>
      <c r="R1454" s="193" t="s">
        <v>137</v>
      </c>
      <c r="S1454" s="193"/>
      <c r="T1454" s="197"/>
      <c r="U1454" s="193"/>
      <c r="V1454" s="193"/>
    </row>
    <row r="1455" spans="2:22" ht="15" customHeight="1" x14ac:dyDescent="0.2">
      <c r="B1455" s="193">
        <v>1</v>
      </c>
      <c r="C1455" s="347" t="s">
        <v>583</v>
      </c>
      <c r="D1455" s="347" t="str">
        <f t="shared" si="101"/>
        <v>B-40000436WNE</v>
      </c>
      <c r="E1455" s="193" t="s">
        <v>578</v>
      </c>
      <c r="F1455" s="193"/>
      <c r="G1455" s="193"/>
      <c r="H1455" s="193" t="s">
        <v>61</v>
      </c>
      <c r="I1455" s="193" t="s">
        <v>66</v>
      </c>
      <c r="J1455" s="193" t="str">
        <f t="shared" si="103"/>
        <v>12 Roda</v>
      </c>
      <c r="K1455" s="194">
        <v>46018</v>
      </c>
      <c r="L1455" s="195">
        <v>33840</v>
      </c>
      <c r="M1455" s="195">
        <v>13850</v>
      </c>
      <c r="N1455" s="195">
        <v>19990</v>
      </c>
      <c r="O1455" s="195"/>
      <c r="P1455" s="196">
        <v>0.77847222222222223</v>
      </c>
      <c r="Q1455" s="196">
        <v>0.87916666666666676</v>
      </c>
      <c r="R1455" s="193" t="s">
        <v>137</v>
      </c>
      <c r="S1455" s="193"/>
      <c r="T1455" s="197"/>
      <c r="U1455" s="193"/>
      <c r="V1455" s="193"/>
    </row>
    <row r="1456" spans="2:22" ht="15" customHeight="1" x14ac:dyDescent="0.2">
      <c r="B1456" s="193">
        <v>1</v>
      </c>
      <c r="C1456" s="347" t="s">
        <v>595</v>
      </c>
      <c r="D1456" s="347" t="str">
        <f t="shared" si="101"/>
        <v>B-40000448WNE</v>
      </c>
      <c r="E1456" s="193" t="s">
        <v>596</v>
      </c>
      <c r="F1456" s="193"/>
      <c r="G1456" s="193"/>
      <c r="H1456" s="193" t="s">
        <v>61</v>
      </c>
      <c r="I1456" s="193" t="s">
        <v>66</v>
      </c>
      <c r="J1456" s="193" t="str">
        <f t="shared" si="103"/>
        <v>10 Roda</v>
      </c>
      <c r="K1456" s="194">
        <v>46021</v>
      </c>
      <c r="L1456" s="195">
        <v>31330</v>
      </c>
      <c r="M1456" s="195">
        <v>11310</v>
      </c>
      <c r="N1456" s="195">
        <v>20020</v>
      </c>
      <c r="O1456" s="195"/>
      <c r="P1456" s="196">
        <v>0.51111111111111118</v>
      </c>
      <c r="Q1456" s="196">
        <v>0.66388888888888886</v>
      </c>
      <c r="R1456" s="193" t="s">
        <v>137</v>
      </c>
      <c r="S1456" s="193"/>
      <c r="T1456" s="197"/>
      <c r="U1456" s="193"/>
      <c r="V1456" s="193"/>
    </row>
    <row r="1457" spans="2:22" ht="15" customHeight="1" x14ac:dyDescent="0.2">
      <c r="B1457" s="193">
        <v>1</v>
      </c>
      <c r="C1457" s="347" t="s">
        <v>3130</v>
      </c>
      <c r="D1457" s="347" t="str">
        <f t="shared" si="101"/>
        <v>B-40000451WNE</v>
      </c>
      <c r="E1457" s="193" t="s">
        <v>596</v>
      </c>
      <c r="F1457" s="193"/>
      <c r="G1457" s="193"/>
      <c r="H1457" s="193" t="s">
        <v>61</v>
      </c>
      <c r="I1457" s="193" t="s">
        <v>66</v>
      </c>
      <c r="J1457" s="193" t="str">
        <f t="shared" si="103"/>
        <v>10 Roda</v>
      </c>
      <c r="K1457" s="194">
        <v>46025</v>
      </c>
      <c r="L1457" s="195">
        <v>31340</v>
      </c>
      <c r="M1457" s="195">
        <v>11340</v>
      </c>
      <c r="N1457" s="195">
        <v>20000</v>
      </c>
      <c r="O1457" s="195"/>
      <c r="P1457" s="196">
        <v>0.38819444444444445</v>
      </c>
      <c r="Q1457" s="196">
        <v>0.49027777777777781</v>
      </c>
      <c r="R1457" s="193" t="s">
        <v>42</v>
      </c>
      <c r="S1457" s="193"/>
      <c r="T1457" s="197"/>
      <c r="U1457" s="193"/>
      <c r="V1457" s="193"/>
    </row>
    <row r="1458" spans="2:22" ht="15" customHeight="1" x14ac:dyDescent="0.2">
      <c r="B1458" s="193">
        <v>1</v>
      </c>
      <c r="C1458" s="347" t="s">
        <v>606</v>
      </c>
      <c r="D1458" s="347" t="str">
        <f t="shared" si="101"/>
        <v>B-40000459WNE</v>
      </c>
      <c r="E1458" s="193" t="s">
        <v>596</v>
      </c>
      <c r="F1458" s="193"/>
      <c r="G1458" s="193"/>
      <c r="H1458" s="193" t="s">
        <v>61</v>
      </c>
      <c r="I1458" s="193" t="s">
        <v>66</v>
      </c>
      <c r="J1458" s="193" t="str">
        <f t="shared" si="103"/>
        <v>10 Roda</v>
      </c>
      <c r="K1458" s="194">
        <v>46029</v>
      </c>
      <c r="L1458" s="195">
        <v>31330</v>
      </c>
      <c r="M1458" s="195">
        <v>11350</v>
      </c>
      <c r="N1458" s="195">
        <v>19980</v>
      </c>
      <c r="O1458" s="195"/>
      <c r="P1458" s="196">
        <v>0.47152777777777777</v>
      </c>
      <c r="Q1458" s="196">
        <v>0.58472222222222225</v>
      </c>
      <c r="R1458" s="193" t="s">
        <v>42</v>
      </c>
      <c r="S1458" s="193"/>
      <c r="T1458" s="197"/>
      <c r="U1458" s="193"/>
      <c r="V1458" s="193"/>
    </row>
    <row r="1459" spans="2:22" ht="15" customHeight="1" x14ac:dyDescent="0.2">
      <c r="B1459" s="193">
        <v>1</v>
      </c>
      <c r="C1459" s="347" t="s">
        <v>607</v>
      </c>
      <c r="D1459" s="347" t="str">
        <f t="shared" si="101"/>
        <v>B-40000460WNE</v>
      </c>
      <c r="E1459" s="193" t="s">
        <v>596</v>
      </c>
      <c r="F1459" s="193"/>
      <c r="G1459" s="193"/>
      <c r="H1459" s="193" t="s">
        <v>61</v>
      </c>
      <c r="I1459" s="193" t="s">
        <v>66</v>
      </c>
      <c r="J1459" s="193" t="str">
        <f t="shared" si="103"/>
        <v>10 Roda</v>
      </c>
      <c r="K1459" s="194">
        <v>46032</v>
      </c>
      <c r="L1459" s="195">
        <v>31330</v>
      </c>
      <c r="M1459" s="195">
        <v>11340</v>
      </c>
      <c r="N1459" s="195">
        <v>19990</v>
      </c>
      <c r="O1459" s="195"/>
      <c r="P1459" s="196">
        <v>0.45</v>
      </c>
      <c r="Q1459" s="196">
        <v>0.55069444444444449</v>
      </c>
      <c r="R1459" s="193" t="s">
        <v>137</v>
      </c>
      <c r="S1459" s="193"/>
      <c r="T1459" s="197"/>
      <c r="U1459" s="193"/>
      <c r="V1459" s="193"/>
    </row>
    <row r="1460" spans="2:22" ht="15" customHeight="1" x14ac:dyDescent="0.2">
      <c r="B1460" s="193">
        <v>1</v>
      </c>
      <c r="C1460" s="347" t="s">
        <v>634</v>
      </c>
      <c r="D1460" s="347" t="str">
        <f t="shared" si="101"/>
        <v>B-40000488WPE</v>
      </c>
      <c r="E1460" s="193" t="s">
        <v>635</v>
      </c>
      <c r="F1460" s="193"/>
      <c r="G1460" s="193"/>
      <c r="H1460" s="193" t="s">
        <v>94</v>
      </c>
      <c r="I1460" s="193" t="s">
        <v>66</v>
      </c>
      <c r="J1460" s="193" t="str">
        <f t="shared" si="103"/>
        <v>10 Roda</v>
      </c>
      <c r="K1460" s="194">
        <v>46039</v>
      </c>
      <c r="L1460" s="195">
        <v>15310</v>
      </c>
      <c r="M1460" s="195">
        <v>7250</v>
      </c>
      <c r="N1460" s="195">
        <v>8060</v>
      </c>
      <c r="O1460" s="195"/>
      <c r="P1460" s="196">
        <v>0.40069444444444446</v>
      </c>
      <c r="Q1460" s="196">
        <v>0.50624999999999998</v>
      </c>
      <c r="R1460" s="193" t="s">
        <v>137</v>
      </c>
      <c r="S1460" s="193"/>
      <c r="T1460" s="197"/>
      <c r="U1460" s="193"/>
      <c r="V1460" s="193"/>
    </row>
    <row r="1461" spans="2:22" ht="15" customHeight="1" x14ac:dyDescent="0.2">
      <c r="B1461" s="193">
        <v>1</v>
      </c>
      <c r="C1461" s="347" t="s">
        <v>636</v>
      </c>
      <c r="D1461" s="347" t="str">
        <f t="shared" si="101"/>
        <v>B-40000489WPE</v>
      </c>
      <c r="E1461" s="193" t="s">
        <v>637</v>
      </c>
      <c r="F1461" s="193"/>
      <c r="G1461" s="193"/>
      <c r="H1461" s="193" t="s">
        <v>94</v>
      </c>
      <c r="I1461" s="193" t="s">
        <v>66</v>
      </c>
      <c r="J1461" s="193" t="str">
        <f t="shared" si="103"/>
        <v>10 Roda</v>
      </c>
      <c r="K1461" s="194">
        <v>46039</v>
      </c>
      <c r="L1461" s="195">
        <v>14690</v>
      </c>
      <c r="M1461" s="195">
        <v>6710</v>
      </c>
      <c r="N1461" s="195">
        <v>7980</v>
      </c>
      <c r="O1461" s="195"/>
      <c r="P1461" s="196">
        <v>0.40208333333333335</v>
      </c>
      <c r="Q1461" s="196">
        <v>0.50763888888888886</v>
      </c>
      <c r="R1461" s="193" t="s">
        <v>137</v>
      </c>
      <c r="S1461" s="193"/>
      <c r="T1461" s="197"/>
      <c r="U1461" s="193"/>
      <c r="V1461" s="193"/>
    </row>
    <row r="1462" spans="2:22" ht="15" customHeight="1" x14ac:dyDescent="0.2">
      <c r="B1462" s="193">
        <v>1</v>
      </c>
      <c r="C1462" s="347" t="s">
        <v>657</v>
      </c>
      <c r="D1462" s="347" t="str">
        <f t="shared" si="101"/>
        <v>B-40000509WPE</v>
      </c>
      <c r="E1462" s="193" t="s">
        <v>635</v>
      </c>
      <c r="F1462" s="193"/>
      <c r="G1462" s="193"/>
      <c r="H1462" s="193" t="s">
        <v>94</v>
      </c>
      <c r="I1462" s="193" t="s">
        <v>66</v>
      </c>
      <c r="J1462" s="193" t="str">
        <f t="shared" si="103"/>
        <v>10 Roda</v>
      </c>
      <c r="K1462" s="194">
        <v>46043</v>
      </c>
      <c r="L1462" s="195">
        <v>15350</v>
      </c>
      <c r="M1462" s="195">
        <v>7240</v>
      </c>
      <c r="N1462" s="195">
        <v>8110</v>
      </c>
      <c r="O1462" s="195"/>
      <c r="P1462" s="196">
        <v>0.3666666666666667</v>
      </c>
      <c r="Q1462" s="196">
        <v>0.4777777777777778</v>
      </c>
      <c r="R1462" s="193" t="s">
        <v>137</v>
      </c>
      <c r="S1462" s="193"/>
      <c r="T1462" s="197"/>
      <c r="U1462" s="193"/>
      <c r="V1462" s="193"/>
    </row>
    <row r="1463" spans="2:22" ht="15" customHeight="1" x14ac:dyDescent="0.2">
      <c r="B1463" s="193">
        <v>1</v>
      </c>
      <c r="C1463" s="347" t="s">
        <v>658</v>
      </c>
      <c r="D1463" s="347" t="str">
        <f t="shared" si="101"/>
        <v>B-40000510WPE</v>
      </c>
      <c r="E1463" s="193" t="s">
        <v>659</v>
      </c>
      <c r="F1463" s="193"/>
      <c r="G1463" s="193"/>
      <c r="H1463" s="193" t="s">
        <v>94</v>
      </c>
      <c r="I1463" s="193" t="s">
        <v>66</v>
      </c>
      <c r="J1463" s="193" t="str">
        <f t="shared" si="103"/>
        <v>10 Roda</v>
      </c>
      <c r="K1463" s="194">
        <v>46043</v>
      </c>
      <c r="L1463" s="195">
        <v>14670</v>
      </c>
      <c r="M1463" s="195">
        <v>6690</v>
      </c>
      <c r="N1463" s="195">
        <v>7980</v>
      </c>
      <c r="O1463" s="195"/>
      <c r="P1463" s="196">
        <v>0.36874999999999997</v>
      </c>
      <c r="Q1463" s="196">
        <v>0.47569444444444442</v>
      </c>
      <c r="R1463" s="193" t="s">
        <v>137</v>
      </c>
      <c r="S1463" s="193"/>
      <c r="T1463" s="197"/>
      <c r="U1463" s="193"/>
      <c r="V1463" s="193"/>
    </row>
    <row r="1464" spans="2:22" ht="15" customHeight="1" x14ac:dyDescent="0.2">
      <c r="B1464" s="193">
        <v>1</v>
      </c>
      <c r="C1464" s="347" t="s">
        <v>688</v>
      </c>
      <c r="D1464" s="347" t="str">
        <f t="shared" si="101"/>
        <v>B-40000534WPE</v>
      </c>
      <c r="E1464" s="193" t="s">
        <v>659</v>
      </c>
      <c r="F1464" s="193"/>
      <c r="G1464" s="193"/>
      <c r="H1464" s="193" t="s">
        <v>94</v>
      </c>
      <c r="I1464" s="193" t="s">
        <v>66</v>
      </c>
      <c r="J1464" s="193" t="str">
        <f t="shared" si="103"/>
        <v>10 Roda</v>
      </c>
      <c r="K1464" s="194">
        <v>46049</v>
      </c>
      <c r="L1464" s="195">
        <v>14550</v>
      </c>
      <c r="M1464" s="195">
        <v>6710</v>
      </c>
      <c r="N1464" s="195">
        <v>7840</v>
      </c>
      <c r="O1464" s="195"/>
      <c r="P1464" s="196">
        <v>0.34791666666666665</v>
      </c>
      <c r="Q1464" s="196">
        <v>0.44444444444444442</v>
      </c>
      <c r="R1464" s="193" t="s">
        <v>42</v>
      </c>
      <c r="S1464" s="193"/>
      <c r="T1464" s="197"/>
      <c r="U1464" s="193"/>
      <c r="V1464" s="193"/>
    </row>
    <row r="1465" spans="2:22" ht="15" customHeight="1" x14ac:dyDescent="0.2">
      <c r="B1465" s="193">
        <v>1</v>
      </c>
      <c r="C1465" s="347" t="s">
        <v>687</v>
      </c>
      <c r="D1465" s="347" t="str">
        <f t="shared" si="101"/>
        <v>B-40000533WPE</v>
      </c>
      <c r="E1465" s="193" t="s">
        <v>635</v>
      </c>
      <c r="F1465" s="193"/>
      <c r="G1465" s="193"/>
      <c r="H1465" s="193" t="s">
        <v>94</v>
      </c>
      <c r="I1465" s="193" t="s">
        <v>66</v>
      </c>
      <c r="J1465" s="193" t="str">
        <f t="shared" si="103"/>
        <v>10 Roda</v>
      </c>
      <c r="K1465" s="194">
        <v>46049</v>
      </c>
      <c r="L1465" s="195">
        <v>15440</v>
      </c>
      <c r="M1465" s="195">
        <v>7190</v>
      </c>
      <c r="N1465" s="195">
        <v>8250</v>
      </c>
      <c r="O1465" s="195"/>
      <c r="P1465" s="196">
        <v>0.34652777777777777</v>
      </c>
      <c r="Q1465" s="196">
        <v>0.44722222222222219</v>
      </c>
      <c r="R1465" s="193" t="s">
        <v>42</v>
      </c>
      <c r="S1465" s="193"/>
      <c r="T1465" s="197"/>
      <c r="U1465" s="193"/>
      <c r="V1465" s="193"/>
    </row>
    <row r="1466" spans="2:22" ht="15" customHeight="1" x14ac:dyDescent="0.2">
      <c r="B1466" s="193">
        <v>1</v>
      </c>
      <c r="C1466" s="347" t="s">
        <v>689</v>
      </c>
      <c r="D1466" s="347" t="str">
        <f t="shared" si="101"/>
        <v>B-40000535WNE</v>
      </c>
      <c r="E1466" s="193" t="s">
        <v>64</v>
      </c>
      <c r="F1466" s="193"/>
      <c r="G1466" s="193"/>
      <c r="H1466" s="193" t="s">
        <v>61</v>
      </c>
      <c r="I1466" s="193" t="s">
        <v>66</v>
      </c>
      <c r="J1466" s="193" t="str">
        <f t="shared" si="103"/>
        <v>10 Roda</v>
      </c>
      <c r="K1466" s="194">
        <v>46050</v>
      </c>
      <c r="L1466" s="195">
        <v>24810</v>
      </c>
      <c r="M1466" s="195">
        <v>11400</v>
      </c>
      <c r="N1466" s="195">
        <v>13410</v>
      </c>
      <c r="O1466" s="195"/>
      <c r="P1466" s="196">
        <v>0.47152777777777777</v>
      </c>
      <c r="Q1466" s="196">
        <v>0.54166666666666663</v>
      </c>
      <c r="R1466" s="193" t="s">
        <v>42</v>
      </c>
      <c r="S1466" s="193"/>
      <c r="T1466" s="197"/>
      <c r="U1466" s="193"/>
      <c r="V1466" s="193"/>
    </row>
    <row r="1467" spans="2:22" ht="15" customHeight="1" x14ac:dyDescent="0.2">
      <c r="B1467" s="193">
        <v>1</v>
      </c>
      <c r="C1467" s="347" t="s">
        <v>690</v>
      </c>
      <c r="D1467" s="347" t="str">
        <f t="shared" si="101"/>
        <v>B-40000536WNE</v>
      </c>
      <c r="E1467" s="193" t="s">
        <v>596</v>
      </c>
      <c r="F1467" s="193"/>
      <c r="G1467" s="193"/>
      <c r="H1467" s="193" t="s">
        <v>61</v>
      </c>
      <c r="I1467" s="193" t="s">
        <v>66</v>
      </c>
      <c r="J1467" s="193" t="str">
        <f t="shared" si="103"/>
        <v>10 Roda</v>
      </c>
      <c r="K1467" s="194">
        <v>46050</v>
      </c>
      <c r="L1467" s="195">
        <v>31410</v>
      </c>
      <c r="M1467" s="195">
        <v>11360</v>
      </c>
      <c r="N1467" s="195">
        <v>20050</v>
      </c>
      <c r="O1467" s="195"/>
      <c r="P1467" s="196">
        <v>0.56041666666666667</v>
      </c>
      <c r="Q1467" s="196">
        <v>0.68402777777777779</v>
      </c>
      <c r="R1467" s="193" t="s">
        <v>42</v>
      </c>
      <c r="S1467" s="193"/>
      <c r="T1467" s="197"/>
      <c r="U1467" s="193"/>
      <c r="V1467" s="193"/>
    </row>
    <row r="1468" spans="2:22" ht="15" customHeight="1" x14ac:dyDescent="0.2">
      <c r="B1468" s="193">
        <v>1</v>
      </c>
      <c r="C1468" s="347" t="s">
        <v>724</v>
      </c>
      <c r="D1468" s="347" t="str">
        <f t="shared" si="101"/>
        <v>B-40000569WPE</v>
      </c>
      <c r="E1468" s="193" t="s">
        <v>635</v>
      </c>
      <c r="F1468" s="193"/>
      <c r="G1468" s="193"/>
      <c r="H1468" s="193" t="s">
        <v>94</v>
      </c>
      <c r="I1468" s="193" t="s">
        <v>66</v>
      </c>
      <c r="J1468" s="193" t="str">
        <f t="shared" si="103"/>
        <v>10 Roda</v>
      </c>
      <c r="K1468" s="194">
        <v>46053</v>
      </c>
      <c r="L1468" s="195">
        <v>15380</v>
      </c>
      <c r="M1468" s="195">
        <v>7130</v>
      </c>
      <c r="N1468" s="195">
        <v>8250</v>
      </c>
      <c r="O1468" s="195"/>
      <c r="P1468" s="196">
        <v>0.3833333333333333</v>
      </c>
      <c r="Q1468" s="196">
        <v>0.4694444444444445</v>
      </c>
      <c r="R1468" s="193" t="s">
        <v>42</v>
      </c>
      <c r="S1468" s="193"/>
      <c r="T1468" s="197"/>
      <c r="U1468" s="193"/>
      <c r="V1468" s="193"/>
    </row>
    <row r="1469" spans="2:22" ht="15" customHeight="1" x14ac:dyDescent="0.2">
      <c r="B1469" s="193">
        <v>1</v>
      </c>
      <c r="C1469" s="347" t="s">
        <v>745</v>
      </c>
      <c r="D1469" s="347" t="str">
        <f t="shared" si="101"/>
        <v>B-40000586WPE</v>
      </c>
      <c r="E1469" s="193" t="s">
        <v>637</v>
      </c>
      <c r="F1469" s="193"/>
      <c r="G1469" s="193"/>
      <c r="H1469" s="193" t="s">
        <v>94</v>
      </c>
      <c r="I1469" s="193" t="s">
        <v>66</v>
      </c>
      <c r="J1469" s="193" t="str">
        <f t="shared" si="103"/>
        <v>10 Roda</v>
      </c>
      <c r="K1469" s="194">
        <v>46055</v>
      </c>
      <c r="L1469" s="195">
        <v>14710</v>
      </c>
      <c r="M1469" s="195">
        <v>6720</v>
      </c>
      <c r="N1469" s="195">
        <v>7990</v>
      </c>
      <c r="O1469" s="195"/>
      <c r="P1469" s="196">
        <v>0.43402777777777773</v>
      </c>
      <c r="Q1469" s="196">
        <v>0.51041666666666663</v>
      </c>
      <c r="R1469" s="193" t="s">
        <v>137</v>
      </c>
      <c r="S1469" s="193"/>
      <c r="T1469" s="197"/>
      <c r="U1469" s="193"/>
      <c r="V1469" s="193"/>
    </row>
    <row r="1470" spans="2:22" ht="15" customHeight="1" x14ac:dyDescent="0.2">
      <c r="B1470" s="193">
        <v>1</v>
      </c>
      <c r="C1470" s="347" t="s">
        <v>750</v>
      </c>
      <c r="D1470" s="347" t="str">
        <f t="shared" si="101"/>
        <v>B-40000591WPE</v>
      </c>
      <c r="E1470" s="193" t="s">
        <v>635</v>
      </c>
      <c r="F1470" s="193"/>
      <c r="G1470" s="193"/>
      <c r="H1470" s="193" t="s">
        <v>94</v>
      </c>
      <c r="I1470" s="193" t="s">
        <v>66</v>
      </c>
      <c r="J1470" s="193" t="str">
        <f t="shared" si="103"/>
        <v>10 Roda</v>
      </c>
      <c r="K1470" s="194">
        <v>46056</v>
      </c>
      <c r="L1470" s="195">
        <v>15390</v>
      </c>
      <c r="M1470" s="195">
        <v>7150</v>
      </c>
      <c r="N1470" s="195">
        <v>8240</v>
      </c>
      <c r="O1470" s="195"/>
      <c r="P1470" s="196">
        <v>0.32013888888888892</v>
      </c>
      <c r="Q1470" s="196">
        <v>0.4055555555555555</v>
      </c>
      <c r="R1470" s="193" t="s">
        <v>137</v>
      </c>
      <c r="S1470" s="193"/>
      <c r="T1470" s="197"/>
      <c r="U1470" s="193"/>
      <c r="V1470" s="193"/>
    </row>
    <row r="1471" spans="2:22" ht="15" customHeight="1" x14ac:dyDescent="0.2">
      <c r="B1471" s="193">
        <v>1</v>
      </c>
      <c r="C1471" s="347" t="s">
        <v>776</v>
      </c>
      <c r="D1471" s="347" t="str">
        <f t="shared" si="101"/>
        <v>B-40000615WPE</v>
      </c>
      <c r="E1471" s="193" t="s">
        <v>777</v>
      </c>
      <c r="F1471" s="193"/>
      <c r="G1471" s="193"/>
      <c r="H1471" s="193" t="s">
        <v>94</v>
      </c>
      <c r="I1471" s="193" t="s">
        <v>66</v>
      </c>
      <c r="J1471" s="193" t="str">
        <f t="shared" si="103"/>
        <v>10 Roda</v>
      </c>
      <c r="K1471" s="194">
        <v>46057</v>
      </c>
      <c r="L1471" s="195">
        <v>15090</v>
      </c>
      <c r="M1471" s="195">
        <v>6920</v>
      </c>
      <c r="N1471" s="195">
        <v>8170</v>
      </c>
      <c r="O1471" s="195"/>
      <c r="P1471" s="196">
        <v>0.58472222222222225</v>
      </c>
      <c r="Q1471" s="196">
        <v>0.62847222222222221</v>
      </c>
      <c r="R1471" s="193" t="s">
        <v>137</v>
      </c>
      <c r="S1471" s="193"/>
      <c r="T1471" s="197"/>
      <c r="U1471" s="193"/>
      <c r="V1471" s="193"/>
    </row>
    <row r="1472" spans="2:22" ht="15" customHeight="1" x14ac:dyDescent="0.2">
      <c r="B1472" s="193">
        <v>1</v>
      </c>
      <c r="C1472" s="347" t="s">
        <v>883</v>
      </c>
      <c r="D1472" s="347" t="str">
        <f t="shared" si="101"/>
        <v>B-40000716WPE</v>
      </c>
      <c r="E1472" s="193" t="s">
        <v>659</v>
      </c>
      <c r="F1472" s="193"/>
      <c r="G1472" s="193"/>
      <c r="H1472" s="193" t="s">
        <v>94</v>
      </c>
      <c r="I1472" s="193" t="s">
        <v>66</v>
      </c>
      <c r="J1472" s="193" t="str">
        <f t="shared" si="103"/>
        <v>10 Roda</v>
      </c>
      <c r="K1472" s="194">
        <v>46077</v>
      </c>
      <c r="L1472" s="195">
        <v>14510</v>
      </c>
      <c r="M1472" s="195">
        <v>6660</v>
      </c>
      <c r="N1472" s="195">
        <v>7850</v>
      </c>
      <c r="O1472" s="195"/>
      <c r="P1472" s="196">
        <v>0.33749999999999997</v>
      </c>
      <c r="Q1472" s="196">
        <v>0.44375000000000003</v>
      </c>
      <c r="R1472" s="193" t="s">
        <v>137</v>
      </c>
      <c r="S1472" s="193"/>
      <c r="T1472" s="197"/>
      <c r="U1472" s="193"/>
      <c r="V1472" s="193"/>
    </row>
    <row r="1473" spans="2:22" ht="15" customHeight="1" x14ac:dyDescent="0.2">
      <c r="B1473" s="193">
        <v>1</v>
      </c>
      <c r="C1473" s="347" t="s">
        <v>882</v>
      </c>
      <c r="D1473" s="347" t="str">
        <f t="shared" si="101"/>
        <v>B-40000715WPE</v>
      </c>
      <c r="E1473" s="193" t="s">
        <v>635</v>
      </c>
      <c r="F1473" s="193"/>
      <c r="G1473" s="193"/>
      <c r="H1473" s="193" t="s">
        <v>94</v>
      </c>
      <c r="I1473" s="193" t="s">
        <v>66</v>
      </c>
      <c r="J1473" s="193" t="str">
        <f t="shared" si="103"/>
        <v>10 Roda</v>
      </c>
      <c r="K1473" s="194">
        <v>46077</v>
      </c>
      <c r="L1473" s="195">
        <v>15250</v>
      </c>
      <c r="M1473" s="195">
        <v>7190</v>
      </c>
      <c r="N1473" s="195">
        <v>8060</v>
      </c>
      <c r="O1473" s="195"/>
      <c r="P1473" s="196">
        <v>0.33611111111111108</v>
      </c>
      <c r="Q1473" s="196">
        <v>0.44236111111111115</v>
      </c>
      <c r="R1473" s="193" t="s">
        <v>137</v>
      </c>
      <c r="S1473" s="193"/>
      <c r="T1473" s="197"/>
      <c r="U1473" s="193"/>
      <c r="V1473" s="193"/>
    </row>
    <row r="1474" spans="2:22" ht="15" customHeight="1" x14ac:dyDescent="0.2">
      <c r="B1474" s="193">
        <v>1</v>
      </c>
      <c r="C1474" s="347" t="s">
        <v>3131</v>
      </c>
      <c r="D1474" s="347" t="str">
        <f t="shared" si="101"/>
        <v>B-40000771WPE</v>
      </c>
      <c r="E1474" s="193" t="s">
        <v>777</v>
      </c>
      <c r="F1474" s="193"/>
      <c r="G1474" s="193"/>
      <c r="H1474" s="193" t="s">
        <v>94</v>
      </c>
      <c r="I1474" s="193" t="s">
        <v>66</v>
      </c>
      <c r="J1474" s="193" t="str">
        <f t="shared" si="103"/>
        <v>10 Roda</v>
      </c>
      <c r="K1474" s="194">
        <v>46089</v>
      </c>
      <c r="L1474" s="195">
        <v>15040</v>
      </c>
      <c r="M1474" s="195">
        <v>6970</v>
      </c>
      <c r="N1474" s="195">
        <v>8070</v>
      </c>
      <c r="O1474" s="195"/>
      <c r="P1474" s="196">
        <v>0.41805555555555557</v>
      </c>
      <c r="Q1474" s="196">
        <v>0.47083333333333338</v>
      </c>
      <c r="R1474" s="193" t="s">
        <v>137</v>
      </c>
      <c r="S1474" s="193"/>
      <c r="T1474" s="197"/>
      <c r="U1474" s="193"/>
      <c r="V1474" s="193"/>
    </row>
    <row r="1475" spans="2:22" ht="15" customHeight="1" x14ac:dyDescent="0.2">
      <c r="B1475" s="193">
        <v>1</v>
      </c>
      <c r="C1475" s="347" t="s">
        <v>959</v>
      </c>
      <c r="D1475" s="347" t="str">
        <f t="shared" si="101"/>
        <v>B-40000773WNE</v>
      </c>
      <c r="E1475" s="193" t="s">
        <v>960</v>
      </c>
      <c r="F1475" s="193"/>
      <c r="G1475" s="193"/>
      <c r="H1475" s="193" t="s">
        <v>61</v>
      </c>
      <c r="I1475" s="193" t="s">
        <v>66</v>
      </c>
      <c r="J1475" s="193" t="str">
        <f t="shared" si="103"/>
        <v>10 Roda</v>
      </c>
      <c r="K1475" s="194">
        <v>46090</v>
      </c>
      <c r="L1475" s="195">
        <v>14730</v>
      </c>
      <c r="M1475" s="195">
        <v>6680</v>
      </c>
      <c r="N1475" s="195">
        <v>8050</v>
      </c>
      <c r="O1475" s="195"/>
      <c r="P1475" s="196">
        <v>0.40208333333333335</v>
      </c>
      <c r="Q1475" s="196">
        <v>0.45208333333333334</v>
      </c>
      <c r="R1475" s="193" t="s">
        <v>42</v>
      </c>
      <c r="S1475" s="193"/>
      <c r="T1475" s="197"/>
      <c r="U1475" s="193"/>
      <c r="V1475" s="193"/>
    </row>
    <row r="1476" spans="2:22" ht="15" customHeight="1" x14ac:dyDescent="0.2">
      <c r="B1476" s="193">
        <v>1</v>
      </c>
      <c r="C1476" s="347" t="s">
        <v>3132</v>
      </c>
      <c r="D1476" s="347" t="str">
        <f t="shared" si="101"/>
        <v>B-40000810WPE</v>
      </c>
      <c r="E1476" s="193" t="s">
        <v>659</v>
      </c>
      <c r="F1476" s="193"/>
      <c r="G1476" s="193"/>
      <c r="H1476" s="193" t="s">
        <v>94</v>
      </c>
      <c r="I1476" s="193" t="s">
        <v>66</v>
      </c>
      <c r="J1476" s="193" t="str">
        <f t="shared" si="103"/>
        <v>10 Roda</v>
      </c>
      <c r="K1476" s="194">
        <v>46099</v>
      </c>
      <c r="L1476" s="195">
        <v>14640</v>
      </c>
      <c r="M1476" s="195">
        <v>6680</v>
      </c>
      <c r="N1476" s="195">
        <v>7960</v>
      </c>
      <c r="O1476" s="195"/>
      <c r="P1476" s="196">
        <v>0.4069444444444445</v>
      </c>
      <c r="Q1476" s="196">
        <v>0.47569444444444442</v>
      </c>
      <c r="R1476" s="193" t="s">
        <v>137</v>
      </c>
      <c r="S1476" s="193"/>
      <c r="T1476" s="197"/>
      <c r="U1476" s="193"/>
      <c r="V1476" s="193"/>
    </row>
    <row r="1477" spans="2:22" ht="15" customHeight="1" x14ac:dyDescent="0.2">
      <c r="B1477" s="193">
        <v>1</v>
      </c>
      <c r="C1477" s="347" t="s">
        <v>300</v>
      </c>
      <c r="D1477" s="347" t="str">
        <f t="shared" si="101"/>
        <v>B-40000158WNE</v>
      </c>
      <c r="E1477" s="193" t="s">
        <v>578</v>
      </c>
      <c r="F1477" s="193"/>
      <c r="G1477" s="193"/>
      <c r="H1477" s="193" t="s">
        <v>61</v>
      </c>
      <c r="I1477" s="193" t="s">
        <v>66</v>
      </c>
      <c r="J1477" s="193" t="str">
        <f t="shared" si="103"/>
        <v>12 Roda</v>
      </c>
      <c r="K1477" s="194">
        <v>46126</v>
      </c>
      <c r="L1477" s="195">
        <v>33980</v>
      </c>
      <c r="M1477" s="195">
        <v>13980</v>
      </c>
      <c r="N1477" s="195">
        <v>20000</v>
      </c>
      <c r="O1477" s="195"/>
      <c r="P1477" s="196">
        <v>0.61388888888888882</v>
      </c>
      <c r="Q1477" s="196">
        <v>0.70347222222222217</v>
      </c>
      <c r="R1477" s="193" t="s">
        <v>137</v>
      </c>
      <c r="S1477" s="193"/>
      <c r="T1477" s="197"/>
      <c r="U1477" s="193"/>
      <c r="V1477" s="193"/>
    </row>
    <row r="1478" spans="2:22" ht="15" customHeight="1" x14ac:dyDescent="0.2">
      <c r="B1478" s="193">
        <v>1</v>
      </c>
      <c r="C1478" s="347" t="s">
        <v>301</v>
      </c>
      <c r="D1478" s="347" t="str">
        <f t="shared" si="101"/>
        <v>B-40000159WNE</v>
      </c>
      <c r="E1478" s="193" t="s">
        <v>578</v>
      </c>
      <c r="F1478" s="193"/>
      <c r="G1478" s="193"/>
      <c r="H1478" s="193" t="s">
        <v>61</v>
      </c>
      <c r="I1478" s="193" t="s">
        <v>66</v>
      </c>
      <c r="J1478" s="193" t="str">
        <f t="shared" si="103"/>
        <v>12 Roda</v>
      </c>
      <c r="K1478" s="194">
        <v>46127</v>
      </c>
      <c r="L1478" s="195">
        <v>33950</v>
      </c>
      <c r="M1478" s="195">
        <v>14010</v>
      </c>
      <c r="N1478" s="195">
        <v>19940</v>
      </c>
      <c r="O1478" s="195"/>
      <c r="P1478" s="196">
        <v>0.42152777777777778</v>
      </c>
      <c r="Q1478" s="196">
        <v>0.51250000000000007</v>
      </c>
      <c r="R1478" s="193" t="s">
        <v>137</v>
      </c>
      <c r="S1478" s="193"/>
      <c r="T1478" s="197"/>
      <c r="U1478" s="193"/>
      <c r="V1478" s="193"/>
    </row>
    <row r="1479" spans="2:22" ht="15" customHeight="1" x14ac:dyDescent="0.2">
      <c r="B1479" s="193">
        <v>1</v>
      </c>
      <c r="C1479" s="347" t="s">
        <v>302</v>
      </c>
      <c r="D1479" s="347" t="str">
        <f t="shared" si="101"/>
        <v>B-40000160WPE</v>
      </c>
      <c r="E1479" s="193" t="s">
        <v>659</v>
      </c>
      <c r="F1479" s="193"/>
      <c r="G1479" s="193"/>
      <c r="H1479" s="193" t="s">
        <v>94</v>
      </c>
      <c r="I1479" s="193" t="s">
        <v>66</v>
      </c>
      <c r="J1479" s="193" t="str">
        <f t="shared" si="103"/>
        <v>10 Roda</v>
      </c>
      <c r="K1479" s="194">
        <v>46128</v>
      </c>
      <c r="L1479" s="195">
        <v>14830</v>
      </c>
      <c r="M1479" s="195">
        <v>6650</v>
      </c>
      <c r="N1479" s="195">
        <v>8180</v>
      </c>
      <c r="O1479" s="195"/>
      <c r="P1479" s="196">
        <v>0.34027777777777773</v>
      </c>
      <c r="Q1479" s="196">
        <v>0.40347222222222223</v>
      </c>
      <c r="R1479" s="193" t="s">
        <v>137</v>
      </c>
      <c r="S1479" s="193"/>
      <c r="T1479" s="197"/>
      <c r="U1479" s="193"/>
      <c r="V1479" s="193"/>
    </row>
    <row r="1480" spans="2:22" ht="15" customHeight="1" x14ac:dyDescent="0.2">
      <c r="B1480" s="193">
        <v>1</v>
      </c>
      <c r="C1480" s="347" t="s">
        <v>303</v>
      </c>
      <c r="D1480" s="347" t="str">
        <f t="shared" si="101"/>
        <v>B-40000161WPE</v>
      </c>
      <c r="E1480" s="193" t="s">
        <v>777</v>
      </c>
      <c r="F1480" s="193"/>
      <c r="G1480" s="193"/>
      <c r="H1480" s="193" t="s">
        <v>94</v>
      </c>
      <c r="I1480" s="193" t="s">
        <v>66</v>
      </c>
      <c r="J1480" s="193" t="str">
        <f t="shared" si="103"/>
        <v>10 Roda</v>
      </c>
      <c r="K1480" s="194">
        <v>46129</v>
      </c>
      <c r="L1480" s="195">
        <v>14980</v>
      </c>
      <c r="M1480" s="195">
        <v>6940</v>
      </c>
      <c r="N1480" s="195">
        <v>8040</v>
      </c>
      <c r="O1480" s="195"/>
      <c r="P1480" s="196">
        <v>0.33402777777777781</v>
      </c>
      <c r="Q1480" s="196">
        <v>0.38680555555555557</v>
      </c>
      <c r="R1480" s="193" t="s">
        <v>137</v>
      </c>
      <c r="S1480" s="193"/>
      <c r="T1480" s="197"/>
      <c r="U1480" s="193"/>
      <c r="V1480" s="193"/>
    </row>
    <row r="1481" spans="2:22" ht="15" customHeight="1" x14ac:dyDescent="0.2">
      <c r="B1481" s="193">
        <v>1</v>
      </c>
      <c r="C1481" s="347" t="s">
        <v>341</v>
      </c>
      <c r="D1481" s="347" t="str">
        <f t="shared" si="101"/>
        <v>B-40000198WPE</v>
      </c>
      <c r="E1481" s="193" t="s">
        <v>777</v>
      </c>
      <c r="F1481" s="193"/>
      <c r="G1481" s="193"/>
      <c r="H1481" s="193" t="s">
        <v>94</v>
      </c>
      <c r="I1481" s="193" t="s">
        <v>66</v>
      </c>
      <c r="J1481" s="193" t="str">
        <f t="shared" si="103"/>
        <v>10 Roda</v>
      </c>
      <c r="K1481" s="194">
        <v>46142</v>
      </c>
      <c r="L1481" s="195">
        <v>14810</v>
      </c>
      <c r="M1481" s="195">
        <v>6940</v>
      </c>
      <c r="N1481" s="195">
        <v>7870</v>
      </c>
      <c r="O1481" s="195"/>
      <c r="P1481" s="196">
        <v>0.34583333333333338</v>
      </c>
      <c r="Q1481" s="196">
        <v>0.4055555555555555</v>
      </c>
      <c r="R1481" s="193" t="s">
        <v>137</v>
      </c>
      <c r="S1481" s="193"/>
      <c r="T1481" s="197"/>
      <c r="U1481" s="193"/>
      <c r="V1481" s="193"/>
    </row>
    <row r="1482" spans="2:22" ht="15" customHeight="1" x14ac:dyDescent="0.2">
      <c r="B1482" s="193">
        <v>1</v>
      </c>
      <c r="C1482" s="347" t="s">
        <v>354</v>
      </c>
      <c r="D1482" s="347" t="str">
        <f t="shared" si="101"/>
        <v>B-40000211WPE</v>
      </c>
      <c r="E1482" s="193" t="s">
        <v>635</v>
      </c>
      <c r="F1482" s="193"/>
      <c r="G1482" s="193"/>
      <c r="H1482" s="193" t="s">
        <v>94</v>
      </c>
      <c r="I1482" s="193" t="s">
        <v>66</v>
      </c>
      <c r="J1482" s="193" t="str">
        <f t="shared" si="103"/>
        <v>10 Roda</v>
      </c>
      <c r="K1482" s="194">
        <v>46144</v>
      </c>
      <c r="L1482" s="195">
        <v>15170</v>
      </c>
      <c r="M1482" s="195">
        <v>7170</v>
      </c>
      <c r="N1482" s="195">
        <v>8000</v>
      </c>
      <c r="O1482" s="195"/>
      <c r="P1482" s="196">
        <v>0.39930555555555558</v>
      </c>
      <c r="Q1482" s="196">
        <v>0.47291666666666665</v>
      </c>
      <c r="R1482" s="193" t="s">
        <v>1221</v>
      </c>
      <c r="S1482" s="193"/>
      <c r="T1482" s="197"/>
      <c r="U1482" s="193"/>
      <c r="V1482" s="193"/>
    </row>
    <row r="1483" spans="2:22" ht="15" customHeight="1" x14ac:dyDescent="0.2">
      <c r="B1483" s="193">
        <v>1</v>
      </c>
      <c r="C1483" s="347" t="s">
        <v>378</v>
      </c>
      <c r="D1483" s="347" t="str">
        <f t="shared" si="101"/>
        <v>B-40000235WPE</v>
      </c>
      <c r="E1483" s="193" t="s">
        <v>659</v>
      </c>
      <c r="F1483" s="193"/>
      <c r="G1483" s="193"/>
      <c r="H1483" s="193" t="s">
        <v>94</v>
      </c>
      <c r="I1483" s="193" t="s">
        <v>66</v>
      </c>
      <c r="J1483" s="193" t="str">
        <f t="shared" si="103"/>
        <v>10 Roda</v>
      </c>
      <c r="K1483" s="194">
        <v>46149</v>
      </c>
      <c r="L1483" s="195">
        <v>14550</v>
      </c>
      <c r="M1483" s="195">
        <v>6660</v>
      </c>
      <c r="N1483" s="195">
        <v>7890</v>
      </c>
      <c r="O1483" s="195"/>
      <c r="P1483" s="196">
        <v>0.36874999999999997</v>
      </c>
      <c r="Q1483" s="196">
        <v>0.50555555555555554</v>
      </c>
      <c r="R1483" s="193" t="s">
        <v>137</v>
      </c>
      <c r="S1483" s="193"/>
      <c r="T1483" s="197"/>
      <c r="U1483" s="193"/>
      <c r="V1483" s="193"/>
    </row>
    <row r="1484" spans="2:22" ht="15" customHeight="1" x14ac:dyDescent="0.2">
      <c r="B1484" s="193">
        <v>1</v>
      </c>
      <c r="C1484" s="347" t="s">
        <v>379</v>
      </c>
      <c r="D1484" s="347" t="str">
        <f t="shared" si="101"/>
        <v>B-40000236WPE</v>
      </c>
      <c r="E1484" s="193" t="s">
        <v>3133</v>
      </c>
      <c r="F1484" s="193"/>
      <c r="G1484" s="193"/>
      <c r="H1484" s="193" t="s">
        <v>94</v>
      </c>
      <c r="I1484" s="193" t="s">
        <v>66</v>
      </c>
      <c r="J1484" s="193" t="str">
        <f t="shared" si="103"/>
        <v>10 Roda</v>
      </c>
      <c r="K1484" s="194">
        <v>46149</v>
      </c>
      <c r="L1484" s="195">
        <v>14590</v>
      </c>
      <c r="M1484" s="195">
        <v>6600</v>
      </c>
      <c r="N1484" s="195">
        <v>7990</v>
      </c>
      <c r="O1484" s="195"/>
      <c r="P1484" s="196">
        <v>0.37013888888888885</v>
      </c>
      <c r="Q1484" s="196">
        <v>0.50347222222222221</v>
      </c>
      <c r="R1484" s="193" t="s">
        <v>137</v>
      </c>
      <c r="S1484" s="193"/>
      <c r="T1484" s="197"/>
      <c r="U1484" s="193"/>
      <c r="V1484" s="193"/>
    </row>
    <row r="1485" spans="2:22" ht="15" customHeight="1" x14ac:dyDescent="0.2">
      <c r="B1485" s="193">
        <v>1</v>
      </c>
      <c r="C1485" s="347" t="s">
        <v>380</v>
      </c>
      <c r="D1485" s="347" t="str">
        <f t="shared" si="101"/>
        <v>B-40000237WPE</v>
      </c>
      <c r="E1485" s="193" t="s">
        <v>635</v>
      </c>
      <c r="F1485" s="193"/>
      <c r="G1485" s="193"/>
      <c r="H1485" s="193" t="s">
        <v>94</v>
      </c>
      <c r="I1485" s="193" t="s">
        <v>66</v>
      </c>
      <c r="J1485" s="193" t="str">
        <f t="shared" si="103"/>
        <v>10 Roda</v>
      </c>
      <c r="K1485" s="194">
        <v>46150</v>
      </c>
      <c r="L1485" s="195">
        <v>15120</v>
      </c>
      <c r="M1485" s="195">
        <v>7140</v>
      </c>
      <c r="N1485" s="195">
        <v>7980</v>
      </c>
      <c r="O1485" s="195"/>
      <c r="P1485" s="196">
        <v>0.38611111111111113</v>
      </c>
      <c r="Q1485" s="196">
        <v>0.4513888888888889</v>
      </c>
      <c r="R1485" s="193" t="s">
        <v>137</v>
      </c>
      <c r="S1485" s="193"/>
      <c r="T1485" s="197"/>
      <c r="U1485" s="193"/>
      <c r="V1485" s="193"/>
    </row>
    <row r="1486" spans="2:22" ht="15" customHeight="1" x14ac:dyDescent="0.2">
      <c r="B1486" s="193">
        <v>1</v>
      </c>
      <c r="C1486" s="347" t="s">
        <v>385</v>
      </c>
      <c r="D1486" s="347" t="str">
        <f t="shared" si="101"/>
        <v>B-40000242WPE</v>
      </c>
      <c r="E1486" s="193" t="s">
        <v>777</v>
      </c>
      <c r="F1486" s="193"/>
      <c r="G1486" s="193"/>
      <c r="H1486" s="193" t="s">
        <v>94</v>
      </c>
      <c r="I1486" s="193" t="s">
        <v>66</v>
      </c>
      <c r="J1486" s="193" t="str">
        <f t="shared" si="103"/>
        <v>10 Roda</v>
      </c>
      <c r="K1486" s="194">
        <v>46151</v>
      </c>
      <c r="L1486" s="195">
        <v>14940</v>
      </c>
      <c r="M1486" s="195">
        <v>6940</v>
      </c>
      <c r="N1486" s="195">
        <v>8000</v>
      </c>
      <c r="O1486" s="195"/>
      <c r="P1486" s="196">
        <v>0.33611111111111108</v>
      </c>
      <c r="Q1486" s="196">
        <v>0.39999999999999997</v>
      </c>
      <c r="R1486" s="193" t="s">
        <v>137</v>
      </c>
      <c r="S1486" s="193"/>
      <c r="T1486" s="197"/>
      <c r="U1486" s="193"/>
      <c r="V1486" s="193"/>
    </row>
    <row r="1487" spans="2:22" ht="15" customHeight="1" x14ac:dyDescent="0.2">
      <c r="B1487" s="193">
        <v>1</v>
      </c>
      <c r="C1487" s="347" t="s">
        <v>388</v>
      </c>
      <c r="D1487" s="347" t="str">
        <f t="shared" si="101"/>
        <v>B-40000245WPE</v>
      </c>
      <c r="E1487" s="193" t="s">
        <v>3133</v>
      </c>
      <c r="F1487" s="193"/>
      <c r="G1487" s="193"/>
      <c r="H1487" s="193" t="s">
        <v>94</v>
      </c>
      <c r="I1487" s="193" t="s">
        <v>66</v>
      </c>
      <c r="J1487" s="193" t="str">
        <f t="shared" si="103"/>
        <v>10 Roda</v>
      </c>
      <c r="K1487" s="194">
        <v>46158</v>
      </c>
      <c r="L1487" s="195">
        <v>14360</v>
      </c>
      <c r="M1487" s="195">
        <v>6590</v>
      </c>
      <c r="N1487" s="195">
        <v>7770</v>
      </c>
      <c r="O1487" s="195"/>
      <c r="P1487" s="196">
        <v>0.60555555555555551</v>
      </c>
      <c r="Q1487" s="196">
        <v>0.6645833333333333</v>
      </c>
      <c r="R1487" s="193" t="s">
        <v>1221</v>
      </c>
      <c r="S1487" s="193"/>
      <c r="T1487" s="197"/>
      <c r="U1487" s="193"/>
      <c r="V1487" s="193"/>
    </row>
    <row r="1488" spans="2:22" ht="15" customHeight="1" x14ac:dyDescent="0.2">
      <c r="B1488" s="193">
        <v>1</v>
      </c>
      <c r="C1488" s="347" t="s">
        <v>389</v>
      </c>
      <c r="D1488" s="347" t="str">
        <f t="shared" si="101"/>
        <v>B-40000246WPE</v>
      </c>
      <c r="E1488" s="193" t="s">
        <v>777</v>
      </c>
      <c r="F1488" s="193"/>
      <c r="G1488" s="193"/>
      <c r="H1488" s="193" t="s">
        <v>94</v>
      </c>
      <c r="I1488" s="193" t="s">
        <v>66</v>
      </c>
      <c r="J1488" s="193" t="str">
        <f t="shared" si="103"/>
        <v>10 Roda</v>
      </c>
      <c r="K1488" s="194">
        <v>46159</v>
      </c>
      <c r="L1488" s="195">
        <v>14840</v>
      </c>
      <c r="M1488" s="195">
        <v>6960</v>
      </c>
      <c r="N1488" s="195">
        <v>7880</v>
      </c>
      <c r="O1488" s="195"/>
      <c r="P1488" s="196">
        <v>0.44722222222222219</v>
      </c>
      <c r="Q1488" s="196">
        <v>0.52847222222222223</v>
      </c>
      <c r="R1488" s="193" t="s">
        <v>137</v>
      </c>
      <c r="S1488" s="193"/>
      <c r="T1488" s="197"/>
      <c r="U1488" s="193"/>
      <c r="V1488" s="193"/>
    </row>
    <row r="1489" spans="2:22" ht="15" customHeight="1" x14ac:dyDescent="0.2">
      <c r="B1489" s="193">
        <v>1</v>
      </c>
      <c r="C1489" s="347" t="s">
        <v>390</v>
      </c>
      <c r="D1489" s="347" t="str">
        <f t="shared" si="101"/>
        <v>B-40000247WPE</v>
      </c>
      <c r="E1489" s="193" t="s">
        <v>659</v>
      </c>
      <c r="F1489" s="193"/>
      <c r="G1489" s="193"/>
      <c r="H1489" s="193" t="s">
        <v>94</v>
      </c>
      <c r="I1489" s="193" t="s">
        <v>66</v>
      </c>
      <c r="J1489" s="193" t="str">
        <f t="shared" si="103"/>
        <v>10 Roda</v>
      </c>
      <c r="K1489" s="194">
        <v>46159</v>
      </c>
      <c r="L1489" s="195">
        <v>14480</v>
      </c>
      <c r="M1489" s="195">
        <v>6690</v>
      </c>
      <c r="N1489" s="195">
        <v>7790</v>
      </c>
      <c r="O1489" s="195"/>
      <c r="P1489" s="196">
        <v>0.44791666666666669</v>
      </c>
      <c r="Q1489" s="196">
        <v>0.52916666666666667</v>
      </c>
      <c r="R1489" s="193" t="s">
        <v>137</v>
      </c>
      <c r="S1489" s="193"/>
      <c r="T1489" s="197"/>
      <c r="U1489" s="193"/>
      <c r="V1489" s="193"/>
    </row>
    <row r="1490" spans="2:22" ht="15" customHeight="1" x14ac:dyDescent="0.2">
      <c r="B1490" s="193">
        <v>1</v>
      </c>
      <c r="C1490" s="347" t="s">
        <v>394</v>
      </c>
      <c r="D1490" s="193" t="str">
        <f t="shared" si="101"/>
        <v>B-40000251WPE</v>
      </c>
      <c r="E1490" s="193" t="s">
        <v>635</v>
      </c>
      <c r="F1490" s="193"/>
      <c r="G1490" s="193"/>
      <c r="H1490" s="193" t="s">
        <v>94</v>
      </c>
      <c r="I1490" s="193" t="s">
        <v>66</v>
      </c>
      <c r="J1490" s="193" t="str">
        <f t="shared" si="103"/>
        <v>10 Roda</v>
      </c>
      <c r="K1490" s="194">
        <v>46161</v>
      </c>
      <c r="L1490" s="195">
        <v>15050</v>
      </c>
      <c r="M1490" s="195">
        <v>7110</v>
      </c>
      <c r="N1490" s="195">
        <v>7940</v>
      </c>
      <c r="O1490" s="195"/>
      <c r="P1490" s="196">
        <v>0.35000000000000003</v>
      </c>
      <c r="Q1490" s="196">
        <v>0.4201388888888889</v>
      </c>
      <c r="R1490" s="193" t="s">
        <v>1221</v>
      </c>
      <c r="S1490" s="193"/>
      <c r="T1490" s="197"/>
      <c r="U1490" s="193"/>
      <c r="V1490" s="193"/>
    </row>
    <row r="1491" spans="2:22" ht="15" customHeight="1" x14ac:dyDescent="0.2">
      <c r="B1491" s="193">
        <v>1</v>
      </c>
      <c r="C1491" s="347" t="s">
        <v>3134</v>
      </c>
      <c r="D1491" s="193" t="str">
        <f t="shared" si="101"/>
        <v>RBDPS001262BMS</v>
      </c>
      <c r="E1491" s="193" t="s">
        <v>3138</v>
      </c>
      <c r="F1491" s="193"/>
      <c r="G1491" s="193"/>
      <c r="H1491" s="193" t="s">
        <v>3143</v>
      </c>
      <c r="I1491" s="193" t="s">
        <v>3142</v>
      </c>
      <c r="J1491" s="193" t="str">
        <f t="shared" si="103"/>
        <v>10 Roda</v>
      </c>
      <c r="K1491" s="194">
        <v>46162</v>
      </c>
      <c r="L1491" s="195">
        <v>10780</v>
      </c>
      <c r="M1491" s="195">
        <v>30870</v>
      </c>
      <c r="N1491" s="195">
        <v>20090</v>
      </c>
      <c r="O1491" s="195"/>
      <c r="P1491" s="196">
        <v>0.8222222222222223</v>
      </c>
      <c r="Q1491" s="196">
        <v>0.87777777777777777</v>
      </c>
      <c r="R1491" s="193" t="s">
        <v>137</v>
      </c>
      <c r="S1491" s="193" t="s">
        <v>3228</v>
      </c>
      <c r="T1491" s="197"/>
      <c r="U1491" s="193"/>
      <c r="V1491" s="193"/>
    </row>
    <row r="1492" spans="2:22" ht="15" customHeight="1" x14ac:dyDescent="0.2">
      <c r="B1492" s="193">
        <v>1</v>
      </c>
      <c r="C1492" s="347" t="s">
        <v>3135</v>
      </c>
      <c r="D1492" s="193" t="str">
        <f t="shared" ref="D1492:D1555" si="104">I1492&amp;C1492&amp;_xlfn.XLOOKUP(H1492,$AM$4:$AM$24,$AN$4:$AN$24,"")</f>
        <v>RBDPS001263BMS</v>
      </c>
      <c r="E1492" s="193" t="s">
        <v>3139</v>
      </c>
      <c r="F1492" s="193"/>
      <c r="G1492" s="193"/>
      <c r="H1492" s="193" t="s">
        <v>3143</v>
      </c>
      <c r="I1492" s="193" t="s">
        <v>3142</v>
      </c>
      <c r="J1492" s="193" t="str">
        <f t="shared" si="103"/>
        <v>10 Roda</v>
      </c>
      <c r="K1492" s="194">
        <v>46162</v>
      </c>
      <c r="L1492" s="195">
        <v>10920</v>
      </c>
      <c r="M1492" s="195">
        <v>31100</v>
      </c>
      <c r="N1492" s="195">
        <v>20180</v>
      </c>
      <c r="O1492" s="195"/>
      <c r="P1492" s="196">
        <v>0.88888888888888884</v>
      </c>
      <c r="Q1492" s="196">
        <v>0.91736111111111107</v>
      </c>
      <c r="R1492" s="193" t="s">
        <v>137</v>
      </c>
      <c r="S1492" s="193" t="s">
        <v>3229</v>
      </c>
      <c r="T1492" s="197"/>
      <c r="U1492" s="193"/>
      <c r="V1492" s="193"/>
    </row>
    <row r="1493" spans="2:22" ht="15" customHeight="1" x14ac:dyDescent="0.2">
      <c r="B1493" s="193">
        <v>1</v>
      </c>
      <c r="C1493" s="347" t="s">
        <v>3136</v>
      </c>
      <c r="D1493" s="193" t="str">
        <f t="shared" si="104"/>
        <v>RBDPS001264BMS</v>
      </c>
      <c r="E1493" s="193" t="s">
        <v>3140</v>
      </c>
      <c r="F1493" s="193"/>
      <c r="G1493" s="193"/>
      <c r="H1493" s="193" t="s">
        <v>3143</v>
      </c>
      <c r="I1493" s="193" t="s">
        <v>3142</v>
      </c>
      <c r="J1493" s="193" t="str">
        <f t="shared" si="103"/>
        <v>10 Roda</v>
      </c>
      <c r="K1493" s="194">
        <v>46162</v>
      </c>
      <c r="L1493" s="195">
        <v>11690</v>
      </c>
      <c r="M1493" s="195">
        <v>31730</v>
      </c>
      <c r="N1493" s="195">
        <v>20040</v>
      </c>
      <c r="O1493" s="195"/>
      <c r="P1493" s="196">
        <v>0.92152777777777783</v>
      </c>
      <c r="Q1493" s="196">
        <v>0.9604166666666667</v>
      </c>
      <c r="R1493" s="193" t="s">
        <v>137</v>
      </c>
      <c r="S1493" s="193" t="s">
        <v>3230</v>
      </c>
      <c r="T1493" s="197"/>
      <c r="U1493" s="193"/>
      <c r="V1493" s="193"/>
    </row>
    <row r="1494" spans="2:22" ht="15" customHeight="1" x14ac:dyDescent="0.2">
      <c r="B1494" s="193">
        <v>1</v>
      </c>
      <c r="C1494" s="347" t="s">
        <v>3137</v>
      </c>
      <c r="D1494" s="193" t="str">
        <f t="shared" si="104"/>
        <v>RBDPS001265BMS</v>
      </c>
      <c r="E1494" s="193" t="s">
        <v>3141</v>
      </c>
      <c r="F1494" s="193"/>
      <c r="G1494" s="193"/>
      <c r="H1494" s="193" t="s">
        <v>3143</v>
      </c>
      <c r="I1494" s="193" t="s">
        <v>3142</v>
      </c>
      <c r="J1494" s="193" t="str">
        <f t="shared" si="103"/>
        <v>10 Roda</v>
      </c>
      <c r="K1494" s="194">
        <v>46162</v>
      </c>
      <c r="L1494" s="195">
        <v>11190</v>
      </c>
      <c r="M1494" s="195">
        <v>30950</v>
      </c>
      <c r="N1494" s="195">
        <v>19760</v>
      </c>
      <c r="O1494" s="195"/>
      <c r="P1494" s="196">
        <v>0.96250000000000002</v>
      </c>
      <c r="Q1494" s="196">
        <v>0.99097222222222225</v>
      </c>
      <c r="R1494" s="193" t="s">
        <v>137</v>
      </c>
      <c r="S1494" s="193" t="s">
        <v>3231</v>
      </c>
      <c r="T1494" s="197"/>
      <c r="U1494" s="193"/>
      <c r="V1494" s="193"/>
    </row>
    <row r="1495" spans="2:22" ht="15" customHeight="1" x14ac:dyDescent="0.2">
      <c r="B1495" s="193">
        <v>1</v>
      </c>
      <c r="C1495" s="347" t="s">
        <v>3144</v>
      </c>
      <c r="D1495" s="347" t="str">
        <f t="shared" si="104"/>
        <v>RBDPL001245SCM</v>
      </c>
      <c r="E1495" s="193" t="s">
        <v>835</v>
      </c>
      <c r="F1495" s="193"/>
      <c r="G1495" s="193"/>
      <c r="H1495" s="193" t="s">
        <v>107</v>
      </c>
      <c r="I1495" s="193" t="s">
        <v>3</v>
      </c>
      <c r="J1495" s="193" t="str">
        <f t="shared" si="103"/>
        <v>6 Roda</v>
      </c>
      <c r="K1495" s="194">
        <v>46161</v>
      </c>
      <c r="L1495" s="195">
        <v>4060</v>
      </c>
      <c r="M1495" s="195">
        <v>13490</v>
      </c>
      <c r="N1495" s="195">
        <v>9430</v>
      </c>
      <c r="O1495" s="195"/>
      <c r="P1495" s="196">
        <v>0.4201388888888889</v>
      </c>
      <c r="Q1495" s="196">
        <v>0.45902777777777781</v>
      </c>
      <c r="R1495" s="193" t="s">
        <v>42</v>
      </c>
      <c r="S1495" s="193" t="s">
        <v>2038</v>
      </c>
      <c r="T1495" s="197">
        <f t="shared" ref="T1495:T1558" si="105">IFERROR(_xlfn.XLOOKUP(H1495,$AM$4:$AM$18,$AP$4:$AP$18,""),0)</f>
        <v>400</v>
      </c>
      <c r="U1495" s="193" t="s">
        <v>175</v>
      </c>
      <c r="V1495" s="193" t="s">
        <v>2098</v>
      </c>
    </row>
    <row r="1496" spans="2:22" ht="15" customHeight="1" x14ac:dyDescent="0.2">
      <c r="B1496" s="193">
        <v>1</v>
      </c>
      <c r="C1496" s="347" t="s">
        <v>3145</v>
      </c>
      <c r="D1496" s="347" t="str">
        <f t="shared" si="104"/>
        <v>RBDPL001247SCM</v>
      </c>
      <c r="E1496" s="193" t="s">
        <v>181</v>
      </c>
      <c r="F1496" s="193"/>
      <c r="G1496" s="193"/>
      <c r="H1496" s="193" t="s">
        <v>107</v>
      </c>
      <c r="I1496" s="193" t="s">
        <v>3</v>
      </c>
      <c r="J1496" s="193" t="str">
        <f t="shared" si="103"/>
        <v>6 Roda</v>
      </c>
      <c r="K1496" s="194">
        <v>46161</v>
      </c>
      <c r="L1496" s="195">
        <v>4030</v>
      </c>
      <c r="M1496" s="195">
        <v>13680</v>
      </c>
      <c r="N1496" s="195">
        <v>9650</v>
      </c>
      <c r="O1496" s="195"/>
      <c r="P1496" s="196">
        <v>0.59375</v>
      </c>
      <c r="Q1496" s="196">
        <v>0.61597222222222225</v>
      </c>
      <c r="R1496" s="193" t="s">
        <v>42</v>
      </c>
      <c r="S1496" s="193" t="s">
        <v>2030</v>
      </c>
      <c r="T1496" s="197">
        <f t="shared" si="105"/>
        <v>400</v>
      </c>
      <c r="U1496" s="193" t="s">
        <v>175</v>
      </c>
      <c r="V1496" s="193" t="s">
        <v>2098</v>
      </c>
    </row>
    <row r="1497" spans="2:22" ht="15" customHeight="1" x14ac:dyDescent="0.2">
      <c r="B1497" s="193">
        <v>1</v>
      </c>
      <c r="C1497" s="347" t="s">
        <v>3146</v>
      </c>
      <c r="D1497" s="347" t="str">
        <f t="shared" si="104"/>
        <v>RBDPL001248SCM</v>
      </c>
      <c r="E1497" s="193" t="s">
        <v>3161</v>
      </c>
      <c r="F1497" s="193"/>
      <c r="G1497" s="193"/>
      <c r="H1497" s="193" t="s">
        <v>107</v>
      </c>
      <c r="I1497" s="193" t="s">
        <v>3</v>
      </c>
      <c r="J1497" s="193" t="str">
        <f t="shared" ref="J1497:J1511" si="106">IF(MIN(L1497,M1497)&lt;=5000,"6 Roda",IF(MIN(L1497,M1497)&lt;=13800,"10 Roda","12 Roda"))</f>
        <v>6 Roda</v>
      </c>
      <c r="K1497" s="194">
        <v>46161</v>
      </c>
      <c r="L1497" s="195">
        <v>4050</v>
      </c>
      <c r="M1497" s="195">
        <v>13200</v>
      </c>
      <c r="N1497" s="195">
        <v>9150</v>
      </c>
      <c r="O1497" s="195"/>
      <c r="P1497" s="196">
        <v>0.66666666666666663</v>
      </c>
      <c r="Q1497" s="196">
        <v>0.68263888888888891</v>
      </c>
      <c r="R1497" s="193" t="s">
        <v>42</v>
      </c>
      <c r="S1497" s="193" t="s">
        <v>1618</v>
      </c>
      <c r="T1497" s="197">
        <f t="shared" si="105"/>
        <v>400</v>
      </c>
      <c r="U1497" s="193" t="s">
        <v>175</v>
      </c>
      <c r="V1497" s="193" t="s">
        <v>2098</v>
      </c>
    </row>
    <row r="1498" spans="2:22" ht="15" customHeight="1" x14ac:dyDescent="0.2">
      <c r="B1498" s="193">
        <v>1</v>
      </c>
      <c r="C1498" s="347" t="s">
        <v>3147</v>
      </c>
      <c r="D1498" s="347" t="str">
        <f t="shared" si="104"/>
        <v>RBDPL001249SCM</v>
      </c>
      <c r="E1498" s="193" t="s">
        <v>473</v>
      </c>
      <c r="F1498" s="193"/>
      <c r="G1498" s="193"/>
      <c r="H1498" s="193" t="s">
        <v>107</v>
      </c>
      <c r="I1498" s="193" t="s">
        <v>3</v>
      </c>
      <c r="J1498" s="193" t="str">
        <f t="shared" si="106"/>
        <v>6 Roda</v>
      </c>
      <c r="K1498" s="194">
        <v>46161</v>
      </c>
      <c r="L1498" s="195">
        <v>4340</v>
      </c>
      <c r="M1498" s="195">
        <v>14440</v>
      </c>
      <c r="N1498" s="195">
        <v>10100</v>
      </c>
      <c r="O1498" s="195"/>
      <c r="P1498" s="196">
        <v>0.69791666666666663</v>
      </c>
      <c r="Q1498" s="196">
        <v>0.73055555555555562</v>
      </c>
      <c r="R1498" s="193" t="s">
        <v>137</v>
      </c>
      <c r="S1498" s="193" t="s">
        <v>1474</v>
      </c>
      <c r="T1498" s="197">
        <f t="shared" si="105"/>
        <v>400</v>
      </c>
      <c r="U1498" s="193" t="s">
        <v>175</v>
      </c>
      <c r="V1498" s="193" t="s">
        <v>2098</v>
      </c>
    </row>
    <row r="1499" spans="2:22" ht="15" customHeight="1" x14ac:dyDescent="0.2">
      <c r="B1499" s="193">
        <v>1</v>
      </c>
      <c r="C1499" s="347" t="s">
        <v>3148</v>
      </c>
      <c r="D1499" s="347" t="str">
        <f t="shared" si="104"/>
        <v>RBDPL001246DA</v>
      </c>
      <c r="E1499" s="193" t="s">
        <v>934</v>
      </c>
      <c r="F1499" s="193"/>
      <c r="G1499" s="193"/>
      <c r="H1499" s="193" t="s">
        <v>111</v>
      </c>
      <c r="I1499" s="193" t="s">
        <v>3</v>
      </c>
      <c r="J1499" s="193" t="str">
        <f t="shared" si="106"/>
        <v>6 Roda</v>
      </c>
      <c r="K1499" s="194">
        <v>46161</v>
      </c>
      <c r="L1499" s="195">
        <v>3880</v>
      </c>
      <c r="M1499" s="195">
        <v>13200</v>
      </c>
      <c r="N1499" s="195">
        <v>9320</v>
      </c>
      <c r="O1499" s="195"/>
      <c r="P1499" s="196">
        <v>0.47500000000000003</v>
      </c>
      <c r="Q1499" s="196">
        <v>0.50208333333333333</v>
      </c>
      <c r="R1499" s="193" t="s">
        <v>42</v>
      </c>
      <c r="S1499" s="193" t="s">
        <v>2033</v>
      </c>
      <c r="T1499" s="197">
        <f t="shared" si="105"/>
        <v>360</v>
      </c>
      <c r="U1499" s="193" t="s">
        <v>1381</v>
      </c>
      <c r="V1499" s="193" t="s">
        <v>2098</v>
      </c>
    </row>
    <row r="1500" spans="2:22" ht="15" customHeight="1" x14ac:dyDescent="0.2">
      <c r="B1500" s="193">
        <v>1</v>
      </c>
      <c r="C1500" s="347" t="s">
        <v>3149</v>
      </c>
      <c r="D1500" s="347" t="str">
        <f t="shared" si="104"/>
        <v>RBDPL001257DA</v>
      </c>
      <c r="E1500" s="193" t="s">
        <v>936</v>
      </c>
      <c r="F1500" s="193"/>
      <c r="G1500" s="193"/>
      <c r="H1500" s="193" t="s">
        <v>111</v>
      </c>
      <c r="I1500" s="193" t="s">
        <v>3</v>
      </c>
      <c r="J1500" s="193" t="str">
        <f t="shared" si="106"/>
        <v>6 Roda</v>
      </c>
      <c r="K1500" s="194">
        <v>46162</v>
      </c>
      <c r="L1500" s="195">
        <v>4260</v>
      </c>
      <c r="M1500" s="195">
        <v>14390</v>
      </c>
      <c r="N1500" s="195">
        <v>10130</v>
      </c>
      <c r="O1500" s="195"/>
      <c r="P1500" s="196">
        <v>0.61944444444444446</v>
      </c>
      <c r="Q1500" s="196">
        <v>0.64583333333333337</v>
      </c>
      <c r="R1500" s="193" t="s">
        <v>42</v>
      </c>
      <c r="S1500" s="193" t="s">
        <v>1385</v>
      </c>
      <c r="T1500" s="197">
        <f t="shared" si="105"/>
        <v>360</v>
      </c>
      <c r="U1500" s="193" t="s">
        <v>1381</v>
      </c>
      <c r="V1500" s="193" t="s">
        <v>2098</v>
      </c>
    </row>
    <row r="1501" spans="2:22" ht="15" customHeight="1" x14ac:dyDescent="0.2">
      <c r="B1501" s="193">
        <v>1</v>
      </c>
      <c r="C1501" s="347" t="s">
        <v>3150</v>
      </c>
      <c r="D1501" s="347" t="str">
        <f t="shared" si="104"/>
        <v>RBDPL001256DA</v>
      </c>
      <c r="E1501" s="193" t="s">
        <v>938</v>
      </c>
      <c r="F1501" s="193"/>
      <c r="G1501" s="193"/>
      <c r="H1501" s="193" t="s">
        <v>111</v>
      </c>
      <c r="I1501" s="193" t="s">
        <v>3</v>
      </c>
      <c r="J1501" s="193" t="str">
        <f t="shared" si="106"/>
        <v>6 Roda</v>
      </c>
      <c r="K1501" s="194">
        <v>46162</v>
      </c>
      <c r="L1501" s="195">
        <v>4010</v>
      </c>
      <c r="M1501" s="195">
        <v>13520</v>
      </c>
      <c r="N1501" s="195">
        <v>9510</v>
      </c>
      <c r="O1501" s="195"/>
      <c r="P1501" s="196">
        <v>0.6118055555555556</v>
      </c>
      <c r="Q1501" s="196">
        <v>0.63541666666666663</v>
      </c>
      <c r="R1501" s="193" t="s">
        <v>42</v>
      </c>
      <c r="S1501" s="193" t="s">
        <v>1384</v>
      </c>
      <c r="T1501" s="197">
        <f t="shared" si="105"/>
        <v>360</v>
      </c>
      <c r="U1501" s="193" t="s">
        <v>1381</v>
      </c>
      <c r="V1501" s="193" t="s">
        <v>2098</v>
      </c>
    </row>
    <row r="1502" spans="2:22" ht="15" customHeight="1" x14ac:dyDescent="0.2">
      <c r="B1502" s="193">
        <v>1</v>
      </c>
      <c r="C1502" s="347" t="s">
        <v>3151</v>
      </c>
      <c r="D1502" s="347" t="str">
        <f t="shared" si="104"/>
        <v>RBDPL001255DA</v>
      </c>
      <c r="E1502" s="193" t="s">
        <v>183</v>
      </c>
      <c r="F1502" s="193"/>
      <c r="G1502" s="193"/>
      <c r="H1502" s="193" t="s">
        <v>111</v>
      </c>
      <c r="I1502" s="193" t="s">
        <v>3</v>
      </c>
      <c r="J1502" s="193" t="str">
        <f t="shared" si="106"/>
        <v>6 Roda</v>
      </c>
      <c r="K1502" s="194">
        <v>46162</v>
      </c>
      <c r="L1502" s="195">
        <v>4250</v>
      </c>
      <c r="M1502" s="195">
        <v>14330</v>
      </c>
      <c r="N1502" s="195">
        <v>10080</v>
      </c>
      <c r="O1502" s="195"/>
      <c r="P1502" s="196">
        <v>0.59375</v>
      </c>
      <c r="Q1502" s="196">
        <v>0.61527777777777781</v>
      </c>
      <c r="R1502" s="193" t="s">
        <v>42</v>
      </c>
      <c r="S1502" s="193" t="s">
        <v>1734</v>
      </c>
      <c r="T1502" s="197">
        <f t="shared" si="105"/>
        <v>360</v>
      </c>
      <c r="U1502" s="193" t="s">
        <v>175</v>
      </c>
      <c r="V1502" s="193" t="s">
        <v>2098</v>
      </c>
    </row>
    <row r="1503" spans="2:22" ht="15" customHeight="1" x14ac:dyDescent="0.2">
      <c r="B1503" s="193">
        <v>1</v>
      </c>
      <c r="C1503" s="347" t="s">
        <v>3152</v>
      </c>
      <c r="D1503" s="347" t="str">
        <f t="shared" si="104"/>
        <v>RBDPL001254DA</v>
      </c>
      <c r="E1503" s="193" t="s">
        <v>940</v>
      </c>
      <c r="F1503" s="193"/>
      <c r="G1503" s="193"/>
      <c r="H1503" s="193" t="s">
        <v>111</v>
      </c>
      <c r="I1503" s="193" t="s">
        <v>3</v>
      </c>
      <c r="J1503" s="193" t="str">
        <f t="shared" si="106"/>
        <v>6 Roda</v>
      </c>
      <c r="K1503" s="194">
        <v>46162</v>
      </c>
      <c r="L1503" s="195">
        <v>4060</v>
      </c>
      <c r="M1503" s="195">
        <v>13610</v>
      </c>
      <c r="N1503" s="195">
        <v>9550</v>
      </c>
      <c r="O1503" s="195"/>
      <c r="P1503" s="196">
        <v>0.57708333333333328</v>
      </c>
      <c r="Q1503" s="196">
        <v>0.60277777777777775</v>
      </c>
      <c r="R1503" s="193" t="s">
        <v>42</v>
      </c>
      <c r="S1503" s="193" t="s">
        <v>1383</v>
      </c>
      <c r="T1503" s="197">
        <f t="shared" si="105"/>
        <v>360</v>
      </c>
      <c r="U1503" s="193" t="s">
        <v>1381</v>
      </c>
      <c r="V1503" s="193" t="s">
        <v>2098</v>
      </c>
    </row>
    <row r="1504" spans="2:22" ht="15" customHeight="1" x14ac:dyDescent="0.2">
      <c r="B1504" s="193">
        <v>1</v>
      </c>
      <c r="C1504" s="347" t="s">
        <v>3153</v>
      </c>
      <c r="D1504" s="347" t="str">
        <f t="shared" si="104"/>
        <v>RBDPL001259DA</v>
      </c>
      <c r="E1504" s="193" t="s">
        <v>169</v>
      </c>
      <c r="F1504" s="193"/>
      <c r="G1504" s="193"/>
      <c r="H1504" s="193" t="s">
        <v>111</v>
      </c>
      <c r="I1504" s="193" t="s">
        <v>3</v>
      </c>
      <c r="J1504" s="193" t="str">
        <f t="shared" si="106"/>
        <v>6 Roda</v>
      </c>
      <c r="K1504" s="194">
        <v>46162</v>
      </c>
      <c r="L1504" s="195">
        <v>4020</v>
      </c>
      <c r="M1504" s="195">
        <v>13520</v>
      </c>
      <c r="N1504" s="195">
        <v>9500</v>
      </c>
      <c r="O1504" s="195"/>
      <c r="P1504" s="196">
        <v>0.65069444444444446</v>
      </c>
      <c r="Q1504" s="196">
        <v>0.67013888888888884</v>
      </c>
      <c r="R1504" s="193" t="s">
        <v>42</v>
      </c>
      <c r="S1504" s="193" t="s">
        <v>3163</v>
      </c>
      <c r="T1504" s="197">
        <f t="shared" si="105"/>
        <v>360</v>
      </c>
      <c r="U1504" s="193" t="s">
        <v>175</v>
      </c>
      <c r="V1504" s="193" t="s">
        <v>2098</v>
      </c>
    </row>
    <row r="1505" spans="2:22" ht="15" customHeight="1" x14ac:dyDescent="0.2">
      <c r="B1505" s="193">
        <v>1</v>
      </c>
      <c r="C1505" s="347" t="s">
        <v>3154</v>
      </c>
      <c r="D1505" s="347" t="str">
        <f t="shared" si="104"/>
        <v>RBDPL001261DA</v>
      </c>
      <c r="E1505" s="193" t="s">
        <v>151</v>
      </c>
      <c r="F1505" s="193"/>
      <c r="G1505" s="193"/>
      <c r="H1505" s="193" t="s">
        <v>111</v>
      </c>
      <c r="I1505" s="193" t="s">
        <v>3</v>
      </c>
      <c r="J1505" s="193" t="str">
        <f t="shared" si="106"/>
        <v>6 Roda</v>
      </c>
      <c r="K1505" s="194">
        <v>46162</v>
      </c>
      <c r="L1505" s="195">
        <v>4180</v>
      </c>
      <c r="M1505" s="195">
        <v>13630</v>
      </c>
      <c r="N1505" s="195">
        <v>9450</v>
      </c>
      <c r="O1505" s="195"/>
      <c r="P1505" s="196">
        <v>0.7319444444444444</v>
      </c>
      <c r="Q1505" s="196">
        <v>0.75694444444444453</v>
      </c>
      <c r="R1505" s="193" t="s">
        <v>137</v>
      </c>
      <c r="S1505" s="193" t="s">
        <v>1388</v>
      </c>
      <c r="T1505" s="197">
        <f t="shared" si="105"/>
        <v>360</v>
      </c>
      <c r="U1505" s="193" t="s">
        <v>175</v>
      </c>
      <c r="V1505" s="193" t="s">
        <v>2098</v>
      </c>
    </row>
    <row r="1506" spans="2:22" ht="15" customHeight="1" x14ac:dyDescent="0.2">
      <c r="B1506" s="193">
        <v>1</v>
      </c>
      <c r="C1506" s="347" t="s">
        <v>3155</v>
      </c>
      <c r="D1506" s="347" t="str">
        <f t="shared" si="104"/>
        <v>RBDPL001258SCM</v>
      </c>
      <c r="E1506" s="193" t="s">
        <v>2090</v>
      </c>
      <c r="F1506" s="193"/>
      <c r="G1506" s="193"/>
      <c r="H1506" s="193" t="s">
        <v>107</v>
      </c>
      <c r="I1506" s="193" t="s">
        <v>3</v>
      </c>
      <c r="J1506" s="193" t="str">
        <f t="shared" si="106"/>
        <v>6 Roda</v>
      </c>
      <c r="K1506" s="194">
        <v>46162</v>
      </c>
      <c r="L1506" s="195">
        <v>4170</v>
      </c>
      <c r="M1506" s="195">
        <v>13920</v>
      </c>
      <c r="N1506" s="195">
        <v>9750</v>
      </c>
      <c r="O1506" s="195"/>
      <c r="P1506" s="196">
        <v>0.62916666666666665</v>
      </c>
      <c r="Q1506" s="196">
        <v>0.65138888888888891</v>
      </c>
      <c r="R1506" s="193" t="s">
        <v>42</v>
      </c>
      <c r="S1506" s="193" t="s">
        <v>2094</v>
      </c>
      <c r="T1506" s="197">
        <f t="shared" si="105"/>
        <v>400</v>
      </c>
      <c r="U1506" s="193" t="s">
        <v>175</v>
      </c>
      <c r="V1506" s="193" t="s">
        <v>2098</v>
      </c>
    </row>
    <row r="1507" spans="2:22" ht="15" customHeight="1" x14ac:dyDescent="0.2">
      <c r="B1507" s="193">
        <v>1</v>
      </c>
      <c r="C1507" s="347" t="s">
        <v>3156</v>
      </c>
      <c r="D1507" s="347" t="str">
        <f t="shared" si="104"/>
        <v>RBDPL001253SCM</v>
      </c>
      <c r="E1507" s="193" t="s">
        <v>1023</v>
      </c>
      <c r="F1507" s="193"/>
      <c r="G1507" s="193"/>
      <c r="H1507" s="193" t="s">
        <v>107</v>
      </c>
      <c r="I1507" s="193" t="s">
        <v>3</v>
      </c>
      <c r="J1507" s="193" t="str">
        <f t="shared" si="106"/>
        <v>6 Roda</v>
      </c>
      <c r="K1507" s="194">
        <v>46162</v>
      </c>
      <c r="L1507" s="195">
        <v>4230</v>
      </c>
      <c r="M1507" s="195">
        <v>13850</v>
      </c>
      <c r="N1507" s="195">
        <v>9620</v>
      </c>
      <c r="O1507" s="195"/>
      <c r="P1507" s="196">
        <v>0.56597222222222221</v>
      </c>
      <c r="Q1507" s="196">
        <v>0.59097222222222223</v>
      </c>
      <c r="R1507" s="193" t="s">
        <v>42</v>
      </c>
      <c r="S1507" s="193" t="s">
        <v>2132</v>
      </c>
      <c r="T1507" s="197">
        <f t="shared" si="105"/>
        <v>400</v>
      </c>
      <c r="U1507" s="193" t="s">
        <v>175</v>
      </c>
      <c r="V1507" s="193" t="s">
        <v>2098</v>
      </c>
    </row>
    <row r="1508" spans="2:22" ht="15" customHeight="1" x14ac:dyDescent="0.2">
      <c r="B1508" s="193">
        <v>1</v>
      </c>
      <c r="C1508" s="347" t="s">
        <v>3157</v>
      </c>
      <c r="D1508" s="347" t="str">
        <f t="shared" si="104"/>
        <v>RBDPL001252BJL</v>
      </c>
      <c r="E1508" s="193" t="s">
        <v>3162</v>
      </c>
      <c r="F1508" s="193"/>
      <c r="G1508" s="193"/>
      <c r="H1508" s="193" t="s">
        <v>86</v>
      </c>
      <c r="I1508" s="193" t="s">
        <v>3</v>
      </c>
      <c r="J1508" s="193" t="str">
        <f t="shared" si="106"/>
        <v>6 Roda</v>
      </c>
      <c r="K1508" s="194">
        <v>46162</v>
      </c>
      <c r="L1508" s="195">
        <v>3810</v>
      </c>
      <c r="M1508" s="195">
        <v>13140</v>
      </c>
      <c r="N1508" s="195">
        <v>9330</v>
      </c>
      <c r="O1508" s="195"/>
      <c r="P1508" s="196">
        <v>0.56319444444444444</v>
      </c>
      <c r="Q1508" s="196">
        <v>0.5854166666666667</v>
      </c>
      <c r="R1508" s="193" t="s">
        <v>42</v>
      </c>
      <c r="S1508" s="193" t="s">
        <v>2037</v>
      </c>
      <c r="T1508" s="197">
        <f t="shared" si="105"/>
        <v>562</v>
      </c>
      <c r="U1508" s="193" t="s">
        <v>175</v>
      </c>
      <c r="V1508" s="193" t="s">
        <v>2099</v>
      </c>
    </row>
    <row r="1509" spans="2:22" ht="15" customHeight="1" x14ac:dyDescent="0.2">
      <c r="B1509" s="193">
        <v>1</v>
      </c>
      <c r="C1509" s="347" t="s">
        <v>3158</v>
      </c>
      <c r="D1509" s="347" t="str">
        <f t="shared" si="104"/>
        <v>RBDPL001251BJL</v>
      </c>
      <c r="E1509" s="193" t="s">
        <v>1567</v>
      </c>
      <c r="F1509" s="193"/>
      <c r="G1509" s="193"/>
      <c r="H1509" s="193" t="s">
        <v>86</v>
      </c>
      <c r="I1509" s="193" t="s">
        <v>3</v>
      </c>
      <c r="J1509" s="193" t="str">
        <f t="shared" si="106"/>
        <v>6 Roda</v>
      </c>
      <c r="K1509" s="194">
        <v>46162</v>
      </c>
      <c r="L1509" s="195">
        <v>3890</v>
      </c>
      <c r="M1509" s="195">
        <v>13210</v>
      </c>
      <c r="N1509" s="195">
        <v>9320</v>
      </c>
      <c r="O1509" s="195"/>
      <c r="P1509" s="196">
        <v>0.3979166666666667</v>
      </c>
      <c r="Q1509" s="196">
        <v>0.4465277777777778</v>
      </c>
      <c r="R1509" s="193" t="s">
        <v>42</v>
      </c>
      <c r="S1509" s="193" t="s">
        <v>1634</v>
      </c>
      <c r="T1509" s="197">
        <f t="shared" si="105"/>
        <v>562</v>
      </c>
      <c r="U1509" s="193" t="s">
        <v>175</v>
      </c>
      <c r="V1509" s="193" t="s">
        <v>2099</v>
      </c>
    </row>
    <row r="1510" spans="2:22" ht="15" customHeight="1" x14ac:dyDescent="0.2">
      <c r="B1510" s="193">
        <v>1</v>
      </c>
      <c r="C1510" s="347" t="s">
        <v>3159</v>
      </c>
      <c r="D1510" s="347" t="str">
        <f t="shared" si="104"/>
        <v>RBDPL001250BJL</v>
      </c>
      <c r="E1510" s="193" t="s">
        <v>174</v>
      </c>
      <c r="F1510" s="193"/>
      <c r="G1510" s="193"/>
      <c r="H1510" s="193" t="s">
        <v>86</v>
      </c>
      <c r="I1510" s="193" t="s">
        <v>3</v>
      </c>
      <c r="J1510" s="193" t="str">
        <f t="shared" si="106"/>
        <v>6 Roda</v>
      </c>
      <c r="K1510" s="194">
        <v>46162</v>
      </c>
      <c r="L1510" s="195">
        <v>4510</v>
      </c>
      <c r="M1510" s="195">
        <v>13680</v>
      </c>
      <c r="N1510" s="195">
        <v>9170</v>
      </c>
      <c r="O1510" s="195"/>
      <c r="P1510" s="196">
        <v>0.39652777777777781</v>
      </c>
      <c r="Q1510" s="196">
        <v>0.44027777777777777</v>
      </c>
      <c r="R1510" s="193" t="s">
        <v>42</v>
      </c>
      <c r="S1510" s="193" t="s">
        <v>2029</v>
      </c>
      <c r="T1510" s="197">
        <f t="shared" si="105"/>
        <v>562</v>
      </c>
      <c r="U1510" s="193" t="s">
        <v>175</v>
      </c>
      <c r="V1510" s="193" t="s">
        <v>2099</v>
      </c>
    </row>
    <row r="1511" spans="2:22" ht="15" customHeight="1" x14ac:dyDescent="0.2">
      <c r="B1511" s="193">
        <v>1</v>
      </c>
      <c r="C1511" s="347" t="s">
        <v>3160</v>
      </c>
      <c r="D1511" s="347" t="str">
        <f t="shared" si="104"/>
        <v>RBDPL001260PUP</v>
      </c>
      <c r="E1511" s="193" t="s">
        <v>46</v>
      </c>
      <c r="F1511" s="193"/>
      <c r="G1511" s="193"/>
      <c r="H1511" s="193" t="s">
        <v>1590</v>
      </c>
      <c r="I1511" s="193" t="s">
        <v>3</v>
      </c>
      <c r="J1511" s="193" t="str">
        <f t="shared" si="106"/>
        <v>10 Roda</v>
      </c>
      <c r="K1511" s="194">
        <v>46162</v>
      </c>
      <c r="L1511" s="195">
        <v>11840</v>
      </c>
      <c r="M1511" s="195">
        <v>26920</v>
      </c>
      <c r="N1511" s="195">
        <v>15080</v>
      </c>
      <c r="O1511" s="195"/>
      <c r="P1511" s="196">
        <v>0.69513888888888886</v>
      </c>
      <c r="Q1511" s="196">
        <v>0.72291666666666676</v>
      </c>
      <c r="R1511" s="193" t="s">
        <v>137</v>
      </c>
      <c r="S1511" s="193" t="s">
        <v>1393</v>
      </c>
      <c r="T1511" s="197">
        <f t="shared" si="105"/>
        <v>642</v>
      </c>
      <c r="U1511" s="193" t="s">
        <v>69</v>
      </c>
      <c r="V1511" s="193" t="s">
        <v>2101</v>
      </c>
    </row>
    <row r="1512" spans="2:22" ht="15" customHeight="1" x14ac:dyDescent="0.2">
      <c r="B1512" s="193">
        <v>1</v>
      </c>
      <c r="C1512" s="347" t="s">
        <v>3169</v>
      </c>
      <c r="D1512" s="347" t="str">
        <f t="shared" si="104"/>
        <v>RBDPL001272DA</v>
      </c>
      <c r="E1512" s="193" t="s">
        <v>473</v>
      </c>
      <c r="F1512" s="193"/>
      <c r="G1512" s="193"/>
      <c r="H1512" s="193" t="s">
        <v>111</v>
      </c>
      <c r="I1512" s="193" t="s">
        <v>3</v>
      </c>
      <c r="J1512" s="193" t="s">
        <v>1132</v>
      </c>
      <c r="K1512" s="194">
        <v>46163</v>
      </c>
      <c r="L1512" s="195">
        <v>4380</v>
      </c>
      <c r="M1512" s="195">
        <v>14510</v>
      </c>
      <c r="N1512" s="195">
        <v>10130</v>
      </c>
      <c r="O1512" s="195"/>
      <c r="P1512" s="196">
        <v>0.64861111111111114</v>
      </c>
      <c r="Q1512" s="196">
        <v>0.67152777777777783</v>
      </c>
      <c r="R1512" s="193" t="s">
        <v>42</v>
      </c>
      <c r="S1512" s="193" t="s">
        <v>1474</v>
      </c>
      <c r="T1512" s="197">
        <f t="shared" si="105"/>
        <v>360</v>
      </c>
      <c r="U1512" s="193" t="s">
        <v>175</v>
      </c>
      <c r="V1512" s="193" t="s">
        <v>2098</v>
      </c>
    </row>
    <row r="1513" spans="2:22" ht="15" customHeight="1" x14ac:dyDescent="0.2">
      <c r="B1513" s="193">
        <v>1</v>
      </c>
      <c r="C1513" s="347" t="s">
        <v>3170</v>
      </c>
      <c r="D1513" s="347" t="str">
        <f t="shared" si="104"/>
        <v>RBDPL001271DA</v>
      </c>
      <c r="E1513" s="193" t="s">
        <v>181</v>
      </c>
      <c r="F1513" s="193"/>
      <c r="G1513" s="193"/>
      <c r="H1513" s="193" t="s">
        <v>111</v>
      </c>
      <c r="I1513" s="193" t="s">
        <v>3</v>
      </c>
      <c r="J1513" s="193" t="s">
        <v>1132</v>
      </c>
      <c r="K1513" s="194">
        <v>46163</v>
      </c>
      <c r="L1513" s="195">
        <v>4010</v>
      </c>
      <c r="M1513" s="195">
        <v>13650</v>
      </c>
      <c r="N1513" s="195">
        <v>9640</v>
      </c>
      <c r="O1513" s="195"/>
      <c r="P1513" s="196">
        <v>0.63194444444444442</v>
      </c>
      <c r="Q1513" s="196">
        <v>0.65902777777777777</v>
      </c>
      <c r="R1513" s="193" t="s">
        <v>42</v>
      </c>
      <c r="S1513" s="193" t="s">
        <v>2030</v>
      </c>
      <c r="T1513" s="197">
        <f t="shared" si="105"/>
        <v>360</v>
      </c>
      <c r="U1513" s="193" t="s">
        <v>175</v>
      </c>
      <c r="V1513" s="193" t="s">
        <v>2098</v>
      </c>
    </row>
    <row r="1514" spans="2:22" ht="15" customHeight="1" x14ac:dyDescent="0.2">
      <c r="B1514" s="193">
        <v>1</v>
      </c>
      <c r="C1514" s="347" t="s">
        <v>3171</v>
      </c>
      <c r="D1514" s="347" t="str">
        <f t="shared" si="104"/>
        <v>RBDPL001270DA</v>
      </c>
      <c r="E1514" s="193" t="s">
        <v>147</v>
      </c>
      <c r="F1514" s="193"/>
      <c r="G1514" s="193"/>
      <c r="H1514" s="193" t="s">
        <v>111</v>
      </c>
      <c r="I1514" s="193" t="s">
        <v>3</v>
      </c>
      <c r="J1514" s="193" t="s">
        <v>1132</v>
      </c>
      <c r="K1514" s="194">
        <v>46163</v>
      </c>
      <c r="L1514" s="195">
        <v>3960</v>
      </c>
      <c r="M1514" s="195">
        <v>14070</v>
      </c>
      <c r="N1514" s="195">
        <v>10110</v>
      </c>
      <c r="O1514" s="195"/>
      <c r="P1514" s="196">
        <v>0.60625000000000007</v>
      </c>
      <c r="Q1514" s="196">
        <v>0.64444444444444449</v>
      </c>
      <c r="R1514" s="193" t="s">
        <v>42</v>
      </c>
      <c r="S1514" s="193" t="s">
        <v>1373</v>
      </c>
      <c r="T1514" s="197">
        <f t="shared" si="105"/>
        <v>360</v>
      </c>
      <c r="U1514" s="193" t="s">
        <v>1381</v>
      </c>
      <c r="V1514" s="193" t="s">
        <v>2098</v>
      </c>
    </row>
    <row r="1515" spans="2:22" ht="15" customHeight="1" x14ac:dyDescent="0.2">
      <c r="B1515" s="193">
        <v>1</v>
      </c>
      <c r="C1515" s="347" t="s">
        <v>3172</v>
      </c>
      <c r="D1515" s="347" t="str">
        <f t="shared" si="104"/>
        <v>RBDPL001269DA</v>
      </c>
      <c r="E1515" s="193" t="s">
        <v>983</v>
      </c>
      <c r="F1515" s="193"/>
      <c r="G1515" s="193"/>
      <c r="H1515" s="193" t="s">
        <v>111</v>
      </c>
      <c r="I1515" s="193" t="s">
        <v>3</v>
      </c>
      <c r="J1515" s="193" t="s">
        <v>1132</v>
      </c>
      <c r="K1515" s="194">
        <v>46163</v>
      </c>
      <c r="L1515" s="195">
        <v>4060</v>
      </c>
      <c r="M1515" s="195">
        <v>13360</v>
      </c>
      <c r="N1515" s="195">
        <v>9300</v>
      </c>
      <c r="O1515" s="195"/>
      <c r="P1515" s="196">
        <v>0.59097222222222223</v>
      </c>
      <c r="Q1515" s="196">
        <v>0.62847222222222221</v>
      </c>
      <c r="R1515" s="193" t="s">
        <v>42</v>
      </c>
      <c r="S1515" s="193" t="s">
        <v>2034</v>
      </c>
      <c r="T1515" s="197">
        <f t="shared" si="105"/>
        <v>360</v>
      </c>
      <c r="U1515" s="193" t="s">
        <v>1381</v>
      </c>
      <c r="V1515" s="193" t="s">
        <v>2098</v>
      </c>
    </row>
    <row r="1516" spans="2:22" ht="15" customHeight="1" x14ac:dyDescent="0.2">
      <c r="B1516" s="193">
        <v>1</v>
      </c>
      <c r="C1516" s="347" t="s">
        <v>3173</v>
      </c>
      <c r="D1516" s="347" t="str">
        <f t="shared" si="104"/>
        <v>RBDPL001268DA</v>
      </c>
      <c r="E1516" s="193" t="s">
        <v>934</v>
      </c>
      <c r="F1516" s="193"/>
      <c r="G1516" s="193"/>
      <c r="H1516" s="193" t="s">
        <v>111</v>
      </c>
      <c r="I1516" s="193" t="s">
        <v>3</v>
      </c>
      <c r="J1516" s="193" t="s">
        <v>1132</v>
      </c>
      <c r="K1516" s="194">
        <v>46163</v>
      </c>
      <c r="L1516" s="195">
        <v>3910</v>
      </c>
      <c r="M1516" s="195">
        <v>13220</v>
      </c>
      <c r="N1516" s="195">
        <v>9310</v>
      </c>
      <c r="O1516" s="195"/>
      <c r="P1516" s="196">
        <v>0.58819444444444446</v>
      </c>
      <c r="Q1516" s="196">
        <v>0.61736111111111114</v>
      </c>
      <c r="R1516" s="193" t="s">
        <v>42</v>
      </c>
      <c r="S1516" s="193" t="s">
        <v>2033</v>
      </c>
      <c r="T1516" s="197">
        <f t="shared" si="105"/>
        <v>360</v>
      </c>
      <c r="U1516" s="193" t="s">
        <v>1381</v>
      </c>
      <c r="V1516" s="193" t="s">
        <v>2098</v>
      </c>
    </row>
    <row r="1517" spans="2:22" ht="15" customHeight="1" x14ac:dyDescent="0.2">
      <c r="B1517" s="193">
        <v>1</v>
      </c>
      <c r="C1517" s="347" t="s">
        <v>3174</v>
      </c>
      <c r="D1517" s="347" t="str">
        <f t="shared" si="104"/>
        <v>RBDPL001267SCM</v>
      </c>
      <c r="E1517" s="193" t="s">
        <v>236</v>
      </c>
      <c r="F1517" s="193"/>
      <c r="G1517" s="193"/>
      <c r="H1517" s="193" t="s">
        <v>107</v>
      </c>
      <c r="I1517" s="193" t="s">
        <v>3</v>
      </c>
      <c r="J1517" s="193" t="s">
        <v>1132</v>
      </c>
      <c r="K1517" s="194">
        <v>46163</v>
      </c>
      <c r="L1517" s="195">
        <v>4060</v>
      </c>
      <c r="M1517" s="195">
        <v>13100</v>
      </c>
      <c r="N1517" s="195">
        <v>9040</v>
      </c>
      <c r="O1517" s="195"/>
      <c r="P1517" s="196">
        <v>0.43124999999999997</v>
      </c>
      <c r="Q1517" s="196">
        <v>0.45069444444444445</v>
      </c>
      <c r="R1517" s="193" t="s">
        <v>42</v>
      </c>
      <c r="S1517" s="193" t="s">
        <v>1466</v>
      </c>
      <c r="T1517" s="197">
        <f t="shared" si="105"/>
        <v>400</v>
      </c>
      <c r="U1517" s="193" t="s">
        <v>175</v>
      </c>
      <c r="V1517" s="193" t="s">
        <v>2098</v>
      </c>
    </row>
    <row r="1518" spans="2:22" ht="15" customHeight="1" x14ac:dyDescent="0.2">
      <c r="B1518" s="193">
        <v>1</v>
      </c>
      <c r="C1518" s="347" t="s">
        <v>3175</v>
      </c>
      <c r="D1518" s="347" t="str">
        <f t="shared" si="104"/>
        <v>RBDPL001266SCM</v>
      </c>
      <c r="E1518" s="193" t="s">
        <v>1092</v>
      </c>
      <c r="F1518" s="193"/>
      <c r="G1518" s="193"/>
      <c r="H1518" s="193" t="s">
        <v>107</v>
      </c>
      <c r="I1518" s="193" t="s">
        <v>3</v>
      </c>
      <c r="J1518" s="193" t="s">
        <v>1132</v>
      </c>
      <c r="K1518" s="194">
        <v>46163</v>
      </c>
      <c r="L1518" s="195">
        <v>4140</v>
      </c>
      <c r="M1518" s="195">
        <v>13160</v>
      </c>
      <c r="N1518" s="195">
        <v>9020</v>
      </c>
      <c r="O1518" s="195"/>
      <c r="P1518" s="196">
        <v>0.41180555555555554</v>
      </c>
      <c r="Q1518" s="196">
        <v>0.43402777777777773</v>
      </c>
      <c r="R1518" s="193" t="s">
        <v>42</v>
      </c>
      <c r="S1518" s="193" t="s">
        <v>1737</v>
      </c>
      <c r="T1518" s="197">
        <f t="shared" si="105"/>
        <v>400</v>
      </c>
      <c r="U1518" s="193" t="s">
        <v>175</v>
      </c>
      <c r="V1518" s="193" t="s">
        <v>2098</v>
      </c>
    </row>
    <row r="1519" spans="2:22" ht="15" customHeight="1" x14ac:dyDescent="0.2">
      <c r="B1519" s="193">
        <v>1</v>
      </c>
      <c r="C1519" s="347" t="s">
        <v>3176</v>
      </c>
      <c r="D1519" s="347" t="str">
        <f t="shared" si="104"/>
        <v>RBDPL001277SCM</v>
      </c>
      <c r="E1519" s="193" t="s">
        <v>2092</v>
      </c>
      <c r="F1519" s="193"/>
      <c r="G1519" s="193"/>
      <c r="H1519" s="193" t="s">
        <v>107</v>
      </c>
      <c r="I1519" s="193" t="s">
        <v>3</v>
      </c>
      <c r="J1519" s="193" t="s">
        <v>1132</v>
      </c>
      <c r="K1519" s="194">
        <v>46164</v>
      </c>
      <c r="L1519" s="195">
        <v>4070</v>
      </c>
      <c r="M1519" s="195">
        <v>13370</v>
      </c>
      <c r="N1519" s="195">
        <v>9300</v>
      </c>
      <c r="O1519" s="195"/>
      <c r="P1519" s="196">
        <v>0.43055555555555558</v>
      </c>
      <c r="Q1519" s="196">
        <v>0.47430555555555554</v>
      </c>
      <c r="R1519" s="193" t="s">
        <v>42</v>
      </c>
      <c r="S1519" s="193" t="s">
        <v>2097</v>
      </c>
      <c r="T1519" s="197">
        <f t="shared" si="105"/>
        <v>400</v>
      </c>
      <c r="U1519" s="193" t="s">
        <v>175</v>
      </c>
      <c r="V1519" s="193" t="s">
        <v>2098</v>
      </c>
    </row>
    <row r="1520" spans="2:22" ht="15" customHeight="1" x14ac:dyDescent="0.2">
      <c r="B1520" s="193">
        <v>1</v>
      </c>
      <c r="C1520" s="347" t="s">
        <v>3177</v>
      </c>
      <c r="D1520" s="347" t="str">
        <f t="shared" si="104"/>
        <v>RBDPL001279SCM</v>
      </c>
      <c r="E1520" s="193" t="s">
        <v>3211</v>
      </c>
      <c r="F1520" s="193"/>
      <c r="G1520" s="193"/>
      <c r="H1520" s="193" t="s">
        <v>107</v>
      </c>
      <c r="I1520" s="193" t="s">
        <v>3</v>
      </c>
      <c r="J1520" s="193" t="s">
        <v>1132</v>
      </c>
      <c r="K1520" s="194">
        <v>46164</v>
      </c>
      <c r="L1520" s="195">
        <v>3780</v>
      </c>
      <c r="M1520" s="195">
        <v>13250</v>
      </c>
      <c r="N1520" s="195">
        <v>9470</v>
      </c>
      <c r="O1520" s="195"/>
      <c r="P1520" s="196">
        <v>0.57222222222222219</v>
      </c>
      <c r="Q1520" s="196">
        <v>0.59027777777777779</v>
      </c>
      <c r="R1520" s="193" t="s">
        <v>42</v>
      </c>
      <c r="S1520" s="193" t="s">
        <v>3214</v>
      </c>
      <c r="T1520" s="197">
        <f t="shared" si="105"/>
        <v>400</v>
      </c>
      <c r="U1520" s="193" t="s">
        <v>175</v>
      </c>
      <c r="V1520" s="193" t="s">
        <v>2098</v>
      </c>
    </row>
    <row r="1521" spans="2:22" ht="15" customHeight="1" x14ac:dyDescent="0.2">
      <c r="B1521" s="193">
        <v>1</v>
      </c>
      <c r="C1521" s="347" t="s">
        <v>3178</v>
      </c>
      <c r="D1521" s="347" t="str">
        <f t="shared" si="104"/>
        <v>RBDPL001280SCM</v>
      </c>
      <c r="E1521" s="193" t="s">
        <v>1092</v>
      </c>
      <c r="F1521" s="193"/>
      <c r="G1521" s="193"/>
      <c r="H1521" s="193" t="s">
        <v>107</v>
      </c>
      <c r="I1521" s="193" t="s">
        <v>3</v>
      </c>
      <c r="J1521" s="193" t="s">
        <v>1132</v>
      </c>
      <c r="K1521" s="194">
        <v>46164</v>
      </c>
      <c r="L1521" s="195">
        <v>4080</v>
      </c>
      <c r="M1521" s="195">
        <v>13150</v>
      </c>
      <c r="N1521" s="195">
        <v>9070</v>
      </c>
      <c r="O1521" s="195"/>
      <c r="P1521" s="196">
        <v>0.57361111111111118</v>
      </c>
      <c r="Q1521" s="196">
        <v>0.59583333333333333</v>
      </c>
      <c r="R1521" s="193" t="s">
        <v>42</v>
      </c>
      <c r="S1521" s="193" t="s">
        <v>1737</v>
      </c>
      <c r="T1521" s="197">
        <f t="shared" si="105"/>
        <v>400</v>
      </c>
      <c r="U1521" s="193" t="s">
        <v>175</v>
      </c>
      <c r="V1521" s="193" t="s">
        <v>2098</v>
      </c>
    </row>
    <row r="1522" spans="2:22" ht="15" customHeight="1" x14ac:dyDescent="0.2">
      <c r="B1522" s="193">
        <v>1</v>
      </c>
      <c r="C1522" s="347" t="s">
        <v>3179</v>
      </c>
      <c r="D1522" s="347" t="str">
        <f t="shared" si="104"/>
        <v>RBDPL001281SCM</v>
      </c>
      <c r="E1522" s="193" t="s">
        <v>169</v>
      </c>
      <c r="F1522" s="193"/>
      <c r="G1522" s="193"/>
      <c r="H1522" s="193" t="s">
        <v>107</v>
      </c>
      <c r="I1522" s="193" t="s">
        <v>3</v>
      </c>
      <c r="J1522" s="193" t="s">
        <v>1132</v>
      </c>
      <c r="K1522" s="194">
        <v>46164</v>
      </c>
      <c r="L1522" s="195">
        <v>4020</v>
      </c>
      <c r="M1522" s="195">
        <v>13540</v>
      </c>
      <c r="N1522" s="195">
        <v>9520</v>
      </c>
      <c r="O1522" s="195"/>
      <c r="P1522" s="196">
        <v>0.57430555555555551</v>
      </c>
      <c r="Q1522" s="196">
        <v>0.61041666666666672</v>
      </c>
      <c r="R1522" s="193" t="s">
        <v>42</v>
      </c>
      <c r="S1522" s="193" t="s">
        <v>1378</v>
      </c>
      <c r="T1522" s="197">
        <f t="shared" si="105"/>
        <v>400</v>
      </c>
      <c r="U1522" s="193" t="s">
        <v>175</v>
      </c>
      <c r="V1522" s="193" t="s">
        <v>2098</v>
      </c>
    </row>
    <row r="1523" spans="2:22" ht="15" customHeight="1" x14ac:dyDescent="0.2">
      <c r="B1523" s="193">
        <v>1</v>
      </c>
      <c r="C1523" s="347" t="s">
        <v>3180</v>
      </c>
      <c r="D1523" s="347" t="str">
        <f t="shared" si="104"/>
        <v>RBDPL001283SCM</v>
      </c>
      <c r="E1523" s="193" t="s">
        <v>2017</v>
      </c>
      <c r="F1523" s="193"/>
      <c r="G1523" s="193"/>
      <c r="H1523" s="193" t="s">
        <v>107</v>
      </c>
      <c r="I1523" s="193" t="s">
        <v>3</v>
      </c>
      <c r="J1523" s="193" t="s">
        <v>1132</v>
      </c>
      <c r="K1523" s="194">
        <v>46164</v>
      </c>
      <c r="L1523" s="195">
        <v>4100</v>
      </c>
      <c r="M1523" s="195">
        <v>13260</v>
      </c>
      <c r="N1523" s="195">
        <v>9160</v>
      </c>
      <c r="O1523" s="195"/>
      <c r="P1523" s="196">
        <v>0.67847222222222225</v>
      </c>
      <c r="Q1523" s="196">
        <v>0.69652777777777775</v>
      </c>
      <c r="R1523" s="193" t="s">
        <v>137</v>
      </c>
      <c r="S1523" s="193" t="s">
        <v>1618</v>
      </c>
      <c r="T1523" s="197">
        <f t="shared" si="105"/>
        <v>400</v>
      </c>
      <c r="U1523" s="193" t="s">
        <v>175</v>
      </c>
      <c r="V1523" s="193" t="s">
        <v>2098</v>
      </c>
    </row>
    <row r="1524" spans="2:22" ht="15" customHeight="1" x14ac:dyDescent="0.2">
      <c r="B1524" s="193">
        <v>1</v>
      </c>
      <c r="C1524" s="347" t="s">
        <v>3181</v>
      </c>
      <c r="D1524" s="347" t="str">
        <f t="shared" si="104"/>
        <v>RBDPL001284SCM</v>
      </c>
      <c r="E1524" s="193" t="s">
        <v>2090</v>
      </c>
      <c r="F1524" s="193"/>
      <c r="G1524" s="193"/>
      <c r="H1524" s="193" t="s">
        <v>107</v>
      </c>
      <c r="I1524" s="193" t="s">
        <v>3</v>
      </c>
      <c r="J1524" s="193" t="s">
        <v>1132</v>
      </c>
      <c r="K1524" s="194">
        <v>46164</v>
      </c>
      <c r="L1524" s="195">
        <v>4120</v>
      </c>
      <c r="M1524" s="195">
        <v>13880</v>
      </c>
      <c r="N1524" s="195">
        <v>9760</v>
      </c>
      <c r="O1524" s="195"/>
      <c r="P1524" s="196">
        <v>0.68333333333333324</v>
      </c>
      <c r="Q1524" s="196">
        <v>0.70833333333333337</v>
      </c>
      <c r="R1524" s="193" t="s">
        <v>137</v>
      </c>
      <c r="S1524" s="193" t="s">
        <v>2094</v>
      </c>
      <c r="T1524" s="197">
        <f t="shared" si="105"/>
        <v>400</v>
      </c>
      <c r="U1524" s="193" t="s">
        <v>175</v>
      </c>
      <c r="V1524" s="193" t="s">
        <v>2098</v>
      </c>
    </row>
    <row r="1525" spans="2:22" ht="15" customHeight="1" x14ac:dyDescent="0.2">
      <c r="B1525" s="193">
        <v>1</v>
      </c>
      <c r="C1525" s="347" t="s">
        <v>3182</v>
      </c>
      <c r="D1525" s="347" t="str">
        <f t="shared" si="104"/>
        <v>RBDPL001275DA</v>
      </c>
      <c r="E1525" s="193" t="s">
        <v>2090</v>
      </c>
      <c r="F1525" s="193"/>
      <c r="G1525" s="193"/>
      <c r="H1525" s="193" t="s">
        <v>111</v>
      </c>
      <c r="I1525" s="193" t="s">
        <v>3</v>
      </c>
      <c r="J1525" s="193" t="s">
        <v>1132</v>
      </c>
      <c r="K1525" s="194">
        <v>46164</v>
      </c>
      <c r="L1525" s="195">
        <v>4110</v>
      </c>
      <c r="M1525" s="195">
        <v>13880</v>
      </c>
      <c r="N1525" s="195">
        <v>9770</v>
      </c>
      <c r="O1525" s="195"/>
      <c r="P1525" s="196">
        <v>0.41944444444444445</v>
      </c>
      <c r="Q1525" s="196">
        <v>0.44791666666666669</v>
      </c>
      <c r="R1525" s="193" t="s">
        <v>42</v>
      </c>
      <c r="S1525" s="193" t="s">
        <v>2094</v>
      </c>
      <c r="T1525" s="197">
        <f t="shared" si="105"/>
        <v>360</v>
      </c>
      <c r="U1525" s="193" t="s">
        <v>175</v>
      </c>
      <c r="V1525" s="193" t="s">
        <v>2098</v>
      </c>
    </row>
    <row r="1526" spans="2:22" ht="15" customHeight="1" x14ac:dyDescent="0.2">
      <c r="B1526" s="193">
        <v>1</v>
      </c>
      <c r="C1526" s="347" t="s">
        <v>3183</v>
      </c>
      <c r="D1526" s="347" t="str">
        <f t="shared" si="104"/>
        <v>RBDPL001276DA</v>
      </c>
      <c r="E1526" s="193" t="s">
        <v>2088</v>
      </c>
      <c r="F1526" s="193"/>
      <c r="G1526" s="193"/>
      <c r="H1526" s="193" t="s">
        <v>111</v>
      </c>
      <c r="I1526" s="193" t="s">
        <v>3</v>
      </c>
      <c r="J1526" s="193" t="s">
        <v>1132</v>
      </c>
      <c r="K1526" s="194">
        <v>46164</v>
      </c>
      <c r="L1526" s="195">
        <v>3930</v>
      </c>
      <c r="M1526" s="195">
        <v>13270</v>
      </c>
      <c r="N1526" s="195">
        <v>9340</v>
      </c>
      <c r="O1526" s="195"/>
      <c r="P1526" s="196">
        <v>0.4291666666666667</v>
      </c>
      <c r="Q1526" s="196">
        <v>0.46388888888888885</v>
      </c>
      <c r="R1526" s="193" t="s">
        <v>42</v>
      </c>
      <c r="S1526" s="193" t="s">
        <v>2095</v>
      </c>
      <c r="T1526" s="197">
        <f t="shared" si="105"/>
        <v>360</v>
      </c>
      <c r="U1526" s="193" t="s">
        <v>175</v>
      </c>
      <c r="V1526" s="193" t="s">
        <v>2098</v>
      </c>
    </row>
    <row r="1527" spans="2:22" ht="15" customHeight="1" x14ac:dyDescent="0.2">
      <c r="B1527" s="193">
        <v>1</v>
      </c>
      <c r="C1527" s="347" t="s">
        <v>3184</v>
      </c>
      <c r="D1527" s="347" t="str">
        <f t="shared" si="104"/>
        <v>RBDPL001285DA</v>
      </c>
      <c r="E1527" s="193" t="s">
        <v>940</v>
      </c>
      <c r="F1527" s="193"/>
      <c r="G1527" s="193"/>
      <c r="H1527" s="193" t="s">
        <v>111</v>
      </c>
      <c r="I1527" s="193" t="s">
        <v>3</v>
      </c>
      <c r="J1527" s="193" t="s">
        <v>1132</v>
      </c>
      <c r="K1527" s="194">
        <v>46164</v>
      </c>
      <c r="L1527" s="195">
        <v>4020</v>
      </c>
      <c r="M1527" s="195">
        <v>13540</v>
      </c>
      <c r="N1527" s="195">
        <v>9520</v>
      </c>
      <c r="O1527" s="195"/>
      <c r="P1527" s="196">
        <v>0.70000000000000007</v>
      </c>
      <c r="Q1527" s="196">
        <v>0.72361111111111109</v>
      </c>
      <c r="R1527" s="193" t="s">
        <v>137</v>
      </c>
      <c r="S1527" s="193" t="s">
        <v>1383</v>
      </c>
      <c r="T1527" s="197">
        <f t="shared" si="105"/>
        <v>360</v>
      </c>
      <c r="U1527" s="193" t="s">
        <v>1381</v>
      </c>
      <c r="V1527" s="193" t="s">
        <v>2098</v>
      </c>
    </row>
    <row r="1528" spans="2:22" ht="15" customHeight="1" x14ac:dyDescent="0.2">
      <c r="B1528" s="193">
        <v>1</v>
      </c>
      <c r="C1528" s="347" t="s">
        <v>3185</v>
      </c>
      <c r="D1528" s="347" t="str">
        <f t="shared" si="104"/>
        <v>RBDPL001286DA</v>
      </c>
      <c r="E1528" s="193" t="s">
        <v>936</v>
      </c>
      <c r="F1528" s="193"/>
      <c r="G1528" s="193"/>
      <c r="H1528" s="193" t="s">
        <v>111</v>
      </c>
      <c r="I1528" s="193" t="s">
        <v>3</v>
      </c>
      <c r="J1528" s="193" t="s">
        <v>1132</v>
      </c>
      <c r="K1528" s="194">
        <v>46164</v>
      </c>
      <c r="L1528" s="195">
        <v>4260</v>
      </c>
      <c r="M1528" s="195">
        <v>14390</v>
      </c>
      <c r="N1528" s="195">
        <v>10130</v>
      </c>
      <c r="O1528" s="195"/>
      <c r="P1528" s="196">
        <v>0.72222222222222221</v>
      </c>
      <c r="Q1528" s="196">
        <v>0.74097222222222225</v>
      </c>
      <c r="R1528" s="193" t="s">
        <v>137</v>
      </c>
      <c r="S1528" s="193" t="s">
        <v>1385</v>
      </c>
      <c r="T1528" s="197">
        <f t="shared" si="105"/>
        <v>360</v>
      </c>
      <c r="U1528" s="193" t="s">
        <v>1381</v>
      </c>
      <c r="V1528" s="193" t="s">
        <v>2098</v>
      </c>
    </row>
    <row r="1529" spans="2:22" ht="15" customHeight="1" x14ac:dyDescent="0.2">
      <c r="B1529" s="193">
        <v>1</v>
      </c>
      <c r="C1529" s="347" t="s">
        <v>3186</v>
      </c>
      <c r="D1529" s="347" t="str">
        <f t="shared" si="104"/>
        <v>RBDPL001274BJL</v>
      </c>
      <c r="E1529" s="193" t="s">
        <v>1631</v>
      </c>
      <c r="F1529" s="193"/>
      <c r="G1529" s="193"/>
      <c r="H1529" s="193" t="s">
        <v>86</v>
      </c>
      <c r="I1529" s="193" t="s">
        <v>3</v>
      </c>
      <c r="J1529" s="193" t="s">
        <v>1132</v>
      </c>
      <c r="K1529" s="194">
        <v>46164</v>
      </c>
      <c r="L1529" s="195">
        <v>4160</v>
      </c>
      <c r="M1529" s="195">
        <v>13540</v>
      </c>
      <c r="N1529" s="195">
        <v>9380</v>
      </c>
      <c r="O1529" s="195"/>
      <c r="P1529" s="196">
        <v>0.37013888888888885</v>
      </c>
      <c r="Q1529" s="196">
        <v>0.40486111111111112</v>
      </c>
      <c r="R1529" s="193" t="s">
        <v>42</v>
      </c>
      <c r="S1529" s="193" t="s">
        <v>1633</v>
      </c>
      <c r="T1529" s="197">
        <f t="shared" si="105"/>
        <v>562</v>
      </c>
      <c r="U1529" s="193" t="s">
        <v>175</v>
      </c>
      <c r="V1529" s="193" t="s">
        <v>2099</v>
      </c>
    </row>
    <row r="1530" spans="2:22" ht="15" customHeight="1" x14ac:dyDescent="0.2">
      <c r="B1530" s="193">
        <v>1</v>
      </c>
      <c r="C1530" s="347" t="s">
        <v>3187</v>
      </c>
      <c r="D1530" s="347" t="str">
        <f t="shared" si="104"/>
        <v>RBDPL001278BJL</v>
      </c>
      <c r="E1530" s="193" t="s">
        <v>174</v>
      </c>
      <c r="F1530" s="193"/>
      <c r="G1530" s="193"/>
      <c r="H1530" s="193" t="s">
        <v>86</v>
      </c>
      <c r="I1530" s="193" t="s">
        <v>3</v>
      </c>
      <c r="J1530" s="193" t="s">
        <v>1132</v>
      </c>
      <c r="K1530" s="194">
        <v>46164</v>
      </c>
      <c r="L1530" s="195">
        <v>4410</v>
      </c>
      <c r="M1530" s="195">
        <v>13590</v>
      </c>
      <c r="N1530" s="195">
        <v>9180</v>
      </c>
      <c r="O1530" s="195"/>
      <c r="P1530" s="196">
        <v>0.4694444444444445</v>
      </c>
      <c r="Q1530" s="196">
        <v>0.48680555555555555</v>
      </c>
      <c r="R1530" s="193" t="s">
        <v>42</v>
      </c>
      <c r="S1530" s="193" t="s">
        <v>2029</v>
      </c>
      <c r="T1530" s="197">
        <f t="shared" si="105"/>
        <v>562</v>
      </c>
      <c r="U1530" s="193" t="s">
        <v>175</v>
      </c>
      <c r="V1530" s="193" t="s">
        <v>2099</v>
      </c>
    </row>
    <row r="1531" spans="2:22" ht="15" customHeight="1" x14ac:dyDescent="0.2">
      <c r="B1531" s="193">
        <v>1</v>
      </c>
      <c r="C1531" s="347" t="s">
        <v>3188</v>
      </c>
      <c r="D1531" s="347" t="str">
        <f t="shared" si="104"/>
        <v>RBDPL001282BJL</v>
      </c>
      <c r="E1531" s="193" t="s">
        <v>1515</v>
      </c>
      <c r="F1531" s="193"/>
      <c r="G1531" s="193"/>
      <c r="H1531" s="193" t="s">
        <v>86</v>
      </c>
      <c r="I1531" s="193" t="s">
        <v>3</v>
      </c>
      <c r="J1531" s="193" t="s">
        <v>1132</v>
      </c>
      <c r="K1531" s="194">
        <v>46164</v>
      </c>
      <c r="L1531" s="195">
        <v>4030</v>
      </c>
      <c r="M1531" s="195">
        <v>13750</v>
      </c>
      <c r="N1531" s="195">
        <v>9720</v>
      </c>
      <c r="O1531" s="195"/>
      <c r="P1531" s="196">
        <v>0.59375</v>
      </c>
      <c r="Q1531" s="196">
        <v>0.62708333333333333</v>
      </c>
      <c r="R1531" s="193" t="s">
        <v>42</v>
      </c>
      <c r="S1531" s="193" t="s">
        <v>1520</v>
      </c>
      <c r="T1531" s="197">
        <f t="shared" si="105"/>
        <v>562</v>
      </c>
      <c r="U1531" s="193" t="s">
        <v>175</v>
      </c>
      <c r="V1531" s="193" t="s">
        <v>2099</v>
      </c>
    </row>
    <row r="1532" spans="2:22" ht="15" customHeight="1" x14ac:dyDescent="0.2">
      <c r="B1532" s="193">
        <v>1</v>
      </c>
      <c r="C1532" s="347" t="s">
        <v>3189</v>
      </c>
      <c r="D1532" s="347" t="str">
        <f t="shared" si="104"/>
        <v>RBDPL001298SCM</v>
      </c>
      <c r="E1532" s="193" t="s">
        <v>2088</v>
      </c>
      <c r="F1532" s="193"/>
      <c r="G1532" s="193"/>
      <c r="H1532" s="193" t="s">
        <v>107</v>
      </c>
      <c r="I1532" s="193" t="s">
        <v>3</v>
      </c>
      <c r="J1532" s="193" t="s">
        <v>1132</v>
      </c>
      <c r="K1532" s="194">
        <v>46165</v>
      </c>
      <c r="L1532" s="195">
        <v>3920</v>
      </c>
      <c r="M1532" s="195">
        <v>13240</v>
      </c>
      <c r="N1532" s="195">
        <v>9320</v>
      </c>
      <c r="O1532" s="195"/>
      <c r="P1532" s="196">
        <v>0.72986111111111107</v>
      </c>
      <c r="Q1532" s="196">
        <v>0.75694444444444453</v>
      </c>
      <c r="R1532" s="193" t="s">
        <v>137</v>
      </c>
      <c r="S1532" s="193" t="s">
        <v>2095</v>
      </c>
      <c r="T1532" s="197">
        <f t="shared" si="105"/>
        <v>400</v>
      </c>
      <c r="U1532" s="193" t="s">
        <v>175</v>
      </c>
      <c r="V1532" s="193" t="s">
        <v>2098</v>
      </c>
    </row>
    <row r="1533" spans="2:22" ht="15" customHeight="1" x14ac:dyDescent="0.2">
      <c r="B1533" s="193">
        <v>1</v>
      </c>
      <c r="C1533" s="347" t="s">
        <v>3190</v>
      </c>
      <c r="D1533" s="347" t="str">
        <f t="shared" si="104"/>
        <v>RBDPL001299SCM</v>
      </c>
      <c r="E1533" s="193" t="s">
        <v>835</v>
      </c>
      <c r="F1533" s="193"/>
      <c r="G1533" s="193"/>
      <c r="H1533" s="193" t="s">
        <v>107</v>
      </c>
      <c r="I1533" s="193" t="s">
        <v>3</v>
      </c>
      <c r="J1533" s="193" t="s">
        <v>1132</v>
      </c>
      <c r="K1533" s="194">
        <v>46165</v>
      </c>
      <c r="L1533" s="195">
        <v>3900</v>
      </c>
      <c r="M1533" s="195">
        <v>13330</v>
      </c>
      <c r="N1533" s="195">
        <v>9430</v>
      </c>
      <c r="O1533" s="195"/>
      <c r="P1533" s="196">
        <v>0.73263888888888884</v>
      </c>
      <c r="Q1533" s="196">
        <v>0.77013888888888893</v>
      </c>
      <c r="R1533" s="193" t="s">
        <v>137</v>
      </c>
      <c r="S1533" s="193" t="s">
        <v>2038</v>
      </c>
      <c r="T1533" s="197">
        <f t="shared" si="105"/>
        <v>400</v>
      </c>
      <c r="U1533" s="193" t="s">
        <v>175</v>
      </c>
      <c r="V1533" s="193" t="s">
        <v>2098</v>
      </c>
    </row>
    <row r="1534" spans="2:22" ht="15" customHeight="1" x14ac:dyDescent="0.2">
      <c r="B1534" s="193">
        <v>1</v>
      </c>
      <c r="C1534" s="347" t="s">
        <v>3191</v>
      </c>
      <c r="D1534" s="347" t="str">
        <f t="shared" si="104"/>
        <v>RBDPL001300SCM</v>
      </c>
      <c r="E1534" s="193" t="s">
        <v>183</v>
      </c>
      <c r="F1534" s="193"/>
      <c r="G1534" s="193"/>
      <c r="H1534" s="193" t="s">
        <v>107</v>
      </c>
      <c r="I1534" s="193" t="s">
        <v>3</v>
      </c>
      <c r="J1534" s="193" t="s">
        <v>1132</v>
      </c>
      <c r="K1534" s="194">
        <v>46165</v>
      </c>
      <c r="L1534" s="195">
        <v>4260</v>
      </c>
      <c r="M1534" s="195">
        <v>14350</v>
      </c>
      <c r="N1534" s="195">
        <v>10090</v>
      </c>
      <c r="O1534" s="195"/>
      <c r="P1534" s="196">
        <v>0.75902777777777775</v>
      </c>
      <c r="Q1534" s="196">
        <v>0.78402777777777777</v>
      </c>
      <c r="R1534" s="193" t="s">
        <v>137</v>
      </c>
      <c r="S1534" s="193" t="s">
        <v>1734</v>
      </c>
      <c r="T1534" s="197">
        <f t="shared" si="105"/>
        <v>400</v>
      </c>
      <c r="U1534" s="193" t="s">
        <v>175</v>
      </c>
      <c r="V1534" s="193" t="s">
        <v>2098</v>
      </c>
    </row>
    <row r="1535" spans="2:22" ht="15" customHeight="1" x14ac:dyDescent="0.2">
      <c r="B1535" s="193">
        <v>1</v>
      </c>
      <c r="C1535" s="347" t="s">
        <v>3192</v>
      </c>
      <c r="D1535" s="347" t="str">
        <f t="shared" si="104"/>
        <v>RBDPL001288SCM</v>
      </c>
      <c r="E1535" s="193" t="s">
        <v>3212</v>
      </c>
      <c r="F1535" s="193"/>
      <c r="G1535" s="193"/>
      <c r="H1535" s="193" t="s">
        <v>107</v>
      </c>
      <c r="I1535" s="193" t="s">
        <v>3</v>
      </c>
      <c r="J1535" s="193" t="s">
        <v>1132</v>
      </c>
      <c r="K1535" s="194">
        <v>46165</v>
      </c>
      <c r="L1535" s="195">
        <v>4200</v>
      </c>
      <c r="M1535" s="195">
        <v>13650</v>
      </c>
      <c r="N1535" s="195">
        <v>9450</v>
      </c>
      <c r="O1535" s="195"/>
      <c r="P1535" s="196">
        <v>0.4465277777777778</v>
      </c>
      <c r="Q1535" s="196">
        <v>0.48333333333333334</v>
      </c>
      <c r="R1535" s="193" t="s">
        <v>42</v>
      </c>
      <c r="S1535" s="193" t="s">
        <v>1388</v>
      </c>
      <c r="T1535" s="197">
        <f t="shared" si="105"/>
        <v>400</v>
      </c>
      <c r="U1535" s="193" t="s">
        <v>175</v>
      </c>
      <c r="V1535" s="193" t="s">
        <v>2098</v>
      </c>
    </row>
    <row r="1536" spans="2:22" ht="15" customHeight="1" x14ac:dyDescent="0.2">
      <c r="B1536" s="193">
        <v>1</v>
      </c>
      <c r="C1536" s="347" t="s">
        <v>3193</v>
      </c>
      <c r="D1536" s="347" t="str">
        <f t="shared" si="104"/>
        <v>RBDPL001301DA</v>
      </c>
      <c r="E1536" s="193" t="s">
        <v>983</v>
      </c>
      <c r="F1536" s="193"/>
      <c r="G1536" s="193"/>
      <c r="H1536" s="193" t="s">
        <v>111</v>
      </c>
      <c r="I1536" s="193" t="s">
        <v>3</v>
      </c>
      <c r="J1536" s="193" t="s">
        <v>1132</v>
      </c>
      <c r="K1536" s="194">
        <v>46165</v>
      </c>
      <c r="L1536" s="195">
        <v>4030</v>
      </c>
      <c r="M1536" s="195">
        <v>13340</v>
      </c>
      <c r="N1536" s="195">
        <v>9310</v>
      </c>
      <c r="O1536" s="195"/>
      <c r="P1536" s="196">
        <v>0.7729166666666667</v>
      </c>
      <c r="Q1536" s="196">
        <v>0.79722222222222217</v>
      </c>
      <c r="R1536" s="193" t="s">
        <v>137</v>
      </c>
      <c r="S1536" s="193" t="s">
        <v>2034</v>
      </c>
      <c r="T1536" s="197">
        <f t="shared" si="105"/>
        <v>360</v>
      </c>
      <c r="U1536" s="193" t="s">
        <v>1381</v>
      </c>
      <c r="V1536" s="193" t="s">
        <v>2098</v>
      </c>
    </row>
    <row r="1537" spans="2:22" ht="15" customHeight="1" x14ac:dyDescent="0.2">
      <c r="B1537" s="193">
        <v>1</v>
      </c>
      <c r="C1537" s="347" t="s">
        <v>3194</v>
      </c>
      <c r="D1537" s="347" t="str">
        <f t="shared" si="104"/>
        <v>RBDPL001302DA</v>
      </c>
      <c r="E1537" s="193" t="s">
        <v>934</v>
      </c>
      <c r="F1537" s="193"/>
      <c r="G1537" s="193"/>
      <c r="H1537" s="193" t="s">
        <v>111</v>
      </c>
      <c r="I1537" s="193" t="s">
        <v>3</v>
      </c>
      <c r="J1537" s="193" t="s">
        <v>1132</v>
      </c>
      <c r="K1537" s="194">
        <v>46165</v>
      </c>
      <c r="L1537" s="195">
        <v>3880</v>
      </c>
      <c r="M1537" s="195">
        <v>13200</v>
      </c>
      <c r="N1537" s="195">
        <v>9320</v>
      </c>
      <c r="O1537" s="195"/>
      <c r="P1537" s="196">
        <v>0.77500000000000002</v>
      </c>
      <c r="Q1537" s="196">
        <v>0.81597222222222221</v>
      </c>
      <c r="R1537" s="193" t="s">
        <v>137</v>
      </c>
      <c r="S1537" s="193" t="s">
        <v>2033</v>
      </c>
      <c r="T1537" s="197">
        <f t="shared" si="105"/>
        <v>360</v>
      </c>
      <c r="U1537" s="193" t="s">
        <v>1381</v>
      </c>
      <c r="V1537" s="193" t="s">
        <v>2098</v>
      </c>
    </row>
    <row r="1538" spans="2:22" ht="15" customHeight="1" x14ac:dyDescent="0.2">
      <c r="B1538" s="193">
        <v>1</v>
      </c>
      <c r="C1538" s="347" t="s">
        <v>3195</v>
      </c>
      <c r="D1538" s="347" t="str">
        <f t="shared" si="104"/>
        <v>RBDPL001292TDJ</v>
      </c>
      <c r="E1538" s="193" t="s">
        <v>56</v>
      </c>
      <c r="F1538" s="193"/>
      <c r="G1538" s="193"/>
      <c r="H1538" s="193" t="s">
        <v>1523</v>
      </c>
      <c r="I1538" s="193" t="s">
        <v>3</v>
      </c>
      <c r="J1538" s="193" t="s">
        <v>1132</v>
      </c>
      <c r="K1538" s="194">
        <v>46165</v>
      </c>
      <c r="L1538" s="195">
        <v>10960</v>
      </c>
      <c r="M1538" s="195">
        <v>25440</v>
      </c>
      <c r="N1538" s="195">
        <v>14480</v>
      </c>
      <c r="O1538" s="195"/>
      <c r="P1538" s="196">
        <v>0.58472222222222225</v>
      </c>
      <c r="Q1538" s="196">
        <v>0.62013888888888891</v>
      </c>
      <c r="R1538" s="193" t="s">
        <v>42</v>
      </c>
      <c r="S1538" s="193" t="s">
        <v>2031</v>
      </c>
      <c r="T1538" s="197">
        <f t="shared" si="105"/>
        <v>473</v>
      </c>
      <c r="U1538" s="193" t="s">
        <v>69</v>
      </c>
      <c r="V1538" s="193" t="s">
        <v>3216</v>
      </c>
    </row>
    <row r="1539" spans="2:22" ht="15" customHeight="1" x14ac:dyDescent="0.2">
      <c r="B1539" s="193">
        <v>1</v>
      </c>
      <c r="C1539" s="347" t="s">
        <v>3196</v>
      </c>
      <c r="D1539" s="347" t="str">
        <f t="shared" si="104"/>
        <v>RBDPL001293TDJ</v>
      </c>
      <c r="E1539" s="193" t="s">
        <v>84</v>
      </c>
      <c r="F1539" s="193"/>
      <c r="G1539" s="193"/>
      <c r="H1539" s="193" t="s">
        <v>1523</v>
      </c>
      <c r="I1539" s="193" t="s">
        <v>3</v>
      </c>
      <c r="J1539" s="193" t="s">
        <v>1132</v>
      </c>
      <c r="K1539" s="194">
        <v>46165</v>
      </c>
      <c r="L1539" s="195">
        <v>12180</v>
      </c>
      <c r="M1539" s="195">
        <v>26960</v>
      </c>
      <c r="N1539" s="195">
        <v>14780</v>
      </c>
      <c r="O1539" s="195"/>
      <c r="P1539" s="196">
        <v>0.58819444444444446</v>
      </c>
      <c r="Q1539" s="196">
        <v>0.70277777777777783</v>
      </c>
      <c r="R1539" s="193" t="s">
        <v>42</v>
      </c>
      <c r="S1539" s="193" t="s">
        <v>1397</v>
      </c>
      <c r="T1539" s="197">
        <f t="shared" si="105"/>
        <v>473</v>
      </c>
      <c r="U1539" s="193" t="s">
        <v>69</v>
      </c>
      <c r="V1539" s="193" t="s">
        <v>3216</v>
      </c>
    </row>
    <row r="1540" spans="2:22" ht="15" customHeight="1" x14ac:dyDescent="0.2">
      <c r="B1540" s="193">
        <v>1</v>
      </c>
      <c r="C1540" s="347" t="s">
        <v>3197</v>
      </c>
      <c r="D1540" s="347" t="str">
        <f t="shared" si="104"/>
        <v>RBDPL001296WIN</v>
      </c>
      <c r="E1540" s="193" t="s">
        <v>70</v>
      </c>
      <c r="F1540" s="193"/>
      <c r="G1540" s="193"/>
      <c r="H1540" s="193" t="s">
        <v>115</v>
      </c>
      <c r="I1540" s="193" t="s">
        <v>3</v>
      </c>
      <c r="J1540" s="193" t="s">
        <v>1132</v>
      </c>
      <c r="K1540" s="194">
        <v>46165</v>
      </c>
      <c r="L1540" s="195">
        <v>17210</v>
      </c>
      <c r="M1540" s="195">
        <v>46000</v>
      </c>
      <c r="N1540" s="195">
        <v>28790</v>
      </c>
      <c r="O1540" s="195"/>
      <c r="P1540" s="196">
        <v>0.62152777777777779</v>
      </c>
      <c r="Q1540" s="196">
        <v>0.65972222222222221</v>
      </c>
      <c r="R1540" s="193" t="s">
        <v>137</v>
      </c>
      <c r="S1540" s="193" t="s">
        <v>1499</v>
      </c>
      <c r="T1540" s="197">
        <f t="shared" si="105"/>
        <v>642</v>
      </c>
      <c r="U1540" s="193" t="s">
        <v>69</v>
      </c>
      <c r="V1540" s="193" t="s">
        <v>2102</v>
      </c>
    </row>
    <row r="1541" spans="2:22" ht="15" customHeight="1" x14ac:dyDescent="0.2">
      <c r="B1541" s="193">
        <v>1</v>
      </c>
      <c r="C1541" s="347" t="s">
        <v>3198</v>
      </c>
      <c r="D1541" s="347" t="str">
        <f t="shared" si="104"/>
        <v>RBDPL001297PUP</v>
      </c>
      <c r="E1541" s="193" t="s">
        <v>76</v>
      </c>
      <c r="F1541" s="193"/>
      <c r="G1541" s="193"/>
      <c r="H1541" s="193" t="s">
        <v>1590</v>
      </c>
      <c r="I1541" s="193" t="s">
        <v>3</v>
      </c>
      <c r="J1541" s="193" t="s">
        <v>1132</v>
      </c>
      <c r="K1541" s="194">
        <v>46165</v>
      </c>
      <c r="L1541" s="195">
        <v>17340</v>
      </c>
      <c r="M1541" s="195">
        <v>46340</v>
      </c>
      <c r="N1541" s="195">
        <v>29000</v>
      </c>
      <c r="O1541" s="195"/>
      <c r="P1541" s="196">
        <v>0.70486111111111116</v>
      </c>
      <c r="Q1541" s="196">
        <v>0.74375000000000002</v>
      </c>
      <c r="R1541" s="193" t="s">
        <v>137</v>
      </c>
      <c r="S1541" s="193" t="s">
        <v>1372</v>
      </c>
      <c r="T1541" s="197">
        <f t="shared" si="105"/>
        <v>642</v>
      </c>
      <c r="U1541" s="193" t="s">
        <v>69</v>
      </c>
      <c r="V1541" s="193" t="s">
        <v>2102</v>
      </c>
    </row>
    <row r="1542" spans="2:22" ht="15" customHeight="1" x14ac:dyDescent="0.2">
      <c r="B1542" s="193">
        <v>1</v>
      </c>
      <c r="C1542" s="347" t="s">
        <v>3199</v>
      </c>
      <c r="D1542" s="347" t="str">
        <f t="shared" si="104"/>
        <v>RBDPL001303BJL</v>
      </c>
      <c r="E1542" s="193" t="s">
        <v>1567</v>
      </c>
      <c r="F1542" s="193"/>
      <c r="G1542" s="193"/>
      <c r="H1542" s="193" t="s">
        <v>86</v>
      </c>
      <c r="I1542" s="193" t="s">
        <v>3</v>
      </c>
      <c r="J1542" s="193" t="s">
        <v>1132</v>
      </c>
      <c r="K1542" s="194">
        <v>46167</v>
      </c>
      <c r="L1542" s="195">
        <v>3930</v>
      </c>
      <c r="M1542" s="195">
        <v>13280</v>
      </c>
      <c r="N1542" s="195">
        <v>9350</v>
      </c>
      <c r="O1542" s="195"/>
      <c r="P1542" s="196">
        <v>0.37777777777777777</v>
      </c>
      <c r="Q1542" s="196">
        <v>0.40625</v>
      </c>
      <c r="R1542" s="193" t="s">
        <v>137</v>
      </c>
      <c r="S1542" s="193" t="s">
        <v>1634</v>
      </c>
      <c r="T1542" s="197">
        <f t="shared" si="105"/>
        <v>562</v>
      </c>
      <c r="U1542" s="193" t="s">
        <v>175</v>
      </c>
      <c r="V1542" s="193" t="s">
        <v>2099</v>
      </c>
    </row>
    <row r="1543" spans="2:22" ht="15" customHeight="1" x14ac:dyDescent="0.2">
      <c r="B1543" s="193">
        <v>1</v>
      </c>
      <c r="C1543" s="347" t="s">
        <v>3200</v>
      </c>
      <c r="D1543" s="347" t="str">
        <f t="shared" si="104"/>
        <v>RBDPL001305BJL</v>
      </c>
      <c r="E1543" s="193" t="s">
        <v>1631</v>
      </c>
      <c r="F1543" s="193"/>
      <c r="G1543" s="193"/>
      <c r="H1543" s="193" t="s">
        <v>86</v>
      </c>
      <c r="I1543" s="193" t="s">
        <v>3</v>
      </c>
      <c r="J1543" s="193" t="s">
        <v>1132</v>
      </c>
      <c r="K1543" s="194">
        <v>46167</v>
      </c>
      <c r="L1543" s="195">
        <v>4010</v>
      </c>
      <c r="M1543" s="195">
        <v>13410</v>
      </c>
      <c r="N1543" s="195">
        <v>9400</v>
      </c>
      <c r="O1543" s="195"/>
      <c r="P1543" s="196">
        <v>0.40972222222222227</v>
      </c>
      <c r="Q1543" s="196">
        <v>0.42708333333333331</v>
      </c>
      <c r="R1543" s="193" t="s">
        <v>137</v>
      </c>
      <c r="S1543" s="193" t="s">
        <v>1633</v>
      </c>
      <c r="T1543" s="197">
        <f t="shared" si="105"/>
        <v>562</v>
      </c>
      <c r="U1543" s="193" t="s">
        <v>175</v>
      </c>
      <c r="V1543" s="193" t="s">
        <v>2099</v>
      </c>
    </row>
    <row r="1544" spans="2:22" ht="15" customHeight="1" x14ac:dyDescent="0.2">
      <c r="B1544" s="193">
        <v>1</v>
      </c>
      <c r="C1544" s="347" t="s">
        <v>3201</v>
      </c>
      <c r="D1544" s="347" t="str">
        <f t="shared" si="104"/>
        <v>RBDPL001306BJL</v>
      </c>
      <c r="E1544" s="193" t="s">
        <v>839</v>
      </c>
      <c r="F1544" s="193"/>
      <c r="G1544" s="193"/>
      <c r="H1544" s="193" t="s">
        <v>86</v>
      </c>
      <c r="I1544" s="193" t="s">
        <v>3</v>
      </c>
      <c r="J1544" s="193" t="s">
        <v>1132</v>
      </c>
      <c r="K1544" s="194">
        <v>46167</v>
      </c>
      <c r="L1544" s="195">
        <v>3870</v>
      </c>
      <c r="M1544" s="195">
        <v>13140</v>
      </c>
      <c r="N1544" s="195">
        <v>9270</v>
      </c>
      <c r="O1544" s="195"/>
      <c r="P1544" s="196">
        <v>0.43055555555555558</v>
      </c>
      <c r="Q1544" s="196">
        <v>0.45416666666666666</v>
      </c>
      <c r="R1544" s="193" t="s">
        <v>137</v>
      </c>
      <c r="S1544" s="193" t="s">
        <v>2133</v>
      </c>
      <c r="T1544" s="197">
        <f t="shared" si="105"/>
        <v>562</v>
      </c>
      <c r="U1544" s="193" t="s">
        <v>175</v>
      </c>
      <c r="V1544" s="193" t="s">
        <v>2099</v>
      </c>
    </row>
    <row r="1545" spans="2:22" ht="15" customHeight="1" x14ac:dyDescent="0.2">
      <c r="B1545" s="193">
        <v>1</v>
      </c>
      <c r="C1545" s="347" t="s">
        <v>3202</v>
      </c>
      <c r="D1545" s="347" t="str">
        <f t="shared" si="104"/>
        <v>RBDPL001311BJL</v>
      </c>
      <c r="E1545" s="193" t="s">
        <v>2024</v>
      </c>
      <c r="F1545" s="193"/>
      <c r="G1545" s="193"/>
      <c r="H1545" s="193" t="s">
        <v>86</v>
      </c>
      <c r="I1545" s="193" t="s">
        <v>3</v>
      </c>
      <c r="J1545" s="193" t="s">
        <v>1132</v>
      </c>
      <c r="K1545" s="194">
        <v>46167</v>
      </c>
      <c r="L1545" s="195">
        <v>3840</v>
      </c>
      <c r="M1545" s="195">
        <v>13170</v>
      </c>
      <c r="N1545" s="195">
        <v>9330</v>
      </c>
      <c r="O1545" s="195"/>
      <c r="P1545" s="196">
        <v>0.50069444444444444</v>
      </c>
      <c r="Q1545" s="196">
        <v>0.52222222222222225</v>
      </c>
      <c r="R1545" s="193" t="s">
        <v>137</v>
      </c>
      <c r="S1545" s="193" t="s">
        <v>2037</v>
      </c>
      <c r="T1545" s="197">
        <f t="shared" si="105"/>
        <v>562</v>
      </c>
      <c r="U1545" s="193" t="s">
        <v>175</v>
      </c>
      <c r="V1545" s="193" t="s">
        <v>2099</v>
      </c>
    </row>
    <row r="1546" spans="2:22" ht="15" customHeight="1" x14ac:dyDescent="0.2">
      <c r="B1546" s="193">
        <v>1</v>
      </c>
      <c r="C1546" s="347" t="s">
        <v>3203</v>
      </c>
      <c r="D1546" s="347" t="str">
        <f t="shared" si="104"/>
        <v>RBDPL001308SCM</v>
      </c>
      <c r="E1546" s="193" t="s">
        <v>2090</v>
      </c>
      <c r="F1546" s="193"/>
      <c r="G1546" s="193"/>
      <c r="H1546" s="193" t="s">
        <v>107</v>
      </c>
      <c r="I1546" s="193" t="s">
        <v>3</v>
      </c>
      <c r="J1546" s="193" t="s">
        <v>1132</v>
      </c>
      <c r="K1546" s="194">
        <v>46167</v>
      </c>
      <c r="L1546" s="195">
        <v>4110</v>
      </c>
      <c r="M1546" s="195">
        <v>13900</v>
      </c>
      <c r="N1546" s="195">
        <v>9790</v>
      </c>
      <c r="O1546" s="195"/>
      <c r="P1546" s="196">
        <v>0.46111111111111108</v>
      </c>
      <c r="Q1546" s="196">
        <v>0.4770833333333333</v>
      </c>
      <c r="R1546" s="193" t="s">
        <v>137</v>
      </c>
      <c r="S1546" s="193" t="s">
        <v>2094</v>
      </c>
      <c r="T1546" s="197">
        <f t="shared" si="105"/>
        <v>400</v>
      </c>
      <c r="U1546" s="193" t="s">
        <v>175</v>
      </c>
      <c r="V1546" s="193" t="s">
        <v>2098</v>
      </c>
    </row>
    <row r="1547" spans="2:22" ht="15" customHeight="1" x14ac:dyDescent="0.2">
      <c r="B1547" s="193">
        <v>1</v>
      </c>
      <c r="C1547" s="347" t="s">
        <v>3204</v>
      </c>
      <c r="D1547" s="347" t="str">
        <f t="shared" si="104"/>
        <v>RBDPL001309SCM</v>
      </c>
      <c r="E1547" s="193" t="s">
        <v>473</v>
      </c>
      <c r="F1547" s="193"/>
      <c r="G1547" s="193"/>
      <c r="H1547" s="193" t="s">
        <v>107</v>
      </c>
      <c r="I1547" s="193" t="s">
        <v>3</v>
      </c>
      <c r="J1547" s="193" t="s">
        <v>1132</v>
      </c>
      <c r="K1547" s="194">
        <v>46167</v>
      </c>
      <c r="L1547" s="195">
        <v>4400</v>
      </c>
      <c r="M1547" s="195">
        <v>14620</v>
      </c>
      <c r="N1547" s="195">
        <v>10220</v>
      </c>
      <c r="O1547" s="195"/>
      <c r="P1547" s="196">
        <v>0.46319444444444446</v>
      </c>
      <c r="Q1547" s="196">
        <v>0.48749999999999999</v>
      </c>
      <c r="R1547" s="193" t="s">
        <v>137</v>
      </c>
      <c r="S1547" s="193" t="s">
        <v>1474</v>
      </c>
      <c r="T1547" s="197">
        <f t="shared" si="105"/>
        <v>400</v>
      </c>
      <c r="U1547" s="193" t="s">
        <v>175</v>
      </c>
      <c r="V1547" s="193" t="s">
        <v>2098</v>
      </c>
    </row>
    <row r="1548" spans="2:22" ht="15" customHeight="1" x14ac:dyDescent="0.2">
      <c r="B1548" s="193">
        <v>1</v>
      </c>
      <c r="C1548" s="347" t="s">
        <v>3205</v>
      </c>
      <c r="D1548" s="347" t="str">
        <f t="shared" si="104"/>
        <v>RBDPL001310SCM</v>
      </c>
      <c r="E1548" s="193" t="s">
        <v>3213</v>
      </c>
      <c r="F1548" s="193"/>
      <c r="G1548" s="193"/>
      <c r="H1548" s="193" t="s">
        <v>107</v>
      </c>
      <c r="I1548" s="193" t="s">
        <v>3</v>
      </c>
      <c r="J1548" s="193" t="s">
        <v>1132</v>
      </c>
      <c r="K1548" s="194">
        <v>46167</v>
      </c>
      <c r="L1548" s="195">
        <v>3930</v>
      </c>
      <c r="M1548" s="195">
        <v>13440</v>
      </c>
      <c r="N1548" s="195">
        <v>9510</v>
      </c>
      <c r="O1548" s="195"/>
      <c r="P1548" s="196">
        <v>0.48402777777777778</v>
      </c>
      <c r="Q1548" s="196">
        <v>0.51388888888888895</v>
      </c>
      <c r="R1548" s="193" t="s">
        <v>137</v>
      </c>
      <c r="S1548" s="193" t="s">
        <v>3215</v>
      </c>
      <c r="T1548" s="197">
        <f t="shared" si="105"/>
        <v>400</v>
      </c>
      <c r="U1548" s="193" t="s">
        <v>175</v>
      </c>
      <c r="V1548" s="193" t="s">
        <v>2098</v>
      </c>
    </row>
    <row r="1549" spans="2:22" ht="15" customHeight="1" x14ac:dyDescent="0.2">
      <c r="B1549" s="193">
        <v>1</v>
      </c>
      <c r="C1549" s="347" t="s">
        <v>3206</v>
      </c>
      <c r="D1549" s="347" t="str">
        <f t="shared" si="104"/>
        <v>RBDPL001312SCM</v>
      </c>
      <c r="E1549" s="193" t="s">
        <v>53</v>
      </c>
      <c r="F1549" s="193"/>
      <c r="G1549" s="193"/>
      <c r="H1549" s="193" t="s">
        <v>107</v>
      </c>
      <c r="I1549" s="193" t="s">
        <v>3</v>
      </c>
      <c r="J1549" s="193" t="s">
        <v>1132</v>
      </c>
      <c r="K1549" s="194">
        <v>46167</v>
      </c>
      <c r="L1549" s="195">
        <v>3790</v>
      </c>
      <c r="M1549" s="195">
        <v>13400</v>
      </c>
      <c r="N1549" s="195">
        <v>9610</v>
      </c>
      <c r="O1549" s="195"/>
      <c r="P1549" s="196">
        <v>0.56458333333333333</v>
      </c>
      <c r="Q1549" s="196">
        <v>0.61597222222222225</v>
      </c>
      <c r="R1549" s="193" t="s">
        <v>137</v>
      </c>
      <c r="S1549" s="193" t="s">
        <v>1396</v>
      </c>
      <c r="T1549" s="197">
        <f t="shared" si="105"/>
        <v>400</v>
      </c>
      <c r="U1549" s="193" t="s">
        <v>175</v>
      </c>
      <c r="V1549" s="193" t="s">
        <v>2098</v>
      </c>
    </row>
    <row r="1550" spans="2:22" ht="15" customHeight="1" x14ac:dyDescent="0.2">
      <c r="B1550" s="193">
        <v>1</v>
      </c>
      <c r="C1550" s="347" t="s">
        <v>3207</v>
      </c>
      <c r="D1550" s="347" t="str">
        <f t="shared" si="104"/>
        <v>RBDPL001313SCM</v>
      </c>
      <c r="E1550" s="193" t="s">
        <v>173</v>
      </c>
      <c r="F1550" s="193"/>
      <c r="G1550" s="193"/>
      <c r="H1550" s="193" t="s">
        <v>107</v>
      </c>
      <c r="I1550" s="193" t="s">
        <v>3</v>
      </c>
      <c r="J1550" s="193" t="s">
        <v>1132</v>
      </c>
      <c r="K1550" s="194">
        <v>46167</v>
      </c>
      <c r="L1550" s="195">
        <v>4640</v>
      </c>
      <c r="M1550" s="195">
        <v>14390</v>
      </c>
      <c r="N1550" s="195">
        <v>9750</v>
      </c>
      <c r="O1550" s="195"/>
      <c r="P1550" s="196">
        <v>0.56666666666666665</v>
      </c>
      <c r="Q1550" s="196">
        <v>0.60902777777777783</v>
      </c>
      <c r="R1550" s="193" t="s">
        <v>137</v>
      </c>
      <c r="S1550" s="193" t="s">
        <v>1617</v>
      </c>
      <c r="T1550" s="197">
        <f t="shared" si="105"/>
        <v>400</v>
      </c>
      <c r="U1550" s="193" t="s">
        <v>175</v>
      </c>
      <c r="V1550" s="193" t="s">
        <v>2098</v>
      </c>
    </row>
    <row r="1551" spans="2:22" ht="15" customHeight="1" x14ac:dyDescent="0.2">
      <c r="B1551" s="193">
        <v>1</v>
      </c>
      <c r="C1551" s="347" t="s">
        <v>3208</v>
      </c>
      <c r="D1551" s="347" t="str">
        <f t="shared" si="104"/>
        <v>RBDPL001314SCM</v>
      </c>
      <c r="E1551" s="193" t="s">
        <v>835</v>
      </c>
      <c r="F1551" s="193"/>
      <c r="G1551" s="193"/>
      <c r="H1551" s="193" t="s">
        <v>107</v>
      </c>
      <c r="I1551" s="193" t="s">
        <v>3</v>
      </c>
      <c r="J1551" s="193" t="s">
        <v>1132</v>
      </c>
      <c r="K1551" s="194">
        <v>46167</v>
      </c>
      <c r="L1551" s="195">
        <v>4050</v>
      </c>
      <c r="M1551" s="195">
        <v>13520</v>
      </c>
      <c r="N1551" s="195">
        <v>9470</v>
      </c>
      <c r="O1551" s="195"/>
      <c r="P1551" s="196">
        <v>0.6118055555555556</v>
      </c>
      <c r="Q1551" s="196">
        <v>0.63194444444444442</v>
      </c>
      <c r="R1551" s="193" t="s">
        <v>137</v>
      </c>
      <c r="S1551" s="193" t="s">
        <v>2038</v>
      </c>
      <c r="T1551" s="197">
        <f t="shared" si="105"/>
        <v>400</v>
      </c>
      <c r="U1551" s="193" t="s">
        <v>175</v>
      </c>
      <c r="V1551" s="193" t="s">
        <v>2098</v>
      </c>
    </row>
    <row r="1552" spans="2:22" ht="15" customHeight="1" x14ac:dyDescent="0.2">
      <c r="B1552" s="193">
        <v>1</v>
      </c>
      <c r="C1552" s="347" t="s">
        <v>3209</v>
      </c>
      <c r="D1552" s="347" t="str">
        <f t="shared" si="104"/>
        <v>RBDPL001304DA</v>
      </c>
      <c r="E1552" s="193" t="s">
        <v>1239</v>
      </c>
      <c r="F1552" s="193"/>
      <c r="G1552" s="193"/>
      <c r="H1552" s="193" t="s">
        <v>111</v>
      </c>
      <c r="I1552" s="193" t="s">
        <v>3</v>
      </c>
      <c r="J1552" s="193" t="s">
        <v>1132</v>
      </c>
      <c r="K1552" s="194">
        <v>46167</v>
      </c>
      <c r="L1552" s="195">
        <v>19070</v>
      </c>
      <c r="M1552" s="195">
        <v>42740</v>
      </c>
      <c r="N1552" s="195">
        <v>23670</v>
      </c>
      <c r="O1552" s="195"/>
      <c r="P1552" s="196">
        <v>0.37986111111111115</v>
      </c>
      <c r="Q1552" s="196">
        <v>0.44861111111111113</v>
      </c>
      <c r="R1552" s="193" t="s">
        <v>137</v>
      </c>
      <c r="S1552" s="193" t="s">
        <v>1783</v>
      </c>
      <c r="T1552" s="197">
        <f t="shared" si="105"/>
        <v>360</v>
      </c>
      <c r="U1552" s="193" t="s">
        <v>175</v>
      </c>
      <c r="V1552" s="193" t="s">
        <v>2098</v>
      </c>
    </row>
    <row r="1553" spans="2:22" ht="15" customHeight="1" x14ac:dyDescent="0.2">
      <c r="B1553" s="193">
        <v>1</v>
      </c>
      <c r="C1553" s="347" t="s">
        <v>3210</v>
      </c>
      <c r="D1553" s="347" t="str">
        <f t="shared" si="104"/>
        <v>RBDPL001315DA</v>
      </c>
      <c r="E1553" s="193" t="s">
        <v>147</v>
      </c>
      <c r="F1553" s="193"/>
      <c r="G1553" s="193"/>
      <c r="H1553" s="193" t="s">
        <v>111</v>
      </c>
      <c r="I1553" s="193" t="s">
        <v>3</v>
      </c>
      <c r="J1553" s="193" t="s">
        <v>1132</v>
      </c>
      <c r="K1553" s="194">
        <v>46167</v>
      </c>
      <c r="L1553" s="195">
        <v>3980</v>
      </c>
      <c r="M1553" s="195">
        <v>14120</v>
      </c>
      <c r="N1553" s="195">
        <v>10140</v>
      </c>
      <c r="O1553" s="195"/>
      <c r="P1553" s="196">
        <v>0.68541666666666667</v>
      </c>
      <c r="Q1553" s="196">
        <v>0.7006944444444444</v>
      </c>
      <c r="R1553" s="193" t="s">
        <v>42</v>
      </c>
      <c r="S1553" s="193" t="s">
        <v>1373</v>
      </c>
      <c r="T1553" s="197">
        <f t="shared" si="105"/>
        <v>360</v>
      </c>
      <c r="U1553" s="193" t="s">
        <v>175</v>
      </c>
      <c r="V1553" s="193" t="s">
        <v>2098</v>
      </c>
    </row>
    <row r="1554" spans="2:22" ht="15" customHeight="1" x14ac:dyDescent="0.2">
      <c r="B1554" s="193">
        <v>1</v>
      </c>
      <c r="C1554" s="347" t="s">
        <v>3217</v>
      </c>
      <c r="D1554" s="193" t="str">
        <f t="shared" si="104"/>
        <v>RBDPS001273BMS</v>
      </c>
      <c r="E1554" s="193" t="s">
        <v>3223</v>
      </c>
      <c r="F1554" s="193"/>
      <c r="G1554" s="193"/>
      <c r="H1554" s="193" t="s">
        <v>3143</v>
      </c>
      <c r="I1554" s="193" t="s">
        <v>3142</v>
      </c>
      <c r="J1554" s="193" t="str">
        <f t="shared" ref="J1554:J1559" si="107">IF(MIN(L1554,M1554)&lt;=5000,"6 Roda",IF(MIN(L1554,M1554)&lt;=13800,"10 Roda","12 Roda"))</f>
        <v>10 Roda</v>
      </c>
      <c r="K1554" s="194">
        <v>46163</v>
      </c>
      <c r="L1554" s="195">
        <v>11020</v>
      </c>
      <c r="M1554" s="195">
        <v>29740</v>
      </c>
      <c r="N1554" s="195">
        <v>19940</v>
      </c>
      <c r="O1554" s="195"/>
      <c r="P1554" s="196">
        <v>0.74791666666666667</v>
      </c>
      <c r="Q1554" s="196">
        <v>0.79861111111111116</v>
      </c>
      <c r="R1554" s="193" t="s">
        <v>137</v>
      </c>
      <c r="S1554" s="193" t="s">
        <v>3232</v>
      </c>
      <c r="T1554" s="197">
        <f>IFERROR(_xlfn.XLOOKUP(H1554,$AM$4:$AM$19,$AP$4:$AP$19,""),0)</f>
        <v>360</v>
      </c>
      <c r="U1554" s="193" t="s">
        <v>175</v>
      </c>
      <c r="V1554" s="193" t="s">
        <v>2098</v>
      </c>
    </row>
    <row r="1555" spans="2:22" ht="15" customHeight="1" x14ac:dyDescent="0.2">
      <c r="B1555" s="193">
        <v>1</v>
      </c>
      <c r="C1555" s="347" t="s">
        <v>3218</v>
      </c>
      <c r="D1555" s="193" t="str">
        <f t="shared" si="104"/>
        <v>RBDPS001289BMS</v>
      </c>
      <c r="E1555" s="193" t="s">
        <v>3224</v>
      </c>
      <c r="F1555" s="193"/>
      <c r="G1555" s="193"/>
      <c r="H1555" s="193" t="s">
        <v>3143</v>
      </c>
      <c r="I1555" s="193" t="s">
        <v>3142</v>
      </c>
      <c r="J1555" s="193" t="str">
        <f t="shared" si="107"/>
        <v>10 Roda</v>
      </c>
      <c r="K1555" s="194">
        <v>46165</v>
      </c>
      <c r="L1555" s="195">
        <v>12090</v>
      </c>
      <c r="M1555" s="195">
        <v>32860</v>
      </c>
      <c r="N1555" s="195">
        <v>20770</v>
      </c>
      <c r="O1555" s="195"/>
      <c r="P1555" s="196">
        <v>0.5</v>
      </c>
      <c r="Q1555" s="196">
        <v>0.5541666666666667</v>
      </c>
      <c r="R1555" s="193" t="s">
        <v>42</v>
      </c>
      <c r="S1555" s="193" t="s">
        <v>3233</v>
      </c>
      <c r="T1555" s="197" t="str">
        <f t="shared" si="105"/>
        <v/>
      </c>
      <c r="U1555" s="193" t="s">
        <v>175</v>
      </c>
      <c r="V1555" s="193" t="s">
        <v>2098</v>
      </c>
    </row>
    <row r="1556" spans="2:22" ht="15" customHeight="1" x14ac:dyDescent="0.2">
      <c r="B1556" s="193">
        <v>1</v>
      </c>
      <c r="C1556" s="347" t="s">
        <v>3219</v>
      </c>
      <c r="D1556" s="193" t="str">
        <f t="shared" ref="D1556:D1572" si="108">I1556&amp;C1556&amp;_xlfn.XLOOKUP(H1556,$AM$4:$AM$24,$AN$4:$AN$24,"")</f>
        <v>RBDPS001290BMS</v>
      </c>
      <c r="E1556" s="193" t="s">
        <v>3138</v>
      </c>
      <c r="F1556" s="193"/>
      <c r="G1556" s="193"/>
      <c r="H1556" s="193" t="s">
        <v>3143</v>
      </c>
      <c r="I1556" s="193" t="s">
        <v>3142</v>
      </c>
      <c r="J1556" s="193" t="str">
        <f t="shared" si="107"/>
        <v>10 Roda</v>
      </c>
      <c r="K1556" s="194">
        <v>46165</v>
      </c>
      <c r="L1556" s="195">
        <v>10860</v>
      </c>
      <c r="M1556" s="195">
        <v>30580</v>
      </c>
      <c r="N1556" s="195">
        <v>19720</v>
      </c>
      <c r="O1556" s="195"/>
      <c r="P1556" s="196">
        <v>0.55902777777777779</v>
      </c>
      <c r="Q1556" s="196">
        <v>0.58958333333333335</v>
      </c>
      <c r="R1556" s="193" t="s">
        <v>42</v>
      </c>
      <c r="S1556" s="193" t="s">
        <v>3228</v>
      </c>
      <c r="T1556" s="197" t="str">
        <f t="shared" si="105"/>
        <v/>
      </c>
      <c r="U1556" s="193" t="s">
        <v>175</v>
      </c>
      <c r="V1556" s="193" t="s">
        <v>2098</v>
      </c>
    </row>
    <row r="1557" spans="2:22" ht="15" customHeight="1" x14ac:dyDescent="0.2">
      <c r="B1557" s="193">
        <v>1</v>
      </c>
      <c r="C1557" s="347" t="s">
        <v>3220</v>
      </c>
      <c r="D1557" s="193" t="str">
        <f t="shared" si="108"/>
        <v>RBDPS001291BMS</v>
      </c>
      <c r="E1557" s="193" t="s">
        <v>3225</v>
      </c>
      <c r="F1557" s="193"/>
      <c r="G1557" s="193"/>
      <c r="H1557" s="193" t="s">
        <v>3143</v>
      </c>
      <c r="I1557" s="193" t="s">
        <v>3142</v>
      </c>
      <c r="J1557" s="193" t="str">
        <f t="shared" si="107"/>
        <v>10 Roda</v>
      </c>
      <c r="K1557" s="194">
        <v>46165</v>
      </c>
      <c r="L1557" s="195">
        <v>11870</v>
      </c>
      <c r="M1557" s="195">
        <v>32800</v>
      </c>
      <c r="N1557" s="195">
        <v>20930</v>
      </c>
      <c r="O1557" s="195"/>
      <c r="P1557" s="196">
        <v>0.56041666666666667</v>
      </c>
      <c r="Q1557" s="196">
        <v>0.61249999999999993</v>
      </c>
      <c r="R1557" s="193" t="s">
        <v>42</v>
      </c>
      <c r="S1557" s="193" t="s">
        <v>3234</v>
      </c>
      <c r="T1557" s="197" t="str">
        <f t="shared" si="105"/>
        <v/>
      </c>
      <c r="U1557" s="193" t="s">
        <v>175</v>
      </c>
      <c r="V1557" s="193" t="s">
        <v>2098</v>
      </c>
    </row>
    <row r="1558" spans="2:22" ht="15" customHeight="1" x14ac:dyDescent="0.2">
      <c r="B1558" s="193">
        <v>1</v>
      </c>
      <c r="C1558" s="347" t="s">
        <v>3221</v>
      </c>
      <c r="D1558" s="193" t="str">
        <f t="shared" si="108"/>
        <v>RBDPS001294BMS</v>
      </c>
      <c r="E1558" s="193" t="s">
        <v>3226</v>
      </c>
      <c r="F1558" s="193"/>
      <c r="G1558" s="193"/>
      <c r="H1558" s="193" t="s">
        <v>3143</v>
      </c>
      <c r="I1558" s="193" t="s">
        <v>3142</v>
      </c>
      <c r="J1558" s="193" t="str">
        <f t="shared" si="107"/>
        <v>10 Roda</v>
      </c>
      <c r="K1558" s="194">
        <v>46165</v>
      </c>
      <c r="L1558" s="195">
        <v>11000</v>
      </c>
      <c r="M1558" s="195">
        <v>30550</v>
      </c>
      <c r="N1558" s="195">
        <v>19550</v>
      </c>
      <c r="O1558" s="195"/>
      <c r="P1558" s="196">
        <v>0.59444444444444444</v>
      </c>
      <c r="Q1558" s="196">
        <v>0.64236111111111105</v>
      </c>
      <c r="R1558" s="193" t="s">
        <v>137</v>
      </c>
      <c r="S1558" s="193" t="s">
        <v>3235</v>
      </c>
      <c r="T1558" s="197" t="str">
        <f t="shared" si="105"/>
        <v/>
      </c>
      <c r="U1558" s="193" t="s">
        <v>175</v>
      </c>
      <c r="V1558" s="193" t="s">
        <v>2098</v>
      </c>
    </row>
    <row r="1559" spans="2:22" ht="15" customHeight="1" x14ac:dyDescent="0.2">
      <c r="B1559" s="193">
        <v>1</v>
      </c>
      <c r="C1559" s="347" t="s">
        <v>3222</v>
      </c>
      <c r="D1559" s="193" t="str">
        <f t="shared" si="108"/>
        <v>RBDPS001295BMS</v>
      </c>
      <c r="E1559" s="193" t="s">
        <v>3227</v>
      </c>
      <c r="F1559" s="193"/>
      <c r="G1559" s="193"/>
      <c r="H1559" s="193" t="s">
        <v>3143</v>
      </c>
      <c r="I1559" s="193" t="s">
        <v>3142</v>
      </c>
      <c r="J1559" s="193" t="str">
        <f t="shared" si="107"/>
        <v>10 Roda</v>
      </c>
      <c r="K1559" s="194">
        <v>46165</v>
      </c>
      <c r="L1559" s="195">
        <v>11490</v>
      </c>
      <c r="M1559" s="195">
        <v>30510</v>
      </c>
      <c r="N1559" s="195">
        <v>19020</v>
      </c>
      <c r="O1559" s="195"/>
      <c r="P1559" s="196">
        <v>0.61805555555555558</v>
      </c>
      <c r="Q1559" s="196">
        <v>0.71666666666666667</v>
      </c>
      <c r="R1559" s="193" t="s">
        <v>137</v>
      </c>
      <c r="S1559" s="193" t="s">
        <v>3236</v>
      </c>
      <c r="T1559" s="197" t="str">
        <f t="shared" ref="T1559" si="109">IFERROR(_xlfn.XLOOKUP(H1559,$AM$4:$AM$18,$AP$4:$AP$18,""),0)</f>
        <v/>
      </c>
      <c r="U1559" s="193" t="s">
        <v>175</v>
      </c>
      <c r="V1559" s="193" t="s">
        <v>2098</v>
      </c>
    </row>
    <row r="1560" spans="2:22" ht="15" customHeight="1" x14ac:dyDescent="0.2">
      <c r="B1560" s="193">
        <v>1</v>
      </c>
      <c r="C1560" s="347" t="s">
        <v>3239</v>
      </c>
      <c r="D1560" s="347" t="str">
        <f t="shared" si="108"/>
        <v>RBDPL001316SCM</v>
      </c>
      <c r="E1560" s="193" t="s">
        <v>151</v>
      </c>
      <c r="F1560" s="193"/>
      <c r="G1560" s="193"/>
      <c r="H1560" s="193" t="s">
        <v>107</v>
      </c>
      <c r="I1560" s="193" t="s">
        <v>3</v>
      </c>
      <c r="J1560" s="193" t="s">
        <v>1132</v>
      </c>
      <c r="K1560" s="194">
        <v>46168</v>
      </c>
      <c r="L1560" s="195">
        <v>4210</v>
      </c>
      <c r="M1560" s="195">
        <v>13710</v>
      </c>
      <c r="N1560" s="195">
        <v>9500</v>
      </c>
      <c r="O1560" s="195"/>
      <c r="P1560" s="196">
        <v>0.47986111111111113</v>
      </c>
      <c r="Q1560" s="196">
        <v>0.50486111111111109</v>
      </c>
      <c r="R1560" s="193" t="s">
        <v>137</v>
      </c>
      <c r="S1560" s="193" t="s">
        <v>1388</v>
      </c>
      <c r="T1560" s="197">
        <f t="shared" ref="T1560:T1572" si="110">IFERROR(_xlfn.XLOOKUP(H1560,$AM$4:$AM$18,$AP$4:$AP$18,""),0)</f>
        <v>400</v>
      </c>
      <c r="U1560" s="193" t="s">
        <v>175</v>
      </c>
      <c r="V1560" s="193" t="s">
        <v>2098</v>
      </c>
    </row>
    <row r="1561" spans="2:22" ht="15" customHeight="1" x14ac:dyDescent="0.2">
      <c r="B1561" s="193">
        <v>1</v>
      </c>
      <c r="C1561" s="347" t="s">
        <v>3240</v>
      </c>
      <c r="D1561" s="347" t="str">
        <f t="shared" si="108"/>
        <v>RBDPL001317SCM</v>
      </c>
      <c r="E1561" s="193" t="s">
        <v>2090</v>
      </c>
      <c r="F1561" s="193"/>
      <c r="G1561" s="193"/>
      <c r="H1561" s="193" t="s">
        <v>107</v>
      </c>
      <c r="I1561" s="193" t="s">
        <v>3</v>
      </c>
      <c r="J1561" s="193" t="s">
        <v>1132</v>
      </c>
      <c r="K1561" s="194">
        <v>46168</v>
      </c>
      <c r="L1561" s="195">
        <v>4080</v>
      </c>
      <c r="M1561" s="195">
        <v>13860</v>
      </c>
      <c r="N1561" s="195">
        <v>9780</v>
      </c>
      <c r="O1561" s="195"/>
      <c r="P1561" s="196">
        <v>0.54999999999999993</v>
      </c>
      <c r="Q1561" s="196">
        <v>0.5805555555555556</v>
      </c>
      <c r="R1561" s="193" t="s">
        <v>137</v>
      </c>
      <c r="S1561" s="193" t="s">
        <v>2094</v>
      </c>
      <c r="T1561" s="197">
        <f t="shared" si="110"/>
        <v>400</v>
      </c>
      <c r="U1561" s="193" t="s">
        <v>175</v>
      </c>
      <c r="V1561" s="193" t="s">
        <v>2098</v>
      </c>
    </row>
    <row r="1562" spans="2:22" ht="15" customHeight="1" x14ac:dyDescent="0.2">
      <c r="B1562" s="193">
        <v>1</v>
      </c>
      <c r="C1562" s="347" t="s">
        <v>3241</v>
      </c>
      <c r="D1562" s="347" t="str">
        <f t="shared" si="108"/>
        <v>RBDPL001318SCM</v>
      </c>
      <c r="E1562" s="193" t="s">
        <v>3252</v>
      </c>
      <c r="F1562" s="193"/>
      <c r="G1562" s="193"/>
      <c r="H1562" s="193" t="s">
        <v>107</v>
      </c>
      <c r="I1562" s="193" t="s">
        <v>3</v>
      </c>
      <c r="J1562" s="193" t="s">
        <v>1132</v>
      </c>
      <c r="K1562" s="194">
        <v>46168</v>
      </c>
      <c r="L1562" s="195">
        <v>4030</v>
      </c>
      <c r="M1562" s="195">
        <v>13320</v>
      </c>
      <c r="N1562" s="195">
        <v>9290</v>
      </c>
      <c r="O1562" s="195"/>
      <c r="P1562" s="196">
        <v>0.5625</v>
      </c>
      <c r="Q1562" s="196">
        <v>0.59722222222222221</v>
      </c>
      <c r="R1562" s="193" t="s">
        <v>137</v>
      </c>
      <c r="S1562" s="193" t="s">
        <v>2095</v>
      </c>
      <c r="T1562" s="197">
        <f t="shared" si="110"/>
        <v>400</v>
      </c>
      <c r="U1562" s="193" t="s">
        <v>175</v>
      </c>
      <c r="V1562" s="193" t="s">
        <v>2098</v>
      </c>
    </row>
    <row r="1563" spans="2:22" ht="15" customHeight="1" x14ac:dyDescent="0.2">
      <c r="B1563" s="193">
        <v>1</v>
      </c>
      <c r="C1563" s="347" t="s">
        <v>3242</v>
      </c>
      <c r="D1563" s="347" t="str">
        <f t="shared" si="108"/>
        <v>RBDPL001319SCM</v>
      </c>
      <c r="E1563" s="193" t="s">
        <v>1023</v>
      </c>
      <c r="F1563" s="193"/>
      <c r="G1563" s="193"/>
      <c r="H1563" s="193" t="s">
        <v>107</v>
      </c>
      <c r="I1563" s="193" t="s">
        <v>3</v>
      </c>
      <c r="J1563" s="193" t="s">
        <v>1132</v>
      </c>
      <c r="K1563" s="194">
        <v>46171</v>
      </c>
      <c r="L1563" s="195">
        <v>4320</v>
      </c>
      <c r="M1563" s="195">
        <v>13940</v>
      </c>
      <c r="N1563" s="195">
        <v>9620</v>
      </c>
      <c r="O1563" s="195"/>
      <c r="P1563" s="196">
        <v>0.39930555555555558</v>
      </c>
      <c r="Q1563" s="196">
        <v>0.42638888888888887</v>
      </c>
      <c r="R1563" s="193" t="s">
        <v>137</v>
      </c>
      <c r="S1563" s="193" t="s">
        <v>2132</v>
      </c>
      <c r="T1563" s="197">
        <f t="shared" si="110"/>
        <v>400</v>
      </c>
      <c r="U1563" s="193" t="s">
        <v>175</v>
      </c>
      <c r="V1563" s="193" t="s">
        <v>2098</v>
      </c>
    </row>
    <row r="1564" spans="2:22" ht="15" customHeight="1" x14ac:dyDescent="0.2">
      <c r="B1564" s="193">
        <v>1</v>
      </c>
      <c r="C1564" s="347" t="s">
        <v>3243</v>
      </c>
      <c r="D1564" s="347" t="str">
        <f t="shared" si="108"/>
        <v>RBDPL001322SCM</v>
      </c>
      <c r="E1564" s="193" t="s">
        <v>3253</v>
      </c>
      <c r="F1564" s="193"/>
      <c r="G1564" s="193"/>
      <c r="H1564" s="193" t="s">
        <v>107</v>
      </c>
      <c r="I1564" s="193" t="s">
        <v>3</v>
      </c>
      <c r="J1564" s="193" t="s">
        <v>1132</v>
      </c>
      <c r="K1564" s="194">
        <v>46171</v>
      </c>
      <c r="L1564" s="195">
        <v>3940</v>
      </c>
      <c r="M1564" s="195">
        <v>13390</v>
      </c>
      <c r="N1564" s="195">
        <v>9450</v>
      </c>
      <c r="O1564" s="195"/>
      <c r="P1564" s="196">
        <v>0.6069444444444444</v>
      </c>
      <c r="Q1564" s="196">
        <v>0.62430555555555556</v>
      </c>
      <c r="R1564" s="193" t="s">
        <v>137</v>
      </c>
      <c r="S1564" s="193" t="s">
        <v>3215</v>
      </c>
      <c r="T1564" s="197">
        <f t="shared" si="110"/>
        <v>400</v>
      </c>
      <c r="U1564" s="193" t="s">
        <v>175</v>
      </c>
      <c r="V1564" s="193" t="s">
        <v>2098</v>
      </c>
    </row>
    <row r="1565" spans="2:22" ht="15" customHeight="1" x14ac:dyDescent="0.2">
      <c r="B1565" s="193">
        <v>1</v>
      </c>
      <c r="C1565" s="347" t="s">
        <v>3244</v>
      </c>
      <c r="D1565" s="347" t="str">
        <f t="shared" si="108"/>
        <v>RBDPL001323SCM</v>
      </c>
      <c r="E1565" s="193" t="s">
        <v>2090</v>
      </c>
      <c r="F1565" s="193"/>
      <c r="G1565" s="193"/>
      <c r="H1565" s="193" t="s">
        <v>107</v>
      </c>
      <c r="I1565" s="193" t="s">
        <v>3</v>
      </c>
      <c r="J1565" s="193" t="s">
        <v>1132</v>
      </c>
      <c r="K1565" s="194">
        <v>46171</v>
      </c>
      <c r="L1565" s="195">
        <v>4200</v>
      </c>
      <c r="M1565" s="195">
        <v>13990</v>
      </c>
      <c r="N1565" s="195">
        <v>9790</v>
      </c>
      <c r="O1565" s="195"/>
      <c r="P1565" s="196">
        <v>0.67013888888888884</v>
      </c>
      <c r="Q1565" s="196">
        <v>0.68333333333333324</v>
      </c>
      <c r="R1565" s="193" t="s">
        <v>137</v>
      </c>
      <c r="S1565" s="193" t="s">
        <v>2094</v>
      </c>
      <c r="T1565" s="197">
        <f t="shared" si="110"/>
        <v>400</v>
      </c>
      <c r="U1565" s="193" t="s">
        <v>175</v>
      </c>
      <c r="V1565" s="193" t="s">
        <v>2098</v>
      </c>
    </row>
    <row r="1566" spans="2:22" ht="15" customHeight="1" x14ac:dyDescent="0.2">
      <c r="B1566" s="193">
        <v>1</v>
      </c>
      <c r="C1566" s="347" t="s">
        <v>3245</v>
      </c>
      <c r="D1566" s="347" t="str">
        <f t="shared" si="108"/>
        <v>RBDPL001324SCM</v>
      </c>
      <c r="E1566" s="193" t="s">
        <v>183</v>
      </c>
      <c r="F1566" s="193"/>
      <c r="G1566" s="193"/>
      <c r="H1566" s="193" t="s">
        <v>107</v>
      </c>
      <c r="I1566" s="193" t="s">
        <v>3</v>
      </c>
      <c r="J1566" s="193" t="s">
        <v>1132</v>
      </c>
      <c r="K1566" s="194">
        <v>46171</v>
      </c>
      <c r="L1566" s="195">
        <v>4210</v>
      </c>
      <c r="M1566" s="195">
        <v>14300</v>
      </c>
      <c r="N1566" s="195">
        <v>10090</v>
      </c>
      <c r="O1566" s="195"/>
      <c r="P1566" s="196">
        <v>0.68472222222222223</v>
      </c>
      <c r="Q1566" s="196">
        <v>0.69930555555555562</v>
      </c>
      <c r="R1566" s="193" t="s">
        <v>42</v>
      </c>
      <c r="S1566" s="193" t="s">
        <v>1734</v>
      </c>
      <c r="T1566" s="197">
        <f t="shared" si="110"/>
        <v>400</v>
      </c>
      <c r="U1566" s="193" t="s">
        <v>175</v>
      </c>
      <c r="V1566" s="193" t="s">
        <v>2098</v>
      </c>
    </row>
    <row r="1567" spans="2:22" ht="15" customHeight="1" x14ac:dyDescent="0.2">
      <c r="B1567" s="193">
        <v>1</v>
      </c>
      <c r="C1567" s="347" t="s">
        <v>3246</v>
      </c>
      <c r="D1567" s="347" t="str">
        <f t="shared" si="108"/>
        <v>RBDPL001320DA</v>
      </c>
      <c r="E1567" s="193" t="s">
        <v>1239</v>
      </c>
      <c r="F1567" s="193"/>
      <c r="G1567" s="193"/>
      <c r="H1567" s="193" t="s">
        <v>111</v>
      </c>
      <c r="I1567" s="193" t="s">
        <v>3</v>
      </c>
      <c r="J1567" s="193" t="s">
        <v>1132</v>
      </c>
      <c r="K1567" s="194">
        <v>46171</v>
      </c>
      <c r="L1567" s="195">
        <v>19070</v>
      </c>
      <c r="M1567" s="195">
        <v>42670</v>
      </c>
      <c r="N1567" s="195">
        <v>23600</v>
      </c>
      <c r="O1567" s="195"/>
      <c r="P1567" s="196">
        <v>0.44513888888888892</v>
      </c>
      <c r="Q1567" s="196">
        <v>0.48055555555555557</v>
      </c>
      <c r="R1567" s="193" t="s">
        <v>137</v>
      </c>
      <c r="S1567" s="193" t="s">
        <v>1783</v>
      </c>
      <c r="T1567" s="197">
        <f t="shared" si="110"/>
        <v>360</v>
      </c>
      <c r="U1567" s="193" t="s">
        <v>175</v>
      </c>
      <c r="V1567" s="193" t="s">
        <v>2098</v>
      </c>
    </row>
    <row r="1568" spans="2:22" ht="15" customHeight="1" x14ac:dyDescent="0.2">
      <c r="B1568" s="193">
        <v>1</v>
      </c>
      <c r="C1568" s="347" t="s">
        <v>3247</v>
      </c>
      <c r="D1568" s="347" t="str">
        <f t="shared" si="108"/>
        <v>RBDPL001326WIN</v>
      </c>
      <c r="E1568" s="193" t="s">
        <v>76</v>
      </c>
      <c r="F1568" s="193"/>
      <c r="G1568" s="193"/>
      <c r="H1568" s="193" t="s">
        <v>115</v>
      </c>
      <c r="I1568" s="193" t="s">
        <v>3</v>
      </c>
      <c r="J1568" s="193" t="s">
        <v>1132</v>
      </c>
      <c r="K1568" s="194">
        <v>46171</v>
      </c>
      <c r="L1568" s="195">
        <v>17620</v>
      </c>
      <c r="M1568" s="195">
        <v>46530</v>
      </c>
      <c r="N1568" s="195">
        <v>28910</v>
      </c>
      <c r="O1568" s="195"/>
      <c r="P1568" s="196">
        <v>0.72152777777777777</v>
      </c>
      <c r="Q1568" s="196">
        <v>0.7715277777777777</v>
      </c>
      <c r="R1568" s="193" t="s">
        <v>42</v>
      </c>
      <c r="S1568" s="193" t="s">
        <v>1372</v>
      </c>
      <c r="T1568" s="197">
        <f t="shared" si="110"/>
        <v>642</v>
      </c>
      <c r="U1568" s="193" t="s">
        <v>69</v>
      </c>
      <c r="V1568" s="193" t="s">
        <v>2102</v>
      </c>
    </row>
    <row r="1569" spans="2:22" ht="15" customHeight="1" x14ac:dyDescent="0.2">
      <c r="B1569" s="193">
        <v>1</v>
      </c>
      <c r="C1569" s="347" t="s">
        <v>3248</v>
      </c>
      <c r="D1569" s="347" t="str">
        <f t="shared" si="108"/>
        <v>RBDPL001325TDJ</v>
      </c>
      <c r="E1569" s="193" t="s">
        <v>70</v>
      </c>
      <c r="F1569" s="193"/>
      <c r="G1569" s="193"/>
      <c r="H1569" s="193" t="s">
        <v>1523</v>
      </c>
      <c r="I1569" s="193" t="s">
        <v>3</v>
      </c>
      <c r="J1569" s="193" t="s">
        <v>1132</v>
      </c>
      <c r="K1569" s="194">
        <v>46171</v>
      </c>
      <c r="L1569" s="195">
        <v>17340</v>
      </c>
      <c r="M1569" s="195">
        <v>46150</v>
      </c>
      <c r="N1569" s="195">
        <v>28810</v>
      </c>
      <c r="O1569" s="195"/>
      <c r="P1569" s="196">
        <v>0.71111111111111114</v>
      </c>
      <c r="Q1569" s="196">
        <v>0.74513888888888891</v>
      </c>
      <c r="R1569" s="193" t="s">
        <v>42</v>
      </c>
      <c r="S1569" s="193" t="s">
        <v>1499</v>
      </c>
      <c r="T1569" s="197">
        <f t="shared" si="110"/>
        <v>473</v>
      </c>
      <c r="U1569" s="193" t="s">
        <v>69</v>
      </c>
      <c r="V1569" s="193" t="s">
        <v>3216</v>
      </c>
    </row>
    <row r="1570" spans="2:22" ht="15" customHeight="1" x14ac:dyDescent="0.2">
      <c r="B1570" s="193">
        <v>1</v>
      </c>
      <c r="C1570" s="347" t="s">
        <v>3249</v>
      </c>
      <c r="D1570" s="347" t="str">
        <f t="shared" si="108"/>
        <v>RBDPL001327DA</v>
      </c>
      <c r="E1570" s="193" t="s">
        <v>151</v>
      </c>
      <c r="F1570" s="193"/>
      <c r="G1570" s="193"/>
      <c r="H1570" s="193" t="s">
        <v>111</v>
      </c>
      <c r="I1570" s="193" t="s">
        <v>3</v>
      </c>
      <c r="J1570" s="193" t="s">
        <v>1132</v>
      </c>
      <c r="K1570" s="194">
        <v>46172</v>
      </c>
      <c r="L1570" s="195">
        <v>4180</v>
      </c>
      <c r="M1570" s="195">
        <v>13660</v>
      </c>
      <c r="N1570" s="195">
        <v>9480</v>
      </c>
      <c r="O1570" s="195"/>
      <c r="P1570" s="196">
        <v>0.4381944444444445</v>
      </c>
      <c r="Q1570" s="196">
        <v>0.4604166666666667</v>
      </c>
      <c r="R1570" s="193" t="s">
        <v>137</v>
      </c>
      <c r="S1570" s="193" t="s">
        <v>1388</v>
      </c>
      <c r="T1570" s="197">
        <f t="shared" si="110"/>
        <v>360</v>
      </c>
      <c r="U1570" s="193" t="s">
        <v>175</v>
      </c>
      <c r="V1570" s="193" t="s">
        <v>2098</v>
      </c>
    </row>
    <row r="1571" spans="2:22" ht="15" customHeight="1" x14ac:dyDescent="0.2">
      <c r="B1571" s="193">
        <v>1</v>
      </c>
      <c r="C1571" s="347" t="s">
        <v>3250</v>
      </c>
      <c r="D1571" s="347" t="str">
        <f t="shared" si="108"/>
        <v>RBDPL001328SCM</v>
      </c>
      <c r="E1571" s="193" t="s">
        <v>835</v>
      </c>
      <c r="F1571" s="193"/>
      <c r="G1571" s="193"/>
      <c r="H1571" s="193" t="s">
        <v>107</v>
      </c>
      <c r="I1571" s="193" t="s">
        <v>3</v>
      </c>
      <c r="J1571" s="193" t="s">
        <v>1132</v>
      </c>
      <c r="K1571" s="194">
        <v>46172</v>
      </c>
      <c r="L1571" s="195">
        <v>3930</v>
      </c>
      <c r="M1571" s="195">
        <v>13380</v>
      </c>
      <c r="N1571" s="195">
        <v>9450</v>
      </c>
      <c r="O1571" s="195"/>
      <c r="P1571" s="196">
        <v>0.44305555555555554</v>
      </c>
      <c r="Q1571" s="196">
        <v>0.47152777777777777</v>
      </c>
      <c r="R1571" s="193" t="s">
        <v>137</v>
      </c>
      <c r="S1571" s="193" t="s">
        <v>2038</v>
      </c>
      <c r="T1571" s="197">
        <f t="shared" si="110"/>
        <v>400</v>
      </c>
      <c r="U1571" s="193" t="s">
        <v>175</v>
      </c>
      <c r="V1571" s="193" t="s">
        <v>2098</v>
      </c>
    </row>
    <row r="1572" spans="2:22" ht="15" customHeight="1" x14ac:dyDescent="0.2">
      <c r="B1572" s="193">
        <v>1</v>
      </c>
      <c r="C1572" s="347" t="s">
        <v>3251</v>
      </c>
      <c r="D1572" s="347" t="str">
        <f t="shared" si="108"/>
        <v>RBDPL001329SCM</v>
      </c>
      <c r="E1572" s="193" t="s">
        <v>830</v>
      </c>
      <c r="F1572" s="193"/>
      <c r="G1572" s="193"/>
      <c r="H1572" s="193" t="s">
        <v>107</v>
      </c>
      <c r="I1572" s="193" t="s">
        <v>3</v>
      </c>
      <c r="J1572" s="193" t="s">
        <v>1132</v>
      </c>
      <c r="K1572" s="194">
        <v>46172</v>
      </c>
      <c r="L1572" s="195">
        <v>4260</v>
      </c>
      <c r="M1572" s="195">
        <v>13440</v>
      </c>
      <c r="N1572" s="195">
        <v>9180</v>
      </c>
      <c r="O1572" s="195"/>
      <c r="P1572" s="196">
        <v>0.46388888888888885</v>
      </c>
      <c r="Q1572" s="196">
        <v>0.48333333333333334</v>
      </c>
      <c r="R1572" s="193" t="s">
        <v>137</v>
      </c>
      <c r="S1572" s="193" t="s">
        <v>1618</v>
      </c>
      <c r="T1572" s="197">
        <f t="shared" si="110"/>
        <v>400</v>
      </c>
      <c r="U1572" s="193" t="s">
        <v>175</v>
      </c>
      <c r="V1572" s="193" t="s">
        <v>2098</v>
      </c>
    </row>
    <row r="1573" spans="2:22" ht="15" customHeight="1" x14ac:dyDescent="0.2">
      <c r="B1573" s="193"/>
      <c r="C1573" s="347"/>
      <c r="D1573" s="347"/>
      <c r="E1573" s="193"/>
      <c r="F1573" s="193"/>
      <c r="G1573" s="193"/>
      <c r="H1573" s="193"/>
      <c r="I1573" s="193"/>
      <c r="J1573" s="193"/>
      <c r="K1573" s="194"/>
      <c r="L1573" s="195"/>
      <c r="M1573" s="195"/>
      <c r="N1573" s="195"/>
      <c r="O1573" s="195"/>
      <c r="P1573" s="196"/>
      <c r="Q1573" s="196"/>
      <c r="R1573" s="193"/>
      <c r="S1573" s="193"/>
      <c r="T1573" s="197"/>
      <c r="U1573" s="193"/>
      <c r="V1573" s="193"/>
    </row>
    <row r="1574" spans="2:22" ht="15" customHeight="1" x14ac:dyDescent="0.2">
      <c r="B1574" s="193"/>
      <c r="C1574" s="347"/>
      <c r="D1574" s="347"/>
      <c r="E1574" s="193"/>
      <c r="F1574" s="193"/>
      <c r="G1574" s="193"/>
      <c r="H1574" s="193"/>
      <c r="I1574" s="193"/>
      <c r="J1574" s="193"/>
      <c r="K1574" s="194"/>
      <c r="L1574" s="195"/>
      <c r="M1574" s="195"/>
      <c r="N1574" s="195"/>
      <c r="O1574" s="195"/>
      <c r="P1574" s="196"/>
      <c r="Q1574" s="196"/>
      <c r="R1574" s="193"/>
      <c r="S1574" s="193"/>
      <c r="T1574" s="197"/>
      <c r="U1574" s="193"/>
      <c r="V1574" s="193"/>
    </row>
    <row r="1575" spans="2:22" ht="15" customHeight="1" x14ac:dyDescent="0.2">
      <c r="B1575" s="193"/>
      <c r="C1575" s="347"/>
      <c r="D1575" s="347"/>
      <c r="E1575" s="193"/>
      <c r="F1575" s="193"/>
      <c r="G1575" s="193"/>
      <c r="H1575" s="193"/>
      <c r="I1575" s="193"/>
      <c r="J1575" s="193"/>
      <c r="K1575" s="194"/>
      <c r="L1575" s="195"/>
      <c r="M1575" s="195"/>
      <c r="N1575" s="195"/>
      <c r="O1575" s="195"/>
      <c r="P1575" s="196"/>
      <c r="Q1575" s="196"/>
      <c r="R1575" s="193"/>
      <c r="S1575" s="193"/>
      <c r="T1575" s="197"/>
      <c r="U1575" s="193"/>
      <c r="V1575" s="193"/>
    </row>
    <row r="1576" spans="2:22" ht="15" customHeight="1" x14ac:dyDescent="0.2">
      <c r="B1576" s="193"/>
      <c r="C1576" s="347"/>
      <c r="D1576" s="347"/>
      <c r="E1576" s="193"/>
      <c r="F1576" s="193"/>
      <c r="G1576" s="193"/>
      <c r="H1576" s="193"/>
      <c r="I1576" s="193"/>
      <c r="J1576" s="193"/>
      <c r="K1576" s="194"/>
      <c r="L1576" s="195"/>
      <c r="M1576" s="195"/>
      <c r="N1576" s="195"/>
      <c r="O1576" s="195"/>
      <c r="P1576" s="196"/>
      <c r="Q1576" s="196"/>
      <c r="R1576" s="193"/>
      <c r="S1576" s="193"/>
      <c r="T1576" s="197"/>
      <c r="U1576" s="193"/>
      <c r="V1576" s="193"/>
    </row>
    <row r="1577" spans="2:22" ht="15" customHeight="1" x14ac:dyDescent="0.2">
      <c r="B1577" s="193"/>
      <c r="C1577" s="347"/>
      <c r="D1577" s="347"/>
      <c r="E1577" s="193"/>
      <c r="F1577" s="193"/>
      <c r="G1577" s="193"/>
      <c r="H1577" s="193"/>
      <c r="I1577" s="193"/>
      <c r="J1577" s="193"/>
      <c r="K1577" s="194"/>
      <c r="L1577" s="195"/>
      <c r="M1577" s="195"/>
      <c r="N1577" s="195"/>
      <c r="O1577" s="195"/>
      <c r="P1577" s="196"/>
      <c r="Q1577" s="196"/>
      <c r="R1577" s="193"/>
      <c r="S1577" s="193"/>
      <c r="T1577" s="197"/>
      <c r="U1577" s="193"/>
      <c r="V1577" s="193"/>
    </row>
    <row r="1578" spans="2:22" ht="15" customHeight="1" x14ac:dyDescent="0.2">
      <c r="B1578" s="193"/>
      <c r="C1578" s="347"/>
      <c r="D1578" s="347"/>
      <c r="E1578" s="193"/>
      <c r="F1578" s="193"/>
      <c r="G1578" s="193"/>
      <c r="H1578" s="193"/>
      <c r="I1578" s="193"/>
      <c r="J1578" s="193"/>
      <c r="K1578" s="194"/>
      <c r="L1578" s="195"/>
      <c r="M1578" s="195"/>
      <c r="N1578" s="195"/>
      <c r="O1578" s="195"/>
      <c r="P1578" s="196"/>
      <c r="Q1578" s="196"/>
      <c r="R1578" s="193"/>
      <c r="S1578" s="193"/>
      <c r="T1578" s="197"/>
      <c r="U1578" s="193"/>
      <c r="V1578" s="193"/>
    </row>
    <row r="1579" spans="2:22" ht="15" customHeight="1" x14ac:dyDescent="0.2">
      <c r="B1579" s="193"/>
      <c r="C1579" s="347"/>
      <c r="D1579" s="347"/>
      <c r="E1579" s="193"/>
      <c r="F1579" s="193"/>
      <c r="G1579" s="193"/>
      <c r="H1579" s="193"/>
      <c r="I1579" s="193"/>
      <c r="J1579" s="193"/>
      <c r="K1579" s="194"/>
      <c r="L1579" s="195"/>
      <c r="M1579" s="195"/>
      <c r="N1579" s="195"/>
      <c r="O1579" s="195"/>
      <c r="P1579" s="196"/>
      <c r="Q1579" s="196"/>
      <c r="R1579" s="193"/>
      <c r="S1579" s="193"/>
      <c r="T1579" s="197"/>
      <c r="U1579" s="193"/>
      <c r="V1579" s="193"/>
    </row>
    <row r="1580" spans="2:22" ht="15" customHeight="1" x14ac:dyDescent="0.2">
      <c r="B1580" s="193"/>
      <c r="C1580" s="347"/>
      <c r="D1580" s="347"/>
      <c r="E1580" s="193"/>
      <c r="F1580" s="193"/>
      <c r="G1580" s="193"/>
      <c r="H1580" s="193"/>
      <c r="I1580" s="193"/>
      <c r="J1580" s="193"/>
      <c r="K1580" s="194"/>
      <c r="L1580" s="195"/>
      <c r="M1580" s="195"/>
      <c r="N1580" s="195"/>
      <c r="O1580" s="195"/>
      <c r="P1580" s="196"/>
      <c r="Q1580" s="196"/>
      <c r="R1580" s="193"/>
      <c r="S1580" s="193"/>
      <c r="T1580" s="197"/>
      <c r="U1580" s="193"/>
      <c r="V1580" s="193"/>
    </row>
    <row r="1581" spans="2:22" ht="15" customHeight="1" x14ac:dyDescent="0.2">
      <c r="B1581" s="193"/>
      <c r="C1581" s="347"/>
      <c r="D1581" s="347"/>
      <c r="E1581" s="193"/>
      <c r="F1581" s="193"/>
      <c r="G1581" s="193"/>
      <c r="H1581" s="193"/>
      <c r="I1581" s="193"/>
      <c r="J1581" s="193"/>
      <c r="K1581" s="194"/>
      <c r="L1581" s="195"/>
      <c r="M1581" s="195"/>
      <c r="N1581" s="195"/>
      <c r="O1581" s="195"/>
      <c r="P1581" s="196"/>
      <c r="Q1581" s="196"/>
      <c r="R1581" s="193"/>
      <c r="S1581" s="193"/>
      <c r="T1581" s="197"/>
      <c r="U1581" s="193"/>
      <c r="V1581" s="193"/>
    </row>
    <row r="1582" spans="2:22" ht="15" customHeight="1" x14ac:dyDescent="0.2">
      <c r="B1582" s="193"/>
      <c r="C1582" s="347"/>
      <c r="D1582" s="347"/>
      <c r="E1582" s="193"/>
      <c r="F1582" s="193"/>
      <c r="G1582" s="193"/>
      <c r="H1582" s="193"/>
      <c r="I1582" s="193"/>
      <c r="J1582" s="193"/>
      <c r="K1582" s="194"/>
      <c r="L1582" s="195"/>
      <c r="M1582" s="195"/>
      <c r="N1582" s="195"/>
      <c r="O1582" s="195"/>
      <c r="P1582" s="196"/>
      <c r="Q1582" s="196"/>
      <c r="R1582" s="193"/>
      <c r="S1582" s="193"/>
      <c r="T1582" s="197"/>
      <c r="U1582" s="193"/>
      <c r="V1582" s="193"/>
    </row>
    <row r="1583" spans="2:22" ht="15" customHeight="1" x14ac:dyDescent="0.2">
      <c r="B1583" s="193"/>
      <c r="C1583" s="347"/>
      <c r="D1583" s="347"/>
      <c r="E1583" s="193"/>
      <c r="F1583" s="193"/>
      <c r="G1583" s="193"/>
      <c r="H1583" s="193"/>
      <c r="I1583" s="193"/>
      <c r="J1583" s="193"/>
      <c r="K1583" s="194"/>
      <c r="L1583" s="195"/>
      <c r="M1583" s="195"/>
      <c r="N1583" s="195"/>
      <c r="O1583" s="195"/>
      <c r="P1583" s="196"/>
      <c r="Q1583" s="196"/>
      <c r="R1583" s="193"/>
      <c r="S1583" s="193"/>
      <c r="T1583" s="197"/>
      <c r="U1583" s="193"/>
      <c r="V1583" s="193"/>
    </row>
    <row r="1584" spans="2:22" ht="15" customHeight="1" x14ac:dyDescent="0.2">
      <c r="B1584" s="193"/>
      <c r="C1584" s="347"/>
      <c r="D1584" s="347"/>
      <c r="E1584" s="193"/>
      <c r="F1584" s="193"/>
      <c r="G1584" s="193"/>
      <c r="H1584" s="193"/>
      <c r="I1584" s="193"/>
      <c r="J1584" s="193"/>
      <c r="K1584" s="194"/>
      <c r="L1584" s="195"/>
      <c r="M1584" s="195"/>
      <c r="N1584" s="195"/>
      <c r="O1584" s="195"/>
      <c r="P1584" s="196"/>
      <c r="Q1584" s="196"/>
      <c r="R1584" s="193"/>
      <c r="S1584" s="193"/>
      <c r="T1584" s="197"/>
      <c r="U1584" s="193"/>
      <c r="V1584" s="193"/>
    </row>
    <row r="1585" spans="2:22" ht="15" customHeight="1" x14ac:dyDescent="0.2">
      <c r="B1585" s="193"/>
      <c r="C1585" s="347"/>
      <c r="D1585" s="347"/>
      <c r="E1585" s="193"/>
      <c r="F1585" s="193"/>
      <c r="G1585" s="193"/>
      <c r="H1585" s="193"/>
      <c r="I1585" s="193"/>
      <c r="J1585" s="193"/>
      <c r="K1585" s="194"/>
      <c r="L1585" s="195"/>
      <c r="M1585" s="195"/>
      <c r="N1585" s="195"/>
      <c r="O1585" s="195"/>
      <c r="P1585" s="196"/>
      <c r="Q1585" s="196"/>
      <c r="R1585" s="193"/>
      <c r="S1585" s="193"/>
      <c r="T1585" s="197"/>
      <c r="U1585" s="193"/>
      <c r="V1585" s="193"/>
    </row>
    <row r="1586" spans="2:22" ht="15" customHeight="1" x14ac:dyDescent="0.2">
      <c r="B1586" s="193"/>
      <c r="C1586" s="347"/>
      <c r="D1586" s="347"/>
      <c r="E1586" s="193"/>
      <c r="F1586" s="193"/>
      <c r="G1586" s="193"/>
      <c r="H1586" s="193"/>
      <c r="I1586" s="193"/>
      <c r="J1586" s="193"/>
      <c r="K1586" s="194"/>
      <c r="L1586" s="195"/>
      <c r="M1586" s="195"/>
      <c r="N1586" s="195"/>
      <c r="O1586" s="195"/>
      <c r="P1586" s="196"/>
      <c r="Q1586" s="196"/>
      <c r="R1586" s="193"/>
      <c r="S1586" s="193"/>
      <c r="T1586" s="197"/>
      <c r="U1586" s="193"/>
      <c r="V1586" s="193"/>
    </row>
    <row r="1587" spans="2:22" ht="15" customHeight="1" x14ac:dyDescent="0.2">
      <c r="B1587" s="193"/>
      <c r="C1587" s="347"/>
      <c r="D1587" s="347"/>
      <c r="E1587" s="193"/>
      <c r="F1587" s="193"/>
      <c r="G1587" s="193"/>
      <c r="H1587" s="193"/>
      <c r="I1587" s="193"/>
      <c r="J1587" s="193"/>
      <c r="K1587" s="194"/>
      <c r="L1587" s="195"/>
      <c r="M1587" s="195"/>
      <c r="N1587" s="195"/>
      <c r="O1587" s="195"/>
      <c r="P1587" s="196"/>
      <c r="Q1587" s="196"/>
      <c r="R1587" s="193"/>
      <c r="S1587" s="193"/>
      <c r="T1587" s="197"/>
      <c r="U1587" s="193"/>
      <c r="V1587" s="193"/>
    </row>
    <row r="1588" spans="2:22" ht="15" customHeight="1" x14ac:dyDescent="0.2">
      <c r="B1588" s="193"/>
      <c r="C1588" s="347"/>
      <c r="D1588" s="347"/>
      <c r="E1588" s="193"/>
      <c r="F1588" s="193"/>
      <c r="G1588" s="193"/>
      <c r="H1588" s="193"/>
      <c r="I1588" s="193"/>
      <c r="J1588" s="193"/>
      <c r="K1588" s="194"/>
      <c r="L1588" s="195"/>
      <c r="M1588" s="195"/>
      <c r="N1588" s="195"/>
      <c r="O1588" s="195"/>
      <c r="P1588" s="196"/>
      <c r="Q1588" s="196"/>
      <c r="R1588" s="193"/>
      <c r="S1588" s="193"/>
      <c r="T1588" s="197"/>
      <c r="U1588" s="193"/>
      <c r="V1588" s="193"/>
    </row>
    <row r="1589" spans="2:22" ht="15" customHeight="1" x14ac:dyDescent="0.2">
      <c r="B1589" s="193"/>
      <c r="C1589" s="347"/>
      <c r="D1589" s="347"/>
      <c r="E1589" s="193"/>
      <c r="F1589" s="193"/>
      <c r="G1589" s="193"/>
      <c r="H1589" s="193"/>
      <c r="I1589" s="193"/>
      <c r="J1589" s="193"/>
      <c r="K1589" s="194"/>
      <c r="L1589" s="195"/>
      <c r="M1589" s="195"/>
      <c r="N1589" s="195"/>
      <c r="O1589" s="195"/>
      <c r="P1589" s="196"/>
      <c r="Q1589" s="196"/>
      <c r="R1589" s="193"/>
      <c r="S1589" s="193"/>
      <c r="T1589" s="197"/>
      <c r="U1589" s="193"/>
      <c r="V1589" s="193"/>
    </row>
    <row r="1590" spans="2:22" ht="15" customHeight="1" x14ac:dyDescent="0.2">
      <c r="B1590" s="193"/>
      <c r="C1590" s="347"/>
      <c r="D1590" s="347"/>
      <c r="E1590" s="193"/>
      <c r="F1590" s="193"/>
      <c r="G1590" s="193"/>
      <c r="H1590" s="193"/>
      <c r="I1590" s="193"/>
      <c r="J1590" s="193"/>
      <c r="K1590" s="194"/>
      <c r="L1590" s="195"/>
      <c r="M1590" s="195"/>
      <c r="N1590" s="195"/>
      <c r="O1590" s="195"/>
      <c r="P1590" s="196"/>
      <c r="Q1590" s="196"/>
      <c r="R1590" s="193"/>
      <c r="S1590" s="193"/>
      <c r="T1590" s="197"/>
      <c r="U1590" s="193"/>
      <c r="V1590" s="193"/>
    </row>
    <row r="1591" spans="2:22" ht="15" customHeight="1" x14ac:dyDescent="0.2">
      <c r="B1591" s="193"/>
      <c r="C1591" s="347"/>
      <c r="D1591" s="347"/>
      <c r="E1591" s="193"/>
      <c r="F1591" s="193"/>
      <c r="G1591" s="193"/>
      <c r="H1591" s="193"/>
      <c r="I1591" s="193"/>
      <c r="J1591" s="193"/>
      <c r="K1591" s="194"/>
      <c r="L1591" s="195"/>
      <c r="M1591" s="195"/>
      <c r="N1591" s="195"/>
      <c r="O1591" s="195"/>
      <c r="P1591" s="196"/>
      <c r="Q1591" s="196"/>
      <c r="R1591" s="193"/>
      <c r="S1591" s="193"/>
      <c r="T1591" s="197"/>
      <c r="U1591" s="193"/>
      <c r="V1591" s="193"/>
    </row>
    <row r="1592" spans="2:22" ht="15" customHeight="1" x14ac:dyDescent="0.2">
      <c r="B1592" s="193"/>
      <c r="C1592" s="347"/>
      <c r="D1592" s="347"/>
      <c r="E1592" s="193"/>
      <c r="F1592" s="193"/>
      <c r="G1592" s="193"/>
      <c r="H1592" s="193"/>
      <c r="I1592" s="193"/>
      <c r="J1592" s="193"/>
      <c r="K1592" s="194"/>
      <c r="L1592" s="195"/>
      <c r="M1592" s="195"/>
      <c r="N1592" s="195"/>
      <c r="O1592" s="195"/>
      <c r="P1592" s="196"/>
      <c r="Q1592" s="196"/>
      <c r="R1592" s="193"/>
      <c r="S1592" s="193"/>
      <c r="T1592" s="197"/>
      <c r="U1592" s="193"/>
      <c r="V1592" s="193"/>
    </row>
    <row r="1593" spans="2:22" ht="15" customHeight="1" x14ac:dyDescent="0.2">
      <c r="B1593" s="193"/>
      <c r="C1593" s="347"/>
      <c r="D1593" s="347"/>
      <c r="E1593" s="193"/>
      <c r="F1593" s="193"/>
      <c r="G1593" s="193"/>
      <c r="H1593" s="193"/>
      <c r="I1593" s="193"/>
      <c r="J1593" s="193"/>
      <c r="K1593" s="194"/>
      <c r="L1593" s="195"/>
      <c r="M1593" s="195"/>
      <c r="N1593" s="195"/>
      <c r="O1593" s="195"/>
      <c r="P1593" s="196"/>
      <c r="Q1593" s="196"/>
      <c r="R1593" s="193"/>
      <c r="S1593" s="193"/>
      <c r="T1593" s="197"/>
      <c r="U1593" s="193"/>
      <c r="V1593" s="193"/>
    </row>
    <row r="1594" spans="2:22" ht="15" customHeight="1" x14ac:dyDescent="0.2">
      <c r="B1594" s="193"/>
      <c r="C1594" s="347"/>
      <c r="D1594" s="347"/>
      <c r="E1594" s="193"/>
      <c r="F1594" s="193"/>
      <c r="G1594" s="193"/>
      <c r="H1594" s="193"/>
      <c r="I1594" s="193"/>
      <c r="J1594" s="193"/>
      <c r="K1594" s="194"/>
      <c r="L1594" s="195"/>
      <c r="M1594" s="195"/>
      <c r="N1594" s="195"/>
      <c r="O1594" s="195"/>
      <c r="P1594" s="196"/>
      <c r="Q1594" s="196"/>
      <c r="R1594" s="193"/>
      <c r="S1594" s="193"/>
      <c r="T1594" s="197"/>
      <c r="U1594" s="193"/>
      <c r="V1594" s="193"/>
    </row>
    <row r="1595" spans="2:22" ht="15" customHeight="1" x14ac:dyDescent="0.2">
      <c r="B1595" s="193"/>
      <c r="C1595" s="347"/>
      <c r="D1595" s="347"/>
      <c r="E1595" s="193"/>
      <c r="F1595" s="193"/>
      <c r="G1595" s="193"/>
      <c r="H1595" s="193"/>
      <c r="I1595" s="193"/>
      <c r="J1595" s="193"/>
      <c r="K1595" s="194"/>
      <c r="L1595" s="195"/>
      <c r="M1595" s="195"/>
      <c r="N1595" s="195"/>
      <c r="O1595" s="195"/>
      <c r="P1595" s="196"/>
      <c r="Q1595" s="196"/>
      <c r="R1595" s="193"/>
      <c r="S1595" s="193"/>
      <c r="T1595" s="197"/>
      <c r="U1595" s="193"/>
      <c r="V1595" s="193"/>
    </row>
    <row r="1596" spans="2:22" ht="15" customHeight="1" x14ac:dyDescent="0.2">
      <c r="B1596" s="193"/>
      <c r="C1596" s="347"/>
      <c r="D1596" s="347"/>
      <c r="E1596" s="193"/>
      <c r="F1596" s="193"/>
      <c r="G1596" s="193"/>
      <c r="H1596" s="193"/>
      <c r="I1596" s="193"/>
      <c r="J1596" s="193"/>
      <c r="K1596" s="194"/>
      <c r="L1596" s="195"/>
      <c r="M1596" s="195"/>
      <c r="N1596" s="195"/>
      <c r="O1596" s="195"/>
      <c r="P1596" s="196"/>
      <c r="Q1596" s="196"/>
      <c r="R1596" s="193"/>
      <c r="S1596" s="193"/>
      <c r="T1596" s="197"/>
      <c r="U1596" s="193"/>
      <c r="V1596" s="193"/>
    </row>
    <row r="1597" spans="2:22" ht="15" customHeight="1" x14ac:dyDescent="0.2">
      <c r="B1597" s="193"/>
      <c r="C1597" s="347"/>
      <c r="D1597" s="347"/>
      <c r="E1597" s="193"/>
      <c r="F1597" s="193"/>
      <c r="G1597" s="193"/>
      <c r="H1597" s="193"/>
      <c r="I1597" s="193"/>
      <c r="J1597" s="193"/>
      <c r="K1597" s="194"/>
      <c r="L1597" s="195"/>
      <c r="M1597" s="195"/>
      <c r="N1597" s="195"/>
      <c r="O1597" s="195"/>
      <c r="P1597" s="196"/>
      <c r="Q1597" s="196"/>
      <c r="R1597" s="193"/>
      <c r="S1597" s="193"/>
      <c r="T1597" s="197"/>
      <c r="U1597" s="193"/>
      <c r="V1597" s="193"/>
    </row>
    <row r="1598" spans="2:22" ht="15" customHeight="1" x14ac:dyDescent="0.2">
      <c r="B1598" s="193"/>
      <c r="C1598" s="347"/>
      <c r="D1598" s="347"/>
      <c r="E1598" s="193"/>
      <c r="F1598" s="193"/>
      <c r="G1598" s="193"/>
      <c r="H1598" s="193"/>
      <c r="I1598" s="193"/>
      <c r="J1598" s="193"/>
      <c r="K1598" s="194"/>
      <c r="L1598" s="195"/>
      <c r="M1598" s="195"/>
      <c r="N1598" s="195"/>
      <c r="O1598" s="195"/>
      <c r="P1598" s="196"/>
      <c r="Q1598" s="196"/>
      <c r="R1598" s="193"/>
      <c r="S1598" s="193"/>
      <c r="T1598" s="197"/>
      <c r="U1598" s="193"/>
      <c r="V1598" s="193"/>
    </row>
    <row r="1599" spans="2:22" ht="15" customHeight="1" x14ac:dyDescent="0.2">
      <c r="B1599" s="193"/>
      <c r="C1599" s="347"/>
      <c r="D1599" s="347"/>
      <c r="E1599" s="193"/>
      <c r="F1599" s="193"/>
      <c r="G1599" s="193"/>
      <c r="H1599" s="193"/>
      <c r="I1599" s="193"/>
      <c r="J1599" s="193"/>
      <c r="K1599" s="194"/>
      <c r="L1599" s="195"/>
      <c r="M1599" s="195"/>
      <c r="N1599" s="195"/>
      <c r="O1599" s="195"/>
      <c r="P1599" s="196"/>
      <c r="Q1599" s="196"/>
      <c r="R1599" s="193"/>
      <c r="S1599" s="193"/>
      <c r="T1599" s="197"/>
      <c r="U1599" s="193"/>
      <c r="V1599" s="193"/>
    </row>
    <row r="1600" spans="2:22" ht="15" customHeight="1" x14ac:dyDescent="0.2">
      <c r="B1600" s="193"/>
      <c r="C1600" s="347"/>
      <c r="D1600" s="347"/>
      <c r="E1600" s="193"/>
      <c r="F1600" s="193"/>
      <c r="G1600" s="193"/>
      <c r="H1600" s="193"/>
      <c r="I1600" s="193"/>
      <c r="J1600" s="193"/>
      <c r="K1600" s="194"/>
      <c r="L1600" s="195"/>
      <c r="M1600" s="195"/>
      <c r="N1600" s="195"/>
      <c r="O1600" s="195"/>
      <c r="P1600" s="196"/>
      <c r="Q1600" s="196"/>
      <c r="R1600" s="193"/>
      <c r="S1600" s="193"/>
      <c r="T1600" s="197"/>
      <c r="U1600" s="193"/>
      <c r="V1600" s="193"/>
    </row>
    <row r="1601" spans="2:22" ht="15" customHeight="1" x14ac:dyDescent="0.2">
      <c r="B1601" s="193"/>
      <c r="C1601" s="347"/>
      <c r="D1601" s="347"/>
      <c r="E1601" s="193"/>
      <c r="F1601" s="193"/>
      <c r="G1601" s="193"/>
      <c r="H1601" s="193"/>
      <c r="I1601" s="193"/>
      <c r="J1601" s="193"/>
      <c r="K1601" s="194"/>
      <c r="L1601" s="195"/>
      <c r="M1601" s="195"/>
      <c r="N1601" s="195"/>
      <c r="O1601" s="195"/>
      <c r="P1601" s="196"/>
      <c r="Q1601" s="196"/>
      <c r="R1601" s="193"/>
      <c r="S1601" s="193"/>
      <c r="T1601" s="197"/>
      <c r="U1601" s="193"/>
      <c r="V1601" s="193"/>
    </row>
    <row r="1602" spans="2:22" ht="15" customHeight="1" x14ac:dyDescent="0.2">
      <c r="B1602" s="193"/>
      <c r="C1602" s="347"/>
      <c r="D1602" s="347"/>
      <c r="E1602" s="193"/>
      <c r="F1602" s="193"/>
      <c r="G1602" s="193"/>
      <c r="H1602" s="193"/>
      <c r="I1602" s="193"/>
      <c r="J1602" s="193"/>
      <c r="K1602" s="194"/>
      <c r="L1602" s="195"/>
      <c r="M1602" s="195"/>
      <c r="N1602" s="195"/>
      <c r="O1602" s="195"/>
      <c r="P1602" s="196"/>
      <c r="Q1602" s="196"/>
      <c r="R1602" s="193"/>
      <c r="S1602" s="193"/>
      <c r="T1602" s="197"/>
      <c r="U1602" s="193"/>
      <c r="V1602" s="193"/>
    </row>
    <row r="1603" spans="2:22" ht="15" customHeight="1" x14ac:dyDescent="0.2">
      <c r="B1603" s="193"/>
      <c r="C1603" s="347"/>
      <c r="D1603" s="347"/>
      <c r="E1603" s="193"/>
      <c r="F1603" s="193"/>
      <c r="G1603" s="193"/>
      <c r="H1603" s="193"/>
      <c r="I1603" s="193"/>
      <c r="J1603" s="193"/>
      <c r="K1603" s="194"/>
      <c r="L1603" s="195"/>
      <c r="M1603" s="195"/>
      <c r="N1603" s="195"/>
      <c r="O1603" s="195"/>
      <c r="P1603" s="196"/>
      <c r="Q1603" s="196"/>
      <c r="R1603" s="193"/>
      <c r="S1603" s="193"/>
      <c r="T1603" s="197"/>
      <c r="U1603" s="193"/>
      <c r="V1603" s="193"/>
    </row>
    <row r="1604" spans="2:22" ht="15" customHeight="1" x14ac:dyDescent="0.2">
      <c r="B1604" s="193"/>
      <c r="C1604" s="347"/>
      <c r="D1604" s="347"/>
      <c r="E1604" s="193"/>
      <c r="F1604" s="193"/>
      <c r="G1604" s="193"/>
      <c r="H1604" s="193"/>
      <c r="I1604" s="193"/>
      <c r="J1604" s="193"/>
      <c r="K1604" s="194"/>
      <c r="L1604" s="195"/>
      <c r="M1604" s="195"/>
      <c r="N1604" s="195"/>
      <c r="O1604" s="195"/>
      <c r="P1604" s="196"/>
      <c r="Q1604" s="196"/>
      <c r="R1604" s="193"/>
      <c r="S1604" s="193"/>
      <c r="T1604" s="197"/>
      <c r="U1604" s="193"/>
      <c r="V1604" s="193"/>
    </row>
    <row r="1605" spans="2:22" ht="15" customHeight="1" x14ac:dyDescent="0.2">
      <c r="B1605" s="193"/>
      <c r="C1605" s="347"/>
      <c r="D1605" s="347"/>
      <c r="E1605" s="193"/>
      <c r="F1605" s="193"/>
      <c r="G1605" s="193"/>
      <c r="H1605" s="193"/>
      <c r="I1605" s="193"/>
      <c r="J1605" s="193"/>
      <c r="K1605" s="194"/>
      <c r="L1605" s="195"/>
      <c r="M1605" s="195"/>
      <c r="N1605" s="195"/>
      <c r="O1605" s="195"/>
      <c r="P1605" s="196"/>
      <c r="Q1605" s="196"/>
      <c r="R1605" s="193"/>
      <c r="S1605" s="193"/>
      <c r="T1605" s="197"/>
      <c r="U1605" s="193"/>
      <c r="V1605" s="193"/>
    </row>
    <row r="1606" spans="2:22" ht="15" customHeight="1" x14ac:dyDescent="0.2">
      <c r="B1606" s="193"/>
      <c r="C1606" s="347"/>
      <c r="D1606" s="347"/>
      <c r="E1606" s="193"/>
      <c r="F1606" s="193"/>
      <c r="G1606" s="193"/>
      <c r="H1606" s="193"/>
      <c r="I1606" s="193"/>
      <c r="J1606" s="193"/>
      <c r="K1606" s="194"/>
      <c r="L1606" s="195"/>
      <c r="M1606" s="195"/>
      <c r="N1606" s="195"/>
      <c r="O1606" s="195"/>
      <c r="P1606" s="196"/>
      <c r="Q1606" s="196"/>
      <c r="R1606" s="193"/>
      <c r="S1606" s="193"/>
      <c r="T1606" s="197"/>
      <c r="U1606" s="193"/>
      <c r="V1606" s="193"/>
    </row>
    <row r="1607" spans="2:22" ht="15" customHeight="1" x14ac:dyDescent="0.2">
      <c r="B1607" s="193"/>
      <c r="C1607" s="347"/>
      <c r="D1607" s="347"/>
      <c r="E1607" s="193"/>
      <c r="F1607" s="193"/>
      <c r="G1607" s="193"/>
      <c r="H1607" s="193"/>
      <c r="I1607" s="193"/>
      <c r="J1607" s="193"/>
      <c r="K1607" s="194"/>
      <c r="L1607" s="195"/>
      <c r="M1607" s="195"/>
      <c r="N1607" s="195"/>
      <c r="O1607" s="195"/>
      <c r="P1607" s="196"/>
      <c r="Q1607" s="196"/>
      <c r="R1607" s="193"/>
      <c r="S1607" s="193"/>
      <c r="T1607" s="197"/>
      <c r="U1607" s="193"/>
      <c r="V1607" s="193"/>
    </row>
    <row r="1608" spans="2:22" ht="15" customHeight="1" x14ac:dyDescent="0.2">
      <c r="B1608" s="193"/>
      <c r="C1608" s="347"/>
      <c r="D1608" s="347"/>
      <c r="E1608" s="193"/>
      <c r="F1608" s="193"/>
      <c r="G1608" s="193"/>
      <c r="H1608" s="193"/>
      <c r="I1608" s="193"/>
      <c r="J1608" s="193"/>
      <c r="K1608" s="194"/>
      <c r="L1608" s="195"/>
      <c r="M1608" s="195"/>
      <c r="N1608" s="195"/>
      <c r="O1608" s="195"/>
      <c r="P1608" s="196"/>
      <c r="Q1608" s="196"/>
      <c r="R1608" s="193"/>
      <c r="S1608" s="193"/>
      <c r="T1608" s="197"/>
      <c r="U1608" s="193"/>
      <c r="V1608" s="193"/>
    </row>
    <row r="1609" spans="2:22" ht="15" customHeight="1" x14ac:dyDescent="0.2">
      <c r="B1609" s="193"/>
      <c r="C1609" s="347"/>
      <c r="D1609" s="347"/>
      <c r="E1609" s="193"/>
      <c r="F1609" s="193"/>
      <c r="G1609" s="193"/>
      <c r="H1609" s="193"/>
      <c r="I1609" s="193"/>
      <c r="J1609" s="193"/>
      <c r="K1609" s="194"/>
      <c r="L1609" s="195"/>
      <c r="M1609" s="195"/>
      <c r="N1609" s="195"/>
      <c r="O1609" s="195"/>
      <c r="P1609" s="196"/>
      <c r="Q1609" s="196"/>
      <c r="R1609" s="193"/>
      <c r="S1609" s="193"/>
      <c r="T1609" s="197"/>
      <c r="U1609" s="193"/>
      <c r="V1609" s="193"/>
    </row>
    <row r="1610" spans="2:22" ht="15" customHeight="1" x14ac:dyDescent="0.2">
      <c r="B1610" s="193"/>
      <c r="C1610" s="347"/>
      <c r="D1610" s="347"/>
      <c r="E1610" s="193"/>
      <c r="F1610" s="193"/>
      <c r="G1610" s="193"/>
      <c r="H1610" s="193"/>
      <c r="I1610" s="193"/>
      <c r="J1610" s="193"/>
      <c r="K1610" s="194"/>
      <c r="L1610" s="195"/>
      <c r="M1610" s="195"/>
      <c r="N1610" s="195"/>
      <c r="O1610" s="195"/>
      <c r="P1610" s="196"/>
      <c r="Q1610" s="196"/>
      <c r="R1610" s="193"/>
      <c r="S1610" s="193"/>
      <c r="T1610" s="197"/>
      <c r="U1610" s="193"/>
      <c r="V1610" s="193"/>
    </row>
    <row r="1611" spans="2:22" ht="15" customHeight="1" x14ac:dyDescent="0.2">
      <c r="B1611" s="193"/>
      <c r="C1611" s="347"/>
      <c r="D1611" s="347"/>
      <c r="E1611" s="193"/>
      <c r="F1611" s="193"/>
      <c r="G1611" s="193"/>
      <c r="H1611" s="193"/>
      <c r="I1611" s="193"/>
      <c r="J1611" s="193"/>
      <c r="K1611" s="194"/>
      <c r="L1611" s="195"/>
      <c r="M1611" s="195"/>
      <c r="N1611" s="195"/>
      <c r="O1611" s="195"/>
      <c r="P1611" s="196"/>
      <c r="Q1611" s="196"/>
      <c r="R1611" s="193"/>
      <c r="S1611" s="193"/>
      <c r="T1611" s="197"/>
      <c r="U1611" s="193"/>
      <c r="V1611" s="193"/>
    </row>
    <row r="1612" spans="2:22" ht="15" customHeight="1" x14ac:dyDescent="0.2">
      <c r="B1612" s="193"/>
      <c r="C1612" s="347"/>
      <c r="D1612" s="347"/>
      <c r="E1612" s="193"/>
      <c r="F1612" s="193"/>
      <c r="G1612" s="193"/>
      <c r="H1612" s="193"/>
      <c r="I1612" s="193"/>
      <c r="J1612" s="193"/>
      <c r="K1612" s="194"/>
      <c r="L1612" s="195"/>
      <c r="M1612" s="195"/>
      <c r="N1612" s="195"/>
      <c r="O1612" s="195"/>
      <c r="P1612" s="196"/>
      <c r="Q1612" s="196"/>
      <c r="R1612" s="193"/>
      <c r="S1612" s="193"/>
      <c r="T1612" s="197"/>
      <c r="U1612" s="193"/>
      <c r="V1612" s="193"/>
    </row>
    <row r="1613" spans="2:22" ht="15" customHeight="1" x14ac:dyDescent="0.2">
      <c r="B1613" s="193"/>
      <c r="C1613" s="347"/>
      <c r="D1613" s="347"/>
      <c r="E1613" s="193"/>
      <c r="F1613" s="193"/>
      <c r="G1613" s="193"/>
      <c r="H1613" s="193"/>
      <c r="I1613" s="193"/>
      <c r="J1613" s="193"/>
      <c r="K1613" s="194"/>
      <c r="L1613" s="195"/>
      <c r="M1613" s="195"/>
      <c r="N1613" s="195"/>
      <c r="O1613" s="195"/>
      <c r="P1613" s="196"/>
      <c r="Q1613" s="196"/>
      <c r="R1613" s="193"/>
      <c r="S1613" s="193"/>
      <c r="T1613" s="197"/>
      <c r="U1613" s="193"/>
      <c r="V1613" s="193"/>
    </row>
    <row r="1614" spans="2:22" ht="15" customHeight="1" x14ac:dyDescent="0.2">
      <c r="B1614" s="193"/>
      <c r="C1614" s="347"/>
      <c r="D1614" s="347"/>
      <c r="E1614" s="193"/>
      <c r="F1614" s="193"/>
      <c r="G1614" s="193"/>
      <c r="H1614" s="193"/>
      <c r="I1614" s="193"/>
      <c r="J1614" s="193"/>
      <c r="K1614" s="194"/>
      <c r="L1614" s="195"/>
      <c r="M1614" s="195"/>
      <c r="N1614" s="195"/>
      <c r="O1614" s="195"/>
      <c r="P1614" s="196"/>
      <c r="Q1614" s="196"/>
      <c r="R1614" s="193"/>
      <c r="S1614" s="193"/>
      <c r="T1614" s="197"/>
      <c r="U1614" s="193"/>
      <c r="V1614" s="193"/>
    </row>
    <row r="1615" spans="2:22" ht="15" customHeight="1" x14ac:dyDescent="0.2">
      <c r="B1615" s="193"/>
      <c r="C1615" s="347"/>
      <c r="D1615" s="347"/>
      <c r="E1615" s="193"/>
      <c r="F1615" s="193"/>
      <c r="G1615" s="193"/>
      <c r="H1615" s="193"/>
      <c r="I1615" s="193"/>
      <c r="J1615" s="193"/>
      <c r="K1615" s="194"/>
      <c r="L1615" s="195"/>
      <c r="M1615" s="195"/>
      <c r="N1615" s="195"/>
      <c r="O1615" s="195"/>
      <c r="P1615" s="196"/>
      <c r="Q1615" s="196"/>
      <c r="R1615" s="193"/>
      <c r="S1615" s="193"/>
      <c r="T1615" s="197"/>
      <c r="U1615" s="193"/>
      <c r="V1615" s="193"/>
    </row>
    <row r="1616" spans="2:22" ht="15" customHeight="1" x14ac:dyDescent="0.2">
      <c r="B1616" s="193"/>
      <c r="C1616" s="347"/>
      <c r="D1616" s="347"/>
      <c r="E1616" s="193"/>
      <c r="F1616" s="193"/>
      <c r="G1616" s="193"/>
      <c r="H1616" s="193"/>
      <c r="I1616" s="193"/>
      <c r="J1616" s="193"/>
      <c r="K1616" s="194"/>
      <c r="L1616" s="195"/>
      <c r="M1616" s="195"/>
      <c r="N1616" s="195"/>
      <c r="O1616" s="195"/>
      <c r="P1616" s="196"/>
      <c r="Q1616" s="196"/>
      <c r="R1616" s="193"/>
      <c r="S1616" s="193"/>
      <c r="T1616" s="197"/>
      <c r="U1616" s="193"/>
      <c r="V1616" s="193"/>
    </row>
    <row r="1617" spans="2:22" ht="15" customHeight="1" x14ac:dyDescent="0.2">
      <c r="B1617" s="193"/>
      <c r="C1617" s="347"/>
      <c r="D1617" s="347"/>
      <c r="E1617" s="193"/>
      <c r="F1617" s="193"/>
      <c r="G1617" s="193"/>
      <c r="H1617" s="193"/>
      <c r="I1617" s="193"/>
      <c r="J1617" s="193"/>
      <c r="K1617" s="194"/>
      <c r="L1617" s="195"/>
      <c r="M1617" s="195"/>
      <c r="N1617" s="195"/>
      <c r="O1617" s="195"/>
      <c r="P1617" s="196"/>
      <c r="Q1617" s="196"/>
      <c r="R1617" s="193"/>
      <c r="S1617" s="193"/>
      <c r="T1617" s="197"/>
      <c r="U1617" s="193"/>
      <c r="V1617" s="193"/>
    </row>
    <row r="1618" spans="2:22" ht="15" customHeight="1" x14ac:dyDescent="0.2">
      <c r="B1618" s="193"/>
      <c r="C1618" s="347"/>
      <c r="D1618" s="347"/>
      <c r="E1618" s="193"/>
      <c r="F1618" s="193"/>
      <c r="G1618" s="193"/>
      <c r="H1618" s="193"/>
      <c r="I1618" s="193"/>
      <c r="J1618" s="193"/>
      <c r="K1618" s="194"/>
      <c r="L1618" s="195"/>
      <c r="M1618" s="195"/>
      <c r="N1618" s="195"/>
      <c r="O1618" s="195"/>
      <c r="P1618" s="196"/>
      <c r="Q1618" s="196"/>
      <c r="R1618" s="193"/>
      <c r="S1618" s="193"/>
      <c r="T1618" s="197"/>
      <c r="U1618" s="193"/>
      <c r="V1618" s="193"/>
    </row>
    <row r="1619" spans="2:22" ht="15" customHeight="1" x14ac:dyDescent="0.2">
      <c r="B1619" s="193"/>
      <c r="C1619" s="347"/>
      <c r="D1619" s="347"/>
      <c r="E1619" s="193"/>
      <c r="F1619" s="193"/>
      <c r="G1619" s="193"/>
      <c r="H1619" s="193"/>
      <c r="I1619" s="193"/>
      <c r="J1619" s="193"/>
      <c r="K1619" s="194"/>
      <c r="L1619" s="195"/>
      <c r="M1619" s="195"/>
      <c r="N1619" s="195"/>
      <c r="O1619" s="195"/>
      <c r="P1619" s="196"/>
      <c r="Q1619" s="196"/>
      <c r="R1619" s="193"/>
      <c r="S1619" s="193"/>
      <c r="T1619" s="197"/>
      <c r="U1619" s="193"/>
      <c r="V1619" s="193"/>
    </row>
    <row r="1620" spans="2:22" ht="15" customHeight="1" x14ac:dyDescent="0.2">
      <c r="B1620" s="193"/>
      <c r="C1620" s="347"/>
      <c r="D1620" s="347"/>
      <c r="E1620" s="193"/>
      <c r="F1620" s="193"/>
      <c r="G1620" s="193"/>
      <c r="H1620" s="193"/>
      <c r="I1620" s="193"/>
      <c r="J1620" s="193"/>
      <c r="K1620" s="194"/>
      <c r="L1620" s="195"/>
      <c r="M1620" s="195"/>
      <c r="N1620" s="195"/>
      <c r="O1620" s="195"/>
      <c r="P1620" s="196"/>
      <c r="Q1620" s="196"/>
      <c r="R1620" s="193"/>
      <c r="S1620" s="193"/>
      <c r="T1620" s="197"/>
      <c r="U1620" s="193"/>
      <c r="V1620" s="193"/>
    </row>
    <row r="1621" spans="2:22" ht="15" customHeight="1" x14ac:dyDescent="0.2">
      <c r="B1621" s="193"/>
      <c r="C1621" s="347"/>
      <c r="D1621" s="347"/>
      <c r="E1621" s="193"/>
      <c r="F1621" s="193"/>
      <c r="G1621" s="193"/>
      <c r="H1621" s="193"/>
      <c r="I1621" s="193"/>
      <c r="J1621" s="193"/>
      <c r="K1621" s="194"/>
      <c r="L1621" s="195"/>
      <c r="M1621" s="195"/>
      <c r="N1621" s="195"/>
      <c r="O1621" s="195"/>
      <c r="P1621" s="196"/>
      <c r="Q1621" s="196"/>
      <c r="R1621" s="193"/>
      <c r="S1621" s="193"/>
      <c r="T1621" s="197"/>
      <c r="U1621" s="193"/>
      <c r="V1621" s="193"/>
    </row>
    <row r="1622" spans="2:22" ht="15" customHeight="1" x14ac:dyDescent="0.2">
      <c r="B1622" s="193"/>
      <c r="C1622" s="347"/>
      <c r="D1622" s="347"/>
      <c r="E1622" s="193"/>
      <c r="F1622" s="193"/>
      <c r="G1622" s="193"/>
      <c r="H1622" s="193"/>
      <c r="I1622" s="193"/>
      <c r="J1622" s="193"/>
      <c r="K1622" s="194"/>
      <c r="L1622" s="195"/>
      <c r="M1622" s="195"/>
      <c r="N1622" s="195"/>
      <c r="O1622" s="195"/>
      <c r="P1622" s="196"/>
      <c r="Q1622" s="196"/>
      <c r="R1622" s="193"/>
      <c r="S1622" s="193"/>
      <c r="T1622" s="197"/>
      <c r="U1622" s="193"/>
      <c r="V1622" s="193"/>
    </row>
    <row r="1623" spans="2:22" ht="15" customHeight="1" x14ac:dyDescent="0.2">
      <c r="B1623" s="193"/>
      <c r="C1623" s="347"/>
      <c r="D1623" s="347"/>
      <c r="E1623" s="193"/>
      <c r="F1623" s="193"/>
      <c r="G1623" s="193"/>
      <c r="H1623" s="193"/>
      <c r="I1623" s="193"/>
      <c r="J1623" s="193"/>
      <c r="K1623" s="194"/>
      <c r="L1623" s="195"/>
      <c r="M1623" s="195"/>
      <c r="N1623" s="195"/>
      <c r="O1623" s="195"/>
      <c r="P1623" s="196"/>
      <c r="Q1623" s="196"/>
      <c r="R1623" s="193"/>
      <c r="S1623" s="193"/>
      <c r="T1623" s="197"/>
      <c r="U1623" s="193"/>
      <c r="V1623" s="193"/>
    </row>
    <row r="1624" spans="2:22" ht="15" customHeight="1" x14ac:dyDescent="0.2">
      <c r="B1624" s="193"/>
      <c r="C1624" s="347"/>
      <c r="D1624" s="347"/>
      <c r="E1624" s="193"/>
      <c r="F1624" s="193"/>
      <c r="G1624" s="193"/>
      <c r="H1624" s="193"/>
      <c r="I1624" s="193"/>
      <c r="J1624" s="193"/>
      <c r="K1624" s="194"/>
      <c r="L1624" s="195"/>
      <c r="M1624" s="195"/>
      <c r="N1624" s="195"/>
      <c r="O1624" s="195"/>
      <c r="P1624" s="196"/>
      <c r="Q1624" s="196"/>
      <c r="R1624" s="193"/>
      <c r="S1624" s="193"/>
      <c r="T1624" s="197"/>
      <c r="U1624" s="193"/>
      <c r="V1624" s="193"/>
    </row>
    <row r="1625" spans="2:22" ht="15" customHeight="1" x14ac:dyDescent="0.2">
      <c r="B1625" s="193"/>
      <c r="C1625" s="347"/>
      <c r="D1625" s="347"/>
      <c r="E1625" s="193"/>
      <c r="F1625" s="193"/>
      <c r="G1625" s="193"/>
      <c r="H1625" s="193"/>
      <c r="I1625" s="193"/>
      <c r="J1625" s="193"/>
      <c r="K1625" s="194"/>
      <c r="L1625" s="195"/>
      <c r="M1625" s="195"/>
      <c r="N1625" s="195"/>
      <c r="O1625" s="195"/>
      <c r="P1625" s="196"/>
      <c r="Q1625" s="196"/>
      <c r="R1625" s="193"/>
      <c r="S1625" s="193"/>
      <c r="T1625" s="197"/>
      <c r="U1625" s="193"/>
      <c r="V1625" s="193"/>
    </row>
    <row r="1626" spans="2:22" ht="15" customHeight="1" x14ac:dyDescent="0.2">
      <c r="B1626" s="193"/>
      <c r="C1626" s="347"/>
      <c r="D1626" s="347"/>
      <c r="E1626" s="193"/>
      <c r="F1626" s="193"/>
      <c r="G1626" s="193"/>
      <c r="H1626" s="193"/>
      <c r="I1626" s="193"/>
      <c r="J1626" s="193"/>
      <c r="K1626" s="194"/>
      <c r="L1626" s="195"/>
      <c r="M1626" s="195"/>
      <c r="N1626" s="195"/>
      <c r="O1626" s="195"/>
      <c r="P1626" s="196"/>
      <c r="Q1626" s="196"/>
      <c r="R1626" s="193"/>
      <c r="S1626" s="193"/>
      <c r="T1626" s="197"/>
      <c r="U1626" s="193"/>
      <c r="V1626" s="193"/>
    </row>
    <row r="1627" spans="2:22" ht="15" customHeight="1" x14ac:dyDescent="0.2">
      <c r="B1627" s="193"/>
      <c r="C1627" s="347"/>
      <c r="D1627" s="347"/>
      <c r="E1627" s="193"/>
      <c r="F1627" s="193"/>
      <c r="G1627" s="193"/>
      <c r="H1627" s="193"/>
      <c r="I1627" s="193"/>
      <c r="J1627" s="193"/>
      <c r="K1627" s="194"/>
      <c r="L1627" s="195"/>
      <c r="M1627" s="195"/>
      <c r="N1627" s="195"/>
      <c r="O1627" s="195"/>
      <c r="P1627" s="196"/>
      <c r="Q1627" s="196"/>
      <c r="R1627" s="193"/>
      <c r="S1627" s="193"/>
      <c r="T1627" s="197"/>
      <c r="U1627" s="193"/>
      <c r="V1627" s="193"/>
    </row>
    <row r="1628" spans="2:22" ht="15" customHeight="1" x14ac:dyDescent="0.2">
      <c r="B1628" s="193"/>
      <c r="C1628" s="347"/>
      <c r="D1628" s="347"/>
      <c r="E1628" s="193"/>
      <c r="F1628" s="193"/>
      <c r="G1628" s="193"/>
      <c r="H1628" s="193"/>
      <c r="I1628" s="193"/>
      <c r="J1628" s="193"/>
      <c r="K1628" s="194"/>
      <c r="L1628" s="195"/>
      <c r="M1628" s="195"/>
      <c r="N1628" s="195"/>
      <c r="O1628" s="195"/>
      <c r="P1628" s="196"/>
      <c r="Q1628" s="196"/>
      <c r="R1628" s="193"/>
      <c r="S1628" s="193"/>
      <c r="T1628" s="197"/>
      <c r="U1628" s="193"/>
      <c r="V1628" s="193"/>
    </row>
    <row r="1629" spans="2:22" ht="15" customHeight="1" x14ac:dyDescent="0.2">
      <c r="B1629" s="193"/>
      <c r="C1629" s="347"/>
      <c r="D1629" s="347"/>
      <c r="E1629" s="193"/>
      <c r="F1629" s="193"/>
      <c r="G1629" s="193"/>
      <c r="H1629" s="193"/>
      <c r="I1629" s="193"/>
      <c r="J1629" s="193"/>
      <c r="K1629" s="194"/>
      <c r="L1629" s="195"/>
      <c r="M1629" s="195"/>
      <c r="N1629" s="195"/>
      <c r="O1629" s="195"/>
      <c r="P1629" s="196"/>
      <c r="Q1629" s="196"/>
      <c r="R1629" s="193"/>
      <c r="S1629" s="193"/>
      <c r="T1629" s="197"/>
      <c r="U1629" s="193"/>
      <c r="V1629" s="193"/>
    </row>
    <row r="1630" spans="2:22" ht="15" customHeight="1" x14ac:dyDescent="0.2">
      <c r="B1630" s="193"/>
      <c r="C1630" s="347"/>
      <c r="D1630" s="347"/>
      <c r="E1630" s="193"/>
      <c r="F1630" s="193"/>
      <c r="G1630" s="193"/>
      <c r="H1630" s="193"/>
      <c r="I1630" s="193"/>
      <c r="J1630" s="193"/>
      <c r="K1630" s="194"/>
      <c r="L1630" s="195"/>
      <c r="M1630" s="195"/>
      <c r="N1630" s="195"/>
      <c r="O1630" s="195"/>
      <c r="P1630" s="196"/>
      <c r="Q1630" s="196"/>
      <c r="R1630" s="193"/>
      <c r="S1630" s="193"/>
      <c r="T1630" s="197"/>
      <c r="U1630" s="193"/>
      <c r="V1630" s="193"/>
    </row>
    <row r="1631" spans="2:22" ht="15" customHeight="1" x14ac:dyDescent="0.2">
      <c r="B1631" s="193"/>
      <c r="C1631" s="347"/>
      <c r="D1631" s="347"/>
      <c r="E1631" s="193"/>
      <c r="F1631" s="193"/>
      <c r="G1631" s="193"/>
      <c r="H1631" s="193"/>
      <c r="I1631" s="193"/>
      <c r="J1631" s="193"/>
      <c r="K1631" s="194"/>
      <c r="L1631" s="195"/>
      <c r="M1631" s="195"/>
      <c r="N1631" s="195"/>
      <c r="O1631" s="195"/>
      <c r="P1631" s="196"/>
      <c r="Q1631" s="196"/>
      <c r="R1631" s="193"/>
      <c r="S1631" s="193"/>
      <c r="T1631" s="197"/>
      <c r="U1631" s="193"/>
      <c r="V1631" s="193"/>
    </row>
    <row r="1632" spans="2:22" ht="15" customHeight="1" x14ac:dyDescent="0.2">
      <c r="B1632" s="193"/>
      <c r="C1632" s="347"/>
      <c r="D1632" s="347"/>
      <c r="E1632" s="193"/>
      <c r="F1632" s="193"/>
      <c r="G1632" s="193"/>
      <c r="H1632" s="193"/>
      <c r="I1632" s="193"/>
      <c r="J1632" s="193"/>
      <c r="K1632" s="194"/>
      <c r="L1632" s="195"/>
      <c r="M1632" s="195"/>
      <c r="N1632" s="195"/>
      <c r="O1632" s="195"/>
      <c r="P1632" s="196"/>
      <c r="Q1632" s="196"/>
      <c r="R1632" s="193"/>
      <c r="S1632" s="193"/>
      <c r="T1632" s="197"/>
      <c r="U1632" s="193"/>
      <c r="V1632" s="193"/>
    </row>
    <row r="1633" spans="2:22" ht="15" customHeight="1" x14ac:dyDescent="0.2">
      <c r="B1633" s="193"/>
      <c r="C1633" s="347"/>
      <c r="D1633" s="347"/>
      <c r="E1633" s="193"/>
      <c r="F1633" s="193"/>
      <c r="G1633" s="193"/>
      <c r="H1633" s="193"/>
      <c r="I1633" s="193"/>
      <c r="J1633" s="193"/>
      <c r="K1633" s="194"/>
      <c r="L1633" s="195"/>
      <c r="M1633" s="195"/>
      <c r="N1633" s="195"/>
      <c r="O1633" s="195"/>
      <c r="P1633" s="196"/>
      <c r="Q1633" s="196"/>
      <c r="R1633" s="193"/>
      <c r="S1633" s="193"/>
      <c r="T1633" s="197"/>
      <c r="U1633" s="193"/>
      <c r="V1633" s="193"/>
    </row>
    <row r="1634" spans="2:22" ht="15" customHeight="1" x14ac:dyDescent="0.2">
      <c r="B1634" s="193"/>
      <c r="C1634" s="347"/>
      <c r="D1634" s="347"/>
      <c r="E1634" s="193"/>
      <c r="F1634" s="193"/>
      <c r="G1634" s="193"/>
      <c r="H1634" s="193"/>
      <c r="I1634" s="193"/>
      <c r="J1634" s="193"/>
      <c r="K1634" s="194"/>
      <c r="L1634" s="195"/>
      <c r="M1634" s="195"/>
      <c r="N1634" s="195"/>
      <c r="O1634" s="195"/>
      <c r="P1634" s="196"/>
      <c r="Q1634" s="196"/>
      <c r="R1634" s="193"/>
      <c r="S1634" s="193"/>
      <c r="T1634" s="197"/>
      <c r="U1634" s="193"/>
      <c r="V1634" s="193"/>
    </row>
    <row r="1635" spans="2:22" ht="15" customHeight="1" x14ac:dyDescent="0.2">
      <c r="B1635" s="193"/>
      <c r="C1635" s="347"/>
      <c r="D1635" s="347"/>
      <c r="E1635" s="193"/>
      <c r="F1635" s="193"/>
      <c r="G1635" s="193"/>
      <c r="H1635" s="193"/>
      <c r="I1635" s="193"/>
      <c r="J1635" s="193"/>
      <c r="K1635" s="194"/>
      <c r="L1635" s="195"/>
      <c r="M1635" s="195"/>
      <c r="N1635" s="195"/>
      <c r="O1635" s="195"/>
      <c r="P1635" s="196"/>
      <c r="Q1635" s="196"/>
      <c r="R1635" s="193"/>
      <c r="S1635" s="193"/>
      <c r="T1635" s="197"/>
      <c r="U1635" s="193"/>
      <c r="V1635" s="193"/>
    </row>
    <row r="1636" spans="2:22" ht="15" customHeight="1" x14ac:dyDescent="0.2">
      <c r="B1636" s="193"/>
      <c r="C1636" s="347"/>
      <c r="D1636" s="347"/>
      <c r="E1636" s="193"/>
      <c r="F1636" s="193"/>
      <c r="G1636" s="193"/>
      <c r="H1636" s="193"/>
      <c r="I1636" s="193"/>
      <c r="J1636" s="193"/>
      <c r="K1636" s="194"/>
      <c r="L1636" s="195"/>
      <c r="M1636" s="195"/>
      <c r="N1636" s="195"/>
      <c r="O1636" s="195"/>
      <c r="P1636" s="196"/>
      <c r="Q1636" s="196"/>
      <c r="R1636" s="193"/>
      <c r="S1636" s="193"/>
      <c r="T1636" s="197"/>
      <c r="U1636" s="193"/>
      <c r="V1636" s="193"/>
    </row>
    <row r="1637" spans="2:22" ht="15" customHeight="1" x14ac:dyDescent="0.2">
      <c r="B1637" s="193"/>
      <c r="C1637" s="347"/>
      <c r="D1637" s="347"/>
      <c r="E1637" s="193"/>
      <c r="F1637" s="193"/>
      <c r="G1637" s="193"/>
      <c r="H1637" s="193"/>
      <c r="I1637" s="193"/>
      <c r="J1637" s="193"/>
      <c r="K1637" s="194"/>
      <c r="L1637" s="195"/>
      <c r="M1637" s="195"/>
      <c r="N1637" s="195"/>
      <c r="O1637" s="195"/>
      <c r="P1637" s="196"/>
      <c r="Q1637" s="196"/>
      <c r="R1637" s="193"/>
      <c r="S1637" s="193"/>
      <c r="T1637" s="197"/>
      <c r="U1637" s="193"/>
      <c r="V1637" s="193"/>
    </row>
    <row r="1638" spans="2:22" ht="15" customHeight="1" x14ac:dyDescent="0.2">
      <c r="B1638" s="193"/>
      <c r="C1638" s="347"/>
      <c r="D1638" s="347"/>
      <c r="E1638" s="193"/>
      <c r="F1638" s="193"/>
      <c r="G1638" s="193"/>
      <c r="H1638" s="193"/>
      <c r="I1638" s="193"/>
      <c r="J1638" s="193"/>
      <c r="K1638" s="194"/>
      <c r="L1638" s="195"/>
      <c r="M1638" s="195"/>
      <c r="N1638" s="195"/>
      <c r="O1638" s="195"/>
      <c r="P1638" s="196"/>
      <c r="Q1638" s="196"/>
      <c r="R1638" s="193"/>
      <c r="S1638" s="193"/>
      <c r="T1638" s="197"/>
      <c r="U1638" s="193"/>
      <c r="V1638" s="193"/>
    </row>
    <row r="1639" spans="2:22" ht="15" customHeight="1" x14ac:dyDescent="0.2">
      <c r="B1639" s="193"/>
      <c r="C1639" s="347"/>
      <c r="D1639" s="347"/>
      <c r="E1639" s="193"/>
      <c r="F1639" s="193"/>
      <c r="G1639" s="193"/>
      <c r="H1639" s="193"/>
      <c r="I1639" s="193"/>
      <c r="J1639" s="193"/>
      <c r="K1639" s="194"/>
      <c r="L1639" s="195"/>
      <c r="M1639" s="195"/>
      <c r="N1639" s="195"/>
      <c r="O1639" s="195"/>
      <c r="P1639" s="196"/>
      <c r="Q1639" s="196"/>
      <c r="R1639" s="193"/>
      <c r="S1639" s="193"/>
      <c r="T1639" s="197"/>
      <c r="U1639" s="193"/>
      <c r="V1639" s="193"/>
    </row>
    <row r="1640" spans="2:22" ht="15" customHeight="1" x14ac:dyDescent="0.2">
      <c r="B1640" s="193"/>
      <c r="C1640" s="347"/>
      <c r="D1640" s="347"/>
      <c r="E1640" s="193"/>
      <c r="F1640" s="193"/>
      <c r="G1640" s="193"/>
      <c r="H1640" s="193"/>
      <c r="I1640" s="193"/>
      <c r="J1640" s="193"/>
      <c r="K1640" s="194"/>
      <c r="L1640" s="195"/>
      <c r="M1640" s="195"/>
      <c r="N1640" s="195"/>
      <c r="O1640" s="195"/>
      <c r="P1640" s="196"/>
      <c r="Q1640" s="196"/>
      <c r="R1640" s="193"/>
      <c r="S1640" s="193"/>
      <c r="T1640" s="197"/>
      <c r="U1640" s="193"/>
      <c r="V1640" s="193"/>
    </row>
    <row r="1641" spans="2:22" ht="15" customHeight="1" x14ac:dyDescent="0.2">
      <c r="B1641" s="193"/>
      <c r="C1641" s="347"/>
      <c r="D1641" s="347"/>
      <c r="E1641" s="193"/>
      <c r="F1641" s="193"/>
      <c r="G1641" s="193"/>
      <c r="H1641" s="193"/>
      <c r="I1641" s="193"/>
      <c r="J1641" s="193"/>
      <c r="K1641" s="194"/>
      <c r="L1641" s="195"/>
      <c r="M1641" s="195"/>
      <c r="N1641" s="195"/>
      <c r="O1641" s="195"/>
      <c r="P1641" s="196"/>
      <c r="Q1641" s="196"/>
      <c r="R1641" s="193"/>
      <c r="S1641" s="193"/>
      <c r="T1641" s="197"/>
      <c r="U1641" s="193"/>
      <c r="V1641" s="193"/>
    </row>
    <row r="1642" spans="2:22" ht="15" customHeight="1" x14ac:dyDescent="0.2">
      <c r="B1642" s="193"/>
      <c r="C1642" s="347"/>
      <c r="D1642" s="347"/>
      <c r="E1642" s="193"/>
      <c r="F1642" s="193"/>
      <c r="G1642" s="193"/>
      <c r="H1642" s="193"/>
      <c r="I1642" s="193"/>
      <c r="J1642" s="193"/>
      <c r="K1642" s="194"/>
      <c r="L1642" s="195"/>
      <c r="M1642" s="195"/>
      <c r="N1642" s="195"/>
      <c r="O1642" s="195"/>
      <c r="P1642" s="196"/>
      <c r="Q1642" s="196"/>
      <c r="R1642" s="193"/>
      <c r="S1642" s="193"/>
      <c r="T1642" s="197"/>
      <c r="U1642" s="193"/>
      <c r="V1642" s="193"/>
    </row>
    <row r="1643" spans="2:22" ht="15" customHeight="1" x14ac:dyDescent="0.2">
      <c r="B1643" s="193"/>
      <c r="C1643" s="347"/>
      <c r="D1643" s="347"/>
      <c r="E1643" s="193"/>
      <c r="F1643" s="193"/>
      <c r="G1643" s="193"/>
      <c r="H1643" s="193"/>
      <c r="I1643" s="193"/>
      <c r="J1643" s="193"/>
      <c r="K1643" s="194"/>
      <c r="L1643" s="195"/>
      <c r="M1643" s="195"/>
      <c r="N1643" s="195"/>
      <c r="O1643" s="195"/>
      <c r="P1643" s="196"/>
      <c r="Q1643" s="196"/>
      <c r="R1643" s="193"/>
      <c r="S1643" s="193"/>
      <c r="T1643" s="197"/>
      <c r="U1643" s="193"/>
      <c r="V1643" s="193"/>
    </row>
    <row r="1644" spans="2:22" ht="15" customHeight="1" x14ac:dyDescent="0.2">
      <c r="B1644" s="193"/>
      <c r="C1644" s="347"/>
      <c r="D1644" s="347"/>
      <c r="E1644" s="193"/>
      <c r="F1644" s="193"/>
      <c r="G1644" s="193"/>
      <c r="H1644" s="193"/>
      <c r="I1644" s="193"/>
      <c r="J1644" s="193"/>
      <c r="K1644" s="194"/>
      <c r="L1644" s="195"/>
      <c r="M1644" s="195"/>
      <c r="N1644" s="195"/>
      <c r="O1644" s="195"/>
      <c r="P1644" s="196"/>
      <c r="Q1644" s="196"/>
      <c r="R1644" s="193"/>
      <c r="S1644" s="193"/>
      <c r="T1644" s="197"/>
      <c r="U1644" s="193"/>
      <c r="V1644" s="193"/>
    </row>
    <row r="1645" spans="2:22" ht="15" customHeight="1" x14ac:dyDescent="0.2">
      <c r="B1645" s="193"/>
      <c r="C1645" s="347"/>
      <c r="D1645" s="347"/>
      <c r="E1645" s="193"/>
      <c r="F1645" s="193"/>
      <c r="G1645" s="193"/>
      <c r="H1645" s="193"/>
      <c r="I1645" s="193"/>
      <c r="J1645" s="193"/>
      <c r="K1645" s="194"/>
      <c r="L1645" s="195"/>
      <c r="M1645" s="195"/>
      <c r="N1645" s="195"/>
      <c r="O1645" s="195"/>
      <c r="P1645" s="196"/>
      <c r="Q1645" s="196"/>
      <c r="R1645" s="193"/>
      <c r="S1645" s="193"/>
      <c r="T1645" s="197"/>
      <c r="U1645" s="193"/>
      <c r="V1645" s="193"/>
    </row>
    <row r="1646" spans="2:22" ht="15" customHeight="1" x14ac:dyDescent="0.2">
      <c r="B1646" s="193"/>
      <c r="C1646" s="347"/>
      <c r="D1646" s="347"/>
      <c r="E1646" s="193"/>
      <c r="F1646" s="193"/>
      <c r="G1646" s="193"/>
      <c r="H1646" s="193"/>
      <c r="I1646" s="193"/>
      <c r="J1646" s="193"/>
      <c r="K1646" s="194"/>
      <c r="L1646" s="195"/>
      <c r="M1646" s="195"/>
      <c r="N1646" s="195"/>
      <c r="O1646" s="195"/>
      <c r="P1646" s="196"/>
      <c r="Q1646" s="196"/>
      <c r="R1646" s="193"/>
      <c r="S1646" s="193"/>
      <c r="T1646" s="197"/>
      <c r="U1646" s="193"/>
      <c r="V1646" s="193"/>
    </row>
    <row r="1647" spans="2:22" ht="15" customHeight="1" x14ac:dyDescent="0.2">
      <c r="B1647" s="193"/>
      <c r="C1647" s="347"/>
      <c r="D1647" s="347"/>
      <c r="E1647" s="193"/>
      <c r="F1647" s="193"/>
      <c r="G1647" s="193"/>
      <c r="H1647" s="193"/>
      <c r="I1647" s="193"/>
      <c r="J1647" s="193"/>
      <c r="K1647" s="194"/>
      <c r="L1647" s="195"/>
      <c r="M1647" s="195"/>
      <c r="N1647" s="195"/>
      <c r="O1647" s="195"/>
      <c r="P1647" s="196"/>
      <c r="Q1647" s="196"/>
      <c r="R1647" s="193"/>
      <c r="S1647" s="193"/>
      <c r="T1647" s="197"/>
      <c r="U1647" s="193"/>
      <c r="V1647" s="193"/>
    </row>
    <row r="1648" spans="2:22" ht="15" customHeight="1" x14ac:dyDescent="0.2">
      <c r="B1648" s="193"/>
      <c r="C1648" s="347"/>
      <c r="D1648" s="347"/>
      <c r="E1648" s="193"/>
      <c r="F1648" s="193"/>
      <c r="G1648" s="193"/>
      <c r="H1648" s="193"/>
      <c r="I1648" s="193"/>
      <c r="J1648" s="193"/>
      <c r="K1648" s="194"/>
      <c r="L1648" s="195"/>
      <c r="M1648" s="195"/>
      <c r="N1648" s="195"/>
      <c r="O1648" s="195"/>
      <c r="P1648" s="196"/>
      <c r="Q1648" s="196"/>
      <c r="R1648" s="193"/>
      <c r="S1648" s="193"/>
      <c r="T1648" s="197"/>
      <c r="U1648" s="193"/>
      <c r="V1648" s="193"/>
    </row>
    <row r="1649" spans="2:22" ht="15" customHeight="1" x14ac:dyDescent="0.2">
      <c r="B1649" s="193"/>
      <c r="C1649" s="347"/>
      <c r="D1649" s="347"/>
      <c r="E1649" s="193"/>
      <c r="F1649" s="193"/>
      <c r="G1649" s="193"/>
      <c r="H1649" s="193"/>
      <c r="I1649" s="193"/>
      <c r="J1649" s="193"/>
      <c r="K1649" s="194"/>
      <c r="L1649" s="195"/>
      <c r="M1649" s="195"/>
      <c r="N1649" s="195"/>
      <c r="O1649" s="195"/>
      <c r="P1649" s="196"/>
      <c r="Q1649" s="196"/>
      <c r="R1649" s="193"/>
      <c r="S1649" s="193"/>
      <c r="T1649" s="197"/>
      <c r="U1649" s="193"/>
      <c r="V1649" s="193"/>
    </row>
    <row r="1650" spans="2:22" ht="15" customHeight="1" x14ac:dyDescent="0.2">
      <c r="B1650" s="193"/>
      <c r="C1650" s="347"/>
      <c r="D1650" s="347"/>
      <c r="E1650" s="193"/>
      <c r="F1650" s="193"/>
      <c r="G1650" s="193"/>
      <c r="H1650" s="193"/>
      <c r="I1650" s="193"/>
      <c r="J1650" s="193"/>
      <c r="K1650" s="194"/>
      <c r="L1650" s="195"/>
      <c r="M1650" s="195"/>
      <c r="N1650" s="195"/>
      <c r="O1650" s="195"/>
      <c r="P1650" s="196"/>
      <c r="Q1650" s="196"/>
      <c r="R1650" s="193"/>
      <c r="S1650" s="193"/>
      <c r="T1650" s="197"/>
      <c r="U1650" s="193"/>
      <c r="V1650" s="193"/>
    </row>
    <row r="1651" spans="2:22" ht="15" customHeight="1" x14ac:dyDescent="0.2">
      <c r="B1651" s="193"/>
      <c r="C1651" s="347"/>
      <c r="D1651" s="347"/>
      <c r="E1651" s="193"/>
      <c r="F1651" s="193"/>
      <c r="G1651" s="193"/>
      <c r="H1651" s="193"/>
      <c r="I1651" s="193"/>
      <c r="J1651" s="193"/>
      <c r="K1651" s="194"/>
      <c r="L1651" s="195"/>
      <c r="M1651" s="195"/>
      <c r="N1651" s="195"/>
      <c r="O1651" s="195"/>
      <c r="P1651" s="196"/>
      <c r="Q1651" s="196"/>
      <c r="R1651" s="193"/>
      <c r="S1651" s="193"/>
      <c r="T1651" s="197"/>
      <c r="U1651" s="193"/>
      <c r="V1651" s="193"/>
    </row>
    <row r="1652" spans="2:22" ht="15" customHeight="1" x14ac:dyDescent="0.2">
      <c r="B1652" s="193"/>
      <c r="C1652" s="347"/>
      <c r="D1652" s="347"/>
      <c r="E1652" s="193"/>
      <c r="F1652" s="193"/>
      <c r="G1652" s="193"/>
      <c r="H1652" s="193"/>
      <c r="I1652" s="193"/>
      <c r="J1652" s="193"/>
      <c r="K1652" s="194"/>
      <c r="L1652" s="195"/>
      <c r="M1652" s="195"/>
      <c r="N1652" s="195"/>
      <c r="O1652" s="195"/>
      <c r="P1652" s="196"/>
      <c r="Q1652" s="196"/>
      <c r="R1652" s="193"/>
      <c r="S1652" s="193"/>
      <c r="T1652" s="197"/>
      <c r="U1652" s="193"/>
      <c r="V1652" s="193"/>
    </row>
    <row r="1653" spans="2:22" ht="15" customHeight="1" x14ac:dyDescent="0.2">
      <c r="B1653" s="193"/>
      <c r="C1653" s="347"/>
      <c r="D1653" s="347"/>
      <c r="E1653" s="193"/>
      <c r="F1653" s="193"/>
      <c r="G1653" s="193"/>
      <c r="H1653" s="193"/>
      <c r="I1653" s="193"/>
      <c r="J1653" s="193"/>
      <c r="K1653" s="194"/>
      <c r="L1653" s="195"/>
      <c r="M1653" s="195"/>
      <c r="N1653" s="195"/>
      <c r="O1653" s="195"/>
      <c r="P1653" s="196"/>
      <c r="Q1653" s="196"/>
      <c r="R1653" s="193"/>
      <c r="S1653" s="193"/>
      <c r="T1653" s="197"/>
      <c r="U1653" s="193"/>
      <c r="V1653" s="193"/>
    </row>
    <row r="1654" spans="2:22" ht="15" customHeight="1" x14ac:dyDescent="0.2">
      <c r="B1654" s="193"/>
      <c r="C1654" s="347"/>
      <c r="D1654" s="347"/>
      <c r="E1654" s="193"/>
      <c r="F1654" s="193"/>
      <c r="G1654" s="193"/>
      <c r="H1654" s="193"/>
      <c r="I1654" s="193"/>
      <c r="J1654" s="193"/>
      <c r="K1654" s="194"/>
      <c r="L1654" s="195"/>
      <c r="M1654" s="195"/>
      <c r="N1654" s="195"/>
      <c r="O1654" s="195"/>
      <c r="P1654" s="196"/>
      <c r="Q1654" s="196"/>
      <c r="R1654" s="193"/>
      <c r="S1654" s="193"/>
      <c r="T1654" s="197"/>
      <c r="U1654" s="193"/>
      <c r="V1654" s="193"/>
    </row>
    <row r="1655" spans="2:22" ht="15" customHeight="1" x14ac:dyDescent="0.2">
      <c r="B1655" s="193"/>
      <c r="C1655" s="347"/>
      <c r="D1655" s="347"/>
      <c r="E1655" s="193"/>
      <c r="F1655" s="193"/>
      <c r="G1655" s="193"/>
      <c r="H1655" s="193"/>
      <c r="I1655" s="193"/>
      <c r="J1655" s="193"/>
      <c r="K1655" s="194"/>
      <c r="L1655" s="195"/>
      <c r="M1655" s="195"/>
      <c r="N1655" s="195"/>
      <c r="O1655" s="195"/>
      <c r="P1655" s="196"/>
      <c r="Q1655" s="196"/>
      <c r="R1655" s="193"/>
      <c r="S1655" s="193"/>
      <c r="T1655" s="197"/>
      <c r="U1655" s="193"/>
      <c r="V1655" s="193"/>
    </row>
    <row r="1656" spans="2:22" ht="15" customHeight="1" x14ac:dyDescent="0.2">
      <c r="B1656" s="193"/>
      <c r="C1656" s="347"/>
      <c r="D1656" s="347"/>
      <c r="E1656" s="193"/>
      <c r="F1656" s="193"/>
      <c r="G1656" s="193"/>
      <c r="H1656" s="193"/>
      <c r="I1656" s="193"/>
      <c r="J1656" s="193"/>
      <c r="K1656" s="194"/>
      <c r="L1656" s="195"/>
      <c r="M1656" s="195"/>
      <c r="N1656" s="195"/>
      <c r="O1656" s="195"/>
      <c r="P1656" s="196"/>
      <c r="Q1656" s="196"/>
      <c r="R1656" s="193"/>
      <c r="S1656" s="193"/>
      <c r="T1656" s="197"/>
      <c r="U1656" s="193"/>
      <c r="V1656" s="193"/>
    </row>
    <row r="1657" spans="2:22" ht="15" customHeight="1" x14ac:dyDescent="0.2">
      <c r="B1657" s="193"/>
      <c r="C1657" s="347"/>
      <c r="D1657" s="347"/>
      <c r="E1657" s="193"/>
      <c r="F1657" s="193"/>
      <c r="G1657" s="193"/>
      <c r="H1657" s="193"/>
      <c r="I1657" s="193"/>
      <c r="J1657" s="193"/>
      <c r="K1657" s="194"/>
      <c r="L1657" s="195"/>
      <c r="M1657" s="195"/>
      <c r="N1657" s="195"/>
      <c r="O1657" s="195"/>
      <c r="P1657" s="196"/>
      <c r="Q1657" s="196"/>
      <c r="R1657" s="193"/>
      <c r="S1657" s="193"/>
      <c r="T1657" s="197"/>
      <c r="U1657" s="193"/>
      <c r="V1657" s="193"/>
    </row>
    <row r="1658" spans="2:22" ht="15" customHeight="1" x14ac:dyDescent="0.2">
      <c r="B1658" s="193"/>
      <c r="C1658" s="347"/>
      <c r="D1658" s="347"/>
      <c r="E1658" s="193"/>
      <c r="F1658" s="193"/>
      <c r="G1658" s="193"/>
      <c r="H1658" s="193"/>
      <c r="I1658" s="193"/>
      <c r="J1658" s="193"/>
      <c r="K1658" s="194"/>
      <c r="L1658" s="195"/>
      <c r="M1658" s="195"/>
      <c r="N1658" s="195"/>
      <c r="O1658" s="195"/>
      <c r="P1658" s="196"/>
      <c r="Q1658" s="196"/>
      <c r="R1658" s="193"/>
      <c r="S1658" s="193"/>
      <c r="T1658" s="197"/>
      <c r="U1658" s="193"/>
      <c r="V1658" s="193"/>
    </row>
    <row r="1659" spans="2:22" ht="15" customHeight="1" x14ac:dyDescent="0.2">
      <c r="B1659" s="193"/>
      <c r="C1659" s="347"/>
      <c r="D1659" s="347"/>
      <c r="E1659" s="193"/>
      <c r="F1659" s="193"/>
      <c r="G1659" s="193"/>
      <c r="H1659" s="193"/>
      <c r="I1659" s="193"/>
      <c r="J1659" s="193"/>
      <c r="K1659" s="194"/>
      <c r="L1659" s="195"/>
      <c r="M1659" s="195"/>
      <c r="N1659" s="195"/>
      <c r="O1659" s="195"/>
      <c r="P1659" s="196"/>
      <c r="Q1659" s="196"/>
      <c r="R1659" s="193"/>
      <c r="S1659" s="193"/>
      <c r="T1659" s="197"/>
      <c r="U1659" s="193"/>
      <c r="V1659" s="193"/>
    </row>
    <row r="1660" spans="2:22" ht="15" customHeight="1" x14ac:dyDescent="0.2">
      <c r="B1660" s="193"/>
      <c r="C1660" s="347"/>
      <c r="D1660" s="347"/>
      <c r="E1660" s="193"/>
      <c r="F1660" s="193"/>
      <c r="G1660" s="193"/>
      <c r="H1660" s="193"/>
      <c r="I1660" s="193"/>
      <c r="J1660" s="193"/>
      <c r="K1660" s="194"/>
      <c r="L1660" s="195"/>
      <c r="M1660" s="195"/>
      <c r="N1660" s="195"/>
      <c r="O1660" s="195"/>
      <c r="P1660" s="196"/>
      <c r="Q1660" s="196"/>
      <c r="R1660" s="193"/>
      <c r="S1660" s="193"/>
      <c r="T1660" s="197"/>
      <c r="U1660" s="193"/>
      <c r="V1660" s="193"/>
    </row>
    <row r="1661" spans="2:22" ht="15" customHeight="1" x14ac:dyDescent="0.2">
      <c r="B1661" s="193"/>
      <c r="C1661" s="347"/>
      <c r="D1661" s="347"/>
      <c r="E1661" s="193"/>
      <c r="F1661" s="193"/>
      <c r="G1661" s="193"/>
      <c r="H1661" s="193"/>
      <c r="I1661" s="193"/>
      <c r="J1661" s="193"/>
      <c r="K1661" s="194"/>
      <c r="L1661" s="195"/>
      <c r="M1661" s="195"/>
      <c r="N1661" s="195"/>
      <c r="O1661" s="195"/>
      <c r="P1661" s="196"/>
      <c r="Q1661" s="196"/>
      <c r="R1661" s="193"/>
      <c r="S1661" s="193"/>
      <c r="T1661" s="197"/>
      <c r="U1661" s="193"/>
      <c r="V1661" s="193"/>
    </row>
    <row r="1662" spans="2:22" ht="15" customHeight="1" x14ac:dyDescent="0.2">
      <c r="B1662" s="193"/>
      <c r="C1662" s="347"/>
      <c r="D1662" s="347"/>
      <c r="E1662" s="193"/>
      <c r="F1662" s="193"/>
      <c r="G1662" s="193"/>
      <c r="H1662" s="193"/>
      <c r="I1662" s="193"/>
      <c r="J1662" s="193"/>
      <c r="K1662" s="194"/>
      <c r="L1662" s="195"/>
      <c r="M1662" s="195"/>
      <c r="N1662" s="195"/>
      <c r="O1662" s="195"/>
      <c r="P1662" s="196"/>
      <c r="Q1662" s="196"/>
      <c r="R1662" s="193"/>
      <c r="S1662" s="193"/>
      <c r="T1662" s="197"/>
      <c r="U1662" s="193"/>
      <c r="V1662" s="193"/>
    </row>
    <row r="1663" spans="2:22" ht="15" customHeight="1" x14ac:dyDescent="0.2">
      <c r="B1663" s="193"/>
      <c r="C1663" s="347"/>
      <c r="D1663" s="347"/>
      <c r="E1663" s="193"/>
      <c r="F1663" s="193"/>
      <c r="G1663" s="193"/>
      <c r="H1663" s="193"/>
      <c r="I1663" s="193"/>
      <c r="J1663" s="193"/>
      <c r="K1663" s="194"/>
      <c r="L1663" s="195"/>
      <c r="M1663" s="195"/>
      <c r="N1663" s="195"/>
      <c r="O1663" s="195"/>
      <c r="P1663" s="196"/>
      <c r="Q1663" s="196"/>
      <c r="R1663" s="193"/>
      <c r="S1663" s="193"/>
      <c r="T1663" s="197"/>
      <c r="U1663" s="193"/>
      <c r="V1663" s="193"/>
    </row>
    <row r="1664" spans="2:22" ht="15" customHeight="1" x14ac:dyDescent="0.2">
      <c r="B1664" s="193"/>
      <c r="C1664" s="347"/>
      <c r="D1664" s="347"/>
      <c r="E1664" s="193"/>
      <c r="F1664" s="193"/>
      <c r="G1664" s="193"/>
      <c r="H1664" s="193"/>
      <c r="I1664" s="193"/>
      <c r="J1664" s="193"/>
      <c r="K1664" s="194"/>
      <c r="L1664" s="195"/>
      <c r="M1664" s="195"/>
      <c r="N1664" s="195"/>
      <c r="O1664" s="195"/>
      <c r="P1664" s="196"/>
      <c r="Q1664" s="196"/>
      <c r="R1664" s="193"/>
      <c r="S1664" s="193"/>
      <c r="T1664" s="197"/>
      <c r="U1664" s="193"/>
      <c r="V1664" s="193"/>
    </row>
    <row r="1665" spans="2:22" ht="15" customHeight="1" x14ac:dyDescent="0.2">
      <c r="B1665" s="193"/>
      <c r="C1665" s="347"/>
      <c r="D1665" s="347"/>
      <c r="E1665" s="193"/>
      <c r="F1665" s="193"/>
      <c r="G1665" s="193"/>
      <c r="H1665" s="193"/>
      <c r="I1665" s="193"/>
      <c r="J1665" s="193"/>
      <c r="K1665" s="194"/>
      <c r="L1665" s="195"/>
      <c r="M1665" s="195"/>
      <c r="N1665" s="195"/>
      <c r="O1665" s="195"/>
      <c r="P1665" s="196"/>
      <c r="Q1665" s="196"/>
      <c r="R1665" s="193"/>
      <c r="S1665" s="193"/>
      <c r="T1665" s="197"/>
      <c r="U1665" s="193"/>
      <c r="V1665" s="193"/>
    </row>
    <row r="1666" spans="2:22" ht="15" customHeight="1" x14ac:dyDescent="0.2">
      <c r="B1666" s="193"/>
      <c r="C1666" s="347"/>
      <c r="D1666" s="347"/>
      <c r="E1666" s="193"/>
      <c r="F1666" s="193"/>
      <c r="G1666" s="193"/>
      <c r="H1666" s="193"/>
      <c r="I1666" s="193"/>
      <c r="J1666" s="193"/>
      <c r="K1666" s="194"/>
      <c r="L1666" s="195"/>
      <c r="M1666" s="195"/>
      <c r="N1666" s="195"/>
      <c r="O1666" s="195"/>
      <c r="P1666" s="196"/>
      <c r="Q1666" s="196"/>
      <c r="R1666" s="193"/>
      <c r="S1666" s="193"/>
      <c r="T1666" s="197"/>
      <c r="U1666" s="193"/>
      <c r="V1666" s="193"/>
    </row>
    <row r="1667" spans="2:22" ht="15" customHeight="1" x14ac:dyDescent="0.2">
      <c r="B1667" s="193"/>
      <c r="C1667" s="347"/>
      <c r="D1667" s="347"/>
      <c r="E1667" s="193"/>
      <c r="F1667" s="193"/>
      <c r="G1667" s="193"/>
      <c r="H1667" s="193"/>
      <c r="I1667" s="193"/>
      <c r="J1667" s="193"/>
      <c r="K1667" s="194"/>
      <c r="L1667" s="195"/>
      <c r="M1667" s="195"/>
      <c r="N1667" s="195"/>
      <c r="O1667" s="195"/>
      <c r="P1667" s="196"/>
      <c r="Q1667" s="196"/>
      <c r="R1667" s="193"/>
      <c r="S1667" s="193"/>
      <c r="T1667" s="197"/>
      <c r="U1667" s="193"/>
      <c r="V1667" s="193"/>
    </row>
    <row r="1668" spans="2:22" ht="15" customHeight="1" x14ac:dyDescent="0.2">
      <c r="B1668" s="193"/>
      <c r="C1668" s="347"/>
      <c r="D1668" s="347"/>
      <c r="E1668" s="193"/>
      <c r="F1668" s="193"/>
      <c r="G1668" s="193"/>
      <c r="H1668" s="193"/>
      <c r="I1668" s="193"/>
      <c r="J1668" s="193"/>
      <c r="K1668" s="194"/>
      <c r="L1668" s="195"/>
      <c r="M1668" s="195"/>
      <c r="N1668" s="195"/>
      <c r="O1668" s="195"/>
      <c r="P1668" s="196"/>
      <c r="Q1668" s="196"/>
      <c r="R1668" s="193"/>
      <c r="S1668" s="193"/>
      <c r="T1668" s="197"/>
      <c r="U1668" s="193"/>
      <c r="V1668" s="193"/>
    </row>
    <row r="1669" spans="2:22" ht="15" customHeight="1" x14ac:dyDescent="0.2">
      <c r="B1669" s="193"/>
      <c r="C1669" s="347"/>
      <c r="D1669" s="347"/>
      <c r="E1669" s="193"/>
      <c r="F1669" s="193"/>
      <c r="G1669" s="193"/>
      <c r="H1669" s="193"/>
      <c r="I1669" s="193"/>
      <c r="J1669" s="193"/>
      <c r="K1669" s="194"/>
      <c r="L1669" s="195"/>
      <c r="M1669" s="195"/>
      <c r="N1669" s="195"/>
      <c r="O1669" s="195"/>
      <c r="P1669" s="196"/>
      <c r="Q1669" s="196"/>
      <c r="R1669" s="193"/>
      <c r="S1669" s="193"/>
      <c r="T1669" s="197"/>
      <c r="U1669" s="193"/>
      <c r="V1669" s="193"/>
    </row>
    <row r="1670" spans="2:22" ht="15" customHeight="1" x14ac:dyDescent="0.2">
      <c r="B1670" s="193"/>
      <c r="C1670" s="347"/>
      <c r="D1670" s="347"/>
      <c r="E1670" s="193"/>
      <c r="F1670" s="193"/>
      <c r="G1670" s="193"/>
      <c r="H1670" s="193"/>
      <c r="I1670" s="193"/>
      <c r="J1670" s="193"/>
      <c r="K1670" s="194"/>
      <c r="L1670" s="195"/>
      <c r="M1670" s="195"/>
      <c r="N1670" s="195"/>
      <c r="O1670" s="195"/>
      <c r="P1670" s="196"/>
      <c r="Q1670" s="196"/>
      <c r="R1670" s="193"/>
      <c r="S1670" s="193"/>
      <c r="T1670" s="197"/>
      <c r="U1670" s="193"/>
      <c r="V1670" s="193"/>
    </row>
    <row r="1671" spans="2:22" ht="15" customHeight="1" x14ac:dyDescent="0.2">
      <c r="B1671" s="193"/>
      <c r="C1671" s="347"/>
      <c r="D1671" s="347"/>
      <c r="E1671" s="193"/>
      <c r="F1671" s="193"/>
      <c r="G1671" s="193"/>
      <c r="H1671" s="193"/>
      <c r="I1671" s="193"/>
      <c r="J1671" s="193"/>
      <c r="K1671" s="194"/>
      <c r="L1671" s="195"/>
      <c r="M1671" s="195"/>
      <c r="N1671" s="195"/>
      <c r="O1671" s="195"/>
      <c r="P1671" s="196"/>
      <c r="Q1671" s="196"/>
      <c r="R1671" s="193"/>
      <c r="S1671" s="193"/>
      <c r="T1671" s="197"/>
      <c r="U1671" s="193"/>
      <c r="V1671" s="193"/>
    </row>
    <row r="1672" spans="2:22" ht="15" customHeight="1" x14ac:dyDescent="0.2">
      <c r="B1672" s="193"/>
      <c r="C1672" s="347"/>
      <c r="D1672" s="347"/>
      <c r="E1672" s="193"/>
      <c r="F1672" s="193"/>
      <c r="G1672" s="193"/>
      <c r="H1672" s="193"/>
      <c r="I1672" s="193"/>
      <c r="J1672" s="193"/>
      <c r="K1672" s="194"/>
      <c r="L1672" s="195"/>
      <c r="M1672" s="195"/>
      <c r="N1672" s="195"/>
      <c r="O1672" s="195"/>
      <c r="P1672" s="196"/>
      <c r="Q1672" s="196"/>
      <c r="R1672" s="193"/>
      <c r="S1672" s="193"/>
      <c r="T1672" s="197"/>
      <c r="U1672" s="193"/>
      <c r="V1672" s="193"/>
    </row>
    <row r="1673" spans="2:22" ht="15" customHeight="1" x14ac:dyDescent="0.2">
      <c r="B1673" s="193"/>
      <c r="C1673" s="347"/>
      <c r="D1673" s="347"/>
      <c r="E1673" s="193"/>
      <c r="F1673" s="193"/>
      <c r="G1673" s="193"/>
      <c r="H1673" s="193"/>
      <c r="I1673" s="193"/>
      <c r="J1673" s="193"/>
      <c r="K1673" s="194"/>
      <c r="L1673" s="195"/>
      <c r="M1673" s="195"/>
      <c r="N1673" s="195"/>
      <c r="O1673" s="195"/>
      <c r="P1673" s="196"/>
      <c r="Q1673" s="196"/>
      <c r="R1673" s="193"/>
      <c r="S1673" s="193"/>
      <c r="T1673" s="197"/>
      <c r="U1673" s="193"/>
      <c r="V1673" s="193"/>
    </row>
    <row r="1674" spans="2:22" ht="15" customHeight="1" x14ac:dyDescent="0.2">
      <c r="B1674" s="193"/>
      <c r="C1674" s="347"/>
      <c r="D1674" s="347"/>
      <c r="E1674" s="193"/>
      <c r="F1674" s="193"/>
      <c r="G1674" s="193"/>
      <c r="H1674" s="193"/>
      <c r="I1674" s="193"/>
      <c r="J1674" s="193"/>
      <c r="K1674" s="194"/>
      <c r="L1674" s="195"/>
      <c r="M1674" s="195"/>
      <c r="N1674" s="195"/>
      <c r="O1674" s="195"/>
      <c r="P1674" s="196"/>
      <c r="Q1674" s="196"/>
      <c r="R1674" s="193"/>
      <c r="S1674" s="193"/>
      <c r="T1674" s="197"/>
      <c r="U1674" s="193"/>
      <c r="V1674" s="193"/>
    </row>
    <row r="1675" spans="2:22" ht="15" customHeight="1" x14ac:dyDescent="0.2">
      <c r="B1675" s="193"/>
      <c r="C1675" s="347"/>
      <c r="D1675" s="347"/>
      <c r="E1675" s="193"/>
      <c r="F1675" s="193"/>
      <c r="G1675" s="193"/>
      <c r="H1675" s="193"/>
      <c r="I1675" s="193"/>
      <c r="J1675" s="193"/>
      <c r="K1675" s="194"/>
      <c r="L1675" s="195"/>
      <c r="M1675" s="195"/>
      <c r="N1675" s="195"/>
      <c r="O1675" s="195"/>
      <c r="P1675" s="196"/>
      <c r="Q1675" s="196"/>
      <c r="R1675" s="193"/>
      <c r="S1675" s="193"/>
      <c r="T1675" s="197"/>
      <c r="U1675" s="193"/>
      <c r="V1675" s="193"/>
    </row>
    <row r="1676" spans="2:22" ht="15" customHeight="1" x14ac:dyDescent="0.2">
      <c r="B1676" s="193"/>
      <c r="C1676" s="347"/>
      <c r="D1676" s="347"/>
      <c r="E1676" s="193"/>
      <c r="F1676" s="193"/>
      <c r="G1676" s="193"/>
      <c r="H1676" s="193"/>
      <c r="I1676" s="193"/>
      <c r="J1676" s="193"/>
      <c r="K1676" s="194"/>
      <c r="L1676" s="195"/>
      <c r="M1676" s="195"/>
      <c r="N1676" s="195"/>
      <c r="O1676" s="195"/>
      <c r="P1676" s="196"/>
      <c r="Q1676" s="196"/>
      <c r="R1676" s="193"/>
      <c r="S1676" s="193"/>
      <c r="T1676" s="197"/>
      <c r="U1676" s="193"/>
      <c r="V1676" s="193"/>
    </row>
    <row r="1677" spans="2:22" ht="15" customHeight="1" x14ac:dyDescent="0.2">
      <c r="B1677" s="193"/>
      <c r="C1677" s="347"/>
      <c r="D1677" s="347"/>
      <c r="E1677" s="193"/>
      <c r="F1677" s="193"/>
      <c r="G1677" s="193"/>
      <c r="H1677" s="193"/>
      <c r="I1677" s="193"/>
      <c r="J1677" s="193"/>
      <c r="K1677" s="194"/>
      <c r="L1677" s="195"/>
      <c r="M1677" s="195"/>
      <c r="N1677" s="195"/>
      <c r="O1677" s="195"/>
      <c r="P1677" s="196"/>
      <c r="Q1677" s="196"/>
      <c r="R1677" s="193"/>
      <c r="S1677" s="193"/>
      <c r="T1677" s="197"/>
      <c r="U1677" s="193"/>
      <c r="V1677" s="193"/>
    </row>
    <row r="1678" spans="2:22" ht="15" customHeight="1" x14ac:dyDescent="0.2">
      <c r="B1678" s="193"/>
      <c r="C1678" s="347"/>
      <c r="D1678" s="347"/>
      <c r="E1678" s="193"/>
      <c r="F1678" s="193"/>
      <c r="G1678" s="193"/>
      <c r="H1678" s="193"/>
      <c r="I1678" s="193"/>
      <c r="J1678" s="193"/>
      <c r="K1678" s="194"/>
      <c r="L1678" s="195"/>
      <c r="M1678" s="195"/>
      <c r="N1678" s="195"/>
      <c r="O1678" s="195"/>
      <c r="P1678" s="196"/>
      <c r="Q1678" s="196"/>
      <c r="R1678" s="193"/>
      <c r="S1678" s="193"/>
      <c r="T1678" s="197"/>
      <c r="U1678" s="193"/>
      <c r="V1678" s="193"/>
    </row>
    <row r="1679" spans="2:22" ht="15" customHeight="1" x14ac:dyDescent="0.2">
      <c r="B1679" s="193"/>
      <c r="C1679" s="347"/>
      <c r="D1679" s="347"/>
      <c r="E1679" s="193"/>
      <c r="F1679" s="193"/>
      <c r="G1679" s="193"/>
      <c r="H1679" s="193"/>
      <c r="I1679" s="193"/>
      <c r="J1679" s="193"/>
      <c r="K1679" s="194"/>
      <c r="L1679" s="195"/>
      <c r="M1679" s="195"/>
      <c r="N1679" s="195"/>
      <c r="O1679" s="195"/>
      <c r="P1679" s="196"/>
      <c r="Q1679" s="196"/>
      <c r="R1679" s="193"/>
      <c r="S1679" s="193"/>
      <c r="T1679" s="197"/>
      <c r="U1679" s="193"/>
      <c r="V1679" s="193"/>
    </row>
    <row r="1680" spans="2:22" ht="15" customHeight="1" x14ac:dyDescent="0.2">
      <c r="B1680" s="193"/>
      <c r="C1680" s="347"/>
      <c r="D1680" s="347"/>
      <c r="E1680" s="193"/>
      <c r="F1680" s="193"/>
      <c r="G1680" s="193"/>
      <c r="H1680" s="193"/>
      <c r="I1680" s="193"/>
      <c r="J1680" s="193"/>
      <c r="K1680" s="194"/>
      <c r="L1680" s="195"/>
      <c r="M1680" s="195"/>
      <c r="N1680" s="195"/>
      <c r="O1680" s="195"/>
      <c r="P1680" s="196"/>
      <c r="Q1680" s="196"/>
      <c r="R1680" s="193"/>
      <c r="S1680" s="193"/>
      <c r="T1680" s="197"/>
      <c r="U1680" s="193"/>
      <c r="V1680" s="193"/>
    </row>
    <row r="1681" spans="2:22" ht="15" customHeight="1" x14ac:dyDescent="0.2">
      <c r="B1681" s="193"/>
      <c r="C1681" s="347"/>
      <c r="D1681" s="347"/>
      <c r="E1681" s="193"/>
      <c r="F1681" s="193"/>
      <c r="G1681" s="193"/>
      <c r="H1681" s="193"/>
      <c r="I1681" s="193"/>
      <c r="J1681" s="193"/>
      <c r="K1681" s="194"/>
      <c r="L1681" s="195"/>
      <c r="M1681" s="195"/>
      <c r="N1681" s="195"/>
      <c r="O1681" s="195"/>
      <c r="P1681" s="196"/>
      <c r="Q1681" s="196"/>
      <c r="R1681" s="193"/>
      <c r="S1681" s="193"/>
      <c r="T1681" s="197"/>
      <c r="U1681" s="193"/>
      <c r="V1681" s="193"/>
    </row>
    <row r="1682" spans="2:22" ht="15" customHeight="1" x14ac:dyDescent="0.2">
      <c r="B1682" s="193"/>
      <c r="C1682" s="347"/>
      <c r="D1682" s="347"/>
      <c r="E1682" s="193"/>
      <c r="F1682" s="193"/>
      <c r="G1682" s="193"/>
      <c r="H1682" s="193"/>
      <c r="I1682" s="193"/>
      <c r="J1682" s="193"/>
      <c r="K1682" s="194"/>
      <c r="L1682" s="195"/>
      <c r="M1682" s="195"/>
      <c r="N1682" s="195"/>
      <c r="O1682" s="195"/>
      <c r="P1682" s="196"/>
      <c r="Q1682" s="196"/>
      <c r="R1682" s="193"/>
      <c r="S1682" s="193"/>
      <c r="T1682" s="197"/>
      <c r="U1682" s="193"/>
      <c r="V1682" s="193"/>
    </row>
    <row r="1683" spans="2:22" ht="15" customHeight="1" x14ac:dyDescent="0.2">
      <c r="B1683" s="193"/>
      <c r="C1683" s="347"/>
      <c r="D1683" s="347"/>
      <c r="E1683" s="193"/>
      <c r="F1683" s="193"/>
      <c r="G1683" s="193"/>
      <c r="H1683" s="193"/>
      <c r="I1683" s="193"/>
      <c r="J1683" s="193"/>
      <c r="K1683" s="194"/>
      <c r="L1683" s="195"/>
      <c r="M1683" s="195"/>
      <c r="N1683" s="195"/>
      <c r="O1683" s="195"/>
      <c r="P1683" s="196"/>
      <c r="Q1683" s="196"/>
      <c r="R1683" s="193"/>
      <c r="S1683" s="193"/>
      <c r="T1683" s="197"/>
      <c r="U1683" s="193"/>
      <c r="V1683" s="193"/>
    </row>
    <row r="1684" spans="2:22" ht="15" customHeight="1" x14ac:dyDescent="0.2">
      <c r="B1684" s="193"/>
      <c r="C1684" s="347"/>
      <c r="D1684" s="347"/>
      <c r="E1684" s="193"/>
      <c r="F1684" s="193"/>
      <c r="G1684" s="193"/>
      <c r="H1684" s="193"/>
      <c r="I1684" s="193"/>
      <c r="J1684" s="193"/>
      <c r="K1684" s="194"/>
      <c r="L1684" s="195"/>
      <c r="M1684" s="195"/>
      <c r="N1684" s="195"/>
      <c r="O1684" s="195"/>
      <c r="P1684" s="196"/>
      <c r="Q1684" s="196"/>
      <c r="R1684" s="193"/>
      <c r="S1684" s="193"/>
      <c r="T1684" s="197"/>
      <c r="U1684" s="193"/>
      <c r="V1684" s="193"/>
    </row>
    <row r="1685" spans="2:22" ht="15" customHeight="1" x14ac:dyDescent="0.2">
      <c r="B1685" s="193"/>
      <c r="C1685" s="347"/>
      <c r="D1685" s="347"/>
      <c r="E1685" s="193"/>
      <c r="F1685" s="193"/>
      <c r="G1685" s="193"/>
      <c r="H1685" s="193"/>
      <c r="I1685" s="193"/>
      <c r="J1685" s="193"/>
      <c r="K1685" s="194"/>
      <c r="L1685" s="195"/>
      <c r="M1685" s="195"/>
      <c r="N1685" s="195"/>
      <c r="O1685" s="195"/>
      <c r="P1685" s="196"/>
      <c r="Q1685" s="196"/>
      <c r="R1685" s="193"/>
      <c r="S1685" s="193"/>
      <c r="T1685" s="197"/>
      <c r="U1685" s="193"/>
      <c r="V1685" s="193"/>
    </row>
    <row r="1686" spans="2:22" ht="15" customHeight="1" x14ac:dyDescent="0.2">
      <c r="B1686" s="193"/>
      <c r="C1686" s="347"/>
      <c r="D1686" s="347"/>
      <c r="E1686" s="193"/>
      <c r="F1686" s="193"/>
      <c r="G1686" s="193"/>
      <c r="H1686" s="193"/>
      <c r="I1686" s="193"/>
      <c r="J1686" s="193"/>
      <c r="K1686" s="194"/>
      <c r="L1686" s="195"/>
      <c r="M1686" s="195"/>
      <c r="N1686" s="195"/>
      <c r="O1686" s="195"/>
      <c r="P1686" s="196"/>
      <c r="Q1686" s="196"/>
      <c r="R1686" s="193"/>
      <c r="S1686" s="193"/>
      <c r="T1686" s="197"/>
      <c r="U1686" s="193"/>
      <c r="V1686" s="193"/>
    </row>
    <row r="1687" spans="2:22" ht="15" customHeight="1" x14ac:dyDescent="0.2">
      <c r="B1687" s="193"/>
      <c r="C1687" s="347"/>
      <c r="D1687" s="347"/>
      <c r="E1687" s="193"/>
      <c r="F1687" s="193"/>
      <c r="G1687" s="193"/>
      <c r="H1687" s="193"/>
      <c r="I1687" s="193"/>
      <c r="J1687" s="193"/>
      <c r="K1687" s="194"/>
      <c r="L1687" s="195"/>
      <c r="M1687" s="195"/>
      <c r="N1687" s="195"/>
      <c r="O1687" s="195"/>
      <c r="P1687" s="196"/>
      <c r="Q1687" s="196"/>
      <c r="R1687" s="193"/>
      <c r="S1687" s="193"/>
      <c r="T1687" s="197"/>
      <c r="U1687" s="193"/>
      <c r="V1687" s="193"/>
    </row>
    <row r="1688" spans="2:22" ht="15" customHeight="1" x14ac:dyDescent="0.2">
      <c r="B1688" s="193"/>
      <c r="C1688" s="347"/>
      <c r="D1688" s="347"/>
      <c r="E1688" s="193"/>
      <c r="F1688" s="193"/>
      <c r="G1688" s="193"/>
      <c r="H1688" s="193"/>
      <c r="I1688" s="193"/>
      <c r="J1688" s="193"/>
      <c r="K1688" s="194"/>
      <c r="L1688" s="195"/>
      <c r="M1688" s="195"/>
      <c r="N1688" s="195"/>
      <c r="O1688" s="195"/>
      <c r="P1688" s="196"/>
      <c r="Q1688" s="196"/>
      <c r="R1688" s="193"/>
      <c r="S1688" s="193"/>
      <c r="T1688" s="197"/>
      <c r="U1688" s="193"/>
      <c r="V1688" s="193"/>
    </row>
    <row r="1689" spans="2:22" ht="15" customHeight="1" x14ac:dyDescent="0.2">
      <c r="B1689" s="193"/>
      <c r="C1689" s="347"/>
      <c r="D1689" s="347"/>
      <c r="E1689" s="193"/>
      <c r="F1689" s="193"/>
      <c r="G1689" s="193"/>
      <c r="H1689" s="193"/>
      <c r="I1689" s="193"/>
      <c r="J1689" s="193"/>
      <c r="K1689" s="194"/>
      <c r="L1689" s="195"/>
      <c r="M1689" s="195"/>
      <c r="N1689" s="195"/>
      <c r="O1689" s="195"/>
      <c r="P1689" s="196"/>
      <c r="Q1689" s="196"/>
      <c r="R1689" s="193"/>
      <c r="S1689" s="193"/>
      <c r="T1689" s="197"/>
      <c r="U1689" s="193"/>
      <c r="V1689" s="193"/>
    </row>
    <row r="1690" spans="2:22" ht="15" customHeight="1" x14ac:dyDescent="0.2">
      <c r="B1690" s="193"/>
      <c r="C1690" s="347"/>
      <c r="D1690" s="347"/>
      <c r="E1690" s="193"/>
      <c r="F1690" s="193"/>
      <c r="G1690" s="193"/>
      <c r="H1690" s="193"/>
      <c r="I1690" s="193"/>
      <c r="J1690" s="193"/>
      <c r="K1690" s="194"/>
      <c r="L1690" s="195"/>
      <c r="M1690" s="195"/>
      <c r="N1690" s="195"/>
      <c r="O1690" s="195"/>
      <c r="P1690" s="196"/>
      <c r="Q1690" s="196"/>
      <c r="R1690" s="193"/>
      <c r="S1690" s="193"/>
      <c r="T1690" s="197"/>
      <c r="U1690" s="193"/>
      <c r="V1690" s="193"/>
    </row>
    <row r="1691" spans="2:22" ht="15" customHeight="1" x14ac:dyDescent="0.2">
      <c r="B1691" s="193"/>
      <c r="C1691" s="347"/>
      <c r="D1691" s="347"/>
      <c r="E1691" s="193"/>
      <c r="F1691" s="193"/>
      <c r="G1691" s="193"/>
      <c r="H1691" s="193"/>
      <c r="I1691" s="193"/>
      <c r="J1691" s="193"/>
      <c r="K1691" s="194"/>
      <c r="L1691" s="195"/>
      <c r="M1691" s="195"/>
      <c r="N1691" s="195"/>
      <c r="O1691" s="195"/>
      <c r="P1691" s="196"/>
      <c r="Q1691" s="196"/>
      <c r="R1691" s="193"/>
      <c r="S1691" s="193"/>
      <c r="T1691" s="197"/>
      <c r="U1691" s="193"/>
      <c r="V1691" s="193"/>
    </row>
    <row r="1692" spans="2:22" ht="15" customHeight="1" x14ac:dyDescent="0.2">
      <c r="B1692" s="193"/>
      <c r="C1692" s="347"/>
      <c r="D1692" s="347"/>
      <c r="E1692" s="193"/>
      <c r="F1692" s="193"/>
      <c r="G1692" s="193"/>
      <c r="H1692" s="193"/>
      <c r="I1692" s="193"/>
      <c r="J1692" s="193"/>
      <c r="K1692" s="194"/>
      <c r="L1692" s="195"/>
      <c r="M1692" s="195"/>
      <c r="N1692" s="195"/>
      <c r="O1692" s="195"/>
      <c r="P1692" s="196"/>
      <c r="Q1692" s="196"/>
      <c r="R1692" s="193"/>
      <c r="S1692" s="193"/>
      <c r="T1692" s="197"/>
      <c r="U1692" s="193"/>
      <c r="V1692" s="193"/>
    </row>
    <row r="1693" spans="2:22" ht="15" customHeight="1" x14ac:dyDescent="0.2">
      <c r="B1693" s="193"/>
      <c r="C1693" s="347"/>
      <c r="D1693" s="347"/>
      <c r="E1693" s="193"/>
      <c r="F1693" s="193"/>
      <c r="G1693" s="193"/>
      <c r="H1693" s="193"/>
      <c r="I1693" s="193"/>
      <c r="J1693" s="193"/>
      <c r="K1693" s="194"/>
      <c r="L1693" s="195"/>
      <c r="M1693" s="195"/>
      <c r="N1693" s="195"/>
      <c r="O1693" s="195"/>
      <c r="P1693" s="196"/>
      <c r="Q1693" s="196"/>
      <c r="R1693" s="193"/>
      <c r="S1693" s="193"/>
      <c r="T1693" s="197"/>
      <c r="U1693" s="193"/>
      <c r="V1693" s="193"/>
    </row>
    <row r="1694" spans="2:22" ht="15" customHeight="1" x14ac:dyDescent="0.2">
      <c r="B1694" s="193"/>
      <c r="C1694" s="347"/>
      <c r="D1694" s="347"/>
      <c r="E1694" s="193"/>
      <c r="F1694" s="193"/>
      <c r="G1694" s="193"/>
      <c r="H1694" s="193"/>
      <c r="I1694" s="193"/>
      <c r="J1694" s="193"/>
      <c r="K1694" s="194"/>
      <c r="L1694" s="195"/>
      <c r="M1694" s="195"/>
      <c r="N1694" s="195"/>
      <c r="O1694" s="195"/>
      <c r="P1694" s="196"/>
      <c r="Q1694" s="196"/>
      <c r="R1694" s="193"/>
      <c r="S1694" s="193"/>
      <c r="T1694" s="197"/>
      <c r="U1694" s="193"/>
      <c r="V1694" s="193"/>
    </row>
    <row r="1695" spans="2:22" ht="15" customHeight="1" x14ac:dyDescent="0.2">
      <c r="B1695" s="193"/>
      <c r="C1695" s="347"/>
      <c r="D1695" s="347"/>
      <c r="E1695" s="193"/>
      <c r="F1695" s="193"/>
      <c r="G1695" s="193"/>
      <c r="H1695" s="193"/>
      <c r="I1695" s="193"/>
      <c r="J1695" s="193"/>
      <c r="K1695" s="194"/>
      <c r="L1695" s="195"/>
      <c r="M1695" s="195"/>
      <c r="N1695" s="195"/>
      <c r="O1695" s="195"/>
      <c r="P1695" s="196"/>
      <c r="Q1695" s="196"/>
      <c r="R1695" s="193"/>
      <c r="S1695" s="193"/>
      <c r="T1695" s="197"/>
      <c r="U1695" s="193"/>
      <c r="V1695" s="193"/>
    </row>
    <row r="1696" spans="2:22" ht="15" customHeight="1" x14ac:dyDescent="0.2">
      <c r="B1696" s="193"/>
      <c r="C1696" s="347"/>
      <c r="D1696" s="347"/>
      <c r="E1696" s="193"/>
      <c r="F1696" s="193"/>
      <c r="G1696" s="193"/>
      <c r="H1696" s="193"/>
      <c r="I1696" s="193"/>
      <c r="J1696" s="193"/>
      <c r="K1696" s="194"/>
      <c r="L1696" s="195"/>
      <c r="M1696" s="195"/>
      <c r="N1696" s="195"/>
      <c r="O1696" s="195"/>
      <c r="P1696" s="196"/>
      <c r="Q1696" s="196"/>
      <c r="R1696" s="193"/>
      <c r="S1696" s="193"/>
      <c r="T1696" s="197"/>
      <c r="U1696" s="193"/>
      <c r="V1696" s="193"/>
    </row>
    <row r="1697" spans="2:22" ht="15" customHeight="1" x14ac:dyDescent="0.2">
      <c r="B1697" s="193"/>
      <c r="C1697" s="347"/>
      <c r="D1697" s="347"/>
      <c r="E1697" s="193"/>
      <c r="F1697" s="193"/>
      <c r="G1697" s="193"/>
      <c r="H1697" s="193"/>
      <c r="I1697" s="193"/>
      <c r="J1697" s="193"/>
      <c r="K1697" s="194"/>
      <c r="L1697" s="195"/>
      <c r="M1697" s="195"/>
      <c r="N1697" s="195"/>
      <c r="O1697" s="195"/>
      <c r="P1697" s="196"/>
      <c r="Q1697" s="196"/>
      <c r="R1697" s="193"/>
      <c r="S1697" s="193"/>
      <c r="T1697" s="197"/>
      <c r="U1697" s="193"/>
      <c r="V1697" s="193"/>
    </row>
    <row r="1698" spans="2:22" ht="15" customHeight="1" x14ac:dyDescent="0.2">
      <c r="B1698" s="193"/>
      <c r="C1698" s="347"/>
      <c r="D1698" s="347"/>
      <c r="E1698" s="193"/>
      <c r="F1698" s="193"/>
      <c r="G1698" s="193"/>
      <c r="H1698" s="193"/>
      <c r="I1698" s="193"/>
      <c r="J1698" s="193"/>
      <c r="K1698" s="194"/>
      <c r="L1698" s="195"/>
      <c r="M1698" s="195"/>
      <c r="N1698" s="195"/>
      <c r="O1698" s="195"/>
      <c r="P1698" s="196"/>
      <c r="Q1698" s="196"/>
      <c r="R1698" s="193"/>
      <c r="S1698" s="193"/>
      <c r="T1698" s="197"/>
      <c r="U1698" s="193"/>
      <c r="V1698" s="193"/>
    </row>
    <row r="1699" spans="2:22" ht="15" customHeight="1" x14ac:dyDescent="0.2">
      <c r="B1699" s="193"/>
      <c r="C1699" s="347"/>
      <c r="D1699" s="347"/>
      <c r="E1699" s="193"/>
      <c r="F1699" s="193"/>
      <c r="G1699" s="193"/>
      <c r="H1699" s="193"/>
      <c r="I1699" s="193"/>
      <c r="J1699" s="193"/>
      <c r="K1699" s="194"/>
      <c r="L1699" s="195"/>
      <c r="M1699" s="195"/>
      <c r="N1699" s="195"/>
      <c r="O1699" s="195"/>
      <c r="P1699" s="196"/>
      <c r="Q1699" s="196"/>
      <c r="R1699" s="193"/>
      <c r="S1699" s="193"/>
      <c r="T1699" s="197"/>
      <c r="U1699" s="193"/>
      <c r="V1699" s="193"/>
    </row>
    <row r="1700" spans="2:22" ht="15" customHeight="1" x14ac:dyDescent="0.2">
      <c r="B1700" s="193"/>
      <c r="C1700" s="347"/>
      <c r="D1700" s="347"/>
      <c r="E1700" s="193"/>
      <c r="F1700" s="193"/>
      <c r="G1700" s="193"/>
      <c r="H1700" s="193"/>
      <c r="I1700" s="193"/>
      <c r="J1700" s="193"/>
      <c r="K1700" s="194"/>
      <c r="L1700" s="195"/>
      <c r="M1700" s="195"/>
      <c r="N1700" s="195"/>
      <c r="O1700" s="195"/>
      <c r="P1700" s="196"/>
      <c r="Q1700" s="196"/>
      <c r="R1700" s="193"/>
      <c r="S1700" s="193"/>
      <c r="T1700" s="197"/>
      <c r="U1700" s="193"/>
      <c r="V1700" s="193"/>
    </row>
    <row r="1701" spans="2:22" ht="15" customHeight="1" x14ac:dyDescent="0.2">
      <c r="B1701" s="193"/>
      <c r="C1701" s="347"/>
      <c r="D1701" s="347"/>
      <c r="E1701" s="193"/>
      <c r="F1701" s="193"/>
      <c r="G1701" s="193"/>
      <c r="H1701" s="193"/>
      <c r="I1701" s="193"/>
      <c r="J1701" s="193"/>
      <c r="K1701" s="194"/>
      <c r="L1701" s="195"/>
      <c r="M1701" s="195"/>
      <c r="N1701" s="195"/>
      <c r="O1701" s="195"/>
      <c r="P1701" s="196"/>
      <c r="Q1701" s="196"/>
      <c r="R1701" s="193"/>
      <c r="S1701" s="193"/>
      <c r="T1701" s="197"/>
      <c r="U1701" s="193"/>
      <c r="V1701" s="193"/>
    </row>
    <row r="1702" spans="2:22" ht="15" customHeight="1" x14ac:dyDescent="0.2">
      <c r="B1702" s="193"/>
      <c r="C1702" s="347"/>
      <c r="D1702" s="347"/>
      <c r="E1702" s="193"/>
      <c r="F1702" s="193"/>
      <c r="G1702" s="193"/>
      <c r="H1702" s="193"/>
      <c r="I1702" s="193"/>
      <c r="J1702" s="193"/>
      <c r="K1702" s="194"/>
      <c r="L1702" s="195"/>
      <c r="M1702" s="195"/>
      <c r="N1702" s="195"/>
      <c r="O1702" s="195"/>
      <c r="P1702" s="196"/>
      <c r="Q1702" s="196"/>
      <c r="R1702" s="193"/>
      <c r="S1702" s="193"/>
      <c r="T1702" s="197"/>
      <c r="U1702" s="193"/>
      <c r="V1702" s="193"/>
    </row>
    <row r="1703" spans="2:22" ht="15" customHeight="1" x14ac:dyDescent="0.2">
      <c r="B1703" s="193"/>
      <c r="C1703" s="347"/>
      <c r="D1703" s="347"/>
      <c r="E1703" s="193"/>
      <c r="F1703" s="193"/>
      <c r="G1703" s="193"/>
      <c r="H1703" s="193"/>
      <c r="I1703" s="193"/>
      <c r="J1703" s="193"/>
      <c r="K1703" s="194"/>
      <c r="L1703" s="195"/>
      <c r="M1703" s="195"/>
      <c r="N1703" s="195"/>
      <c r="O1703" s="195"/>
      <c r="P1703" s="196"/>
      <c r="Q1703" s="196"/>
      <c r="R1703" s="193"/>
      <c r="S1703" s="193"/>
      <c r="T1703" s="197"/>
      <c r="U1703" s="193"/>
      <c r="V1703" s="193"/>
    </row>
    <row r="1704" spans="2:22" ht="15" customHeight="1" x14ac:dyDescent="0.2">
      <c r="B1704" s="193"/>
      <c r="C1704" s="347"/>
      <c r="D1704" s="347"/>
      <c r="E1704" s="193"/>
      <c r="F1704" s="193"/>
      <c r="G1704" s="193"/>
      <c r="H1704" s="193"/>
      <c r="I1704" s="193"/>
      <c r="J1704" s="193"/>
      <c r="K1704" s="194"/>
      <c r="L1704" s="195"/>
      <c r="M1704" s="195"/>
      <c r="N1704" s="195"/>
      <c r="O1704" s="195"/>
      <c r="P1704" s="196"/>
      <c r="Q1704" s="196"/>
      <c r="R1704" s="193"/>
      <c r="S1704" s="193"/>
      <c r="T1704" s="197"/>
      <c r="U1704" s="193"/>
      <c r="V1704" s="193"/>
    </row>
    <row r="1705" spans="2:22" ht="15" customHeight="1" x14ac:dyDescent="0.2">
      <c r="B1705" s="193"/>
      <c r="C1705" s="347"/>
      <c r="D1705" s="347"/>
      <c r="E1705" s="193"/>
      <c r="F1705" s="193"/>
      <c r="G1705" s="193"/>
      <c r="H1705" s="193"/>
      <c r="I1705" s="193"/>
      <c r="J1705" s="193"/>
      <c r="K1705" s="194"/>
      <c r="L1705" s="195"/>
      <c r="M1705" s="195"/>
      <c r="N1705" s="195"/>
      <c r="O1705" s="195"/>
      <c r="P1705" s="196"/>
      <c r="Q1705" s="196"/>
      <c r="R1705" s="193"/>
      <c r="S1705" s="193"/>
      <c r="T1705" s="197"/>
      <c r="U1705" s="193"/>
      <c r="V1705" s="193"/>
    </row>
    <row r="1706" spans="2:22" ht="15" customHeight="1" x14ac:dyDescent="0.2">
      <c r="B1706" s="193"/>
      <c r="C1706" s="347"/>
      <c r="D1706" s="347"/>
      <c r="E1706" s="193"/>
      <c r="F1706" s="193"/>
      <c r="G1706" s="193"/>
      <c r="H1706" s="193"/>
      <c r="I1706" s="193"/>
      <c r="J1706" s="193"/>
      <c r="K1706" s="194"/>
      <c r="L1706" s="195"/>
      <c r="M1706" s="195"/>
      <c r="N1706" s="195"/>
      <c r="O1706" s="195"/>
      <c r="P1706" s="196"/>
      <c r="Q1706" s="196"/>
      <c r="R1706" s="193"/>
      <c r="S1706" s="193"/>
      <c r="T1706" s="197"/>
      <c r="U1706" s="193"/>
      <c r="V1706" s="193"/>
    </row>
    <row r="1707" spans="2:22" ht="15" customHeight="1" x14ac:dyDescent="0.2">
      <c r="B1707" s="193"/>
      <c r="C1707" s="347"/>
      <c r="D1707" s="347"/>
      <c r="E1707" s="193"/>
      <c r="F1707" s="193"/>
      <c r="G1707" s="193"/>
      <c r="H1707" s="193"/>
      <c r="I1707" s="193"/>
      <c r="J1707" s="193"/>
      <c r="K1707" s="194"/>
      <c r="L1707" s="195"/>
      <c r="M1707" s="195"/>
      <c r="N1707" s="195"/>
      <c r="O1707" s="195"/>
      <c r="P1707" s="196"/>
      <c r="Q1707" s="196"/>
      <c r="R1707" s="193"/>
      <c r="S1707" s="193"/>
      <c r="T1707" s="197"/>
      <c r="U1707" s="193"/>
      <c r="V1707" s="193"/>
    </row>
    <row r="1708" spans="2:22" ht="15" customHeight="1" x14ac:dyDescent="0.2">
      <c r="B1708" s="193"/>
      <c r="C1708" s="347"/>
      <c r="D1708" s="347"/>
      <c r="E1708" s="193"/>
      <c r="F1708" s="193"/>
      <c r="G1708" s="193"/>
      <c r="H1708" s="193"/>
      <c r="I1708" s="193"/>
      <c r="J1708" s="193"/>
      <c r="K1708" s="194"/>
      <c r="L1708" s="195"/>
      <c r="M1708" s="195"/>
      <c r="N1708" s="195"/>
      <c r="O1708" s="195"/>
      <c r="P1708" s="196"/>
      <c r="Q1708" s="196"/>
      <c r="R1708" s="193"/>
      <c r="S1708" s="193"/>
      <c r="T1708" s="197"/>
      <c r="U1708" s="193"/>
      <c r="V1708" s="193"/>
    </row>
    <row r="1709" spans="2:22" ht="15" customHeight="1" x14ac:dyDescent="0.2">
      <c r="B1709" s="193"/>
      <c r="C1709" s="347"/>
      <c r="D1709" s="347"/>
      <c r="E1709" s="193"/>
      <c r="F1709" s="193"/>
      <c r="G1709" s="193"/>
      <c r="H1709" s="193"/>
      <c r="I1709" s="193"/>
      <c r="J1709" s="193"/>
      <c r="K1709" s="194"/>
      <c r="L1709" s="195"/>
      <c r="M1709" s="195"/>
      <c r="N1709" s="195"/>
      <c r="O1709" s="195"/>
      <c r="P1709" s="196"/>
      <c r="Q1709" s="196"/>
      <c r="R1709" s="193"/>
      <c r="S1709" s="193"/>
      <c r="T1709" s="197"/>
      <c r="U1709" s="193"/>
      <c r="V1709" s="193"/>
    </row>
    <row r="1710" spans="2:22" ht="15" customHeight="1" x14ac:dyDescent="0.2">
      <c r="B1710" s="193"/>
      <c r="C1710" s="347"/>
      <c r="D1710" s="347"/>
      <c r="E1710" s="193"/>
      <c r="F1710" s="193"/>
      <c r="G1710" s="193"/>
      <c r="H1710" s="193"/>
      <c r="I1710" s="193"/>
      <c r="J1710" s="193"/>
      <c r="K1710" s="194"/>
      <c r="L1710" s="195"/>
      <c r="M1710" s="195"/>
      <c r="N1710" s="195"/>
      <c r="O1710" s="195"/>
      <c r="P1710" s="196"/>
      <c r="Q1710" s="196"/>
      <c r="R1710" s="193"/>
      <c r="S1710" s="193"/>
      <c r="T1710" s="197"/>
      <c r="U1710" s="193"/>
      <c r="V1710" s="193"/>
    </row>
    <row r="1711" spans="2:22" ht="15" customHeight="1" x14ac:dyDescent="0.2">
      <c r="B1711" s="193"/>
      <c r="C1711" s="347"/>
      <c r="D1711" s="347"/>
      <c r="E1711" s="193"/>
      <c r="F1711" s="193"/>
      <c r="G1711" s="193"/>
      <c r="H1711" s="193"/>
      <c r="I1711" s="193"/>
      <c r="J1711" s="193"/>
      <c r="K1711" s="194"/>
      <c r="L1711" s="195"/>
      <c r="M1711" s="195"/>
      <c r="N1711" s="195"/>
      <c r="O1711" s="195"/>
      <c r="P1711" s="196"/>
      <c r="Q1711" s="196"/>
      <c r="R1711" s="193"/>
      <c r="S1711" s="193"/>
      <c r="T1711" s="197"/>
      <c r="U1711" s="193"/>
      <c r="V1711" s="193"/>
    </row>
    <row r="1712" spans="2:22" ht="15" customHeight="1" x14ac:dyDescent="0.2">
      <c r="B1712" s="193"/>
      <c r="C1712" s="347"/>
      <c r="D1712" s="347"/>
      <c r="E1712" s="193"/>
      <c r="F1712" s="193"/>
      <c r="G1712" s="193"/>
      <c r="H1712" s="193"/>
      <c r="I1712" s="193"/>
      <c r="J1712" s="193"/>
      <c r="K1712" s="194"/>
      <c r="L1712" s="195"/>
      <c r="M1712" s="195"/>
      <c r="N1712" s="195"/>
      <c r="O1712" s="195"/>
      <c r="P1712" s="196"/>
      <c r="Q1712" s="196"/>
      <c r="R1712" s="193"/>
      <c r="S1712" s="193"/>
      <c r="T1712" s="197"/>
      <c r="U1712" s="193"/>
      <c r="V1712" s="193"/>
    </row>
    <row r="1713" spans="2:22" ht="15" customHeight="1" x14ac:dyDescent="0.2">
      <c r="B1713" s="193"/>
      <c r="C1713" s="347"/>
      <c r="D1713" s="347"/>
      <c r="E1713" s="193"/>
      <c r="F1713" s="193"/>
      <c r="G1713" s="193"/>
      <c r="H1713" s="193"/>
      <c r="I1713" s="193"/>
      <c r="J1713" s="193"/>
      <c r="K1713" s="194"/>
      <c r="L1713" s="195"/>
      <c r="M1713" s="195"/>
      <c r="N1713" s="195"/>
      <c r="O1713" s="195"/>
      <c r="P1713" s="196"/>
      <c r="Q1713" s="196"/>
      <c r="R1713" s="193"/>
      <c r="S1713" s="193"/>
      <c r="T1713" s="197"/>
      <c r="U1713" s="193"/>
      <c r="V1713" s="193"/>
    </row>
    <row r="1714" spans="2:22" ht="15" customHeight="1" x14ac:dyDescent="0.2">
      <c r="B1714" s="193"/>
      <c r="C1714" s="347"/>
      <c r="D1714" s="347"/>
      <c r="E1714" s="193"/>
      <c r="F1714" s="193"/>
      <c r="G1714" s="193"/>
      <c r="H1714" s="193"/>
      <c r="I1714" s="193"/>
      <c r="J1714" s="193"/>
      <c r="K1714" s="194"/>
      <c r="L1714" s="195"/>
      <c r="M1714" s="195"/>
      <c r="N1714" s="195"/>
      <c r="O1714" s="195"/>
      <c r="P1714" s="196"/>
      <c r="Q1714" s="196"/>
      <c r="R1714" s="193"/>
      <c r="S1714" s="193"/>
      <c r="T1714" s="197"/>
      <c r="U1714" s="193"/>
      <c r="V1714" s="193"/>
    </row>
    <row r="1715" spans="2:22" ht="15" customHeight="1" x14ac:dyDescent="0.2">
      <c r="B1715" s="193"/>
      <c r="C1715" s="347"/>
      <c r="D1715" s="347"/>
      <c r="E1715" s="193"/>
      <c r="F1715" s="193"/>
      <c r="G1715" s="193"/>
      <c r="H1715" s="193"/>
      <c r="I1715" s="193"/>
      <c r="J1715" s="193"/>
      <c r="K1715" s="194"/>
      <c r="L1715" s="195"/>
      <c r="M1715" s="195"/>
      <c r="N1715" s="195"/>
      <c r="O1715" s="195"/>
      <c r="P1715" s="196"/>
      <c r="Q1715" s="196"/>
      <c r="R1715" s="193"/>
      <c r="S1715" s="193"/>
      <c r="T1715" s="197"/>
      <c r="U1715" s="193"/>
      <c r="V1715" s="193"/>
    </row>
    <row r="1716" spans="2:22" ht="15" customHeight="1" x14ac:dyDescent="0.2">
      <c r="B1716" s="193"/>
      <c r="C1716" s="347"/>
      <c r="D1716" s="347"/>
      <c r="E1716" s="193"/>
      <c r="F1716" s="193"/>
      <c r="G1716" s="193"/>
      <c r="H1716" s="193"/>
      <c r="I1716" s="193"/>
      <c r="J1716" s="193"/>
      <c r="K1716" s="194"/>
      <c r="L1716" s="195"/>
      <c r="M1716" s="195"/>
      <c r="N1716" s="195"/>
      <c r="O1716" s="195"/>
      <c r="P1716" s="196"/>
      <c r="Q1716" s="196"/>
      <c r="R1716" s="193"/>
      <c r="S1716" s="193"/>
      <c r="T1716" s="197"/>
      <c r="U1716" s="193"/>
      <c r="V1716" s="193"/>
    </row>
    <row r="1717" spans="2:22" ht="15" customHeight="1" x14ac:dyDescent="0.2">
      <c r="B1717" s="193"/>
      <c r="C1717" s="347"/>
      <c r="D1717" s="347"/>
      <c r="E1717" s="193"/>
      <c r="F1717" s="193"/>
      <c r="G1717" s="193"/>
      <c r="H1717" s="193"/>
      <c r="I1717" s="193"/>
      <c r="J1717" s="193"/>
      <c r="K1717" s="194"/>
      <c r="L1717" s="195"/>
      <c r="M1717" s="195"/>
      <c r="N1717" s="195"/>
      <c r="O1717" s="195"/>
      <c r="P1717" s="196"/>
      <c r="Q1717" s="196"/>
      <c r="R1717" s="193"/>
      <c r="S1717" s="193"/>
      <c r="T1717" s="197"/>
      <c r="U1717" s="193"/>
      <c r="V1717" s="193"/>
    </row>
    <row r="1718" spans="2:22" ht="15" customHeight="1" x14ac:dyDescent="0.2">
      <c r="B1718" s="193"/>
      <c r="C1718" s="347"/>
      <c r="D1718" s="347"/>
      <c r="E1718" s="193"/>
      <c r="F1718" s="193"/>
      <c r="G1718" s="193"/>
      <c r="H1718" s="193"/>
      <c r="I1718" s="193"/>
      <c r="J1718" s="193"/>
      <c r="K1718" s="194"/>
      <c r="L1718" s="195"/>
      <c r="M1718" s="195"/>
      <c r="N1718" s="195"/>
      <c r="O1718" s="195"/>
      <c r="P1718" s="196"/>
      <c r="Q1718" s="196"/>
      <c r="R1718" s="193"/>
      <c r="S1718" s="193"/>
      <c r="T1718" s="197"/>
      <c r="U1718" s="193"/>
      <c r="V1718" s="193"/>
    </row>
    <row r="1719" spans="2:22" ht="15" customHeight="1" x14ac:dyDescent="0.2">
      <c r="B1719" s="193"/>
      <c r="C1719" s="347"/>
      <c r="D1719" s="347"/>
      <c r="E1719" s="193"/>
      <c r="F1719" s="193"/>
      <c r="G1719" s="193"/>
      <c r="H1719" s="193"/>
      <c r="I1719" s="193"/>
      <c r="J1719" s="193"/>
      <c r="K1719" s="194"/>
      <c r="L1719" s="195"/>
      <c r="M1719" s="195"/>
      <c r="N1719" s="195"/>
      <c r="O1719" s="195"/>
      <c r="P1719" s="196"/>
      <c r="Q1719" s="196"/>
      <c r="R1719" s="193"/>
      <c r="S1719" s="193"/>
      <c r="T1719" s="197"/>
      <c r="U1719" s="193"/>
      <c r="V1719" s="193"/>
    </row>
    <row r="1720" spans="2:22" ht="15" customHeight="1" x14ac:dyDescent="0.2">
      <c r="B1720" s="193"/>
      <c r="C1720" s="347"/>
      <c r="D1720" s="347"/>
      <c r="E1720" s="193"/>
      <c r="F1720" s="193"/>
      <c r="G1720" s="193"/>
      <c r="H1720" s="193"/>
      <c r="I1720" s="193"/>
      <c r="J1720" s="193"/>
      <c r="K1720" s="194"/>
      <c r="L1720" s="195"/>
      <c r="M1720" s="195"/>
      <c r="N1720" s="195"/>
      <c r="O1720" s="195"/>
      <c r="P1720" s="196"/>
      <c r="Q1720" s="196"/>
      <c r="R1720" s="193"/>
      <c r="S1720" s="193"/>
      <c r="T1720" s="197"/>
      <c r="U1720" s="193"/>
      <c r="V1720" s="193"/>
    </row>
    <row r="1721" spans="2:22" ht="15" customHeight="1" x14ac:dyDescent="0.2">
      <c r="B1721" s="193"/>
      <c r="C1721" s="347"/>
      <c r="D1721" s="347"/>
      <c r="E1721" s="193"/>
      <c r="F1721" s="193"/>
      <c r="G1721" s="193"/>
      <c r="H1721" s="193"/>
      <c r="I1721" s="193"/>
      <c r="J1721" s="193"/>
      <c r="K1721" s="194"/>
      <c r="L1721" s="195"/>
      <c r="M1721" s="195"/>
      <c r="N1721" s="195"/>
      <c r="O1721" s="195"/>
      <c r="P1721" s="196"/>
      <c r="Q1721" s="196"/>
      <c r="R1721" s="193"/>
      <c r="S1721" s="193"/>
      <c r="T1721" s="197"/>
      <c r="U1721" s="193"/>
      <c r="V1721" s="193"/>
    </row>
    <row r="1722" spans="2:22" ht="15" customHeight="1" x14ac:dyDescent="0.2">
      <c r="B1722" s="193"/>
      <c r="C1722" s="347"/>
      <c r="D1722" s="347"/>
      <c r="E1722" s="193"/>
      <c r="F1722" s="193"/>
      <c r="G1722" s="193"/>
      <c r="H1722" s="193"/>
      <c r="I1722" s="193"/>
      <c r="J1722" s="193"/>
      <c r="K1722" s="194"/>
      <c r="L1722" s="195"/>
      <c r="M1722" s="195"/>
      <c r="N1722" s="195"/>
      <c r="O1722" s="195"/>
      <c r="P1722" s="196"/>
      <c r="Q1722" s="196"/>
      <c r="R1722" s="193"/>
      <c r="S1722" s="193"/>
      <c r="T1722" s="197"/>
      <c r="U1722" s="193"/>
      <c r="V1722" s="193"/>
    </row>
    <row r="1723" spans="2:22" ht="15" customHeight="1" x14ac:dyDescent="0.2">
      <c r="B1723" s="193"/>
      <c r="C1723" s="347"/>
      <c r="D1723" s="347"/>
      <c r="E1723" s="193"/>
      <c r="F1723" s="193"/>
      <c r="G1723" s="193"/>
      <c r="H1723" s="193"/>
      <c r="I1723" s="193"/>
      <c r="J1723" s="193"/>
      <c r="K1723" s="194"/>
      <c r="L1723" s="195"/>
      <c r="M1723" s="195"/>
      <c r="N1723" s="195"/>
      <c r="O1723" s="195"/>
      <c r="P1723" s="196"/>
      <c r="Q1723" s="196"/>
      <c r="R1723" s="193"/>
      <c r="S1723" s="193"/>
      <c r="T1723" s="197"/>
      <c r="U1723" s="193"/>
      <c r="V1723" s="193"/>
    </row>
    <row r="1724" spans="2:22" ht="15" customHeight="1" x14ac:dyDescent="0.2">
      <c r="B1724" s="193"/>
      <c r="C1724" s="347"/>
      <c r="D1724" s="347"/>
      <c r="E1724" s="193"/>
      <c r="F1724" s="193"/>
      <c r="G1724" s="193"/>
      <c r="H1724" s="193"/>
      <c r="I1724" s="193"/>
      <c r="J1724" s="193"/>
      <c r="K1724" s="194"/>
      <c r="L1724" s="195"/>
      <c r="M1724" s="195"/>
      <c r="N1724" s="195"/>
      <c r="O1724" s="195"/>
      <c r="P1724" s="196"/>
      <c r="Q1724" s="196"/>
      <c r="R1724" s="193"/>
      <c r="S1724" s="193"/>
      <c r="T1724" s="197"/>
      <c r="U1724" s="193"/>
      <c r="V1724" s="193"/>
    </row>
    <row r="1725" spans="2:22" ht="15" customHeight="1" x14ac:dyDescent="0.2">
      <c r="B1725" s="193"/>
      <c r="C1725" s="347"/>
      <c r="D1725" s="347"/>
      <c r="E1725" s="193"/>
      <c r="F1725" s="193"/>
      <c r="G1725" s="193"/>
      <c r="H1725" s="193"/>
      <c r="I1725" s="193"/>
      <c r="J1725" s="193"/>
      <c r="K1725" s="194"/>
      <c r="L1725" s="195"/>
      <c r="M1725" s="195"/>
      <c r="N1725" s="195"/>
      <c r="O1725" s="195"/>
      <c r="P1725" s="196"/>
      <c r="Q1725" s="196"/>
      <c r="R1725" s="193"/>
      <c r="S1725" s="193"/>
      <c r="T1725" s="197"/>
      <c r="U1725" s="193"/>
      <c r="V1725" s="193"/>
    </row>
    <row r="1726" spans="2:22" ht="15" customHeight="1" x14ac:dyDescent="0.2">
      <c r="B1726" s="193"/>
      <c r="C1726" s="347"/>
      <c r="D1726" s="347"/>
      <c r="E1726" s="193"/>
      <c r="F1726" s="193"/>
      <c r="G1726" s="193"/>
      <c r="H1726" s="193"/>
      <c r="I1726" s="193"/>
      <c r="J1726" s="193"/>
      <c r="K1726" s="194"/>
      <c r="L1726" s="195"/>
      <c r="M1726" s="195"/>
      <c r="N1726" s="195"/>
      <c r="O1726" s="195"/>
      <c r="P1726" s="196"/>
      <c r="Q1726" s="196"/>
      <c r="R1726" s="193"/>
      <c r="S1726" s="193"/>
      <c r="T1726" s="197"/>
      <c r="U1726" s="193"/>
      <c r="V1726" s="193"/>
    </row>
    <row r="1727" spans="2:22" ht="15" customHeight="1" x14ac:dyDescent="0.2">
      <c r="B1727" s="193"/>
      <c r="C1727" s="347"/>
      <c r="D1727" s="347"/>
      <c r="E1727" s="193"/>
      <c r="F1727" s="193"/>
      <c r="G1727" s="193"/>
      <c r="H1727" s="193"/>
      <c r="I1727" s="193"/>
      <c r="J1727" s="193"/>
      <c r="K1727" s="194"/>
      <c r="L1727" s="195"/>
      <c r="M1727" s="195"/>
      <c r="N1727" s="195"/>
      <c r="O1727" s="195"/>
      <c r="P1727" s="196"/>
      <c r="Q1727" s="196"/>
      <c r="R1727" s="193"/>
      <c r="S1727" s="193"/>
      <c r="T1727" s="197"/>
      <c r="U1727" s="193"/>
      <c r="V1727" s="193"/>
    </row>
    <row r="1728" spans="2:22" ht="15" customHeight="1" x14ac:dyDescent="0.2">
      <c r="B1728" s="193"/>
      <c r="C1728" s="347"/>
      <c r="D1728" s="347"/>
      <c r="E1728" s="193"/>
      <c r="F1728" s="193"/>
      <c r="G1728" s="193"/>
      <c r="H1728" s="193"/>
      <c r="I1728" s="193"/>
      <c r="J1728" s="193"/>
      <c r="K1728" s="194"/>
      <c r="L1728" s="195"/>
      <c r="M1728" s="195"/>
      <c r="N1728" s="195"/>
      <c r="O1728" s="195"/>
      <c r="P1728" s="196"/>
      <c r="Q1728" s="196"/>
      <c r="R1728" s="193"/>
      <c r="S1728" s="193"/>
      <c r="T1728" s="197"/>
      <c r="U1728" s="193"/>
      <c r="V1728" s="193"/>
    </row>
    <row r="1729" spans="2:22" ht="15" customHeight="1" x14ac:dyDescent="0.2">
      <c r="B1729" s="193"/>
      <c r="C1729" s="347"/>
      <c r="D1729" s="347"/>
      <c r="E1729" s="193"/>
      <c r="F1729" s="193"/>
      <c r="G1729" s="193"/>
      <c r="H1729" s="193"/>
      <c r="I1729" s="193"/>
      <c r="J1729" s="193"/>
      <c r="K1729" s="194"/>
      <c r="L1729" s="195"/>
      <c r="M1729" s="195"/>
      <c r="N1729" s="195"/>
      <c r="O1729" s="195"/>
      <c r="P1729" s="196"/>
      <c r="Q1729" s="196"/>
      <c r="R1729" s="193"/>
      <c r="S1729" s="193"/>
      <c r="T1729" s="197"/>
      <c r="U1729" s="193"/>
      <c r="V1729" s="193"/>
    </row>
    <row r="1730" spans="2:22" ht="15" customHeight="1" x14ac:dyDescent="0.2">
      <c r="B1730" s="193"/>
      <c r="C1730" s="347"/>
      <c r="D1730" s="347"/>
      <c r="E1730" s="193"/>
      <c r="F1730" s="193"/>
      <c r="G1730" s="193"/>
      <c r="H1730" s="193"/>
      <c r="I1730" s="193"/>
      <c r="J1730" s="193"/>
      <c r="K1730" s="194"/>
      <c r="L1730" s="195"/>
      <c r="M1730" s="195"/>
      <c r="N1730" s="195"/>
      <c r="O1730" s="195"/>
      <c r="P1730" s="196"/>
      <c r="Q1730" s="196"/>
      <c r="R1730" s="193"/>
      <c r="S1730" s="193"/>
      <c r="T1730" s="197"/>
      <c r="U1730" s="193"/>
      <c r="V1730" s="193"/>
    </row>
    <row r="1731" spans="2:22" ht="15" customHeight="1" x14ac:dyDescent="0.2">
      <c r="B1731" s="193"/>
      <c r="C1731" s="347"/>
      <c r="D1731" s="347"/>
      <c r="E1731" s="193"/>
      <c r="F1731" s="193"/>
      <c r="G1731" s="193"/>
      <c r="H1731" s="193"/>
      <c r="I1731" s="193"/>
      <c r="J1731" s="193"/>
      <c r="K1731" s="194"/>
      <c r="L1731" s="195"/>
      <c r="M1731" s="195"/>
      <c r="N1731" s="195"/>
      <c r="O1731" s="195"/>
      <c r="P1731" s="196"/>
      <c r="Q1731" s="196"/>
      <c r="R1731" s="193"/>
      <c r="S1731" s="193"/>
      <c r="T1731" s="197"/>
      <c r="U1731" s="193"/>
      <c r="V1731" s="193"/>
    </row>
    <row r="1732" spans="2:22" ht="15" customHeight="1" x14ac:dyDescent="0.2">
      <c r="B1732" s="193"/>
      <c r="C1732" s="347"/>
      <c r="D1732" s="347"/>
      <c r="E1732" s="193"/>
      <c r="F1732" s="193"/>
      <c r="G1732" s="193"/>
      <c r="H1732" s="193"/>
      <c r="I1732" s="193"/>
      <c r="J1732" s="193"/>
      <c r="K1732" s="194"/>
      <c r="L1732" s="195"/>
      <c r="M1732" s="195"/>
      <c r="N1732" s="195"/>
      <c r="O1732" s="195"/>
      <c r="P1732" s="196"/>
      <c r="Q1732" s="196"/>
      <c r="R1732" s="193"/>
      <c r="S1732" s="193"/>
      <c r="T1732" s="197"/>
      <c r="U1732" s="193"/>
      <c r="V1732" s="193"/>
    </row>
    <row r="1733" spans="2:22" ht="15" customHeight="1" x14ac:dyDescent="0.2">
      <c r="B1733" s="193"/>
      <c r="C1733" s="347"/>
      <c r="D1733" s="347"/>
      <c r="E1733" s="193"/>
      <c r="F1733" s="193"/>
      <c r="G1733" s="193"/>
      <c r="H1733" s="193"/>
      <c r="I1733" s="193"/>
      <c r="J1733" s="193"/>
      <c r="K1733" s="194"/>
      <c r="L1733" s="195"/>
      <c r="M1733" s="195"/>
      <c r="N1733" s="195"/>
      <c r="O1733" s="195"/>
      <c r="P1733" s="196"/>
      <c r="Q1733" s="196"/>
      <c r="R1733" s="193"/>
      <c r="S1733" s="193"/>
      <c r="T1733" s="197"/>
      <c r="U1733" s="193"/>
      <c r="V1733" s="193"/>
    </row>
    <row r="1734" spans="2:22" ht="15" customHeight="1" x14ac:dyDescent="0.2">
      <c r="B1734" s="193"/>
      <c r="C1734" s="347"/>
      <c r="D1734" s="347"/>
      <c r="E1734" s="193"/>
      <c r="F1734" s="193"/>
      <c r="G1734" s="193"/>
      <c r="H1734" s="193"/>
      <c r="I1734" s="193"/>
      <c r="J1734" s="193"/>
      <c r="K1734" s="194"/>
      <c r="L1734" s="195"/>
      <c r="M1734" s="195"/>
      <c r="N1734" s="195"/>
      <c r="O1734" s="195"/>
      <c r="P1734" s="196"/>
      <c r="Q1734" s="196"/>
      <c r="R1734" s="193"/>
      <c r="S1734" s="193"/>
      <c r="T1734" s="197"/>
      <c r="U1734" s="193"/>
      <c r="V1734" s="193"/>
    </row>
    <row r="1735" spans="2:22" ht="15" customHeight="1" x14ac:dyDescent="0.2">
      <c r="B1735" s="193"/>
      <c r="C1735" s="347"/>
      <c r="D1735" s="347"/>
      <c r="E1735" s="193"/>
      <c r="F1735" s="193"/>
      <c r="G1735" s="193"/>
      <c r="H1735" s="193"/>
      <c r="I1735" s="193"/>
      <c r="J1735" s="193"/>
      <c r="K1735" s="194"/>
      <c r="L1735" s="195"/>
      <c r="M1735" s="195"/>
      <c r="N1735" s="195"/>
      <c r="O1735" s="195"/>
      <c r="P1735" s="196"/>
      <c r="Q1735" s="196"/>
      <c r="R1735" s="193"/>
      <c r="S1735" s="193"/>
      <c r="T1735" s="197"/>
      <c r="U1735" s="193"/>
      <c r="V1735" s="193"/>
    </row>
    <row r="1736" spans="2:22" ht="15" customHeight="1" x14ac:dyDescent="0.2">
      <c r="B1736" s="193"/>
      <c r="C1736" s="347"/>
      <c r="D1736" s="347"/>
      <c r="E1736" s="193"/>
      <c r="F1736" s="193"/>
      <c r="G1736" s="193"/>
      <c r="H1736" s="193"/>
      <c r="I1736" s="193"/>
      <c r="J1736" s="193"/>
      <c r="K1736" s="194"/>
      <c r="L1736" s="195"/>
      <c r="M1736" s="195"/>
      <c r="N1736" s="195"/>
      <c r="O1736" s="195"/>
      <c r="P1736" s="196"/>
      <c r="Q1736" s="196"/>
      <c r="R1736" s="193"/>
      <c r="S1736" s="193"/>
      <c r="T1736" s="197"/>
      <c r="U1736" s="193"/>
      <c r="V1736" s="193"/>
    </row>
    <row r="1737" spans="2:22" ht="15" customHeight="1" x14ac:dyDescent="0.2">
      <c r="B1737" s="193"/>
      <c r="C1737" s="347"/>
      <c r="D1737" s="347"/>
      <c r="E1737" s="193"/>
      <c r="F1737" s="193"/>
      <c r="G1737" s="193"/>
      <c r="H1737" s="193"/>
      <c r="I1737" s="193"/>
      <c r="J1737" s="193"/>
      <c r="K1737" s="194"/>
      <c r="L1737" s="195"/>
      <c r="M1737" s="195"/>
      <c r="N1737" s="195"/>
      <c r="O1737" s="195"/>
      <c r="P1737" s="196"/>
      <c r="Q1737" s="196"/>
      <c r="R1737" s="193"/>
      <c r="S1737" s="193"/>
      <c r="T1737" s="197"/>
      <c r="U1737" s="193"/>
      <c r="V1737" s="193"/>
    </row>
    <row r="1738" spans="2:22" ht="15" customHeight="1" x14ac:dyDescent="0.2">
      <c r="B1738" s="193"/>
      <c r="C1738" s="347"/>
      <c r="D1738" s="347"/>
      <c r="E1738" s="193"/>
      <c r="F1738" s="193"/>
      <c r="G1738" s="193"/>
      <c r="H1738" s="193"/>
      <c r="I1738" s="193"/>
      <c r="J1738" s="193"/>
      <c r="K1738" s="194"/>
      <c r="L1738" s="195"/>
      <c r="M1738" s="195"/>
      <c r="N1738" s="195"/>
      <c r="O1738" s="195"/>
      <c r="P1738" s="196"/>
      <c r="Q1738" s="196"/>
      <c r="R1738" s="193"/>
      <c r="S1738" s="193"/>
      <c r="T1738" s="197"/>
      <c r="U1738" s="193"/>
      <c r="V1738" s="193"/>
    </row>
    <row r="1739" spans="2:22" ht="15" customHeight="1" x14ac:dyDescent="0.2">
      <c r="B1739" s="193"/>
      <c r="C1739" s="347"/>
      <c r="D1739" s="347"/>
      <c r="E1739" s="193"/>
      <c r="F1739" s="193"/>
      <c r="G1739" s="193"/>
      <c r="H1739" s="193"/>
      <c r="I1739" s="193"/>
      <c r="J1739" s="193"/>
      <c r="K1739" s="194"/>
      <c r="L1739" s="195"/>
      <c r="M1739" s="195"/>
      <c r="N1739" s="195"/>
      <c r="O1739" s="195"/>
      <c r="P1739" s="196"/>
      <c r="Q1739" s="196"/>
      <c r="R1739" s="193"/>
      <c r="S1739" s="193"/>
      <c r="T1739" s="197"/>
      <c r="U1739" s="193"/>
      <c r="V1739" s="193"/>
    </row>
    <row r="1740" spans="2:22" ht="15" customHeight="1" x14ac:dyDescent="0.2">
      <c r="B1740" s="193"/>
      <c r="C1740" s="347"/>
      <c r="D1740" s="347"/>
      <c r="E1740" s="193"/>
      <c r="F1740" s="193"/>
      <c r="G1740" s="193"/>
      <c r="H1740" s="193"/>
      <c r="I1740" s="193"/>
      <c r="J1740" s="193"/>
      <c r="K1740" s="194"/>
      <c r="L1740" s="195"/>
      <c r="M1740" s="195"/>
      <c r="N1740" s="195"/>
      <c r="O1740" s="195"/>
      <c r="P1740" s="196"/>
      <c r="Q1740" s="196"/>
      <c r="R1740" s="193"/>
      <c r="S1740" s="193"/>
      <c r="T1740" s="197"/>
      <c r="U1740" s="193"/>
      <c r="V1740" s="193"/>
    </row>
    <row r="1741" spans="2:22" ht="15" customHeight="1" x14ac:dyDescent="0.2">
      <c r="B1741" s="193"/>
      <c r="C1741" s="347"/>
      <c r="D1741" s="347"/>
      <c r="E1741" s="193"/>
      <c r="F1741" s="193"/>
      <c r="G1741" s="193"/>
      <c r="H1741" s="193"/>
      <c r="I1741" s="193"/>
      <c r="J1741" s="193"/>
      <c r="K1741" s="194"/>
      <c r="L1741" s="195"/>
      <c r="M1741" s="195"/>
      <c r="N1741" s="195"/>
      <c r="O1741" s="195"/>
      <c r="P1741" s="196"/>
      <c r="Q1741" s="196"/>
      <c r="R1741" s="193"/>
      <c r="S1741" s="193"/>
      <c r="T1741" s="197"/>
      <c r="U1741" s="193"/>
      <c r="V1741" s="193"/>
    </row>
    <row r="1742" spans="2:22" ht="15" customHeight="1" x14ac:dyDescent="0.2">
      <c r="B1742" s="193"/>
      <c r="C1742" s="347"/>
      <c r="D1742" s="347"/>
      <c r="E1742" s="193"/>
      <c r="F1742" s="193"/>
      <c r="G1742" s="193"/>
      <c r="H1742" s="193"/>
      <c r="I1742" s="193"/>
      <c r="J1742" s="193"/>
      <c r="K1742" s="194"/>
      <c r="L1742" s="195"/>
      <c r="M1742" s="195"/>
      <c r="N1742" s="195"/>
      <c r="O1742" s="195"/>
      <c r="P1742" s="196"/>
      <c r="Q1742" s="196"/>
      <c r="R1742" s="193"/>
      <c r="S1742" s="193"/>
      <c r="T1742" s="197"/>
      <c r="U1742" s="193"/>
      <c r="V1742" s="193"/>
    </row>
    <row r="1743" spans="2:22" ht="15" customHeight="1" x14ac:dyDescent="0.2">
      <c r="B1743" s="193"/>
      <c r="C1743" s="347"/>
      <c r="D1743" s="347"/>
      <c r="E1743" s="193"/>
      <c r="F1743" s="193"/>
      <c r="G1743" s="193"/>
      <c r="H1743" s="193"/>
      <c r="I1743" s="193"/>
      <c r="J1743" s="193"/>
      <c r="K1743" s="194"/>
      <c r="L1743" s="195"/>
      <c r="M1743" s="195"/>
      <c r="N1743" s="195"/>
      <c r="O1743" s="195"/>
      <c r="P1743" s="196"/>
      <c r="Q1743" s="196"/>
      <c r="R1743" s="193"/>
      <c r="S1743" s="193"/>
      <c r="T1743" s="197"/>
      <c r="U1743" s="193"/>
      <c r="V1743" s="193"/>
    </row>
    <row r="1744" spans="2:22" ht="15" customHeight="1" x14ac:dyDescent="0.2">
      <c r="B1744" s="193"/>
      <c r="C1744" s="347"/>
      <c r="D1744" s="347"/>
      <c r="E1744" s="193"/>
      <c r="F1744" s="193"/>
      <c r="G1744" s="193"/>
      <c r="H1744" s="193"/>
      <c r="I1744" s="193"/>
      <c r="J1744" s="193"/>
      <c r="K1744" s="194"/>
      <c r="L1744" s="195"/>
      <c r="M1744" s="195"/>
      <c r="N1744" s="195"/>
      <c r="O1744" s="195"/>
      <c r="P1744" s="196"/>
      <c r="Q1744" s="196"/>
      <c r="R1744" s="193"/>
      <c r="S1744" s="193"/>
      <c r="T1744" s="197"/>
      <c r="U1744" s="193"/>
      <c r="V1744" s="193"/>
    </row>
    <row r="1745" spans="2:22" ht="15" customHeight="1" x14ac:dyDescent="0.2">
      <c r="B1745" s="193"/>
      <c r="C1745" s="347"/>
      <c r="D1745" s="347"/>
      <c r="E1745" s="193"/>
      <c r="F1745" s="193"/>
      <c r="G1745" s="193"/>
      <c r="H1745" s="193"/>
      <c r="I1745" s="193"/>
      <c r="J1745" s="193"/>
      <c r="K1745" s="194"/>
      <c r="L1745" s="195"/>
      <c r="M1745" s="195"/>
      <c r="N1745" s="195"/>
      <c r="O1745" s="195"/>
      <c r="P1745" s="196"/>
      <c r="Q1745" s="196"/>
      <c r="R1745" s="193"/>
      <c r="S1745" s="193"/>
      <c r="T1745" s="197"/>
      <c r="U1745" s="193"/>
      <c r="V1745" s="193"/>
    </row>
    <row r="1746" spans="2:22" ht="15" customHeight="1" x14ac:dyDescent="0.2">
      <c r="B1746" s="193"/>
      <c r="C1746" s="347"/>
      <c r="D1746" s="347"/>
      <c r="E1746" s="193"/>
      <c r="F1746" s="193"/>
      <c r="G1746" s="193"/>
      <c r="H1746" s="193"/>
      <c r="I1746" s="193"/>
      <c r="J1746" s="193"/>
      <c r="K1746" s="194"/>
      <c r="L1746" s="195"/>
      <c r="M1746" s="195"/>
      <c r="N1746" s="195"/>
      <c r="O1746" s="195"/>
      <c r="P1746" s="196"/>
      <c r="Q1746" s="196"/>
      <c r="R1746" s="193"/>
      <c r="S1746" s="193"/>
      <c r="T1746" s="197"/>
      <c r="U1746" s="193"/>
      <c r="V1746" s="193"/>
    </row>
    <row r="1747" spans="2:22" ht="15" customHeight="1" x14ac:dyDescent="0.2">
      <c r="B1747" s="193"/>
      <c r="C1747" s="347"/>
      <c r="D1747" s="347"/>
      <c r="E1747" s="193"/>
      <c r="F1747" s="193"/>
      <c r="G1747" s="193"/>
      <c r="H1747" s="193"/>
      <c r="I1747" s="193"/>
      <c r="J1747" s="193"/>
      <c r="K1747" s="194"/>
      <c r="L1747" s="195"/>
      <c r="M1747" s="195"/>
      <c r="N1747" s="195"/>
      <c r="O1747" s="195"/>
      <c r="P1747" s="196"/>
      <c r="Q1747" s="196"/>
      <c r="R1747" s="193"/>
      <c r="S1747" s="193"/>
      <c r="T1747" s="197"/>
      <c r="U1747" s="193"/>
      <c r="V1747" s="193"/>
    </row>
    <row r="1748" spans="2:22" ht="15" customHeight="1" x14ac:dyDescent="0.2">
      <c r="B1748" s="193"/>
      <c r="C1748" s="347"/>
      <c r="D1748" s="347"/>
      <c r="E1748" s="193"/>
      <c r="F1748" s="193"/>
      <c r="G1748" s="193"/>
      <c r="H1748" s="193"/>
      <c r="I1748" s="193"/>
      <c r="J1748" s="193"/>
      <c r="K1748" s="194"/>
      <c r="L1748" s="195"/>
      <c r="M1748" s="195"/>
      <c r="N1748" s="195"/>
      <c r="O1748" s="195"/>
      <c r="P1748" s="196"/>
      <c r="Q1748" s="196"/>
      <c r="R1748" s="193"/>
      <c r="S1748" s="193"/>
      <c r="T1748" s="197"/>
      <c r="U1748" s="193"/>
      <c r="V1748" s="193"/>
    </row>
    <row r="1749" spans="2:22" ht="15" customHeight="1" x14ac:dyDescent="0.2">
      <c r="B1749" s="193"/>
      <c r="C1749" s="347"/>
      <c r="D1749" s="347"/>
      <c r="E1749" s="193"/>
      <c r="F1749" s="193"/>
      <c r="G1749" s="193"/>
      <c r="H1749" s="193"/>
      <c r="I1749" s="193"/>
      <c r="J1749" s="193"/>
      <c r="K1749" s="194"/>
      <c r="L1749" s="195"/>
      <c r="M1749" s="195"/>
      <c r="N1749" s="195"/>
      <c r="O1749" s="195"/>
      <c r="P1749" s="196"/>
      <c r="Q1749" s="196"/>
      <c r="R1749" s="193"/>
      <c r="S1749" s="193"/>
      <c r="T1749" s="197"/>
      <c r="U1749" s="193"/>
      <c r="V1749" s="193"/>
    </row>
    <row r="1750" spans="2:22" ht="15" customHeight="1" x14ac:dyDescent="0.2">
      <c r="B1750" s="193"/>
      <c r="C1750" s="347"/>
      <c r="D1750" s="347"/>
      <c r="E1750" s="193"/>
      <c r="F1750" s="193"/>
      <c r="G1750" s="193"/>
      <c r="H1750" s="193"/>
      <c r="I1750" s="193"/>
      <c r="J1750" s="193"/>
      <c r="K1750" s="194"/>
      <c r="L1750" s="195"/>
      <c r="M1750" s="195"/>
      <c r="N1750" s="195"/>
      <c r="O1750" s="195"/>
      <c r="P1750" s="196"/>
      <c r="Q1750" s="196"/>
      <c r="R1750" s="193"/>
      <c r="S1750" s="193"/>
      <c r="T1750" s="197"/>
      <c r="U1750" s="193"/>
      <c r="V1750" s="193"/>
    </row>
    <row r="1751" spans="2:22" ht="15" customHeight="1" x14ac:dyDescent="0.2">
      <c r="B1751" s="193"/>
      <c r="C1751" s="347"/>
      <c r="D1751" s="347"/>
      <c r="E1751" s="193"/>
      <c r="F1751" s="193"/>
      <c r="G1751" s="193"/>
      <c r="H1751" s="193"/>
      <c r="I1751" s="193"/>
      <c r="J1751" s="193"/>
      <c r="K1751" s="194"/>
      <c r="L1751" s="195"/>
      <c r="M1751" s="195"/>
      <c r="N1751" s="195"/>
      <c r="O1751" s="195"/>
      <c r="P1751" s="196"/>
      <c r="Q1751" s="196"/>
      <c r="R1751" s="193"/>
      <c r="S1751" s="193"/>
      <c r="T1751" s="197"/>
      <c r="U1751" s="193"/>
      <c r="V1751" s="193"/>
    </row>
    <row r="1752" spans="2:22" ht="15" customHeight="1" x14ac:dyDescent="0.2">
      <c r="B1752" s="193"/>
      <c r="C1752" s="347"/>
      <c r="D1752" s="347"/>
      <c r="E1752" s="193"/>
      <c r="F1752" s="193"/>
      <c r="G1752" s="193"/>
      <c r="H1752" s="193"/>
      <c r="I1752" s="193"/>
      <c r="J1752" s="193"/>
      <c r="K1752" s="194"/>
      <c r="L1752" s="195"/>
      <c r="M1752" s="195"/>
      <c r="N1752" s="195"/>
      <c r="O1752" s="195"/>
      <c r="P1752" s="196"/>
      <c r="Q1752" s="196"/>
      <c r="R1752" s="193"/>
      <c r="S1752" s="193"/>
      <c r="T1752" s="197"/>
      <c r="U1752" s="193"/>
      <c r="V1752" s="193"/>
    </row>
    <row r="1753" spans="2:22" ht="15" customHeight="1" x14ac:dyDescent="0.2">
      <c r="B1753" s="193"/>
      <c r="C1753" s="347"/>
      <c r="D1753" s="347"/>
      <c r="E1753" s="193"/>
      <c r="F1753" s="193"/>
      <c r="G1753" s="193"/>
      <c r="H1753" s="193"/>
      <c r="I1753" s="193"/>
      <c r="J1753" s="193"/>
      <c r="K1753" s="194"/>
      <c r="L1753" s="195"/>
      <c r="M1753" s="195"/>
      <c r="N1753" s="195"/>
      <c r="O1753" s="195"/>
      <c r="P1753" s="196"/>
      <c r="Q1753" s="196"/>
      <c r="R1753" s="193"/>
      <c r="S1753" s="193"/>
      <c r="T1753" s="197"/>
      <c r="U1753" s="193"/>
      <c r="V1753" s="193"/>
    </row>
    <row r="1754" spans="2:22" ht="15" customHeight="1" x14ac:dyDescent="0.2">
      <c r="B1754" s="193"/>
      <c r="C1754" s="347"/>
      <c r="D1754" s="347"/>
      <c r="E1754" s="193"/>
      <c r="F1754" s="193"/>
      <c r="G1754" s="193"/>
      <c r="H1754" s="193"/>
      <c r="I1754" s="193"/>
      <c r="J1754" s="193"/>
      <c r="K1754" s="194"/>
      <c r="L1754" s="195"/>
      <c r="M1754" s="195"/>
      <c r="N1754" s="195"/>
      <c r="O1754" s="195"/>
      <c r="P1754" s="196"/>
      <c r="Q1754" s="196"/>
      <c r="R1754" s="193"/>
      <c r="S1754" s="193"/>
      <c r="T1754" s="197"/>
      <c r="U1754" s="193"/>
      <c r="V1754" s="193"/>
    </row>
    <row r="1755" spans="2:22" ht="15" customHeight="1" x14ac:dyDescent="0.2">
      <c r="B1755" s="193"/>
      <c r="C1755" s="347"/>
      <c r="D1755" s="347"/>
      <c r="E1755" s="193"/>
      <c r="F1755" s="193"/>
      <c r="G1755" s="193"/>
      <c r="H1755" s="193"/>
      <c r="I1755" s="193"/>
      <c r="J1755" s="193"/>
      <c r="K1755" s="194"/>
      <c r="L1755" s="195"/>
      <c r="M1755" s="195"/>
      <c r="N1755" s="195"/>
      <c r="O1755" s="195"/>
      <c r="P1755" s="196"/>
      <c r="Q1755" s="196"/>
      <c r="R1755" s="193"/>
      <c r="S1755" s="193"/>
      <c r="T1755" s="197"/>
      <c r="U1755" s="193"/>
      <c r="V1755" s="193"/>
    </row>
    <row r="1756" spans="2:22" ht="15" customHeight="1" x14ac:dyDescent="0.2">
      <c r="B1756" s="193"/>
      <c r="C1756" s="347"/>
      <c r="D1756" s="347"/>
      <c r="E1756" s="193"/>
      <c r="F1756" s="193"/>
      <c r="G1756" s="193"/>
      <c r="H1756" s="193"/>
      <c r="I1756" s="193"/>
      <c r="J1756" s="193"/>
      <c r="K1756" s="194"/>
      <c r="L1756" s="195"/>
      <c r="M1756" s="195"/>
      <c r="N1756" s="195"/>
      <c r="O1756" s="195"/>
      <c r="P1756" s="196"/>
      <c r="Q1756" s="196"/>
      <c r="R1756" s="193"/>
      <c r="S1756" s="193"/>
      <c r="T1756" s="197"/>
      <c r="U1756" s="193"/>
      <c r="V1756" s="193"/>
    </row>
    <row r="1757" spans="2:22" ht="15" customHeight="1" x14ac:dyDescent="0.2">
      <c r="B1757" s="193"/>
      <c r="C1757" s="347"/>
      <c r="D1757" s="347"/>
      <c r="E1757" s="193"/>
      <c r="F1757" s="193"/>
      <c r="G1757" s="193"/>
      <c r="H1757" s="193"/>
      <c r="I1757" s="193"/>
      <c r="J1757" s="193"/>
      <c r="K1757" s="194"/>
      <c r="L1757" s="195"/>
      <c r="M1757" s="195"/>
      <c r="N1757" s="195"/>
      <c r="O1757" s="195"/>
      <c r="P1757" s="196"/>
      <c r="Q1757" s="196"/>
      <c r="R1757" s="193"/>
      <c r="S1757" s="193"/>
      <c r="T1757" s="197"/>
      <c r="U1757" s="193"/>
      <c r="V1757" s="193"/>
    </row>
    <row r="1758" spans="2:22" ht="15" customHeight="1" x14ac:dyDescent="0.2">
      <c r="B1758" s="193"/>
      <c r="C1758" s="347"/>
      <c r="D1758" s="347"/>
      <c r="E1758" s="193"/>
      <c r="F1758" s="193"/>
      <c r="G1758" s="193"/>
      <c r="H1758" s="193"/>
      <c r="I1758" s="193"/>
      <c r="J1758" s="193"/>
      <c r="K1758" s="194"/>
      <c r="L1758" s="195"/>
      <c r="M1758" s="195"/>
      <c r="N1758" s="195"/>
      <c r="O1758" s="195"/>
      <c r="P1758" s="196"/>
      <c r="Q1758" s="196"/>
      <c r="R1758" s="193"/>
      <c r="S1758" s="193"/>
      <c r="T1758" s="197"/>
      <c r="U1758" s="193"/>
      <c r="V1758" s="193"/>
    </row>
    <row r="1759" spans="2:22" ht="15" customHeight="1" x14ac:dyDescent="0.2">
      <c r="B1759" s="193"/>
      <c r="C1759" s="347"/>
      <c r="D1759" s="347"/>
      <c r="E1759" s="193"/>
      <c r="F1759" s="193"/>
      <c r="G1759" s="193"/>
      <c r="H1759" s="193"/>
      <c r="I1759" s="193"/>
      <c r="J1759" s="193"/>
      <c r="K1759" s="194"/>
      <c r="L1759" s="195"/>
      <c r="M1759" s="195"/>
      <c r="N1759" s="195"/>
      <c r="O1759" s="195"/>
      <c r="P1759" s="196"/>
      <c r="Q1759" s="196"/>
      <c r="R1759" s="193"/>
      <c r="S1759" s="193"/>
      <c r="T1759" s="197"/>
      <c r="U1759" s="193"/>
      <c r="V1759" s="193"/>
    </row>
    <row r="1760" spans="2:22" ht="15" customHeight="1" x14ac:dyDescent="0.2">
      <c r="B1760" s="193"/>
      <c r="C1760" s="347"/>
      <c r="D1760" s="347"/>
      <c r="E1760" s="193"/>
      <c r="F1760" s="193"/>
      <c r="G1760" s="193"/>
      <c r="H1760" s="193"/>
      <c r="I1760" s="193"/>
      <c r="J1760" s="193"/>
      <c r="K1760" s="194"/>
      <c r="L1760" s="195"/>
      <c r="M1760" s="195"/>
      <c r="N1760" s="195"/>
      <c r="O1760" s="195"/>
      <c r="P1760" s="196"/>
      <c r="Q1760" s="196"/>
      <c r="R1760" s="193"/>
      <c r="S1760" s="193"/>
      <c r="T1760" s="197"/>
      <c r="U1760" s="193"/>
      <c r="V1760" s="193"/>
    </row>
    <row r="1761" spans="2:22" ht="15" customHeight="1" x14ac:dyDescent="0.2">
      <c r="B1761" s="193"/>
      <c r="C1761" s="347"/>
      <c r="D1761" s="347"/>
      <c r="E1761" s="193"/>
      <c r="F1761" s="193"/>
      <c r="G1761" s="193"/>
      <c r="H1761" s="193"/>
      <c r="I1761" s="193"/>
      <c r="J1761" s="193"/>
      <c r="K1761" s="194"/>
      <c r="L1761" s="195"/>
      <c r="M1761" s="195"/>
      <c r="N1761" s="195"/>
      <c r="O1761" s="195"/>
      <c r="P1761" s="196"/>
      <c r="Q1761" s="196"/>
      <c r="R1761" s="193"/>
      <c r="S1761" s="193"/>
      <c r="T1761" s="197"/>
      <c r="U1761" s="193"/>
      <c r="V1761" s="193"/>
    </row>
    <row r="1762" spans="2:22" ht="15" customHeight="1" x14ac:dyDescent="0.2">
      <c r="B1762" s="193"/>
      <c r="C1762" s="347"/>
      <c r="D1762" s="347"/>
      <c r="E1762" s="193"/>
      <c r="F1762" s="193"/>
      <c r="G1762" s="193"/>
      <c r="H1762" s="193"/>
      <c r="I1762" s="193"/>
      <c r="J1762" s="193"/>
      <c r="K1762" s="194"/>
      <c r="L1762" s="195"/>
      <c r="M1762" s="195"/>
      <c r="N1762" s="195"/>
      <c r="O1762" s="195"/>
      <c r="P1762" s="196"/>
      <c r="Q1762" s="196"/>
      <c r="R1762" s="193"/>
      <c r="S1762" s="193"/>
      <c r="T1762" s="197"/>
      <c r="U1762" s="193"/>
      <c r="V1762" s="193"/>
    </row>
    <row r="1763" spans="2:22" ht="15" customHeight="1" x14ac:dyDescent="0.2">
      <c r="B1763" s="193"/>
      <c r="C1763" s="347"/>
      <c r="D1763" s="347"/>
      <c r="E1763" s="193"/>
      <c r="F1763" s="193"/>
      <c r="G1763" s="193"/>
      <c r="H1763" s="193"/>
      <c r="I1763" s="193"/>
      <c r="J1763" s="193"/>
      <c r="K1763" s="194"/>
      <c r="L1763" s="195"/>
      <c r="M1763" s="195"/>
      <c r="N1763" s="195"/>
      <c r="O1763" s="195"/>
      <c r="P1763" s="196"/>
      <c r="Q1763" s="196"/>
      <c r="R1763" s="193"/>
      <c r="S1763" s="193"/>
      <c r="T1763" s="197"/>
      <c r="U1763" s="193"/>
      <c r="V1763" s="193"/>
    </row>
    <row r="1764" spans="2:22" ht="15" customHeight="1" x14ac:dyDescent="0.2">
      <c r="B1764" s="193"/>
      <c r="C1764" s="347"/>
      <c r="D1764" s="347"/>
      <c r="E1764" s="193"/>
      <c r="F1764" s="193"/>
      <c r="G1764" s="193"/>
      <c r="H1764" s="193"/>
      <c r="I1764" s="193"/>
      <c r="J1764" s="193"/>
      <c r="K1764" s="194"/>
      <c r="L1764" s="195"/>
      <c r="M1764" s="195"/>
      <c r="N1764" s="195"/>
      <c r="O1764" s="195"/>
      <c r="P1764" s="196"/>
      <c r="Q1764" s="196"/>
      <c r="R1764" s="193"/>
      <c r="S1764" s="193"/>
      <c r="T1764" s="197"/>
      <c r="U1764" s="193"/>
      <c r="V1764" s="193"/>
    </row>
    <row r="1765" spans="2:22" ht="15" customHeight="1" x14ac:dyDescent="0.2">
      <c r="B1765" s="193"/>
      <c r="C1765" s="347"/>
      <c r="D1765" s="347"/>
      <c r="E1765" s="193"/>
      <c r="F1765" s="193"/>
      <c r="G1765" s="193"/>
      <c r="H1765" s="193"/>
      <c r="I1765" s="193"/>
      <c r="J1765" s="193"/>
      <c r="K1765" s="194"/>
      <c r="L1765" s="195"/>
      <c r="M1765" s="195"/>
      <c r="N1765" s="195"/>
      <c r="O1765" s="195"/>
      <c r="P1765" s="196"/>
      <c r="Q1765" s="196"/>
      <c r="R1765" s="193"/>
      <c r="S1765" s="193"/>
      <c r="T1765" s="197"/>
      <c r="U1765" s="193"/>
      <c r="V1765" s="193"/>
    </row>
    <row r="1766" spans="2:22" ht="15" customHeight="1" x14ac:dyDescent="0.2">
      <c r="B1766" s="193"/>
      <c r="C1766" s="347"/>
      <c r="D1766" s="347"/>
      <c r="E1766" s="193"/>
      <c r="F1766" s="193"/>
      <c r="G1766" s="193"/>
      <c r="H1766" s="193"/>
      <c r="I1766" s="193"/>
      <c r="J1766" s="193"/>
      <c r="K1766" s="194"/>
      <c r="L1766" s="195"/>
      <c r="M1766" s="195"/>
      <c r="N1766" s="195"/>
      <c r="O1766" s="195"/>
      <c r="P1766" s="196"/>
      <c r="Q1766" s="196"/>
      <c r="R1766" s="193"/>
      <c r="S1766" s="193"/>
      <c r="T1766" s="197"/>
      <c r="U1766" s="193"/>
      <c r="V1766" s="193"/>
    </row>
    <row r="1767" spans="2:22" ht="15" customHeight="1" x14ac:dyDescent="0.2">
      <c r="B1767" s="193"/>
      <c r="C1767" s="347"/>
      <c r="D1767" s="347"/>
      <c r="E1767" s="193"/>
      <c r="F1767" s="193"/>
      <c r="G1767" s="193"/>
      <c r="H1767" s="193"/>
      <c r="I1767" s="193"/>
      <c r="J1767" s="193"/>
      <c r="K1767" s="194"/>
      <c r="L1767" s="195"/>
      <c r="M1767" s="195"/>
      <c r="N1767" s="195"/>
      <c r="O1767" s="195"/>
      <c r="P1767" s="196"/>
      <c r="Q1767" s="196"/>
      <c r="R1767" s="193"/>
      <c r="S1767" s="193"/>
      <c r="T1767" s="197"/>
      <c r="U1767" s="193"/>
      <c r="V1767" s="193"/>
    </row>
    <row r="1768" spans="2:22" ht="15" customHeight="1" x14ac:dyDescent="0.2">
      <c r="B1768" s="193"/>
      <c r="C1768" s="347"/>
      <c r="D1768" s="347"/>
      <c r="E1768" s="193"/>
      <c r="F1768" s="193"/>
      <c r="G1768" s="193"/>
      <c r="H1768" s="193"/>
      <c r="I1768" s="193"/>
      <c r="J1768" s="193"/>
      <c r="K1768" s="194"/>
      <c r="L1768" s="195"/>
      <c r="M1768" s="195"/>
      <c r="N1768" s="195"/>
      <c r="O1768" s="195"/>
      <c r="P1768" s="196"/>
      <c r="Q1768" s="196"/>
      <c r="R1768" s="193"/>
      <c r="S1768" s="193"/>
      <c r="T1768" s="197"/>
      <c r="U1768" s="193"/>
      <c r="V1768" s="193"/>
    </row>
    <row r="1769" spans="2:22" ht="15" customHeight="1" x14ac:dyDescent="0.2">
      <c r="B1769" s="193"/>
      <c r="C1769" s="347"/>
      <c r="D1769" s="347"/>
      <c r="E1769" s="193"/>
      <c r="F1769" s="193"/>
      <c r="G1769" s="193"/>
      <c r="H1769" s="193"/>
      <c r="I1769" s="193"/>
      <c r="J1769" s="193"/>
      <c r="K1769" s="194"/>
      <c r="L1769" s="195"/>
      <c r="M1769" s="195"/>
      <c r="N1769" s="195"/>
      <c r="O1769" s="195"/>
      <c r="P1769" s="196"/>
      <c r="Q1769" s="196"/>
      <c r="R1769" s="193"/>
      <c r="S1769" s="193"/>
      <c r="T1769" s="197"/>
      <c r="U1769" s="193"/>
      <c r="V1769" s="193"/>
    </row>
    <row r="1770" spans="2:22" ht="15" customHeight="1" x14ac:dyDescent="0.2">
      <c r="B1770" s="193"/>
      <c r="C1770" s="347"/>
      <c r="D1770" s="347"/>
      <c r="E1770" s="193"/>
      <c r="F1770" s="193"/>
      <c r="G1770" s="193"/>
      <c r="H1770" s="193"/>
      <c r="I1770" s="193"/>
      <c r="J1770" s="193"/>
      <c r="K1770" s="194"/>
      <c r="L1770" s="195"/>
      <c r="M1770" s="195"/>
      <c r="N1770" s="195"/>
      <c r="O1770" s="195"/>
      <c r="P1770" s="196"/>
      <c r="Q1770" s="196"/>
      <c r="R1770" s="193"/>
      <c r="S1770" s="193"/>
      <c r="T1770" s="197"/>
      <c r="U1770" s="193"/>
      <c r="V1770" s="193"/>
    </row>
    <row r="1771" spans="2:22" ht="15" customHeight="1" x14ac:dyDescent="0.2">
      <c r="B1771" s="193"/>
      <c r="C1771" s="347"/>
      <c r="D1771" s="347"/>
      <c r="E1771" s="193"/>
      <c r="F1771" s="193"/>
      <c r="G1771" s="193"/>
      <c r="H1771" s="193"/>
      <c r="I1771" s="193"/>
      <c r="J1771" s="193"/>
      <c r="K1771" s="194"/>
      <c r="L1771" s="195"/>
      <c r="M1771" s="195"/>
      <c r="N1771" s="195"/>
      <c r="O1771" s="195"/>
      <c r="P1771" s="196"/>
      <c r="Q1771" s="196"/>
      <c r="R1771" s="193"/>
      <c r="S1771" s="193"/>
      <c r="T1771" s="197"/>
      <c r="U1771" s="193"/>
      <c r="V1771" s="193"/>
    </row>
    <row r="1772" spans="2:22" ht="15" customHeight="1" x14ac:dyDescent="0.2">
      <c r="B1772" s="193"/>
      <c r="C1772" s="347"/>
      <c r="D1772" s="347"/>
      <c r="E1772" s="193"/>
      <c r="F1772" s="193"/>
      <c r="G1772" s="193"/>
      <c r="H1772" s="193"/>
      <c r="I1772" s="193"/>
      <c r="J1772" s="193"/>
      <c r="K1772" s="194"/>
      <c r="L1772" s="195"/>
      <c r="M1772" s="195"/>
      <c r="N1772" s="195"/>
      <c r="O1772" s="195"/>
      <c r="P1772" s="196"/>
      <c r="Q1772" s="196"/>
      <c r="R1772" s="193"/>
      <c r="S1772" s="193"/>
      <c r="T1772" s="197"/>
      <c r="U1772" s="193"/>
      <c r="V1772" s="193"/>
    </row>
    <row r="1773" spans="2:22" ht="15" customHeight="1" x14ac:dyDescent="0.2">
      <c r="B1773" s="193"/>
      <c r="C1773" s="347"/>
      <c r="D1773" s="347"/>
      <c r="E1773" s="193"/>
      <c r="F1773" s="193"/>
      <c r="G1773" s="193"/>
      <c r="H1773" s="193"/>
      <c r="I1773" s="193"/>
      <c r="J1773" s="193"/>
      <c r="K1773" s="194"/>
      <c r="L1773" s="195"/>
      <c r="M1773" s="195"/>
      <c r="N1773" s="195"/>
      <c r="O1773" s="195"/>
      <c r="P1773" s="196"/>
      <c r="Q1773" s="196"/>
      <c r="R1773" s="193"/>
      <c r="S1773" s="193"/>
      <c r="T1773" s="197"/>
      <c r="U1773" s="193"/>
      <c r="V1773" s="193"/>
    </row>
    <row r="1774" spans="2:22" ht="15" customHeight="1" x14ac:dyDescent="0.2">
      <c r="B1774" s="193"/>
      <c r="C1774" s="347"/>
      <c r="D1774" s="347"/>
      <c r="E1774" s="193"/>
      <c r="F1774" s="193"/>
      <c r="G1774" s="193"/>
      <c r="H1774" s="193"/>
      <c r="I1774" s="193"/>
      <c r="J1774" s="193"/>
      <c r="K1774" s="194"/>
      <c r="L1774" s="195"/>
      <c r="M1774" s="195"/>
      <c r="N1774" s="195"/>
      <c r="O1774" s="195"/>
      <c r="P1774" s="196"/>
      <c r="Q1774" s="196"/>
      <c r="R1774" s="193"/>
      <c r="S1774" s="193"/>
      <c r="T1774" s="197"/>
      <c r="U1774" s="193"/>
      <c r="V1774" s="193"/>
    </row>
    <row r="1775" spans="2:22" ht="15" customHeight="1" x14ac:dyDescent="0.2">
      <c r="B1775" s="193"/>
      <c r="C1775" s="347"/>
      <c r="D1775" s="347"/>
      <c r="E1775" s="193"/>
      <c r="F1775" s="193"/>
      <c r="G1775" s="193"/>
      <c r="H1775" s="193"/>
      <c r="I1775" s="193"/>
      <c r="J1775" s="193"/>
      <c r="K1775" s="194"/>
      <c r="L1775" s="195"/>
      <c r="M1775" s="195"/>
      <c r="N1775" s="195"/>
      <c r="O1775" s="195"/>
      <c r="P1775" s="196"/>
      <c r="Q1775" s="196"/>
      <c r="R1775" s="193"/>
      <c r="S1775" s="193"/>
      <c r="T1775" s="197"/>
      <c r="U1775" s="193"/>
      <c r="V1775" s="193"/>
    </row>
    <row r="1776" spans="2:22" ht="15" customHeight="1" x14ac:dyDescent="0.2">
      <c r="B1776" s="193"/>
      <c r="C1776" s="347"/>
      <c r="D1776" s="347"/>
      <c r="E1776" s="193"/>
      <c r="F1776" s="193"/>
      <c r="G1776" s="193"/>
      <c r="H1776" s="193"/>
      <c r="I1776" s="193"/>
      <c r="J1776" s="193"/>
      <c r="K1776" s="194"/>
      <c r="L1776" s="195"/>
      <c r="M1776" s="195"/>
      <c r="N1776" s="195"/>
      <c r="O1776" s="195"/>
      <c r="P1776" s="196"/>
      <c r="Q1776" s="196"/>
      <c r="R1776" s="193"/>
      <c r="S1776" s="193"/>
      <c r="T1776" s="197"/>
      <c r="U1776" s="193"/>
      <c r="V1776" s="193"/>
    </row>
    <row r="1777" spans="2:22" ht="15" customHeight="1" x14ac:dyDescent="0.2">
      <c r="B1777" s="193"/>
      <c r="C1777" s="347"/>
      <c r="D1777" s="347"/>
      <c r="E1777" s="193"/>
      <c r="F1777" s="193"/>
      <c r="G1777" s="193"/>
      <c r="H1777" s="193"/>
      <c r="I1777" s="193"/>
      <c r="J1777" s="193"/>
      <c r="K1777" s="194"/>
      <c r="L1777" s="195"/>
      <c r="M1777" s="195"/>
      <c r="N1777" s="195"/>
      <c r="O1777" s="195"/>
      <c r="P1777" s="196"/>
      <c r="Q1777" s="196"/>
      <c r="R1777" s="193"/>
      <c r="S1777" s="193"/>
      <c r="T1777" s="197"/>
      <c r="U1777" s="193"/>
      <c r="V1777" s="193"/>
    </row>
    <row r="1778" spans="2:22" ht="15" customHeight="1" x14ac:dyDescent="0.2">
      <c r="B1778" s="193"/>
      <c r="C1778" s="347"/>
      <c r="D1778" s="347"/>
      <c r="E1778" s="193"/>
      <c r="F1778" s="193"/>
      <c r="G1778" s="193"/>
      <c r="H1778" s="193"/>
      <c r="I1778" s="193"/>
      <c r="J1778" s="193"/>
      <c r="K1778" s="194"/>
      <c r="L1778" s="195"/>
      <c r="M1778" s="195"/>
      <c r="N1778" s="195"/>
      <c r="O1778" s="195"/>
      <c r="P1778" s="196"/>
      <c r="Q1778" s="196"/>
      <c r="R1778" s="193"/>
      <c r="S1778" s="193"/>
      <c r="T1778" s="197"/>
      <c r="U1778" s="193"/>
      <c r="V1778" s="193"/>
    </row>
    <row r="1779" spans="2:22" ht="15" customHeight="1" x14ac:dyDescent="0.2">
      <c r="B1779" s="193"/>
      <c r="C1779" s="347"/>
      <c r="D1779" s="347"/>
      <c r="E1779" s="193"/>
      <c r="F1779" s="193"/>
      <c r="G1779" s="193"/>
      <c r="H1779" s="193"/>
      <c r="I1779" s="193"/>
      <c r="J1779" s="193"/>
      <c r="K1779" s="194"/>
      <c r="L1779" s="195"/>
      <c r="M1779" s="195"/>
      <c r="N1779" s="195"/>
      <c r="O1779" s="195"/>
      <c r="P1779" s="196"/>
      <c r="Q1779" s="196"/>
      <c r="R1779" s="193"/>
      <c r="S1779" s="193"/>
      <c r="T1779" s="197"/>
      <c r="U1779" s="193"/>
      <c r="V1779" s="193"/>
    </row>
    <row r="1780" spans="2:22" ht="15" customHeight="1" x14ac:dyDescent="0.2">
      <c r="B1780" s="193"/>
      <c r="C1780" s="347"/>
      <c r="D1780" s="347"/>
      <c r="E1780" s="193"/>
      <c r="F1780" s="193"/>
      <c r="G1780" s="193"/>
      <c r="H1780" s="193"/>
      <c r="I1780" s="193"/>
      <c r="J1780" s="193"/>
      <c r="K1780" s="194"/>
      <c r="L1780" s="195"/>
      <c r="M1780" s="195"/>
      <c r="N1780" s="195"/>
      <c r="O1780" s="195"/>
      <c r="P1780" s="196"/>
      <c r="Q1780" s="196"/>
      <c r="R1780" s="193"/>
      <c r="S1780" s="193"/>
      <c r="T1780" s="197"/>
      <c r="U1780" s="193"/>
      <c r="V1780" s="193"/>
    </row>
    <row r="1781" spans="2:22" ht="15" customHeight="1" x14ac:dyDescent="0.2">
      <c r="B1781" s="193"/>
      <c r="C1781" s="347"/>
      <c r="D1781" s="347"/>
      <c r="E1781" s="193"/>
      <c r="F1781" s="193"/>
      <c r="G1781" s="193"/>
      <c r="H1781" s="193"/>
      <c r="I1781" s="193"/>
      <c r="J1781" s="193"/>
      <c r="K1781" s="194"/>
      <c r="L1781" s="195"/>
      <c r="M1781" s="195"/>
      <c r="N1781" s="195"/>
      <c r="O1781" s="195"/>
      <c r="P1781" s="196"/>
      <c r="Q1781" s="196"/>
      <c r="R1781" s="193"/>
      <c r="S1781" s="193"/>
      <c r="T1781" s="197"/>
      <c r="U1781" s="193"/>
      <c r="V1781" s="193"/>
    </row>
    <row r="1782" spans="2:22" ht="15" customHeight="1" x14ac:dyDescent="0.2">
      <c r="B1782" s="193"/>
      <c r="C1782" s="347"/>
      <c r="D1782" s="347"/>
      <c r="E1782" s="193"/>
      <c r="F1782" s="193"/>
      <c r="G1782" s="193"/>
      <c r="H1782" s="193"/>
      <c r="I1782" s="193"/>
      <c r="J1782" s="193"/>
      <c r="K1782" s="194"/>
      <c r="L1782" s="195"/>
      <c r="M1782" s="195"/>
      <c r="N1782" s="195"/>
      <c r="O1782" s="195"/>
      <c r="P1782" s="196"/>
      <c r="Q1782" s="196"/>
      <c r="R1782" s="193"/>
      <c r="S1782" s="193"/>
      <c r="T1782" s="197"/>
      <c r="U1782" s="193"/>
      <c r="V1782" s="193"/>
    </row>
    <row r="1783" spans="2:22" ht="15" customHeight="1" x14ac:dyDescent="0.2">
      <c r="B1783" s="193"/>
      <c r="C1783" s="347"/>
      <c r="D1783" s="347"/>
      <c r="E1783" s="193"/>
      <c r="F1783" s="193"/>
      <c r="G1783" s="193"/>
      <c r="H1783" s="193"/>
      <c r="I1783" s="193"/>
      <c r="J1783" s="193"/>
      <c r="K1783" s="194"/>
      <c r="L1783" s="195"/>
      <c r="M1783" s="195"/>
      <c r="N1783" s="195"/>
      <c r="O1783" s="195"/>
      <c r="P1783" s="196"/>
      <c r="Q1783" s="196"/>
      <c r="R1783" s="193"/>
      <c r="S1783" s="193"/>
      <c r="T1783" s="197"/>
      <c r="U1783" s="193"/>
      <c r="V1783" s="193"/>
    </row>
    <row r="1784" spans="2:22" ht="15" customHeight="1" x14ac:dyDescent="0.2">
      <c r="B1784" s="193"/>
      <c r="C1784" s="347"/>
      <c r="D1784" s="347"/>
      <c r="E1784" s="193"/>
      <c r="F1784" s="193"/>
      <c r="G1784" s="193"/>
      <c r="H1784" s="193"/>
      <c r="I1784" s="193"/>
      <c r="J1784" s="193"/>
      <c r="K1784" s="194"/>
      <c r="L1784" s="195"/>
      <c r="M1784" s="195"/>
      <c r="N1784" s="195"/>
      <c r="O1784" s="195"/>
      <c r="P1784" s="196"/>
      <c r="Q1784" s="196"/>
      <c r="R1784" s="193"/>
      <c r="S1784" s="193"/>
      <c r="T1784" s="197"/>
      <c r="U1784" s="193"/>
      <c r="V1784" s="193"/>
    </row>
    <row r="1785" spans="2:22" ht="15" customHeight="1" x14ac:dyDescent="0.2">
      <c r="B1785" s="193"/>
      <c r="C1785" s="347"/>
      <c r="D1785" s="347"/>
      <c r="E1785" s="193"/>
      <c r="F1785" s="193"/>
      <c r="G1785" s="193"/>
      <c r="H1785" s="193"/>
      <c r="I1785" s="193"/>
      <c r="J1785" s="193"/>
      <c r="K1785" s="194"/>
      <c r="L1785" s="195"/>
      <c r="M1785" s="195"/>
      <c r="N1785" s="195"/>
      <c r="O1785" s="195"/>
      <c r="P1785" s="196"/>
      <c r="Q1785" s="196"/>
      <c r="R1785" s="193"/>
      <c r="S1785" s="193"/>
      <c r="T1785" s="197"/>
      <c r="U1785" s="193"/>
      <c r="V1785" s="193"/>
    </row>
    <row r="1786" spans="2:22" ht="15" customHeight="1" x14ac:dyDescent="0.2">
      <c r="B1786" s="193"/>
      <c r="C1786" s="347"/>
      <c r="D1786" s="347"/>
      <c r="E1786" s="193"/>
      <c r="F1786" s="193"/>
      <c r="G1786" s="193"/>
      <c r="H1786" s="193"/>
      <c r="I1786" s="193"/>
      <c r="J1786" s="193"/>
      <c r="K1786" s="194"/>
      <c r="L1786" s="195"/>
      <c r="M1786" s="195"/>
      <c r="N1786" s="195"/>
      <c r="O1786" s="195"/>
      <c r="P1786" s="196"/>
      <c r="Q1786" s="196"/>
      <c r="R1786" s="193"/>
      <c r="S1786" s="193"/>
      <c r="T1786" s="197"/>
      <c r="U1786" s="193"/>
      <c r="V1786" s="193"/>
    </row>
    <row r="1787" spans="2:22" ht="15" customHeight="1" x14ac:dyDescent="0.2">
      <c r="B1787" s="193"/>
      <c r="C1787" s="347"/>
      <c r="D1787" s="347"/>
      <c r="E1787" s="193"/>
      <c r="F1787" s="193"/>
      <c r="G1787" s="193"/>
      <c r="H1787" s="193"/>
      <c r="I1787" s="193"/>
      <c r="J1787" s="193"/>
      <c r="K1787" s="194"/>
      <c r="L1787" s="195"/>
      <c r="M1787" s="195"/>
      <c r="N1787" s="195"/>
      <c r="O1787" s="195"/>
      <c r="P1787" s="196"/>
      <c r="Q1787" s="196"/>
      <c r="R1787" s="193"/>
      <c r="S1787" s="193"/>
      <c r="T1787" s="197"/>
      <c r="U1787" s="193"/>
      <c r="V1787" s="193"/>
    </row>
    <row r="1788" spans="2:22" ht="15" customHeight="1" x14ac:dyDescent="0.2">
      <c r="B1788" s="193"/>
      <c r="C1788" s="347"/>
      <c r="D1788" s="347"/>
      <c r="E1788" s="193"/>
      <c r="F1788" s="193"/>
      <c r="G1788" s="193"/>
      <c r="H1788" s="193"/>
      <c r="I1788" s="193"/>
      <c r="J1788" s="193"/>
      <c r="K1788" s="194"/>
      <c r="L1788" s="195"/>
      <c r="M1788" s="195"/>
      <c r="N1788" s="195"/>
      <c r="O1788" s="195"/>
      <c r="P1788" s="196"/>
      <c r="Q1788" s="196"/>
      <c r="R1788" s="193"/>
      <c r="S1788" s="193"/>
      <c r="T1788" s="197"/>
      <c r="U1788" s="193"/>
      <c r="V1788" s="193"/>
    </row>
    <row r="1789" spans="2:22" ht="15" customHeight="1" x14ac:dyDescent="0.2">
      <c r="B1789" s="193"/>
      <c r="C1789" s="347"/>
      <c r="D1789" s="347"/>
      <c r="E1789" s="193"/>
      <c r="F1789" s="193"/>
      <c r="G1789" s="193"/>
      <c r="H1789" s="193"/>
      <c r="I1789" s="193"/>
      <c r="J1789" s="193"/>
      <c r="K1789" s="194"/>
      <c r="L1789" s="195"/>
      <c r="M1789" s="195"/>
      <c r="N1789" s="195"/>
      <c r="O1789" s="195"/>
      <c r="P1789" s="196"/>
      <c r="Q1789" s="196"/>
      <c r="R1789" s="193"/>
      <c r="S1789" s="193"/>
      <c r="T1789" s="197"/>
      <c r="U1789" s="193"/>
      <c r="V1789" s="193"/>
    </row>
    <row r="1790" spans="2:22" ht="15" customHeight="1" x14ac:dyDescent="0.2">
      <c r="B1790" s="193"/>
      <c r="C1790" s="347"/>
      <c r="D1790" s="347"/>
      <c r="E1790" s="193"/>
      <c r="F1790" s="193"/>
      <c r="G1790" s="193"/>
      <c r="H1790" s="193"/>
      <c r="I1790" s="193"/>
      <c r="J1790" s="193"/>
      <c r="K1790" s="194"/>
      <c r="L1790" s="195"/>
      <c r="M1790" s="195"/>
      <c r="N1790" s="195"/>
      <c r="O1790" s="195"/>
      <c r="P1790" s="196"/>
      <c r="Q1790" s="196"/>
      <c r="R1790" s="193"/>
      <c r="S1790" s="193"/>
      <c r="T1790" s="197"/>
      <c r="U1790" s="193"/>
      <c r="V1790" s="193"/>
    </row>
    <row r="1791" spans="2:22" ht="15" customHeight="1" x14ac:dyDescent="0.2">
      <c r="B1791" s="193"/>
      <c r="C1791" s="347"/>
      <c r="D1791" s="347"/>
      <c r="E1791" s="193"/>
      <c r="F1791" s="193"/>
      <c r="G1791" s="193"/>
      <c r="H1791" s="193"/>
      <c r="I1791" s="193"/>
      <c r="J1791" s="193"/>
      <c r="K1791" s="194"/>
      <c r="L1791" s="195"/>
      <c r="M1791" s="195"/>
      <c r="N1791" s="195"/>
      <c r="O1791" s="195"/>
      <c r="P1791" s="196"/>
      <c r="Q1791" s="196"/>
      <c r="R1791" s="193"/>
      <c r="S1791" s="193"/>
      <c r="T1791" s="197"/>
      <c r="U1791" s="193"/>
      <c r="V1791" s="193"/>
    </row>
    <row r="1792" spans="2:22" ht="15" customHeight="1" x14ac:dyDescent="0.2">
      <c r="B1792" s="193"/>
      <c r="C1792" s="347"/>
      <c r="D1792" s="347"/>
      <c r="E1792" s="193"/>
      <c r="F1792" s="193"/>
      <c r="G1792" s="193"/>
      <c r="H1792" s="193"/>
      <c r="I1792" s="193"/>
      <c r="J1792" s="193"/>
      <c r="K1792" s="194"/>
      <c r="L1792" s="195"/>
      <c r="M1792" s="195"/>
      <c r="N1792" s="195"/>
      <c r="O1792" s="195"/>
      <c r="P1792" s="196"/>
      <c r="Q1792" s="196"/>
      <c r="R1792" s="193"/>
      <c r="S1792" s="193"/>
      <c r="T1792" s="197"/>
      <c r="U1792" s="193"/>
      <c r="V1792" s="193"/>
    </row>
    <row r="1793" spans="2:22" ht="15" customHeight="1" x14ac:dyDescent="0.2">
      <c r="B1793" s="193"/>
      <c r="C1793" s="347"/>
      <c r="D1793" s="347"/>
      <c r="E1793" s="193"/>
      <c r="F1793" s="193"/>
      <c r="G1793" s="193"/>
      <c r="H1793" s="193"/>
      <c r="I1793" s="193"/>
      <c r="J1793" s="193"/>
      <c r="K1793" s="194"/>
      <c r="L1793" s="195"/>
      <c r="M1793" s="195"/>
      <c r="N1793" s="195"/>
      <c r="O1793" s="195"/>
      <c r="P1793" s="196"/>
      <c r="Q1793" s="196"/>
      <c r="R1793" s="193"/>
      <c r="S1793" s="193"/>
      <c r="T1793" s="197"/>
      <c r="U1793" s="193"/>
      <c r="V1793" s="193"/>
    </row>
    <row r="1794" spans="2:22" ht="15" customHeight="1" x14ac:dyDescent="0.2">
      <c r="B1794" s="193"/>
      <c r="C1794" s="347"/>
      <c r="D1794" s="347"/>
      <c r="E1794" s="193"/>
      <c r="F1794" s="193"/>
      <c r="G1794" s="193"/>
      <c r="H1794" s="193"/>
      <c r="I1794" s="193"/>
      <c r="J1794" s="193"/>
      <c r="K1794" s="194"/>
      <c r="L1794" s="195"/>
      <c r="M1794" s="195"/>
      <c r="N1794" s="195"/>
      <c r="O1794" s="195"/>
      <c r="P1794" s="196"/>
      <c r="Q1794" s="196"/>
      <c r="R1794" s="193"/>
      <c r="S1794" s="193"/>
      <c r="T1794" s="197"/>
      <c r="U1794" s="193"/>
      <c r="V1794" s="193"/>
    </row>
    <row r="1795" spans="2:22" ht="15" customHeight="1" x14ac:dyDescent="0.2">
      <c r="B1795" s="193"/>
      <c r="C1795" s="347"/>
      <c r="D1795" s="347"/>
      <c r="E1795" s="193"/>
      <c r="F1795" s="193"/>
      <c r="G1795" s="193"/>
      <c r="H1795" s="193"/>
      <c r="I1795" s="193"/>
      <c r="J1795" s="193"/>
      <c r="K1795" s="194"/>
      <c r="L1795" s="195"/>
      <c r="M1795" s="195"/>
      <c r="N1795" s="195"/>
      <c r="O1795" s="195"/>
      <c r="P1795" s="196"/>
      <c r="Q1795" s="196"/>
      <c r="R1795" s="193"/>
      <c r="S1795" s="193"/>
      <c r="T1795" s="197"/>
      <c r="U1795" s="193"/>
      <c r="V1795" s="193"/>
    </row>
    <row r="1796" spans="2:22" ht="15" customHeight="1" x14ac:dyDescent="0.2">
      <c r="B1796" s="193"/>
      <c r="C1796" s="347"/>
      <c r="D1796" s="347"/>
      <c r="E1796" s="193"/>
      <c r="F1796" s="193"/>
      <c r="G1796" s="193"/>
      <c r="H1796" s="193"/>
      <c r="I1796" s="193"/>
      <c r="J1796" s="193"/>
      <c r="K1796" s="194"/>
      <c r="L1796" s="195"/>
      <c r="M1796" s="195"/>
      <c r="N1796" s="195"/>
      <c r="O1796" s="195"/>
      <c r="P1796" s="196"/>
      <c r="Q1796" s="196"/>
      <c r="R1796" s="193"/>
      <c r="S1796" s="193"/>
      <c r="T1796" s="197"/>
      <c r="U1796" s="193"/>
      <c r="V1796" s="193"/>
    </row>
    <row r="1797" spans="2:22" ht="15" customHeight="1" x14ac:dyDescent="0.2">
      <c r="B1797" s="193"/>
      <c r="C1797" s="347"/>
      <c r="D1797" s="347"/>
      <c r="E1797" s="193"/>
      <c r="F1797" s="193"/>
      <c r="G1797" s="193"/>
      <c r="H1797" s="193"/>
      <c r="I1797" s="193"/>
      <c r="J1797" s="193"/>
      <c r="K1797" s="194"/>
      <c r="L1797" s="195"/>
      <c r="M1797" s="195"/>
      <c r="N1797" s="195"/>
      <c r="O1797" s="195"/>
      <c r="P1797" s="196"/>
      <c r="Q1797" s="196"/>
      <c r="R1797" s="193"/>
      <c r="S1797" s="193"/>
      <c r="T1797" s="197"/>
      <c r="U1797" s="193"/>
      <c r="V1797" s="193"/>
    </row>
    <row r="1798" spans="2:22" ht="15" customHeight="1" x14ac:dyDescent="0.2">
      <c r="B1798" s="193"/>
      <c r="C1798" s="347"/>
      <c r="D1798" s="347"/>
      <c r="E1798" s="193"/>
      <c r="F1798" s="193"/>
      <c r="G1798" s="193"/>
      <c r="H1798" s="193"/>
      <c r="I1798" s="193"/>
      <c r="J1798" s="193"/>
      <c r="K1798" s="194"/>
      <c r="L1798" s="195"/>
      <c r="M1798" s="195"/>
      <c r="N1798" s="195"/>
      <c r="O1798" s="195"/>
      <c r="P1798" s="196"/>
      <c r="Q1798" s="196"/>
      <c r="R1798" s="193"/>
      <c r="S1798" s="193"/>
      <c r="T1798" s="197"/>
      <c r="U1798" s="193"/>
      <c r="V1798" s="193"/>
    </row>
    <row r="1799" spans="2:22" ht="15" customHeight="1" x14ac:dyDescent="0.2">
      <c r="B1799" s="193"/>
      <c r="C1799" s="347"/>
      <c r="D1799" s="347"/>
      <c r="E1799" s="193"/>
      <c r="F1799" s="193"/>
      <c r="G1799" s="193"/>
      <c r="H1799" s="193"/>
      <c r="I1799" s="193"/>
      <c r="J1799" s="193"/>
      <c r="K1799" s="194"/>
      <c r="L1799" s="195"/>
      <c r="M1799" s="195"/>
      <c r="N1799" s="195"/>
      <c r="O1799" s="195"/>
      <c r="P1799" s="196"/>
      <c r="Q1799" s="196"/>
      <c r="R1799" s="193"/>
      <c r="S1799" s="193"/>
      <c r="T1799" s="197"/>
      <c r="U1799" s="193"/>
      <c r="V1799" s="193"/>
    </row>
    <row r="1800" spans="2:22" ht="15" customHeight="1" x14ac:dyDescent="0.2">
      <c r="B1800" s="193"/>
      <c r="C1800" s="347"/>
      <c r="D1800" s="347"/>
      <c r="E1800" s="193"/>
      <c r="F1800" s="193"/>
      <c r="G1800" s="193"/>
      <c r="H1800" s="193"/>
      <c r="I1800" s="193"/>
      <c r="J1800" s="193"/>
      <c r="K1800" s="194"/>
      <c r="L1800" s="195"/>
      <c r="M1800" s="195"/>
      <c r="N1800" s="195"/>
      <c r="O1800" s="195"/>
      <c r="P1800" s="196"/>
      <c r="Q1800" s="196"/>
      <c r="R1800" s="193"/>
      <c r="S1800" s="193"/>
      <c r="T1800" s="197"/>
      <c r="U1800" s="193"/>
      <c r="V1800" s="193"/>
    </row>
    <row r="1801" spans="2:22" ht="15" customHeight="1" x14ac:dyDescent="0.2">
      <c r="B1801" s="193"/>
      <c r="C1801" s="347"/>
      <c r="D1801" s="347"/>
      <c r="E1801" s="193"/>
      <c r="F1801" s="193"/>
      <c r="G1801" s="193"/>
      <c r="H1801" s="193"/>
      <c r="I1801" s="193"/>
      <c r="J1801" s="193"/>
      <c r="K1801" s="194"/>
      <c r="L1801" s="195"/>
      <c r="M1801" s="195"/>
      <c r="N1801" s="195"/>
      <c r="O1801" s="195"/>
      <c r="P1801" s="196"/>
      <c r="Q1801" s="196"/>
      <c r="R1801" s="193"/>
      <c r="S1801" s="193"/>
      <c r="T1801" s="197"/>
      <c r="U1801" s="193"/>
      <c r="V1801" s="193"/>
    </row>
    <row r="1802" spans="2:22" ht="15" customHeight="1" x14ac:dyDescent="0.2">
      <c r="B1802" s="193"/>
      <c r="C1802" s="347"/>
      <c r="D1802" s="347"/>
      <c r="E1802" s="193"/>
      <c r="F1802" s="193"/>
      <c r="G1802" s="193"/>
      <c r="H1802" s="193"/>
      <c r="I1802" s="193"/>
      <c r="J1802" s="193"/>
      <c r="K1802" s="194"/>
      <c r="L1802" s="195"/>
      <c r="M1802" s="195"/>
      <c r="N1802" s="195"/>
      <c r="O1802" s="195"/>
      <c r="P1802" s="196"/>
      <c r="Q1802" s="196"/>
      <c r="R1802" s="193"/>
      <c r="S1802" s="193"/>
      <c r="T1802" s="197"/>
      <c r="U1802" s="193"/>
      <c r="V1802" s="193"/>
    </row>
    <row r="1803" spans="2:22" ht="15" customHeight="1" x14ac:dyDescent="0.2">
      <c r="B1803" s="193"/>
      <c r="C1803" s="347"/>
      <c r="D1803" s="347"/>
      <c r="E1803" s="193"/>
      <c r="F1803" s="193"/>
      <c r="G1803" s="193"/>
      <c r="H1803" s="193"/>
      <c r="I1803" s="193"/>
      <c r="J1803" s="193"/>
      <c r="K1803" s="194"/>
      <c r="L1803" s="195"/>
      <c r="M1803" s="195"/>
      <c r="N1803" s="195"/>
      <c r="O1803" s="195"/>
      <c r="P1803" s="196"/>
      <c r="Q1803" s="196"/>
      <c r="R1803" s="193"/>
      <c r="S1803" s="193"/>
      <c r="T1803" s="197"/>
      <c r="U1803" s="193"/>
      <c r="V1803" s="193"/>
    </row>
    <row r="1804" spans="2:22" ht="15" customHeight="1" x14ac:dyDescent="0.2">
      <c r="B1804" s="193"/>
      <c r="C1804" s="347"/>
      <c r="D1804" s="347"/>
      <c r="E1804" s="193"/>
      <c r="F1804" s="193"/>
      <c r="G1804" s="193"/>
      <c r="H1804" s="193"/>
      <c r="I1804" s="193"/>
      <c r="J1804" s="193"/>
      <c r="K1804" s="194"/>
      <c r="L1804" s="195"/>
      <c r="M1804" s="195"/>
      <c r="N1804" s="195"/>
      <c r="O1804" s="195"/>
      <c r="P1804" s="196"/>
      <c r="Q1804" s="196"/>
      <c r="R1804" s="193"/>
      <c r="S1804" s="193"/>
      <c r="T1804" s="197"/>
      <c r="U1804" s="193"/>
      <c r="V1804" s="193"/>
    </row>
    <row r="1805" spans="2:22" ht="15" customHeight="1" x14ac:dyDescent="0.2">
      <c r="B1805" s="193"/>
      <c r="C1805" s="347"/>
      <c r="D1805" s="347"/>
      <c r="E1805" s="193"/>
      <c r="F1805" s="193"/>
      <c r="G1805" s="193"/>
      <c r="H1805" s="193"/>
      <c r="I1805" s="193"/>
      <c r="J1805" s="193"/>
      <c r="K1805" s="194"/>
      <c r="L1805" s="195"/>
      <c r="M1805" s="195"/>
      <c r="N1805" s="195"/>
      <c r="O1805" s="195"/>
      <c r="P1805" s="196"/>
      <c r="Q1805" s="196"/>
      <c r="R1805" s="193"/>
      <c r="S1805" s="193"/>
      <c r="T1805" s="197"/>
      <c r="U1805" s="193"/>
      <c r="V1805" s="193"/>
    </row>
    <row r="1806" spans="2:22" ht="15" customHeight="1" x14ac:dyDescent="0.2">
      <c r="B1806" s="193"/>
      <c r="C1806" s="347"/>
      <c r="D1806" s="347"/>
      <c r="E1806" s="193"/>
      <c r="F1806" s="193"/>
      <c r="G1806" s="193"/>
      <c r="H1806" s="193"/>
      <c r="I1806" s="193"/>
      <c r="J1806" s="193"/>
      <c r="K1806" s="194"/>
      <c r="L1806" s="195"/>
      <c r="M1806" s="195"/>
      <c r="N1806" s="195"/>
      <c r="O1806" s="195"/>
      <c r="P1806" s="196"/>
      <c r="Q1806" s="196"/>
      <c r="R1806" s="193"/>
      <c r="S1806" s="193"/>
      <c r="T1806" s="197"/>
      <c r="U1806" s="193"/>
      <c r="V1806" s="193"/>
    </row>
    <row r="1807" spans="2:22" ht="15" customHeight="1" x14ac:dyDescent="0.2">
      <c r="B1807" s="193"/>
      <c r="C1807" s="347"/>
      <c r="D1807" s="347"/>
      <c r="E1807" s="193"/>
      <c r="F1807" s="193"/>
      <c r="G1807" s="193"/>
      <c r="H1807" s="193"/>
      <c r="I1807" s="193"/>
      <c r="J1807" s="193"/>
      <c r="K1807" s="194"/>
      <c r="L1807" s="195"/>
      <c r="M1807" s="195"/>
      <c r="N1807" s="195"/>
      <c r="O1807" s="195"/>
      <c r="P1807" s="196"/>
      <c r="Q1807" s="196"/>
      <c r="R1807" s="193"/>
      <c r="S1807" s="193"/>
      <c r="T1807" s="197"/>
      <c r="U1807" s="193"/>
      <c r="V1807" s="193"/>
    </row>
    <row r="1808" spans="2:22" ht="15" customHeight="1" x14ac:dyDescent="0.2">
      <c r="B1808" s="193"/>
      <c r="C1808" s="347"/>
      <c r="D1808" s="347"/>
      <c r="E1808" s="193"/>
      <c r="F1808" s="193"/>
      <c r="G1808" s="193"/>
      <c r="H1808" s="193"/>
      <c r="I1808" s="193"/>
      <c r="J1808" s="193"/>
      <c r="K1808" s="194"/>
      <c r="L1808" s="195"/>
      <c r="M1808" s="195"/>
      <c r="N1808" s="195"/>
      <c r="O1808" s="195"/>
      <c r="P1808" s="196"/>
      <c r="Q1808" s="196"/>
      <c r="R1808" s="193"/>
      <c r="S1808" s="193"/>
      <c r="T1808" s="197"/>
      <c r="U1808" s="193"/>
      <c r="V1808" s="193"/>
    </row>
    <row r="1809" spans="2:22" ht="15" customHeight="1" x14ac:dyDescent="0.2">
      <c r="B1809" s="193"/>
      <c r="C1809" s="347"/>
      <c r="D1809" s="347"/>
      <c r="E1809" s="193"/>
      <c r="F1809" s="193"/>
      <c r="G1809" s="193"/>
      <c r="H1809" s="193"/>
      <c r="I1809" s="193"/>
      <c r="J1809" s="193"/>
      <c r="K1809" s="194"/>
      <c r="L1809" s="195"/>
      <c r="M1809" s="195"/>
      <c r="N1809" s="195"/>
      <c r="O1809" s="195"/>
      <c r="P1809" s="196"/>
      <c r="Q1809" s="196"/>
      <c r="R1809" s="193"/>
      <c r="S1809" s="193"/>
      <c r="T1809" s="197"/>
      <c r="U1809" s="193"/>
      <c r="V1809" s="193"/>
    </row>
    <row r="1810" spans="2:22" ht="15" customHeight="1" x14ac:dyDescent="0.2">
      <c r="B1810" s="193"/>
      <c r="C1810" s="347"/>
      <c r="D1810" s="347"/>
      <c r="E1810" s="193"/>
      <c r="F1810" s="193"/>
      <c r="G1810" s="193"/>
      <c r="H1810" s="193"/>
      <c r="I1810" s="193"/>
      <c r="J1810" s="193"/>
      <c r="K1810" s="194"/>
      <c r="L1810" s="195"/>
      <c r="M1810" s="195"/>
      <c r="N1810" s="195"/>
      <c r="O1810" s="195"/>
      <c r="P1810" s="196"/>
      <c r="Q1810" s="196"/>
      <c r="R1810" s="193"/>
      <c r="S1810" s="193"/>
      <c r="T1810" s="197"/>
      <c r="U1810" s="193"/>
      <c r="V1810" s="193"/>
    </row>
    <row r="1811" spans="2:22" ht="15" customHeight="1" x14ac:dyDescent="0.2">
      <c r="B1811" s="193"/>
      <c r="C1811" s="347"/>
      <c r="D1811" s="347"/>
      <c r="E1811" s="193"/>
      <c r="F1811" s="193"/>
      <c r="G1811" s="193"/>
      <c r="H1811" s="193"/>
      <c r="I1811" s="193"/>
      <c r="J1811" s="193"/>
      <c r="K1811" s="194"/>
      <c r="L1811" s="195"/>
      <c r="M1811" s="195"/>
      <c r="N1811" s="195"/>
      <c r="O1811" s="195"/>
      <c r="P1811" s="196"/>
      <c r="Q1811" s="196"/>
      <c r="R1811" s="193"/>
      <c r="S1811" s="193"/>
      <c r="T1811" s="197"/>
      <c r="U1811" s="193"/>
      <c r="V1811" s="193"/>
    </row>
    <row r="1812" spans="2:22" ht="15" customHeight="1" x14ac:dyDescent="0.2">
      <c r="B1812" s="193"/>
      <c r="C1812" s="347"/>
      <c r="D1812" s="347"/>
      <c r="E1812" s="193"/>
      <c r="F1812" s="193"/>
      <c r="G1812" s="193"/>
      <c r="H1812" s="193"/>
      <c r="I1812" s="193"/>
      <c r="J1812" s="193"/>
      <c r="K1812" s="194"/>
      <c r="L1812" s="195"/>
      <c r="M1812" s="195"/>
      <c r="N1812" s="195"/>
      <c r="O1812" s="195"/>
      <c r="P1812" s="196"/>
      <c r="Q1812" s="196"/>
      <c r="R1812" s="193"/>
      <c r="S1812" s="193"/>
      <c r="T1812" s="197"/>
      <c r="U1812" s="193"/>
      <c r="V1812" s="193"/>
    </row>
    <row r="1813" spans="2:22" ht="15" customHeight="1" x14ac:dyDescent="0.2">
      <c r="B1813" s="193"/>
      <c r="C1813" s="347"/>
      <c r="D1813" s="347"/>
      <c r="E1813" s="193"/>
      <c r="F1813" s="193"/>
      <c r="G1813" s="193"/>
      <c r="H1813" s="193"/>
      <c r="I1813" s="193"/>
      <c r="J1813" s="193"/>
      <c r="K1813" s="194"/>
      <c r="L1813" s="195"/>
      <c r="M1813" s="195"/>
      <c r="N1813" s="195"/>
      <c r="O1813" s="195"/>
      <c r="P1813" s="196"/>
      <c r="Q1813" s="196"/>
      <c r="R1813" s="193"/>
      <c r="S1813" s="193"/>
      <c r="T1813" s="197"/>
      <c r="U1813" s="193"/>
      <c r="V1813" s="193"/>
    </row>
    <row r="1814" spans="2:22" ht="15" customHeight="1" x14ac:dyDescent="0.2">
      <c r="B1814" s="193"/>
      <c r="C1814" s="347"/>
      <c r="D1814" s="347"/>
      <c r="E1814" s="193"/>
      <c r="F1814" s="193"/>
      <c r="G1814" s="193"/>
      <c r="H1814" s="193"/>
      <c r="I1814" s="193"/>
      <c r="J1814" s="193"/>
      <c r="K1814" s="194"/>
      <c r="L1814" s="195"/>
      <c r="M1814" s="195"/>
      <c r="N1814" s="195"/>
      <c r="O1814" s="195"/>
      <c r="P1814" s="196"/>
      <c r="Q1814" s="196"/>
      <c r="R1814" s="193"/>
      <c r="S1814" s="193"/>
      <c r="T1814" s="197"/>
      <c r="U1814" s="193"/>
      <c r="V1814" s="193"/>
    </row>
    <row r="1815" spans="2:22" ht="15" customHeight="1" x14ac:dyDescent="0.2">
      <c r="B1815" s="193"/>
      <c r="C1815" s="347"/>
      <c r="D1815" s="347"/>
      <c r="E1815" s="193"/>
      <c r="F1815" s="193"/>
      <c r="G1815" s="193"/>
      <c r="H1815" s="193"/>
      <c r="I1815" s="193"/>
      <c r="J1815" s="193"/>
      <c r="K1815" s="194"/>
      <c r="L1815" s="195"/>
      <c r="M1815" s="195"/>
      <c r="N1815" s="195"/>
      <c r="O1815" s="195"/>
      <c r="P1815" s="196"/>
      <c r="Q1815" s="196"/>
      <c r="R1815" s="193"/>
      <c r="S1815" s="193"/>
      <c r="T1815" s="197"/>
      <c r="U1815" s="193"/>
      <c r="V1815" s="193"/>
    </row>
    <row r="1816" spans="2:22" ht="15" customHeight="1" x14ac:dyDescent="0.2">
      <c r="B1816" s="193"/>
      <c r="C1816" s="347"/>
      <c r="D1816" s="347"/>
      <c r="E1816" s="193"/>
      <c r="F1816" s="193"/>
      <c r="G1816" s="193"/>
      <c r="H1816" s="193"/>
      <c r="I1816" s="193"/>
      <c r="J1816" s="193"/>
      <c r="K1816" s="194"/>
      <c r="L1816" s="195"/>
      <c r="M1816" s="195"/>
      <c r="N1816" s="195"/>
      <c r="O1816" s="195"/>
      <c r="P1816" s="196"/>
      <c r="Q1816" s="196"/>
      <c r="R1816" s="193"/>
      <c r="S1816" s="193"/>
      <c r="T1816" s="197"/>
      <c r="U1816" s="193"/>
      <c r="V1816" s="193"/>
    </row>
    <row r="1817" spans="2:22" ht="15" customHeight="1" x14ac:dyDescent="0.2">
      <c r="B1817" s="193"/>
      <c r="C1817" s="347"/>
      <c r="D1817" s="347"/>
      <c r="E1817" s="193"/>
      <c r="F1817" s="193"/>
      <c r="G1817" s="193"/>
      <c r="H1817" s="193"/>
      <c r="I1817" s="193"/>
      <c r="J1817" s="193"/>
      <c r="K1817" s="194"/>
      <c r="L1817" s="195"/>
      <c r="M1817" s="195"/>
      <c r="N1817" s="195"/>
      <c r="O1817" s="195"/>
      <c r="P1817" s="196"/>
      <c r="Q1817" s="196"/>
      <c r="R1817" s="193"/>
      <c r="S1817" s="193"/>
      <c r="T1817" s="197"/>
      <c r="U1817" s="193"/>
      <c r="V1817" s="193"/>
    </row>
    <row r="1818" spans="2:22" ht="15" customHeight="1" x14ac:dyDescent="0.2">
      <c r="B1818" s="193"/>
      <c r="C1818" s="347"/>
      <c r="D1818" s="347"/>
      <c r="E1818" s="193"/>
      <c r="F1818" s="193"/>
      <c r="G1818" s="193"/>
      <c r="H1818" s="193"/>
      <c r="I1818" s="193"/>
      <c r="J1818" s="193"/>
      <c r="K1818" s="194"/>
      <c r="L1818" s="195"/>
      <c r="M1818" s="195"/>
      <c r="N1818" s="195"/>
      <c r="O1818" s="195"/>
      <c r="P1818" s="196"/>
      <c r="Q1818" s="196"/>
      <c r="R1818" s="193"/>
      <c r="S1818" s="193"/>
      <c r="T1818" s="197"/>
      <c r="U1818" s="193"/>
      <c r="V1818" s="193"/>
    </row>
    <row r="1819" spans="2:22" ht="15" customHeight="1" x14ac:dyDescent="0.2">
      <c r="B1819" s="193"/>
      <c r="C1819" s="347"/>
      <c r="D1819" s="347"/>
      <c r="E1819" s="193"/>
      <c r="F1819" s="193"/>
      <c r="G1819" s="193"/>
      <c r="H1819" s="193"/>
      <c r="I1819" s="193"/>
      <c r="J1819" s="193"/>
      <c r="K1819" s="194"/>
      <c r="L1819" s="195"/>
      <c r="M1819" s="195"/>
      <c r="N1819" s="195"/>
      <c r="O1819" s="195"/>
      <c r="P1819" s="196"/>
      <c r="Q1819" s="196"/>
      <c r="R1819" s="193"/>
      <c r="S1819" s="193"/>
      <c r="T1819" s="197"/>
      <c r="U1819" s="193"/>
      <c r="V1819" s="193"/>
    </row>
    <row r="1820" spans="2:22" ht="15" customHeight="1" x14ac:dyDescent="0.2">
      <c r="B1820" s="193"/>
      <c r="C1820" s="347"/>
      <c r="D1820" s="347"/>
      <c r="E1820" s="193"/>
      <c r="F1820" s="193"/>
      <c r="G1820" s="193"/>
      <c r="H1820" s="193"/>
      <c r="I1820" s="193"/>
      <c r="J1820" s="193"/>
      <c r="K1820" s="194"/>
      <c r="L1820" s="195"/>
      <c r="M1820" s="195"/>
      <c r="N1820" s="195"/>
      <c r="O1820" s="195"/>
      <c r="P1820" s="196"/>
      <c r="Q1820" s="196"/>
      <c r="R1820" s="193"/>
      <c r="S1820" s="193"/>
      <c r="T1820" s="197"/>
      <c r="U1820" s="193"/>
      <c r="V1820" s="193"/>
    </row>
    <row r="1821" spans="2:22" ht="15" customHeight="1" x14ac:dyDescent="0.2">
      <c r="B1821" s="193"/>
      <c r="C1821" s="347"/>
      <c r="D1821" s="347"/>
      <c r="E1821" s="193"/>
      <c r="F1821" s="193"/>
      <c r="G1821" s="193"/>
      <c r="H1821" s="193"/>
      <c r="I1821" s="193"/>
      <c r="J1821" s="193"/>
      <c r="K1821" s="194"/>
      <c r="L1821" s="195"/>
      <c r="M1821" s="195"/>
      <c r="N1821" s="195"/>
      <c r="O1821" s="195"/>
      <c r="P1821" s="196"/>
      <c r="Q1821" s="196"/>
      <c r="R1821" s="193"/>
      <c r="S1821" s="193"/>
      <c r="T1821" s="197"/>
      <c r="U1821" s="193"/>
      <c r="V1821" s="193"/>
    </row>
    <row r="1822" spans="2:22" ht="15" customHeight="1" x14ac:dyDescent="0.2">
      <c r="B1822" s="193"/>
      <c r="C1822" s="347"/>
      <c r="D1822" s="347"/>
      <c r="E1822" s="193"/>
      <c r="F1822" s="193"/>
      <c r="G1822" s="193"/>
      <c r="H1822" s="193"/>
      <c r="I1822" s="193"/>
      <c r="J1822" s="193"/>
      <c r="K1822" s="194"/>
      <c r="L1822" s="195"/>
      <c r="M1822" s="195"/>
      <c r="N1822" s="195"/>
      <c r="O1822" s="195"/>
      <c r="P1822" s="196"/>
      <c r="Q1822" s="196"/>
      <c r="R1822" s="193"/>
      <c r="S1822" s="193"/>
      <c r="T1822" s="197"/>
      <c r="U1822" s="193"/>
      <c r="V1822" s="193"/>
    </row>
    <row r="1823" spans="2:22" ht="15" customHeight="1" x14ac:dyDescent="0.2">
      <c r="B1823" s="193"/>
      <c r="C1823" s="347"/>
      <c r="D1823" s="347"/>
      <c r="E1823" s="193"/>
      <c r="F1823" s="193"/>
      <c r="G1823" s="193"/>
      <c r="H1823" s="193"/>
      <c r="I1823" s="193"/>
      <c r="J1823" s="193"/>
      <c r="K1823" s="194"/>
      <c r="L1823" s="195"/>
      <c r="M1823" s="195"/>
      <c r="N1823" s="195"/>
      <c r="O1823" s="195"/>
      <c r="P1823" s="196"/>
      <c r="Q1823" s="196"/>
      <c r="R1823" s="193"/>
      <c r="S1823" s="193"/>
      <c r="T1823" s="197"/>
      <c r="U1823" s="193"/>
      <c r="V1823" s="193"/>
    </row>
    <row r="1824" spans="2:22" ht="15" customHeight="1" x14ac:dyDescent="0.2">
      <c r="B1824" s="193"/>
      <c r="C1824" s="347"/>
      <c r="D1824" s="347"/>
      <c r="E1824" s="193"/>
      <c r="F1824" s="193"/>
      <c r="G1824" s="193"/>
      <c r="H1824" s="193"/>
      <c r="I1824" s="193"/>
      <c r="J1824" s="193"/>
      <c r="K1824" s="194"/>
      <c r="L1824" s="195"/>
      <c r="M1824" s="195"/>
      <c r="N1824" s="195"/>
      <c r="O1824" s="195"/>
      <c r="P1824" s="196"/>
      <c r="Q1824" s="196"/>
      <c r="R1824" s="193"/>
      <c r="S1824" s="193"/>
      <c r="T1824" s="197"/>
      <c r="U1824" s="193"/>
      <c r="V1824" s="193"/>
    </row>
    <row r="1825" spans="2:22" ht="15" customHeight="1" x14ac:dyDescent="0.2">
      <c r="B1825" s="193"/>
      <c r="C1825" s="347"/>
      <c r="D1825" s="347"/>
      <c r="E1825" s="193"/>
      <c r="F1825" s="193"/>
      <c r="G1825" s="193"/>
      <c r="H1825" s="193"/>
      <c r="I1825" s="193"/>
      <c r="J1825" s="193"/>
      <c r="K1825" s="194"/>
      <c r="L1825" s="195"/>
      <c r="M1825" s="195"/>
      <c r="N1825" s="195"/>
      <c r="O1825" s="195"/>
      <c r="P1825" s="196"/>
      <c r="Q1825" s="196"/>
      <c r="R1825" s="193"/>
      <c r="S1825" s="193"/>
      <c r="T1825" s="197"/>
      <c r="U1825" s="193"/>
      <c r="V1825" s="193"/>
    </row>
    <row r="1826" spans="2:22" ht="15" customHeight="1" x14ac:dyDescent="0.2">
      <c r="B1826" s="193"/>
      <c r="C1826" s="347"/>
      <c r="D1826" s="347"/>
      <c r="E1826" s="193"/>
      <c r="F1826" s="193"/>
      <c r="G1826" s="193"/>
      <c r="H1826" s="193"/>
      <c r="I1826" s="193"/>
      <c r="J1826" s="193"/>
      <c r="K1826" s="194"/>
      <c r="L1826" s="195"/>
      <c r="M1826" s="195"/>
      <c r="N1826" s="195"/>
      <c r="O1826" s="195"/>
      <c r="P1826" s="196"/>
      <c r="Q1826" s="196"/>
      <c r="R1826" s="193"/>
      <c r="S1826" s="193"/>
      <c r="T1826" s="197"/>
      <c r="U1826" s="193"/>
      <c r="V1826" s="193"/>
    </row>
    <row r="1827" spans="2:22" ht="15" customHeight="1" x14ac:dyDescent="0.2">
      <c r="B1827" s="193"/>
      <c r="C1827" s="347"/>
      <c r="D1827" s="347"/>
      <c r="E1827" s="193"/>
      <c r="F1827" s="193"/>
      <c r="G1827" s="193"/>
      <c r="H1827" s="193"/>
      <c r="I1827" s="193"/>
      <c r="J1827" s="193"/>
      <c r="K1827" s="194"/>
      <c r="L1827" s="195"/>
      <c r="M1827" s="195"/>
      <c r="N1827" s="195"/>
      <c r="O1827" s="195"/>
      <c r="P1827" s="196"/>
      <c r="Q1827" s="196"/>
      <c r="R1827" s="193"/>
      <c r="S1827" s="193"/>
      <c r="T1827" s="197"/>
      <c r="U1827" s="193"/>
      <c r="V1827" s="193"/>
    </row>
    <row r="1828" spans="2:22" ht="15" customHeight="1" x14ac:dyDescent="0.2">
      <c r="B1828" s="193"/>
      <c r="C1828" s="347"/>
      <c r="D1828" s="347"/>
      <c r="E1828" s="193"/>
      <c r="F1828" s="193"/>
      <c r="G1828" s="193"/>
      <c r="H1828" s="193"/>
      <c r="I1828" s="193"/>
      <c r="J1828" s="193"/>
      <c r="K1828" s="194"/>
      <c r="L1828" s="195"/>
      <c r="M1828" s="195"/>
      <c r="N1828" s="195"/>
      <c r="O1828" s="195"/>
      <c r="P1828" s="196"/>
      <c r="Q1828" s="196"/>
      <c r="R1828" s="193"/>
      <c r="S1828" s="193"/>
      <c r="T1828" s="197"/>
      <c r="U1828" s="193"/>
      <c r="V1828" s="193"/>
    </row>
    <row r="1829" spans="2:22" ht="15" customHeight="1" x14ac:dyDescent="0.2">
      <c r="B1829" s="193"/>
      <c r="C1829" s="347"/>
      <c r="D1829" s="347"/>
      <c r="E1829" s="193"/>
      <c r="F1829" s="193"/>
      <c r="G1829" s="193"/>
      <c r="H1829" s="193"/>
      <c r="I1829" s="193"/>
      <c r="J1829" s="193"/>
      <c r="K1829" s="194"/>
      <c r="L1829" s="195"/>
      <c r="M1829" s="195"/>
      <c r="N1829" s="195"/>
      <c r="O1829" s="195"/>
      <c r="P1829" s="196"/>
      <c r="Q1829" s="196"/>
      <c r="R1829" s="193"/>
      <c r="S1829" s="193"/>
      <c r="T1829" s="197"/>
      <c r="U1829" s="193"/>
      <c r="V1829" s="193"/>
    </row>
    <row r="1830" spans="2:22" ht="15" customHeight="1" x14ac:dyDescent="0.2">
      <c r="B1830" s="193"/>
      <c r="C1830" s="347"/>
      <c r="D1830" s="347"/>
      <c r="E1830" s="193"/>
      <c r="F1830" s="193"/>
      <c r="G1830" s="193"/>
      <c r="H1830" s="193"/>
      <c r="I1830" s="193"/>
      <c r="J1830" s="193"/>
      <c r="K1830" s="194"/>
      <c r="L1830" s="195"/>
      <c r="M1830" s="195"/>
      <c r="N1830" s="195"/>
      <c r="O1830" s="195"/>
      <c r="P1830" s="196"/>
      <c r="Q1830" s="196"/>
      <c r="R1830" s="193"/>
      <c r="S1830" s="193"/>
      <c r="T1830" s="197"/>
      <c r="U1830" s="193"/>
      <c r="V1830" s="193"/>
    </row>
    <row r="1831" spans="2:22" ht="15" customHeight="1" x14ac:dyDescent="0.2">
      <c r="B1831" s="193"/>
      <c r="C1831" s="347"/>
      <c r="D1831" s="347"/>
      <c r="E1831" s="193"/>
      <c r="F1831" s="193"/>
      <c r="G1831" s="193"/>
      <c r="H1831" s="193"/>
      <c r="I1831" s="193"/>
      <c r="J1831" s="193"/>
      <c r="K1831" s="194"/>
      <c r="L1831" s="195"/>
      <c r="M1831" s="195"/>
      <c r="N1831" s="195"/>
      <c r="O1831" s="195"/>
      <c r="P1831" s="196"/>
      <c r="Q1831" s="196"/>
      <c r="R1831" s="193"/>
      <c r="S1831" s="193"/>
      <c r="T1831" s="197"/>
      <c r="U1831" s="193"/>
      <c r="V1831" s="193"/>
    </row>
    <row r="1832" spans="2:22" ht="15" customHeight="1" x14ac:dyDescent="0.2">
      <c r="B1832" s="193"/>
      <c r="C1832" s="347"/>
      <c r="D1832" s="347"/>
      <c r="E1832" s="193"/>
      <c r="F1832" s="193"/>
      <c r="G1832" s="193"/>
      <c r="H1832" s="193"/>
      <c r="I1832" s="193"/>
      <c r="J1832" s="193"/>
      <c r="K1832" s="194"/>
      <c r="L1832" s="195"/>
      <c r="M1832" s="195"/>
      <c r="N1832" s="195"/>
      <c r="O1832" s="195"/>
      <c r="P1832" s="196"/>
      <c r="Q1832" s="196"/>
      <c r="R1832" s="193"/>
      <c r="S1832" s="193"/>
      <c r="T1832" s="197"/>
      <c r="U1832" s="193"/>
      <c r="V1832" s="193"/>
    </row>
    <row r="1833" spans="2:22" ht="15" customHeight="1" x14ac:dyDescent="0.2">
      <c r="B1833" s="193"/>
      <c r="C1833" s="347"/>
      <c r="D1833" s="347"/>
      <c r="E1833" s="193"/>
      <c r="F1833" s="193"/>
      <c r="G1833" s="193"/>
      <c r="H1833" s="193"/>
      <c r="I1833" s="193"/>
      <c r="J1833" s="193"/>
      <c r="K1833" s="194"/>
      <c r="L1833" s="195"/>
      <c r="M1833" s="195"/>
      <c r="N1833" s="195"/>
      <c r="O1833" s="195"/>
      <c r="P1833" s="196"/>
      <c r="Q1833" s="196"/>
      <c r="R1833" s="193"/>
      <c r="S1833" s="193"/>
      <c r="T1833" s="197"/>
      <c r="U1833" s="193"/>
      <c r="V1833" s="193"/>
    </row>
    <row r="1834" spans="2:22" ht="15" customHeight="1" x14ac:dyDescent="0.2">
      <c r="B1834" s="193"/>
      <c r="C1834" s="347"/>
      <c r="D1834" s="347"/>
      <c r="E1834" s="193"/>
      <c r="F1834" s="193"/>
      <c r="G1834" s="193"/>
      <c r="H1834" s="193"/>
      <c r="I1834" s="193"/>
      <c r="J1834" s="193"/>
      <c r="K1834" s="194"/>
      <c r="L1834" s="195"/>
      <c r="M1834" s="195"/>
      <c r="N1834" s="195"/>
      <c r="O1834" s="195"/>
      <c r="P1834" s="196"/>
      <c r="Q1834" s="196"/>
      <c r="R1834" s="193"/>
      <c r="S1834" s="193"/>
      <c r="T1834" s="197"/>
      <c r="U1834" s="193"/>
      <c r="V1834" s="193"/>
    </row>
    <row r="1835" spans="2:22" ht="15" customHeight="1" x14ac:dyDescent="0.2">
      <c r="B1835" s="193"/>
      <c r="C1835" s="347"/>
      <c r="D1835" s="347"/>
      <c r="E1835" s="193"/>
      <c r="F1835" s="193"/>
      <c r="G1835" s="193"/>
      <c r="H1835" s="193"/>
      <c r="I1835" s="193"/>
      <c r="J1835" s="193"/>
      <c r="K1835" s="194"/>
      <c r="L1835" s="195"/>
      <c r="M1835" s="195"/>
      <c r="N1835" s="195"/>
      <c r="O1835" s="195"/>
      <c r="P1835" s="196"/>
      <c r="Q1835" s="196"/>
      <c r="R1835" s="193"/>
      <c r="S1835" s="193"/>
      <c r="T1835" s="197"/>
      <c r="U1835" s="193"/>
      <c r="V1835" s="193"/>
    </row>
    <row r="1836" spans="2:22" ht="15" customHeight="1" x14ac:dyDescent="0.2">
      <c r="B1836" s="193"/>
      <c r="C1836" s="347"/>
      <c r="D1836" s="347"/>
      <c r="E1836" s="193"/>
      <c r="F1836" s="193"/>
      <c r="G1836" s="193"/>
      <c r="H1836" s="193"/>
      <c r="I1836" s="193"/>
      <c r="J1836" s="193"/>
      <c r="K1836" s="194"/>
      <c r="L1836" s="195"/>
      <c r="M1836" s="195"/>
      <c r="N1836" s="195"/>
      <c r="O1836" s="195"/>
      <c r="P1836" s="196"/>
      <c r="Q1836" s="196"/>
      <c r="R1836" s="193"/>
      <c r="S1836" s="193"/>
      <c r="T1836" s="197"/>
      <c r="U1836" s="193"/>
      <c r="V1836" s="193"/>
    </row>
    <row r="1837" spans="2:22" ht="15" customHeight="1" x14ac:dyDescent="0.2">
      <c r="B1837" s="193"/>
      <c r="C1837" s="347"/>
      <c r="D1837" s="347"/>
      <c r="E1837" s="193"/>
      <c r="F1837" s="193"/>
      <c r="G1837" s="193"/>
      <c r="H1837" s="193"/>
      <c r="I1837" s="193"/>
      <c r="J1837" s="193"/>
      <c r="K1837" s="194"/>
      <c r="L1837" s="195"/>
      <c r="M1837" s="195"/>
      <c r="N1837" s="195"/>
      <c r="O1837" s="195"/>
      <c r="P1837" s="196"/>
      <c r="Q1837" s="196"/>
      <c r="R1837" s="193"/>
      <c r="S1837" s="193"/>
      <c r="T1837" s="197"/>
      <c r="U1837" s="193"/>
      <c r="V1837" s="193"/>
    </row>
    <row r="1838" spans="2:22" ht="15" customHeight="1" x14ac:dyDescent="0.2">
      <c r="B1838" s="193"/>
      <c r="C1838" s="347"/>
      <c r="D1838" s="347"/>
      <c r="E1838" s="193"/>
      <c r="F1838" s="193"/>
      <c r="G1838" s="193"/>
      <c r="H1838" s="193"/>
      <c r="I1838" s="193"/>
      <c r="J1838" s="193"/>
      <c r="K1838" s="194"/>
      <c r="L1838" s="195"/>
      <c r="M1838" s="195"/>
      <c r="N1838" s="195"/>
      <c r="O1838" s="195"/>
      <c r="P1838" s="196"/>
      <c r="Q1838" s="196"/>
      <c r="R1838" s="193"/>
      <c r="S1838" s="193"/>
      <c r="T1838" s="197"/>
      <c r="U1838" s="193"/>
      <c r="V1838" s="193"/>
    </row>
    <row r="1839" spans="2:22" ht="15" customHeight="1" x14ac:dyDescent="0.2">
      <c r="B1839" s="193"/>
      <c r="C1839" s="347"/>
      <c r="D1839" s="347"/>
      <c r="E1839" s="193"/>
      <c r="F1839" s="193"/>
      <c r="G1839" s="193"/>
      <c r="H1839" s="193"/>
      <c r="I1839" s="193"/>
      <c r="J1839" s="193"/>
      <c r="K1839" s="194"/>
      <c r="L1839" s="195"/>
      <c r="M1839" s="195"/>
      <c r="N1839" s="195"/>
      <c r="O1839" s="195"/>
      <c r="P1839" s="196"/>
      <c r="Q1839" s="196"/>
      <c r="R1839" s="193"/>
      <c r="S1839" s="193"/>
      <c r="T1839" s="197"/>
      <c r="U1839" s="193"/>
      <c r="V1839" s="193"/>
    </row>
    <row r="1840" spans="2:22" ht="15" customHeight="1" x14ac:dyDescent="0.2">
      <c r="B1840" s="193"/>
      <c r="C1840" s="347"/>
      <c r="D1840" s="347"/>
      <c r="E1840" s="193"/>
      <c r="F1840" s="193"/>
      <c r="G1840" s="193"/>
      <c r="H1840" s="193"/>
      <c r="I1840" s="193"/>
      <c r="J1840" s="193"/>
      <c r="K1840" s="194"/>
      <c r="L1840" s="195"/>
      <c r="M1840" s="195"/>
      <c r="N1840" s="195"/>
      <c r="O1840" s="195"/>
      <c r="P1840" s="196"/>
      <c r="Q1840" s="196"/>
      <c r="R1840" s="193"/>
      <c r="S1840" s="193"/>
      <c r="T1840" s="197"/>
      <c r="U1840" s="193"/>
      <c r="V1840" s="193"/>
    </row>
    <row r="1841" spans="2:22" ht="15" customHeight="1" x14ac:dyDescent="0.2">
      <c r="B1841" s="193"/>
      <c r="C1841" s="347"/>
      <c r="D1841" s="347"/>
      <c r="E1841" s="193"/>
      <c r="F1841" s="193"/>
      <c r="G1841" s="193"/>
      <c r="H1841" s="193"/>
      <c r="I1841" s="193"/>
      <c r="J1841" s="193"/>
      <c r="K1841" s="194"/>
      <c r="L1841" s="195"/>
      <c r="M1841" s="195"/>
      <c r="N1841" s="195"/>
      <c r="O1841" s="195"/>
      <c r="P1841" s="196"/>
      <c r="Q1841" s="196"/>
      <c r="R1841" s="193"/>
      <c r="S1841" s="193"/>
      <c r="T1841" s="197"/>
      <c r="U1841" s="193"/>
      <c r="V1841" s="193"/>
    </row>
    <row r="1842" spans="2:22" ht="15" customHeight="1" x14ac:dyDescent="0.2">
      <c r="B1842" s="193"/>
      <c r="C1842" s="347"/>
      <c r="D1842" s="347"/>
      <c r="E1842" s="193"/>
      <c r="F1842" s="193"/>
      <c r="G1842" s="193"/>
      <c r="H1842" s="193"/>
      <c r="I1842" s="193"/>
      <c r="J1842" s="193"/>
      <c r="K1842" s="194"/>
      <c r="L1842" s="195"/>
      <c r="M1842" s="195"/>
      <c r="N1842" s="195"/>
      <c r="O1842" s="195"/>
      <c r="P1842" s="196"/>
      <c r="Q1842" s="196"/>
      <c r="R1842" s="193"/>
      <c r="S1842" s="193"/>
      <c r="T1842" s="197"/>
      <c r="U1842" s="193"/>
      <c r="V1842" s="193"/>
    </row>
    <row r="1843" spans="2:22" ht="15" customHeight="1" x14ac:dyDescent="0.2">
      <c r="B1843" s="193"/>
      <c r="C1843" s="347"/>
      <c r="D1843" s="347"/>
      <c r="E1843" s="193"/>
      <c r="F1843" s="193"/>
      <c r="G1843" s="193"/>
      <c r="H1843" s="193"/>
      <c r="I1843" s="193"/>
      <c r="J1843" s="193"/>
      <c r="K1843" s="194"/>
      <c r="L1843" s="195"/>
      <c r="M1843" s="195"/>
      <c r="N1843" s="195"/>
      <c r="O1843" s="195"/>
      <c r="P1843" s="196"/>
      <c r="Q1843" s="196"/>
      <c r="R1843" s="193"/>
      <c r="S1843" s="193"/>
      <c r="T1843" s="197"/>
      <c r="U1843" s="193"/>
      <c r="V1843" s="193"/>
    </row>
    <row r="1844" spans="2:22" ht="15" customHeight="1" x14ac:dyDescent="0.2">
      <c r="B1844" s="193"/>
      <c r="C1844" s="347"/>
      <c r="D1844" s="347"/>
      <c r="E1844" s="193"/>
      <c r="F1844" s="193"/>
      <c r="G1844" s="193"/>
      <c r="H1844" s="193"/>
      <c r="I1844" s="193"/>
      <c r="J1844" s="193"/>
      <c r="K1844" s="194"/>
      <c r="L1844" s="195"/>
      <c r="M1844" s="195"/>
      <c r="N1844" s="195"/>
      <c r="O1844" s="195"/>
      <c r="P1844" s="196"/>
      <c r="Q1844" s="196"/>
      <c r="R1844" s="193"/>
      <c r="S1844" s="193"/>
      <c r="T1844" s="197"/>
      <c r="U1844" s="193"/>
      <c r="V1844" s="193"/>
    </row>
    <row r="1845" spans="2:22" ht="15" customHeight="1" x14ac:dyDescent="0.2">
      <c r="B1845" s="193"/>
      <c r="C1845" s="347"/>
      <c r="D1845" s="347"/>
      <c r="E1845" s="193"/>
      <c r="F1845" s="193"/>
      <c r="G1845" s="193"/>
      <c r="H1845" s="193"/>
      <c r="I1845" s="193"/>
      <c r="J1845" s="193"/>
      <c r="K1845" s="194"/>
      <c r="L1845" s="195"/>
      <c r="M1845" s="195"/>
      <c r="N1845" s="195"/>
      <c r="O1845" s="195"/>
      <c r="P1845" s="196"/>
      <c r="Q1845" s="196"/>
      <c r="R1845" s="193"/>
      <c r="S1845" s="193"/>
      <c r="T1845" s="197"/>
      <c r="U1845" s="193"/>
      <c r="V1845" s="193"/>
    </row>
    <row r="1846" spans="2:22" ht="15" customHeight="1" x14ac:dyDescent="0.2">
      <c r="B1846" s="193"/>
      <c r="C1846" s="347"/>
      <c r="D1846" s="347"/>
      <c r="E1846" s="193"/>
      <c r="F1846" s="193"/>
      <c r="G1846" s="193"/>
      <c r="H1846" s="193"/>
      <c r="I1846" s="193"/>
      <c r="J1846" s="193"/>
      <c r="K1846" s="194"/>
      <c r="L1846" s="195"/>
      <c r="M1846" s="195"/>
      <c r="N1846" s="195"/>
      <c r="O1846" s="195"/>
      <c r="P1846" s="196"/>
      <c r="Q1846" s="196"/>
      <c r="R1846" s="193"/>
      <c r="S1846" s="193"/>
      <c r="T1846" s="197"/>
      <c r="U1846" s="193"/>
      <c r="V1846" s="193"/>
    </row>
    <row r="1847" spans="2:22" ht="15" customHeight="1" x14ac:dyDescent="0.2">
      <c r="B1847" s="193"/>
      <c r="C1847" s="347"/>
      <c r="D1847" s="347"/>
      <c r="E1847" s="193"/>
      <c r="F1847" s="193"/>
      <c r="G1847" s="193"/>
      <c r="H1847" s="193"/>
      <c r="I1847" s="193"/>
      <c r="J1847" s="193"/>
      <c r="K1847" s="194"/>
      <c r="L1847" s="195"/>
      <c r="M1847" s="195"/>
      <c r="N1847" s="195"/>
      <c r="O1847" s="195"/>
      <c r="P1847" s="196"/>
      <c r="Q1847" s="196"/>
      <c r="R1847" s="193"/>
      <c r="S1847" s="193"/>
      <c r="T1847" s="197"/>
      <c r="U1847" s="193"/>
      <c r="V1847" s="193"/>
    </row>
    <row r="1848" spans="2:22" ht="15" customHeight="1" x14ac:dyDescent="0.2">
      <c r="B1848" s="193"/>
      <c r="C1848" s="347"/>
      <c r="D1848" s="347"/>
      <c r="E1848" s="193"/>
      <c r="F1848" s="193"/>
      <c r="G1848" s="193"/>
      <c r="H1848" s="193"/>
      <c r="I1848" s="193"/>
      <c r="J1848" s="193"/>
      <c r="K1848" s="194"/>
      <c r="L1848" s="195"/>
      <c r="M1848" s="195"/>
      <c r="N1848" s="195"/>
      <c r="O1848" s="195"/>
      <c r="P1848" s="196"/>
      <c r="Q1848" s="196"/>
      <c r="R1848" s="193"/>
      <c r="S1848" s="193"/>
      <c r="T1848" s="197"/>
      <c r="U1848" s="193"/>
      <c r="V1848" s="193"/>
    </row>
    <row r="1849" spans="2:22" ht="15" customHeight="1" x14ac:dyDescent="0.2">
      <c r="B1849" s="193"/>
      <c r="C1849" s="347"/>
      <c r="D1849" s="347"/>
      <c r="E1849" s="193"/>
      <c r="F1849" s="193"/>
      <c r="G1849" s="193"/>
      <c r="H1849" s="193"/>
      <c r="I1849" s="193"/>
      <c r="J1849" s="193"/>
      <c r="K1849" s="194"/>
      <c r="L1849" s="195"/>
      <c r="M1849" s="195"/>
      <c r="N1849" s="195"/>
      <c r="O1849" s="195"/>
      <c r="P1849" s="196"/>
      <c r="Q1849" s="196"/>
      <c r="R1849" s="193"/>
      <c r="S1849" s="193"/>
      <c r="T1849" s="197"/>
      <c r="U1849" s="193"/>
      <c r="V1849" s="193"/>
    </row>
    <row r="1850" spans="2:22" ht="15" customHeight="1" x14ac:dyDescent="0.2">
      <c r="B1850" s="193"/>
      <c r="C1850" s="347"/>
      <c r="D1850" s="347"/>
      <c r="E1850" s="193"/>
      <c r="F1850" s="193"/>
      <c r="G1850" s="193"/>
      <c r="H1850" s="193"/>
      <c r="I1850" s="193"/>
      <c r="J1850" s="193"/>
      <c r="K1850" s="194"/>
      <c r="L1850" s="195"/>
      <c r="M1850" s="195"/>
      <c r="N1850" s="195"/>
      <c r="O1850" s="195"/>
      <c r="P1850" s="196"/>
      <c r="Q1850" s="196"/>
      <c r="R1850" s="193"/>
      <c r="S1850" s="193"/>
      <c r="T1850" s="197"/>
      <c r="U1850" s="193"/>
      <c r="V1850" s="193"/>
    </row>
    <row r="1851" spans="2:22" ht="15" customHeight="1" x14ac:dyDescent="0.2">
      <c r="B1851" s="193"/>
      <c r="C1851" s="347"/>
      <c r="D1851" s="347"/>
      <c r="E1851" s="193"/>
      <c r="F1851" s="193"/>
      <c r="G1851" s="193"/>
      <c r="H1851" s="193"/>
      <c r="I1851" s="193"/>
      <c r="J1851" s="193"/>
      <c r="K1851" s="194"/>
      <c r="L1851" s="195"/>
      <c r="M1851" s="195"/>
      <c r="N1851" s="195"/>
      <c r="O1851" s="195"/>
      <c r="P1851" s="196"/>
      <c r="Q1851" s="196"/>
      <c r="R1851" s="193"/>
      <c r="S1851" s="193"/>
      <c r="T1851" s="197"/>
      <c r="U1851" s="193"/>
      <c r="V1851" s="193"/>
    </row>
    <row r="1852" spans="2:22" ht="15" customHeight="1" x14ac:dyDescent="0.2">
      <c r="B1852" s="193"/>
      <c r="C1852" s="347"/>
      <c r="D1852" s="347"/>
      <c r="E1852" s="193"/>
      <c r="F1852" s="193"/>
      <c r="G1852" s="193"/>
      <c r="H1852" s="193"/>
      <c r="I1852" s="193"/>
      <c r="J1852" s="193"/>
      <c r="K1852" s="194"/>
      <c r="L1852" s="195"/>
      <c r="M1852" s="195"/>
      <c r="N1852" s="195"/>
      <c r="O1852" s="195"/>
      <c r="P1852" s="196"/>
      <c r="Q1852" s="196"/>
      <c r="R1852" s="193"/>
      <c r="S1852" s="193"/>
      <c r="T1852" s="197"/>
      <c r="U1852" s="193"/>
      <c r="V1852" s="193"/>
    </row>
    <row r="1853" spans="2:22" ht="15" customHeight="1" x14ac:dyDescent="0.2">
      <c r="B1853" s="193"/>
      <c r="C1853" s="347"/>
      <c r="D1853" s="347"/>
      <c r="E1853" s="193"/>
      <c r="F1853" s="193"/>
      <c r="G1853" s="193"/>
      <c r="H1853" s="193"/>
      <c r="I1853" s="193"/>
      <c r="J1853" s="193"/>
      <c r="K1853" s="194"/>
      <c r="L1853" s="195"/>
      <c r="M1853" s="195"/>
      <c r="N1853" s="195"/>
      <c r="O1853" s="195"/>
      <c r="P1853" s="196"/>
      <c r="Q1853" s="196"/>
      <c r="R1853" s="193"/>
      <c r="S1853" s="193"/>
      <c r="T1853" s="197"/>
      <c r="U1853" s="193"/>
      <c r="V1853" s="193"/>
    </row>
    <row r="1854" spans="2:22" ht="15" customHeight="1" x14ac:dyDescent="0.2">
      <c r="B1854" s="193"/>
      <c r="C1854" s="347"/>
      <c r="D1854" s="347"/>
      <c r="E1854" s="193"/>
      <c r="F1854" s="193"/>
      <c r="G1854" s="193"/>
      <c r="H1854" s="193"/>
      <c r="I1854" s="193"/>
      <c r="J1854" s="193"/>
      <c r="K1854" s="194"/>
      <c r="L1854" s="195"/>
      <c r="M1854" s="195"/>
      <c r="N1854" s="195"/>
      <c r="O1854" s="195"/>
      <c r="P1854" s="196"/>
      <c r="Q1854" s="196"/>
      <c r="R1854" s="193"/>
      <c r="S1854" s="193"/>
      <c r="T1854" s="197"/>
      <c r="U1854" s="193"/>
      <c r="V1854" s="193"/>
    </row>
    <row r="1855" spans="2:22" ht="15" customHeight="1" x14ac:dyDescent="0.2">
      <c r="B1855" s="193"/>
      <c r="C1855" s="347"/>
      <c r="D1855" s="347"/>
      <c r="E1855" s="193"/>
      <c r="F1855" s="193"/>
      <c r="G1855" s="193"/>
      <c r="H1855" s="193"/>
      <c r="I1855" s="193"/>
      <c r="J1855" s="193"/>
      <c r="K1855" s="194"/>
      <c r="L1855" s="195"/>
      <c r="M1855" s="195"/>
      <c r="N1855" s="195"/>
      <c r="O1855" s="195"/>
      <c r="P1855" s="196"/>
      <c r="Q1855" s="196"/>
      <c r="R1855" s="193"/>
      <c r="S1855" s="193"/>
      <c r="T1855" s="197"/>
      <c r="U1855" s="193"/>
      <c r="V1855" s="193"/>
    </row>
    <row r="1856" spans="2:22" ht="15" customHeight="1" x14ac:dyDescent="0.2">
      <c r="B1856" s="193"/>
      <c r="C1856" s="347"/>
      <c r="D1856" s="347"/>
      <c r="E1856" s="193"/>
      <c r="F1856" s="193"/>
      <c r="G1856" s="193"/>
      <c r="H1856" s="193"/>
      <c r="I1856" s="193"/>
      <c r="J1856" s="193"/>
      <c r="K1856" s="194"/>
      <c r="L1856" s="195"/>
      <c r="M1856" s="195"/>
      <c r="N1856" s="195"/>
      <c r="O1856" s="195"/>
      <c r="P1856" s="196"/>
      <c r="Q1856" s="196"/>
      <c r="R1856" s="193"/>
      <c r="S1856" s="193"/>
      <c r="T1856" s="197"/>
      <c r="U1856" s="193"/>
      <c r="V1856" s="193"/>
    </row>
    <row r="1857" spans="2:22" ht="15" customHeight="1" x14ac:dyDescent="0.2">
      <c r="B1857" s="193"/>
      <c r="C1857" s="347"/>
      <c r="D1857" s="347"/>
      <c r="E1857" s="193"/>
      <c r="F1857" s="193"/>
      <c r="G1857" s="193"/>
      <c r="H1857" s="193"/>
      <c r="I1857" s="193"/>
      <c r="J1857" s="193"/>
      <c r="K1857" s="194"/>
      <c r="L1857" s="195"/>
      <c r="M1857" s="195"/>
      <c r="N1857" s="195"/>
      <c r="O1857" s="195"/>
      <c r="P1857" s="196"/>
      <c r="Q1857" s="196"/>
      <c r="R1857" s="193"/>
      <c r="S1857" s="193"/>
      <c r="T1857" s="197"/>
      <c r="U1857" s="193"/>
      <c r="V1857" s="193"/>
    </row>
    <row r="1858" spans="2:22" ht="15" customHeight="1" x14ac:dyDescent="0.2">
      <c r="B1858" s="193"/>
      <c r="C1858" s="347"/>
      <c r="D1858" s="347"/>
      <c r="E1858" s="193"/>
      <c r="F1858" s="193"/>
      <c r="G1858" s="193"/>
      <c r="H1858" s="193"/>
      <c r="I1858" s="193"/>
      <c r="J1858" s="193"/>
      <c r="K1858" s="194"/>
      <c r="L1858" s="195"/>
      <c r="M1858" s="195"/>
      <c r="N1858" s="195"/>
      <c r="O1858" s="195"/>
      <c r="P1858" s="196"/>
      <c r="Q1858" s="196"/>
      <c r="R1858" s="193"/>
      <c r="S1858" s="193"/>
      <c r="T1858" s="197"/>
      <c r="U1858" s="193"/>
      <c r="V1858" s="193"/>
    </row>
    <row r="1859" spans="2:22" ht="15" customHeight="1" x14ac:dyDescent="0.2">
      <c r="B1859" s="193"/>
      <c r="C1859" s="347"/>
      <c r="D1859" s="347"/>
      <c r="E1859" s="193"/>
      <c r="F1859" s="193"/>
      <c r="G1859" s="193"/>
      <c r="H1859" s="193"/>
      <c r="I1859" s="193"/>
      <c r="J1859" s="193"/>
      <c r="K1859" s="194"/>
      <c r="L1859" s="195"/>
      <c r="M1859" s="195"/>
      <c r="N1859" s="195"/>
      <c r="O1859" s="195"/>
      <c r="P1859" s="196"/>
      <c r="Q1859" s="196"/>
      <c r="R1859" s="193"/>
      <c r="S1859" s="193"/>
      <c r="T1859" s="197"/>
      <c r="U1859" s="193"/>
      <c r="V1859" s="193"/>
    </row>
    <row r="1860" spans="2:22" ht="15" customHeight="1" x14ac:dyDescent="0.2">
      <c r="B1860" s="193"/>
      <c r="C1860" s="347"/>
      <c r="D1860" s="347"/>
      <c r="E1860" s="193"/>
      <c r="F1860" s="193"/>
      <c r="G1860" s="193"/>
      <c r="H1860" s="193"/>
      <c r="I1860" s="193"/>
      <c r="J1860" s="193"/>
      <c r="K1860" s="194"/>
      <c r="L1860" s="195"/>
      <c r="M1860" s="195"/>
      <c r="N1860" s="195"/>
      <c r="O1860" s="195"/>
      <c r="P1860" s="196"/>
      <c r="Q1860" s="196"/>
      <c r="R1860" s="193"/>
      <c r="S1860" s="193"/>
      <c r="T1860" s="197"/>
      <c r="U1860" s="193"/>
      <c r="V1860" s="193"/>
    </row>
    <row r="1861" spans="2:22" ht="15" customHeight="1" x14ac:dyDescent="0.2">
      <c r="B1861" s="193"/>
      <c r="C1861" s="347"/>
      <c r="D1861" s="347"/>
      <c r="E1861" s="193"/>
      <c r="F1861" s="193"/>
      <c r="G1861" s="193"/>
      <c r="H1861" s="193"/>
      <c r="I1861" s="193"/>
      <c r="J1861" s="193"/>
      <c r="K1861" s="194"/>
      <c r="L1861" s="195"/>
      <c r="M1861" s="195"/>
      <c r="N1861" s="195"/>
      <c r="O1861" s="195"/>
      <c r="P1861" s="196"/>
      <c r="Q1861" s="196"/>
      <c r="R1861" s="193"/>
      <c r="S1861" s="193"/>
      <c r="T1861" s="197"/>
      <c r="U1861" s="193"/>
      <c r="V1861" s="193"/>
    </row>
    <row r="1862" spans="2:22" ht="15" customHeight="1" x14ac:dyDescent="0.2">
      <c r="B1862" s="193"/>
      <c r="C1862" s="347"/>
      <c r="D1862" s="347"/>
      <c r="E1862" s="193"/>
      <c r="F1862" s="193"/>
      <c r="G1862" s="193"/>
      <c r="H1862" s="193"/>
      <c r="I1862" s="193"/>
      <c r="J1862" s="193"/>
      <c r="K1862" s="194"/>
      <c r="L1862" s="195"/>
      <c r="M1862" s="195"/>
      <c r="N1862" s="195"/>
      <c r="O1862" s="195"/>
      <c r="P1862" s="196"/>
      <c r="Q1862" s="196"/>
      <c r="R1862" s="193"/>
      <c r="S1862" s="193"/>
      <c r="T1862" s="197"/>
      <c r="U1862" s="193"/>
      <c r="V1862" s="193"/>
    </row>
    <row r="1863" spans="2:22" ht="15" customHeight="1" x14ac:dyDescent="0.2">
      <c r="B1863" s="193"/>
      <c r="C1863" s="347"/>
      <c r="D1863" s="347"/>
      <c r="E1863" s="193"/>
      <c r="F1863" s="193"/>
      <c r="G1863" s="193"/>
      <c r="H1863" s="193"/>
      <c r="I1863" s="193"/>
      <c r="J1863" s="193"/>
      <c r="K1863" s="194"/>
      <c r="L1863" s="195"/>
      <c r="M1863" s="195"/>
      <c r="N1863" s="195"/>
      <c r="O1863" s="195"/>
      <c r="P1863" s="196"/>
      <c r="Q1863" s="196"/>
      <c r="R1863" s="193"/>
      <c r="S1863" s="193"/>
      <c r="T1863" s="197"/>
      <c r="U1863" s="193"/>
      <c r="V1863" s="193"/>
    </row>
    <row r="1864" spans="2:22" ht="15" customHeight="1" x14ac:dyDescent="0.2">
      <c r="B1864" s="193"/>
      <c r="C1864" s="347"/>
      <c r="D1864" s="347"/>
      <c r="E1864" s="193"/>
      <c r="F1864" s="193"/>
      <c r="G1864" s="193"/>
      <c r="H1864" s="193"/>
      <c r="I1864" s="193"/>
      <c r="J1864" s="193"/>
      <c r="K1864" s="194"/>
      <c r="L1864" s="195"/>
      <c r="M1864" s="195"/>
      <c r="N1864" s="195"/>
      <c r="O1864" s="195"/>
      <c r="P1864" s="196"/>
      <c r="Q1864" s="196"/>
      <c r="R1864" s="193"/>
      <c r="S1864" s="193"/>
      <c r="T1864" s="197"/>
      <c r="U1864" s="193"/>
      <c r="V1864" s="193"/>
    </row>
    <row r="1865" spans="2:22" ht="15" customHeight="1" x14ac:dyDescent="0.2">
      <c r="B1865" s="193"/>
      <c r="C1865" s="347"/>
      <c r="D1865" s="347"/>
      <c r="E1865" s="193"/>
      <c r="F1865" s="193"/>
      <c r="G1865" s="193"/>
      <c r="H1865" s="193"/>
      <c r="I1865" s="193"/>
      <c r="J1865" s="193"/>
      <c r="K1865" s="194"/>
      <c r="L1865" s="195"/>
      <c r="M1865" s="195"/>
      <c r="N1865" s="195"/>
      <c r="O1865" s="195"/>
      <c r="P1865" s="196"/>
      <c r="Q1865" s="196"/>
      <c r="R1865" s="193"/>
      <c r="S1865" s="193"/>
      <c r="T1865" s="197"/>
      <c r="U1865" s="193"/>
      <c r="V1865" s="193"/>
    </row>
    <row r="1866" spans="2:22" ht="15" customHeight="1" x14ac:dyDescent="0.2">
      <c r="B1866" s="193"/>
      <c r="C1866" s="347"/>
      <c r="D1866" s="347"/>
      <c r="E1866" s="193"/>
      <c r="F1866" s="193"/>
      <c r="G1866" s="193"/>
      <c r="H1866" s="193"/>
      <c r="I1866" s="193"/>
      <c r="J1866" s="193"/>
      <c r="K1866" s="194"/>
      <c r="L1866" s="195"/>
      <c r="M1866" s="195"/>
      <c r="N1866" s="195"/>
      <c r="O1866" s="195"/>
      <c r="P1866" s="196"/>
      <c r="Q1866" s="196"/>
      <c r="R1866" s="193"/>
      <c r="S1866" s="193"/>
      <c r="T1866" s="197"/>
      <c r="U1866" s="193"/>
      <c r="V1866" s="193"/>
    </row>
    <row r="1867" spans="2:22" ht="15" customHeight="1" x14ac:dyDescent="0.2">
      <c r="B1867" s="193"/>
      <c r="C1867" s="347"/>
      <c r="D1867" s="347"/>
      <c r="E1867" s="193"/>
      <c r="F1867" s="193"/>
      <c r="G1867" s="193"/>
      <c r="H1867" s="193"/>
      <c r="I1867" s="193"/>
      <c r="J1867" s="193"/>
      <c r="K1867" s="194"/>
      <c r="L1867" s="195"/>
      <c r="M1867" s="195"/>
      <c r="N1867" s="195"/>
      <c r="O1867" s="195"/>
      <c r="P1867" s="196"/>
      <c r="Q1867" s="196"/>
      <c r="R1867" s="193"/>
      <c r="S1867" s="193"/>
      <c r="T1867" s="197"/>
      <c r="U1867" s="193"/>
      <c r="V1867" s="193"/>
    </row>
    <row r="1868" spans="2:22" ht="15" customHeight="1" x14ac:dyDescent="0.2">
      <c r="B1868" s="193"/>
      <c r="C1868" s="347"/>
      <c r="D1868" s="347"/>
      <c r="E1868" s="193"/>
      <c r="F1868" s="193"/>
      <c r="G1868" s="193"/>
      <c r="H1868" s="193"/>
      <c r="I1868" s="193"/>
      <c r="J1868" s="193"/>
      <c r="K1868" s="194"/>
      <c r="L1868" s="195"/>
      <c r="M1868" s="195"/>
      <c r="N1868" s="195"/>
      <c r="O1868" s="195"/>
      <c r="P1868" s="196"/>
      <c r="Q1868" s="196"/>
      <c r="R1868" s="193"/>
      <c r="S1868" s="193"/>
      <c r="T1868" s="197"/>
      <c r="U1868" s="193"/>
      <c r="V1868" s="193"/>
    </row>
    <row r="1869" spans="2:22" ht="15" customHeight="1" x14ac:dyDescent="0.2">
      <c r="B1869" s="193"/>
      <c r="C1869" s="347"/>
      <c r="D1869" s="347"/>
      <c r="E1869" s="193"/>
      <c r="F1869" s="193"/>
      <c r="G1869" s="193"/>
      <c r="H1869" s="193"/>
      <c r="I1869" s="193"/>
      <c r="J1869" s="193"/>
      <c r="K1869" s="194"/>
      <c r="L1869" s="195"/>
      <c r="M1869" s="195"/>
      <c r="N1869" s="195"/>
      <c r="O1869" s="195"/>
      <c r="P1869" s="196"/>
      <c r="Q1869" s="196"/>
      <c r="R1869" s="193"/>
      <c r="S1869" s="193"/>
      <c r="T1869" s="197"/>
      <c r="U1869" s="193"/>
      <c r="V1869" s="193"/>
    </row>
    <row r="1870" spans="2:22" ht="15" customHeight="1" x14ac:dyDescent="0.2">
      <c r="B1870" s="193"/>
      <c r="C1870" s="347"/>
      <c r="D1870" s="347"/>
      <c r="E1870" s="193"/>
      <c r="F1870" s="193"/>
      <c r="G1870" s="193"/>
      <c r="H1870" s="193"/>
      <c r="I1870" s="193"/>
      <c r="J1870" s="193"/>
      <c r="K1870" s="194"/>
      <c r="L1870" s="195"/>
      <c r="M1870" s="195"/>
      <c r="N1870" s="195"/>
      <c r="O1870" s="195"/>
      <c r="P1870" s="196"/>
      <c r="Q1870" s="196"/>
      <c r="R1870" s="193"/>
      <c r="S1870" s="193"/>
      <c r="T1870" s="197"/>
      <c r="U1870" s="193"/>
      <c r="V1870" s="193"/>
    </row>
    <row r="1871" spans="2:22" ht="15" customHeight="1" x14ac:dyDescent="0.2">
      <c r="B1871" s="193"/>
      <c r="C1871" s="347"/>
      <c r="D1871" s="347"/>
      <c r="E1871" s="193"/>
      <c r="F1871" s="193"/>
      <c r="G1871" s="193"/>
      <c r="H1871" s="193"/>
      <c r="I1871" s="193"/>
      <c r="J1871" s="193"/>
      <c r="K1871" s="194"/>
      <c r="L1871" s="195"/>
      <c r="M1871" s="195"/>
      <c r="N1871" s="195"/>
      <c r="O1871" s="195"/>
      <c r="P1871" s="196"/>
      <c r="Q1871" s="196"/>
      <c r="R1871" s="193"/>
      <c r="S1871" s="193"/>
      <c r="T1871" s="197"/>
      <c r="U1871" s="193"/>
      <c r="V1871" s="193"/>
    </row>
    <row r="1872" spans="2:22" ht="15" customHeight="1" x14ac:dyDescent="0.2">
      <c r="B1872" s="193"/>
      <c r="C1872" s="347"/>
      <c r="D1872" s="347"/>
      <c r="E1872" s="193"/>
      <c r="F1872" s="193"/>
      <c r="G1872" s="193"/>
      <c r="H1872" s="193"/>
      <c r="I1872" s="193"/>
      <c r="J1872" s="193"/>
      <c r="K1872" s="194"/>
      <c r="L1872" s="195"/>
      <c r="M1872" s="195"/>
      <c r="N1872" s="195"/>
      <c r="O1872" s="195"/>
      <c r="P1872" s="196"/>
      <c r="Q1872" s="196"/>
      <c r="R1872" s="193"/>
      <c r="S1872" s="193"/>
      <c r="T1872" s="197"/>
      <c r="U1872" s="193"/>
      <c r="V1872" s="193"/>
    </row>
    <row r="1873" spans="2:22" ht="15" customHeight="1" x14ac:dyDescent="0.2">
      <c r="B1873" s="193"/>
      <c r="C1873" s="347"/>
      <c r="D1873" s="347"/>
      <c r="E1873" s="193"/>
      <c r="F1873" s="193"/>
      <c r="G1873" s="193"/>
      <c r="H1873" s="193"/>
      <c r="I1873" s="193"/>
      <c r="J1873" s="193"/>
      <c r="K1873" s="194"/>
      <c r="L1873" s="195"/>
      <c r="M1873" s="195"/>
      <c r="N1873" s="195"/>
      <c r="O1873" s="195"/>
      <c r="P1873" s="196"/>
      <c r="Q1873" s="196"/>
      <c r="R1873" s="193"/>
      <c r="S1873" s="193"/>
      <c r="T1873" s="197"/>
      <c r="U1873" s="193"/>
      <c r="V1873" s="193"/>
    </row>
    <row r="1874" spans="2:22" ht="15" customHeight="1" x14ac:dyDescent="0.2">
      <c r="B1874" s="193"/>
      <c r="C1874" s="347"/>
      <c r="D1874" s="347"/>
      <c r="E1874" s="193"/>
      <c r="F1874" s="193"/>
      <c r="G1874" s="193"/>
      <c r="H1874" s="193"/>
      <c r="I1874" s="193"/>
      <c r="J1874" s="193"/>
      <c r="K1874" s="194"/>
      <c r="L1874" s="195"/>
      <c r="M1874" s="195"/>
      <c r="N1874" s="195"/>
      <c r="O1874" s="195"/>
      <c r="P1874" s="196"/>
      <c r="Q1874" s="196"/>
      <c r="R1874" s="193"/>
      <c r="S1874" s="193"/>
      <c r="T1874" s="197"/>
      <c r="U1874" s="193"/>
      <c r="V1874" s="193"/>
    </row>
    <row r="1875" spans="2:22" ht="15" customHeight="1" x14ac:dyDescent="0.2">
      <c r="B1875" s="193"/>
      <c r="C1875" s="347"/>
      <c r="D1875" s="347"/>
      <c r="E1875" s="193"/>
      <c r="F1875" s="193"/>
      <c r="G1875" s="193"/>
      <c r="H1875" s="193"/>
      <c r="I1875" s="193"/>
      <c r="J1875" s="193"/>
      <c r="K1875" s="194"/>
      <c r="L1875" s="195"/>
      <c r="M1875" s="195"/>
      <c r="N1875" s="195"/>
      <c r="O1875" s="195"/>
      <c r="P1875" s="196"/>
      <c r="Q1875" s="196"/>
      <c r="R1875" s="193"/>
      <c r="S1875" s="193"/>
      <c r="T1875" s="197"/>
      <c r="U1875" s="193"/>
      <c r="V1875" s="193"/>
    </row>
    <row r="1876" spans="2:22" ht="15" customHeight="1" x14ac:dyDescent="0.2">
      <c r="B1876" s="193"/>
      <c r="C1876" s="347"/>
      <c r="D1876" s="347"/>
      <c r="E1876" s="193"/>
      <c r="F1876" s="193"/>
      <c r="G1876" s="193"/>
      <c r="H1876" s="193"/>
      <c r="I1876" s="193"/>
      <c r="J1876" s="193"/>
      <c r="K1876" s="194"/>
      <c r="L1876" s="195"/>
      <c r="M1876" s="195"/>
      <c r="N1876" s="195"/>
      <c r="O1876" s="195"/>
      <c r="P1876" s="196"/>
      <c r="Q1876" s="196"/>
      <c r="R1876" s="193"/>
      <c r="S1876" s="193"/>
      <c r="T1876" s="197"/>
      <c r="U1876" s="193"/>
      <c r="V1876" s="193"/>
    </row>
    <row r="1877" spans="2:22" ht="15" customHeight="1" x14ac:dyDescent="0.2">
      <c r="B1877" s="193"/>
      <c r="C1877" s="347"/>
      <c r="D1877" s="347"/>
      <c r="E1877" s="193"/>
      <c r="F1877" s="193"/>
      <c r="G1877" s="193"/>
      <c r="H1877" s="193"/>
      <c r="I1877" s="193"/>
      <c r="J1877" s="193"/>
      <c r="K1877" s="194"/>
      <c r="L1877" s="195"/>
      <c r="M1877" s="195"/>
      <c r="N1877" s="195"/>
      <c r="O1877" s="195"/>
      <c r="P1877" s="196"/>
      <c r="Q1877" s="196"/>
      <c r="R1877" s="193"/>
      <c r="S1877" s="193"/>
      <c r="T1877" s="197"/>
      <c r="U1877" s="193"/>
      <c r="V1877" s="193"/>
    </row>
    <row r="1878" spans="2:22" ht="15" customHeight="1" x14ac:dyDescent="0.2">
      <c r="B1878" s="193"/>
      <c r="C1878" s="347"/>
      <c r="D1878" s="347"/>
      <c r="E1878" s="193"/>
      <c r="F1878" s="193"/>
      <c r="G1878" s="193"/>
      <c r="H1878" s="193"/>
      <c r="I1878" s="193"/>
      <c r="J1878" s="193"/>
      <c r="K1878" s="194"/>
      <c r="L1878" s="195"/>
      <c r="M1878" s="195"/>
      <c r="N1878" s="195"/>
      <c r="O1878" s="195"/>
      <c r="P1878" s="196"/>
      <c r="Q1878" s="196"/>
      <c r="R1878" s="193"/>
      <c r="S1878" s="193"/>
      <c r="T1878" s="197"/>
      <c r="U1878" s="193"/>
      <c r="V1878" s="193"/>
    </row>
    <row r="1879" spans="2:22" ht="15" customHeight="1" x14ac:dyDescent="0.2">
      <c r="B1879" s="193"/>
      <c r="C1879" s="347"/>
      <c r="D1879" s="347"/>
      <c r="E1879" s="193"/>
      <c r="F1879" s="193"/>
      <c r="G1879" s="193"/>
      <c r="H1879" s="193"/>
      <c r="I1879" s="193"/>
      <c r="J1879" s="193"/>
      <c r="K1879" s="194"/>
      <c r="L1879" s="195"/>
      <c r="M1879" s="195"/>
      <c r="N1879" s="195"/>
      <c r="O1879" s="195"/>
      <c r="P1879" s="196"/>
      <c r="Q1879" s="196"/>
      <c r="R1879" s="193"/>
      <c r="S1879" s="193"/>
      <c r="T1879" s="197"/>
      <c r="U1879" s="193"/>
      <c r="V1879" s="193"/>
    </row>
    <row r="1880" spans="2:22" ht="15" customHeight="1" x14ac:dyDescent="0.2">
      <c r="B1880" s="193"/>
      <c r="C1880" s="347"/>
      <c r="D1880" s="347"/>
      <c r="E1880" s="193"/>
      <c r="F1880" s="193"/>
      <c r="G1880" s="193"/>
      <c r="H1880" s="193"/>
      <c r="I1880" s="193"/>
      <c r="J1880" s="193"/>
      <c r="K1880" s="194"/>
      <c r="L1880" s="195"/>
      <c r="M1880" s="195"/>
      <c r="N1880" s="195"/>
      <c r="O1880" s="195"/>
      <c r="P1880" s="196"/>
      <c r="Q1880" s="196"/>
      <c r="R1880" s="193"/>
      <c r="S1880" s="193"/>
      <c r="T1880" s="197"/>
      <c r="U1880" s="193"/>
      <c r="V1880" s="193"/>
    </row>
    <row r="1881" spans="2:22" ht="15" customHeight="1" x14ac:dyDescent="0.2">
      <c r="B1881" s="193"/>
      <c r="C1881" s="347"/>
      <c r="D1881" s="347"/>
      <c r="E1881" s="193"/>
      <c r="F1881" s="193"/>
      <c r="G1881" s="193"/>
      <c r="H1881" s="193"/>
      <c r="I1881" s="193"/>
      <c r="J1881" s="193"/>
      <c r="K1881" s="194"/>
      <c r="L1881" s="195"/>
      <c r="M1881" s="195"/>
      <c r="N1881" s="195"/>
      <c r="O1881" s="195"/>
      <c r="P1881" s="196"/>
      <c r="Q1881" s="196"/>
      <c r="R1881" s="193"/>
      <c r="S1881" s="193"/>
      <c r="T1881" s="197"/>
      <c r="U1881" s="193"/>
      <c r="V1881" s="193"/>
    </row>
    <row r="1882" spans="2:22" ht="15" customHeight="1" x14ac:dyDescent="0.2">
      <c r="B1882" s="193"/>
      <c r="C1882" s="347"/>
      <c r="D1882" s="347"/>
      <c r="E1882" s="193"/>
      <c r="F1882" s="193"/>
      <c r="G1882" s="193"/>
      <c r="H1882" s="193"/>
      <c r="I1882" s="193"/>
      <c r="J1882" s="193"/>
      <c r="K1882" s="194"/>
      <c r="L1882" s="195"/>
      <c r="M1882" s="195"/>
      <c r="N1882" s="195"/>
      <c r="O1882" s="195"/>
      <c r="P1882" s="196"/>
      <c r="Q1882" s="196"/>
      <c r="R1882" s="193"/>
      <c r="S1882" s="193"/>
      <c r="T1882" s="197"/>
      <c r="U1882" s="193"/>
      <c r="V1882" s="193"/>
    </row>
    <row r="1883" spans="2:22" ht="15" customHeight="1" x14ac:dyDescent="0.2">
      <c r="B1883" s="193"/>
      <c r="C1883" s="347"/>
      <c r="D1883" s="347"/>
      <c r="E1883" s="193"/>
      <c r="F1883" s="193"/>
      <c r="G1883" s="193"/>
      <c r="H1883" s="193"/>
      <c r="I1883" s="193"/>
      <c r="J1883" s="193"/>
      <c r="K1883" s="194"/>
      <c r="L1883" s="195"/>
      <c r="M1883" s="195"/>
      <c r="N1883" s="195"/>
      <c r="O1883" s="195"/>
      <c r="P1883" s="196"/>
      <c r="Q1883" s="196"/>
      <c r="R1883" s="193"/>
      <c r="S1883" s="193"/>
      <c r="T1883" s="197"/>
      <c r="U1883" s="193"/>
      <c r="V1883" s="193"/>
    </row>
    <row r="1884" spans="2:22" ht="15" customHeight="1" x14ac:dyDescent="0.2">
      <c r="B1884" s="193"/>
      <c r="C1884" s="347"/>
      <c r="D1884" s="347"/>
      <c r="E1884" s="193"/>
      <c r="F1884" s="193"/>
      <c r="G1884" s="193"/>
      <c r="H1884" s="193"/>
      <c r="I1884" s="193"/>
      <c r="J1884" s="193"/>
      <c r="K1884" s="194"/>
      <c r="L1884" s="195"/>
      <c r="M1884" s="195"/>
      <c r="N1884" s="195"/>
      <c r="O1884" s="195"/>
      <c r="P1884" s="196"/>
      <c r="Q1884" s="196"/>
      <c r="R1884" s="193"/>
      <c r="S1884" s="193"/>
      <c r="T1884" s="197"/>
      <c r="U1884" s="193"/>
      <c r="V1884" s="193"/>
    </row>
    <row r="1885" spans="2:22" ht="15" customHeight="1" x14ac:dyDescent="0.2">
      <c r="B1885" s="193"/>
      <c r="C1885" s="347"/>
      <c r="D1885" s="347"/>
      <c r="E1885" s="193"/>
      <c r="F1885" s="193"/>
      <c r="G1885" s="193"/>
      <c r="H1885" s="193"/>
      <c r="I1885" s="193"/>
      <c r="J1885" s="193"/>
      <c r="K1885" s="194"/>
      <c r="L1885" s="195"/>
      <c r="M1885" s="195"/>
      <c r="N1885" s="195"/>
      <c r="O1885" s="195"/>
      <c r="P1885" s="196"/>
      <c r="Q1885" s="196"/>
      <c r="R1885" s="193"/>
      <c r="S1885" s="193"/>
      <c r="T1885" s="197"/>
      <c r="U1885" s="193"/>
      <c r="V1885" s="193"/>
    </row>
    <row r="1886" spans="2:22" ht="15" customHeight="1" x14ac:dyDescent="0.2">
      <c r="B1886" s="193"/>
      <c r="C1886" s="347"/>
      <c r="D1886" s="347"/>
      <c r="E1886" s="193"/>
      <c r="F1886" s="193"/>
      <c r="G1886" s="193"/>
      <c r="H1886" s="193"/>
      <c r="I1886" s="193"/>
      <c r="J1886" s="193"/>
      <c r="K1886" s="194"/>
      <c r="L1886" s="195"/>
      <c r="M1886" s="195"/>
      <c r="N1886" s="195"/>
      <c r="O1886" s="195"/>
      <c r="P1886" s="196"/>
      <c r="Q1886" s="196"/>
      <c r="R1886" s="193"/>
      <c r="S1886" s="193"/>
      <c r="T1886" s="197"/>
      <c r="U1886" s="193"/>
      <c r="V1886" s="193"/>
    </row>
    <row r="1887" spans="2:22" ht="15" customHeight="1" x14ac:dyDescent="0.2">
      <c r="B1887" s="193"/>
      <c r="C1887" s="347"/>
      <c r="D1887" s="347"/>
      <c r="E1887" s="193"/>
      <c r="F1887" s="193"/>
      <c r="G1887" s="193"/>
      <c r="H1887" s="193"/>
      <c r="I1887" s="193"/>
      <c r="J1887" s="193"/>
      <c r="K1887" s="194"/>
      <c r="L1887" s="195"/>
      <c r="M1887" s="195"/>
      <c r="N1887" s="195"/>
      <c r="O1887" s="195"/>
      <c r="P1887" s="196"/>
      <c r="Q1887" s="196"/>
      <c r="R1887" s="193"/>
      <c r="S1887" s="193"/>
      <c r="T1887" s="197"/>
      <c r="U1887" s="193"/>
      <c r="V1887" s="193"/>
    </row>
    <row r="1888" spans="2:22" ht="15" customHeight="1" x14ac:dyDescent="0.2">
      <c r="B1888" s="193"/>
      <c r="C1888" s="347"/>
      <c r="D1888" s="347"/>
      <c r="E1888" s="193"/>
      <c r="F1888" s="193"/>
      <c r="G1888" s="193"/>
      <c r="H1888" s="193"/>
      <c r="I1888" s="193"/>
      <c r="J1888" s="193"/>
      <c r="K1888" s="194"/>
      <c r="L1888" s="195"/>
      <c r="M1888" s="195"/>
      <c r="N1888" s="195"/>
      <c r="O1888" s="195"/>
      <c r="P1888" s="196"/>
      <c r="Q1888" s="196"/>
      <c r="R1888" s="193"/>
      <c r="S1888" s="193"/>
      <c r="T1888" s="197"/>
      <c r="U1888" s="193"/>
      <c r="V1888" s="193"/>
    </row>
    <row r="1889" spans="2:22" ht="15" customHeight="1" x14ac:dyDescent="0.2">
      <c r="B1889" s="193"/>
      <c r="C1889" s="347"/>
      <c r="D1889" s="347"/>
      <c r="E1889" s="193"/>
      <c r="F1889" s="193"/>
      <c r="G1889" s="193"/>
      <c r="H1889" s="193"/>
      <c r="I1889" s="193"/>
      <c r="J1889" s="193"/>
      <c r="K1889" s="194"/>
      <c r="L1889" s="195"/>
      <c r="M1889" s="195"/>
      <c r="N1889" s="195"/>
      <c r="O1889" s="195"/>
      <c r="P1889" s="196"/>
      <c r="Q1889" s="196"/>
      <c r="R1889" s="193"/>
      <c r="S1889" s="193"/>
      <c r="T1889" s="197"/>
      <c r="U1889" s="193"/>
      <c r="V1889" s="193"/>
    </row>
    <row r="1890" spans="2:22" ht="15" customHeight="1" x14ac:dyDescent="0.2">
      <c r="B1890" s="193"/>
      <c r="C1890" s="347"/>
      <c r="D1890" s="347"/>
      <c r="E1890" s="193"/>
      <c r="F1890" s="193"/>
      <c r="G1890" s="193"/>
      <c r="H1890" s="193"/>
      <c r="I1890" s="193"/>
      <c r="J1890" s="193"/>
      <c r="K1890" s="194"/>
      <c r="L1890" s="195"/>
      <c r="M1890" s="195"/>
      <c r="N1890" s="195"/>
      <c r="O1890" s="195"/>
      <c r="P1890" s="196"/>
      <c r="Q1890" s="196"/>
      <c r="R1890" s="193"/>
      <c r="S1890" s="193"/>
      <c r="T1890" s="197"/>
      <c r="U1890" s="193"/>
      <c r="V1890" s="193"/>
    </row>
    <row r="1891" spans="2:22" ht="15" customHeight="1" x14ac:dyDescent="0.2">
      <c r="B1891" s="193"/>
      <c r="C1891" s="347"/>
      <c r="D1891" s="347"/>
      <c r="E1891" s="193"/>
      <c r="F1891" s="193"/>
      <c r="G1891" s="193"/>
      <c r="H1891" s="193"/>
      <c r="I1891" s="193"/>
      <c r="J1891" s="193"/>
      <c r="K1891" s="194"/>
      <c r="L1891" s="195"/>
      <c r="M1891" s="195"/>
      <c r="N1891" s="195"/>
      <c r="O1891" s="195"/>
      <c r="P1891" s="196"/>
      <c r="Q1891" s="196"/>
      <c r="R1891" s="193"/>
      <c r="S1891" s="193"/>
      <c r="T1891" s="197"/>
      <c r="U1891" s="193"/>
      <c r="V1891" s="193"/>
    </row>
    <row r="1892" spans="2:22" ht="15" customHeight="1" x14ac:dyDescent="0.2">
      <c r="B1892" s="193"/>
      <c r="C1892" s="347"/>
      <c r="D1892" s="347"/>
      <c r="E1892" s="193"/>
      <c r="F1892" s="193"/>
      <c r="G1892" s="193"/>
      <c r="H1892" s="193"/>
      <c r="I1892" s="193"/>
      <c r="J1892" s="193"/>
      <c r="K1892" s="194"/>
      <c r="L1892" s="195"/>
      <c r="M1892" s="195"/>
      <c r="N1892" s="195"/>
      <c r="O1892" s="195"/>
      <c r="P1892" s="196"/>
      <c r="Q1892" s="196"/>
      <c r="R1892" s="193"/>
      <c r="S1892" s="193"/>
      <c r="T1892" s="197"/>
      <c r="U1892" s="193"/>
      <c r="V1892" s="193"/>
    </row>
    <row r="1893" spans="2:22" ht="15" customHeight="1" x14ac:dyDescent="0.2">
      <c r="B1893" s="193"/>
      <c r="C1893" s="347"/>
      <c r="D1893" s="347"/>
      <c r="E1893" s="193"/>
      <c r="F1893" s="193"/>
      <c r="G1893" s="193"/>
      <c r="H1893" s="193"/>
      <c r="I1893" s="193"/>
      <c r="J1893" s="193"/>
      <c r="K1893" s="194"/>
      <c r="L1893" s="195"/>
      <c r="M1893" s="195"/>
      <c r="N1893" s="195"/>
      <c r="O1893" s="195"/>
      <c r="P1893" s="196"/>
      <c r="Q1893" s="196"/>
      <c r="R1893" s="193"/>
      <c r="S1893" s="193"/>
      <c r="T1893" s="197"/>
      <c r="U1893" s="193"/>
      <c r="V1893" s="193"/>
    </row>
    <row r="1894" spans="2:22" ht="15" customHeight="1" x14ac:dyDescent="0.2">
      <c r="B1894" s="193"/>
      <c r="C1894" s="347"/>
      <c r="D1894" s="347"/>
      <c r="E1894" s="193"/>
      <c r="F1894" s="193"/>
      <c r="G1894" s="193"/>
      <c r="H1894" s="193"/>
      <c r="I1894" s="193"/>
      <c r="J1894" s="193"/>
      <c r="K1894" s="194"/>
      <c r="L1894" s="195"/>
      <c r="M1894" s="195"/>
      <c r="N1894" s="195"/>
      <c r="O1894" s="195"/>
      <c r="P1894" s="196"/>
      <c r="Q1894" s="196"/>
      <c r="R1894" s="193"/>
      <c r="S1894" s="193"/>
      <c r="T1894" s="197"/>
      <c r="U1894" s="193"/>
      <c r="V1894" s="193"/>
    </row>
    <row r="1895" spans="2:22" ht="15" customHeight="1" x14ac:dyDescent="0.2">
      <c r="B1895" s="193"/>
      <c r="C1895" s="347"/>
      <c r="D1895" s="347"/>
      <c r="E1895" s="193"/>
      <c r="F1895" s="193"/>
      <c r="G1895" s="193"/>
      <c r="H1895" s="193"/>
      <c r="I1895" s="193"/>
      <c r="J1895" s="193"/>
      <c r="K1895" s="194"/>
      <c r="L1895" s="195"/>
      <c r="M1895" s="195"/>
      <c r="N1895" s="195"/>
      <c r="O1895" s="195"/>
      <c r="P1895" s="196"/>
      <c r="Q1895" s="196"/>
      <c r="R1895" s="193"/>
      <c r="S1895" s="193"/>
      <c r="T1895" s="197"/>
      <c r="U1895" s="193"/>
      <c r="V1895" s="193"/>
    </row>
    <row r="1896" spans="2:22" ht="15" customHeight="1" x14ac:dyDescent="0.2">
      <c r="B1896" s="193"/>
      <c r="C1896" s="347"/>
      <c r="D1896" s="347"/>
      <c r="E1896" s="193"/>
      <c r="F1896" s="193"/>
      <c r="G1896" s="193"/>
      <c r="H1896" s="193"/>
      <c r="I1896" s="193"/>
      <c r="J1896" s="193"/>
      <c r="K1896" s="194"/>
      <c r="L1896" s="195"/>
      <c r="M1896" s="195"/>
      <c r="N1896" s="195"/>
      <c r="O1896" s="195"/>
      <c r="P1896" s="196"/>
      <c r="Q1896" s="196"/>
      <c r="R1896" s="193"/>
      <c r="S1896" s="193"/>
      <c r="T1896" s="197"/>
      <c r="U1896" s="193"/>
      <c r="V1896" s="193"/>
    </row>
    <row r="1897" spans="2:22" ht="15" customHeight="1" x14ac:dyDescent="0.2">
      <c r="B1897" s="193"/>
      <c r="C1897" s="347"/>
      <c r="D1897" s="347"/>
      <c r="E1897" s="193"/>
      <c r="F1897" s="193"/>
      <c r="G1897" s="193"/>
      <c r="H1897" s="193"/>
      <c r="I1897" s="193"/>
      <c r="J1897" s="193"/>
      <c r="K1897" s="194"/>
      <c r="L1897" s="195"/>
      <c r="M1897" s="195"/>
      <c r="N1897" s="195"/>
      <c r="O1897" s="195"/>
      <c r="P1897" s="196"/>
      <c r="Q1897" s="196"/>
      <c r="R1897" s="193"/>
      <c r="S1897" s="193"/>
      <c r="T1897" s="197"/>
      <c r="U1897" s="193"/>
      <c r="V1897" s="193"/>
    </row>
    <row r="1898" spans="2:22" ht="15" customHeight="1" x14ac:dyDescent="0.2">
      <c r="B1898" s="193"/>
      <c r="C1898" s="347"/>
      <c r="D1898" s="347"/>
      <c r="E1898" s="193"/>
      <c r="F1898" s="193"/>
      <c r="G1898" s="193"/>
      <c r="H1898" s="193"/>
      <c r="I1898" s="193"/>
      <c r="J1898" s="193"/>
      <c r="K1898" s="194"/>
      <c r="L1898" s="195"/>
      <c r="M1898" s="195"/>
      <c r="N1898" s="195"/>
      <c r="O1898" s="195"/>
      <c r="P1898" s="196"/>
      <c r="Q1898" s="196"/>
      <c r="R1898" s="193"/>
      <c r="S1898" s="193"/>
      <c r="T1898" s="197"/>
      <c r="U1898" s="193"/>
      <c r="V1898" s="193"/>
    </row>
    <row r="1899" spans="2:22" ht="15" customHeight="1" x14ac:dyDescent="0.2">
      <c r="B1899" s="193"/>
      <c r="C1899" s="347"/>
      <c r="D1899" s="347"/>
      <c r="E1899" s="193"/>
      <c r="F1899" s="193"/>
      <c r="G1899" s="193"/>
      <c r="H1899" s="193"/>
      <c r="I1899" s="193"/>
      <c r="J1899" s="193"/>
      <c r="K1899" s="194"/>
      <c r="L1899" s="195"/>
      <c r="M1899" s="195"/>
      <c r="N1899" s="195"/>
      <c r="O1899" s="195"/>
      <c r="P1899" s="196"/>
      <c r="Q1899" s="196"/>
      <c r="R1899" s="193"/>
      <c r="S1899" s="193"/>
      <c r="T1899" s="197"/>
      <c r="U1899" s="193"/>
      <c r="V1899" s="193"/>
    </row>
    <row r="1900" spans="2:22" ht="15" customHeight="1" x14ac:dyDescent="0.2">
      <c r="B1900" s="193"/>
      <c r="C1900" s="347"/>
      <c r="D1900" s="347"/>
      <c r="E1900" s="193"/>
      <c r="F1900" s="193"/>
      <c r="G1900" s="193"/>
      <c r="H1900" s="193"/>
      <c r="I1900" s="193"/>
      <c r="J1900" s="193"/>
      <c r="K1900" s="194"/>
      <c r="L1900" s="195"/>
      <c r="M1900" s="195"/>
      <c r="N1900" s="195"/>
      <c r="O1900" s="195"/>
      <c r="P1900" s="196"/>
      <c r="Q1900" s="196"/>
      <c r="R1900" s="193"/>
      <c r="S1900" s="193"/>
      <c r="T1900" s="197"/>
      <c r="U1900" s="193"/>
      <c r="V1900" s="193"/>
    </row>
    <row r="1901" spans="2:22" ht="15" customHeight="1" x14ac:dyDescent="0.2">
      <c r="B1901" s="193"/>
      <c r="C1901" s="347"/>
      <c r="D1901" s="347"/>
      <c r="E1901" s="193"/>
      <c r="F1901" s="193"/>
      <c r="G1901" s="193"/>
      <c r="H1901" s="193"/>
      <c r="I1901" s="193"/>
      <c r="J1901" s="193"/>
      <c r="K1901" s="194"/>
      <c r="L1901" s="195"/>
      <c r="M1901" s="195"/>
      <c r="N1901" s="195"/>
      <c r="O1901" s="195"/>
      <c r="P1901" s="196"/>
      <c r="Q1901" s="196"/>
      <c r="R1901" s="193"/>
      <c r="S1901" s="193"/>
      <c r="T1901" s="197"/>
      <c r="U1901" s="193"/>
      <c r="V1901" s="193"/>
    </row>
    <row r="1902" spans="2:22" ht="15" customHeight="1" x14ac:dyDescent="0.2">
      <c r="B1902" s="193"/>
      <c r="C1902" s="347"/>
      <c r="D1902" s="347"/>
      <c r="E1902" s="193"/>
      <c r="F1902" s="193"/>
      <c r="G1902" s="193"/>
      <c r="H1902" s="193"/>
      <c r="I1902" s="193"/>
      <c r="J1902" s="193"/>
      <c r="K1902" s="194"/>
      <c r="L1902" s="195"/>
      <c r="M1902" s="195"/>
      <c r="N1902" s="195"/>
      <c r="O1902" s="195"/>
      <c r="P1902" s="196"/>
      <c r="Q1902" s="196"/>
      <c r="R1902" s="193"/>
      <c r="S1902" s="193"/>
      <c r="T1902" s="197"/>
      <c r="U1902" s="193"/>
      <c r="V1902" s="193"/>
    </row>
    <row r="1903" spans="2:22" ht="15" customHeight="1" x14ac:dyDescent="0.2">
      <c r="B1903" s="193"/>
      <c r="C1903" s="347"/>
      <c r="D1903" s="347"/>
      <c r="E1903" s="193"/>
      <c r="F1903" s="193"/>
      <c r="G1903" s="193"/>
      <c r="H1903" s="193"/>
      <c r="I1903" s="193"/>
      <c r="J1903" s="193"/>
      <c r="K1903" s="194"/>
      <c r="L1903" s="195"/>
      <c r="M1903" s="195"/>
      <c r="N1903" s="195"/>
      <c r="O1903" s="195"/>
      <c r="P1903" s="196"/>
      <c r="Q1903" s="196"/>
      <c r="R1903" s="193"/>
      <c r="S1903" s="193"/>
      <c r="T1903" s="197"/>
      <c r="U1903" s="193"/>
      <c r="V1903" s="193"/>
    </row>
    <row r="1904" spans="2:22" ht="15" customHeight="1" x14ac:dyDescent="0.2">
      <c r="B1904" s="193"/>
      <c r="C1904" s="347"/>
      <c r="D1904" s="347"/>
      <c r="E1904" s="193"/>
      <c r="F1904" s="193"/>
      <c r="G1904" s="193"/>
      <c r="H1904" s="193"/>
      <c r="I1904" s="193"/>
      <c r="J1904" s="193"/>
      <c r="K1904" s="194"/>
      <c r="L1904" s="195"/>
      <c r="M1904" s="195"/>
      <c r="N1904" s="195"/>
      <c r="O1904" s="195"/>
      <c r="P1904" s="196"/>
      <c r="Q1904" s="196"/>
      <c r="R1904" s="193"/>
      <c r="S1904" s="193"/>
      <c r="T1904" s="197"/>
      <c r="U1904" s="193"/>
      <c r="V1904" s="193"/>
    </row>
    <row r="1905" spans="2:22" ht="15" customHeight="1" x14ac:dyDescent="0.2">
      <c r="B1905" s="193"/>
      <c r="C1905" s="347"/>
      <c r="D1905" s="347"/>
      <c r="E1905" s="193"/>
      <c r="F1905" s="193"/>
      <c r="G1905" s="193"/>
      <c r="H1905" s="193"/>
      <c r="I1905" s="193"/>
      <c r="J1905" s="193"/>
      <c r="K1905" s="194"/>
      <c r="L1905" s="195"/>
      <c r="M1905" s="195"/>
      <c r="N1905" s="195"/>
      <c r="O1905" s="195"/>
      <c r="P1905" s="196"/>
      <c r="Q1905" s="196"/>
      <c r="R1905" s="193"/>
      <c r="S1905" s="193"/>
      <c r="T1905" s="197"/>
      <c r="U1905" s="193"/>
      <c r="V1905" s="193"/>
    </row>
    <row r="1906" spans="2:22" ht="15" customHeight="1" x14ac:dyDescent="0.2">
      <c r="B1906" s="193"/>
      <c r="C1906" s="347"/>
      <c r="D1906" s="347"/>
      <c r="E1906" s="193"/>
      <c r="F1906" s="193"/>
      <c r="G1906" s="193"/>
      <c r="H1906" s="193"/>
      <c r="I1906" s="193"/>
      <c r="J1906" s="193"/>
      <c r="K1906" s="194"/>
      <c r="L1906" s="195"/>
      <c r="M1906" s="195"/>
      <c r="N1906" s="195"/>
      <c r="O1906" s="195"/>
      <c r="P1906" s="196"/>
      <c r="Q1906" s="196"/>
      <c r="R1906" s="193"/>
      <c r="S1906" s="193"/>
      <c r="T1906" s="197"/>
      <c r="U1906" s="193"/>
      <c r="V1906" s="193"/>
    </row>
    <row r="1907" spans="2:22" ht="15" customHeight="1" x14ac:dyDescent="0.2">
      <c r="B1907" s="193"/>
      <c r="C1907" s="347"/>
      <c r="D1907" s="347"/>
      <c r="E1907" s="193"/>
      <c r="F1907" s="193"/>
      <c r="G1907" s="193"/>
      <c r="H1907" s="193"/>
      <c r="I1907" s="193"/>
      <c r="J1907" s="193"/>
      <c r="K1907" s="194"/>
      <c r="L1907" s="195"/>
      <c r="M1907" s="195"/>
      <c r="N1907" s="195"/>
      <c r="O1907" s="195"/>
      <c r="P1907" s="196"/>
      <c r="Q1907" s="196"/>
      <c r="R1907" s="193"/>
      <c r="S1907" s="193"/>
      <c r="T1907" s="197"/>
      <c r="U1907" s="193"/>
      <c r="V1907" s="193"/>
    </row>
    <row r="1908" spans="2:22" ht="15" customHeight="1" x14ac:dyDescent="0.2">
      <c r="B1908" s="193"/>
      <c r="C1908" s="347"/>
      <c r="D1908" s="347"/>
      <c r="E1908" s="193"/>
      <c r="F1908" s="193"/>
      <c r="G1908" s="193"/>
      <c r="H1908" s="193"/>
      <c r="I1908" s="193"/>
      <c r="J1908" s="193"/>
      <c r="K1908" s="194"/>
      <c r="L1908" s="195"/>
      <c r="M1908" s="195"/>
      <c r="N1908" s="195"/>
      <c r="O1908" s="195"/>
      <c r="P1908" s="196"/>
      <c r="Q1908" s="196"/>
      <c r="R1908" s="193"/>
      <c r="S1908" s="193"/>
      <c r="T1908" s="197"/>
      <c r="U1908" s="193"/>
      <c r="V1908" s="193"/>
    </row>
    <row r="1909" spans="2:22" ht="15" customHeight="1" x14ac:dyDescent="0.2">
      <c r="B1909" s="193"/>
      <c r="C1909" s="347"/>
      <c r="D1909" s="347"/>
      <c r="E1909" s="193"/>
      <c r="F1909" s="193"/>
      <c r="G1909" s="193"/>
      <c r="H1909" s="193"/>
      <c r="I1909" s="193"/>
      <c r="J1909" s="193"/>
      <c r="K1909" s="194"/>
      <c r="L1909" s="195"/>
      <c r="M1909" s="195"/>
      <c r="N1909" s="195"/>
      <c r="O1909" s="195"/>
      <c r="P1909" s="196"/>
      <c r="Q1909" s="196"/>
      <c r="R1909" s="193"/>
      <c r="S1909" s="193"/>
      <c r="T1909" s="197"/>
      <c r="U1909" s="193"/>
      <c r="V1909" s="193"/>
    </row>
    <row r="1910" spans="2:22" ht="15" customHeight="1" x14ac:dyDescent="0.2">
      <c r="B1910" s="193"/>
      <c r="C1910" s="347"/>
      <c r="D1910" s="347"/>
      <c r="E1910" s="193"/>
      <c r="F1910" s="193"/>
      <c r="G1910" s="193"/>
      <c r="H1910" s="193"/>
      <c r="I1910" s="193"/>
      <c r="J1910" s="193"/>
      <c r="K1910" s="194"/>
      <c r="L1910" s="195"/>
      <c r="M1910" s="195"/>
      <c r="N1910" s="195"/>
      <c r="O1910" s="195"/>
      <c r="P1910" s="196"/>
      <c r="Q1910" s="196"/>
      <c r="R1910" s="193"/>
      <c r="S1910" s="193"/>
      <c r="T1910" s="197"/>
      <c r="U1910" s="193"/>
      <c r="V1910" s="193"/>
    </row>
    <row r="1911" spans="2:22" ht="15" customHeight="1" x14ac:dyDescent="0.2">
      <c r="B1911" s="193"/>
      <c r="C1911" s="347"/>
      <c r="D1911" s="347"/>
      <c r="E1911" s="193"/>
      <c r="F1911" s="193"/>
      <c r="G1911" s="193"/>
      <c r="H1911" s="193"/>
      <c r="I1911" s="193"/>
      <c r="J1911" s="193"/>
      <c r="K1911" s="194"/>
      <c r="L1911" s="195"/>
      <c r="M1911" s="195"/>
      <c r="N1911" s="195"/>
      <c r="O1911" s="195"/>
      <c r="P1911" s="196"/>
      <c r="Q1911" s="196"/>
      <c r="R1911" s="193"/>
      <c r="S1911" s="193"/>
      <c r="T1911" s="197"/>
      <c r="U1911" s="193"/>
      <c r="V1911" s="193"/>
    </row>
    <row r="1912" spans="2:22" ht="15" customHeight="1" x14ac:dyDescent="0.2">
      <c r="B1912" s="193"/>
      <c r="C1912" s="347"/>
      <c r="D1912" s="347"/>
      <c r="E1912" s="193"/>
      <c r="F1912" s="193"/>
      <c r="G1912" s="193"/>
      <c r="H1912" s="193"/>
      <c r="I1912" s="193"/>
      <c r="J1912" s="193"/>
      <c r="K1912" s="194"/>
      <c r="L1912" s="195"/>
      <c r="M1912" s="195"/>
      <c r="N1912" s="195"/>
      <c r="O1912" s="195"/>
      <c r="P1912" s="196"/>
      <c r="Q1912" s="196"/>
      <c r="R1912" s="193"/>
      <c r="S1912" s="193"/>
      <c r="T1912" s="197"/>
      <c r="U1912" s="193"/>
      <c r="V1912" s="193"/>
    </row>
    <row r="1913" spans="2:22" ht="15" customHeight="1" x14ac:dyDescent="0.2">
      <c r="B1913" s="193"/>
      <c r="C1913" s="347"/>
      <c r="D1913" s="347"/>
      <c r="E1913" s="193"/>
      <c r="F1913" s="193"/>
      <c r="G1913" s="193"/>
      <c r="H1913" s="193"/>
      <c r="I1913" s="193"/>
      <c r="J1913" s="193"/>
      <c r="K1913" s="194"/>
      <c r="L1913" s="195"/>
      <c r="M1913" s="195"/>
      <c r="N1913" s="195"/>
      <c r="O1913" s="195"/>
      <c r="P1913" s="196"/>
      <c r="Q1913" s="196"/>
      <c r="R1913" s="193"/>
      <c r="S1913" s="193"/>
      <c r="T1913" s="197"/>
      <c r="U1913" s="193"/>
      <c r="V1913" s="193"/>
    </row>
    <row r="1914" spans="2:22" ht="15" customHeight="1" x14ac:dyDescent="0.2">
      <c r="B1914" s="193"/>
      <c r="C1914" s="347"/>
      <c r="D1914" s="347"/>
      <c r="E1914" s="193"/>
      <c r="F1914" s="193"/>
      <c r="G1914" s="193"/>
      <c r="H1914" s="193"/>
      <c r="I1914" s="193"/>
      <c r="J1914" s="193"/>
      <c r="K1914" s="194"/>
      <c r="L1914" s="195"/>
      <c r="M1914" s="195"/>
      <c r="N1914" s="195"/>
      <c r="O1914" s="195"/>
      <c r="P1914" s="196"/>
      <c r="Q1914" s="196"/>
      <c r="R1914" s="193"/>
      <c r="S1914" s="193"/>
      <c r="T1914" s="197"/>
      <c r="U1914" s="193"/>
      <c r="V1914" s="193"/>
    </row>
    <row r="1915" spans="2:22" ht="15" customHeight="1" x14ac:dyDescent="0.2">
      <c r="B1915" s="193"/>
      <c r="C1915" s="347"/>
      <c r="D1915" s="347"/>
      <c r="E1915" s="193"/>
      <c r="F1915" s="193"/>
      <c r="G1915" s="193"/>
      <c r="H1915" s="193"/>
      <c r="I1915" s="193"/>
      <c r="J1915" s="193"/>
      <c r="K1915" s="194"/>
      <c r="L1915" s="195"/>
      <c r="M1915" s="195"/>
      <c r="N1915" s="195"/>
      <c r="O1915" s="195"/>
      <c r="P1915" s="196"/>
      <c r="Q1915" s="196"/>
      <c r="R1915" s="193"/>
      <c r="S1915" s="193"/>
      <c r="T1915" s="197"/>
      <c r="U1915" s="193"/>
      <c r="V1915" s="193"/>
    </row>
    <row r="1916" spans="2:22" ht="15" customHeight="1" x14ac:dyDescent="0.2">
      <c r="B1916" s="193"/>
      <c r="C1916" s="347"/>
      <c r="D1916" s="347"/>
      <c r="E1916" s="193"/>
      <c r="F1916" s="193"/>
      <c r="G1916" s="193"/>
      <c r="H1916" s="193"/>
      <c r="I1916" s="193"/>
      <c r="J1916" s="193"/>
      <c r="K1916" s="194"/>
      <c r="L1916" s="195"/>
      <c r="M1916" s="195"/>
      <c r="N1916" s="195"/>
      <c r="O1916" s="195"/>
      <c r="P1916" s="196"/>
      <c r="Q1916" s="196"/>
      <c r="R1916" s="193"/>
      <c r="S1916" s="193"/>
      <c r="T1916" s="197"/>
      <c r="U1916" s="193"/>
      <c r="V1916" s="193"/>
    </row>
    <row r="1917" spans="2:22" ht="15" customHeight="1" x14ac:dyDescent="0.2">
      <c r="B1917" s="193"/>
      <c r="C1917" s="347"/>
      <c r="D1917" s="347"/>
      <c r="E1917" s="193"/>
      <c r="F1917" s="193"/>
      <c r="G1917" s="193"/>
      <c r="H1917" s="193"/>
      <c r="I1917" s="193"/>
      <c r="J1917" s="193"/>
      <c r="K1917" s="194"/>
      <c r="L1917" s="195"/>
      <c r="M1917" s="195"/>
      <c r="N1917" s="195"/>
      <c r="O1917" s="195"/>
      <c r="P1917" s="196"/>
      <c r="Q1917" s="196"/>
      <c r="R1917" s="193"/>
      <c r="S1917" s="193"/>
      <c r="T1917" s="197"/>
      <c r="U1917" s="193"/>
      <c r="V1917" s="193"/>
    </row>
    <row r="1918" spans="2:22" ht="15" customHeight="1" x14ac:dyDescent="0.2">
      <c r="B1918" s="193"/>
      <c r="C1918" s="347"/>
      <c r="D1918" s="347"/>
      <c r="E1918" s="193"/>
      <c r="F1918" s="193"/>
      <c r="G1918" s="193"/>
      <c r="H1918" s="193"/>
      <c r="I1918" s="193"/>
      <c r="J1918" s="193"/>
      <c r="K1918" s="194"/>
      <c r="L1918" s="195"/>
      <c r="M1918" s="195"/>
      <c r="N1918" s="195"/>
      <c r="O1918" s="195"/>
      <c r="P1918" s="196"/>
      <c r="Q1918" s="196"/>
      <c r="R1918" s="193"/>
      <c r="S1918" s="193"/>
      <c r="T1918" s="197"/>
      <c r="U1918" s="193"/>
      <c r="V1918" s="193"/>
    </row>
    <row r="1919" spans="2:22" ht="15" customHeight="1" x14ac:dyDescent="0.2">
      <c r="B1919" s="193"/>
      <c r="C1919" s="347"/>
      <c r="D1919" s="347"/>
      <c r="E1919" s="193"/>
      <c r="F1919" s="193"/>
      <c r="G1919" s="193"/>
      <c r="H1919" s="193"/>
      <c r="I1919" s="193"/>
      <c r="J1919" s="193"/>
      <c r="K1919" s="194"/>
      <c r="L1919" s="195"/>
      <c r="M1919" s="195"/>
      <c r="N1919" s="195"/>
      <c r="O1919" s="195"/>
      <c r="P1919" s="196"/>
      <c r="Q1919" s="196"/>
      <c r="R1919" s="193"/>
      <c r="S1919" s="193"/>
      <c r="T1919" s="197"/>
      <c r="U1919" s="193"/>
      <c r="V1919" s="193"/>
    </row>
    <row r="1920" spans="2:22" ht="15" customHeight="1" x14ac:dyDescent="0.2">
      <c r="B1920" s="193"/>
      <c r="C1920" s="347"/>
      <c r="D1920" s="347"/>
      <c r="E1920" s="193"/>
      <c r="F1920" s="193"/>
      <c r="G1920" s="193"/>
      <c r="H1920" s="193"/>
      <c r="I1920" s="193"/>
      <c r="J1920" s="193"/>
      <c r="K1920" s="194"/>
      <c r="L1920" s="195"/>
      <c r="M1920" s="195"/>
      <c r="N1920" s="195"/>
      <c r="O1920" s="195"/>
      <c r="P1920" s="196"/>
      <c r="Q1920" s="196"/>
      <c r="R1920" s="193"/>
      <c r="S1920" s="193"/>
      <c r="T1920" s="197"/>
      <c r="U1920" s="193"/>
      <c r="V1920" s="193"/>
    </row>
    <row r="1921" spans="2:22" ht="15" customHeight="1" x14ac:dyDescent="0.2">
      <c r="B1921" s="193"/>
      <c r="C1921" s="347"/>
      <c r="D1921" s="347"/>
      <c r="E1921" s="193"/>
      <c r="F1921" s="193"/>
      <c r="G1921" s="193"/>
      <c r="H1921" s="193"/>
      <c r="I1921" s="193"/>
      <c r="J1921" s="193"/>
      <c r="K1921" s="194"/>
      <c r="L1921" s="195"/>
      <c r="M1921" s="195"/>
      <c r="N1921" s="195"/>
      <c r="O1921" s="195"/>
      <c r="P1921" s="196"/>
      <c r="Q1921" s="196"/>
      <c r="R1921" s="193"/>
      <c r="S1921" s="193"/>
      <c r="T1921" s="197"/>
      <c r="U1921" s="193"/>
      <c r="V1921" s="193"/>
    </row>
    <row r="1922" spans="2:22" ht="15" customHeight="1" x14ac:dyDescent="0.2">
      <c r="B1922" s="193"/>
      <c r="C1922" s="347"/>
      <c r="D1922" s="347"/>
      <c r="E1922" s="193"/>
      <c r="F1922" s="193"/>
      <c r="G1922" s="193"/>
      <c r="H1922" s="193"/>
      <c r="I1922" s="193"/>
      <c r="J1922" s="193"/>
      <c r="K1922" s="194"/>
      <c r="L1922" s="195"/>
      <c r="M1922" s="195"/>
      <c r="N1922" s="195"/>
      <c r="O1922" s="195"/>
      <c r="P1922" s="196"/>
      <c r="Q1922" s="196"/>
      <c r="R1922" s="193"/>
      <c r="S1922" s="193"/>
      <c r="T1922" s="197"/>
      <c r="U1922" s="193"/>
      <c r="V1922" s="193"/>
    </row>
    <row r="1923" spans="2:22" ht="15" customHeight="1" x14ac:dyDescent="0.2">
      <c r="B1923" s="193"/>
      <c r="C1923" s="347"/>
      <c r="D1923" s="347"/>
      <c r="E1923" s="193"/>
      <c r="F1923" s="193"/>
      <c r="G1923" s="193"/>
      <c r="H1923" s="193"/>
      <c r="I1923" s="193"/>
      <c r="J1923" s="193"/>
      <c r="K1923" s="194"/>
      <c r="L1923" s="195"/>
      <c r="M1923" s="195"/>
      <c r="N1923" s="195"/>
      <c r="O1923" s="195"/>
      <c r="P1923" s="196"/>
      <c r="Q1923" s="196"/>
      <c r="R1923" s="193"/>
      <c r="S1923" s="193"/>
      <c r="T1923" s="197"/>
      <c r="U1923" s="193"/>
      <c r="V1923" s="193"/>
    </row>
    <row r="1924" spans="2:22" ht="15" customHeight="1" x14ac:dyDescent="0.2">
      <c r="B1924" s="193"/>
      <c r="C1924" s="347"/>
      <c r="D1924" s="347"/>
      <c r="E1924" s="193"/>
      <c r="F1924" s="193"/>
      <c r="G1924" s="193"/>
      <c r="H1924" s="193"/>
      <c r="I1924" s="193"/>
      <c r="J1924" s="193"/>
      <c r="K1924" s="194"/>
      <c r="L1924" s="195"/>
      <c r="M1924" s="195"/>
      <c r="N1924" s="195"/>
      <c r="O1924" s="195"/>
      <c r="P1924" s="196"/>
      <c r="Q1924" s="196"/>
      <c r="R1924" s="193"/>
      <c r="S1924" s="193"/>
      <c r="T1924" s="197"/>
      <c r="U1924" s="193"/>
      <c r="V1924" s="193"/>
    </row>
    <row r="1925" spans="2:22" ht="15" customHeight="1" x14ac:dyDescent="0.2">
      <c r="B1925" s="193"/>
      <c r="C1925" s="347"/>
      <c r="D1925" s="347"/>
      <c r="E1925" s="193"/>
      <c r="F1925" s="193"/>
      <c r="G1925" s="193"/>
      <c r="H1925" s="193"/>
      <c r="I1925" s="193"/>
      <c r="J1925" s="193"/>
      <c r="K1925" s="194"/>
      <c r="L1925" s="195"/>
      <c r="M1925" s="195"/>
      <c r="N1925" s="195"/>
      <c r="O1925" s="195"/>
      <c r="P1925" s="196"/>
      <c r="Q1925" s="196"/>
      <c r="R1925" s="193"/>
      <c r="S1925" s="193"/>
      <c r="T1925" s="197"/>
      <c r="U1925" s="193"/>
      <c r="V1925" s="193"/>
    </row>
    <row r="1926" spans="2:22" ht="15" customHeight="1" x14ac:dyDescent="0.2">
      <c r="B1926" s="193"/>
      <c r="C1926" s="347"/>
      <c r="D1926" s="347"/>
      <c r="E1926" s="193"/>
      <c r="F1926" s="193"/>
      <c r="G1926" s="193"/>
      <c r="H1926" s="193"/>
      <c r="I1926" s="193"/>
      <c r="J1926" s="193"/>
      <c r="K1926" s="194"/>
      <c r="L1926" s="195"/>
      <c r="M1926" s="195"/>
      <c r="N1926" s="195"/>
      <c r="O1926" s="195"/>
      <c r="P1926" s="196"/>
      <c r="Q1926" s="196"/>
      <c r="R1926" s="193"/>
      <c r="S1926" s="193"/>
      <c r="T1926" s="197"/>
      <c r="U1926" s="193"/>
      <c r="V1926" s="193"/>
    </row>
    <row r="1927" spans="2:22" ht="15" customHeight="1" x14ac:dyDescent="0.2">
      <c r="B1927" s="193"/>
      <c r="C1927" s="347"/>
      <c r="D1927" s="347"/>
      <c r="E1927" s="193"/>
      <c r="F1927" s="193"/>
      <c r="G1927" s="193"/>
      <c r="H1927" s="193"/>
      <c r="I1927" s="193"/>
      <c r="J1927" s="193"/>
      <c r="K1927" s="194"/>
      <c r="L1927" s="195"/>
      <c r="M1927" s="195"/>
      <c r="N1927" s="195"/>
      <c r="O1927" s="195"/>
      <c r="P1927" s="196"/>
      <c r="Q1927" s="196"/>
      <c r="R1927" s="193"/>
      <c r="S1927" s="193"/>
      <c r="T1927" s="197"/>
      <c r="U1927" s="193"/>
      <c r="V1927" s="193"/>
    </row>
    <row r="1928" spans="2:22" ht="15" customHeight="1" x14ac:dyDescent="0.2">
      <c r="B1928" s="193"/>
      <c r="C1928" s="347"/>
      <c r="D1928" s="347"/>
      <c r="E1928" s="193"/>
      <c r="F1928" s="193"/>
      <c r="G1928" s="193"/>
      <c r="H1928" s="193"/>
      <c r="I1928" s="193"/>
      <c r="J1928" s="193"/>
      <c r="K1928" s="194"/>
      <c r="L1928" s="195"/>
      <c r="M1928" s="195"/>
      <c r="N1928" s="195"/>
      <c r="O1928" s="195"/>
      <c r="P1928" s="196"/>
      <c r="Q1928" s="196"/>
      <c r="R1928" s="193"/>
      <c r="S1928" s="193"/>
      <c r="T1928" s="197"/>
      <c r="U1928" s="193"/>
      <c r="V1928" s="193"/>
    </row>
    <row r="1929" spans="2:22" ht="15" customHeight="1" x14ac:dyDescent="0.2">
      <c r="B1929" s="193"/>
      <c r="C1929" s="347"/>
      <c r="D1929" s="347"/>
      <c r="E1929" s="193"/>
      <c r="F1929" s="193"/>
      <c r="G1929" s="193"/>
      <c r="H1929" s="193"/>
      <c r="I1929" s="193"/>
      <c r="J1929" s="193"/>
      <c r="K1929" s="194"/>
      <c r="L1929" s="195"/>
      <c r="M1929" s="195"/>
      <c r="N1929" s="195"/>
      <c r="O1929" s="195"/>
      <c r="P1929" s="196"/>
      <c r="Q1929" s="196"/>
      <c r="R1929" s="193"/>
      <c r="S1929" s="193"/>
      <c r="T1929" s="197"/>
      <c r="U1929" s="193"/>
      <c r="V1929" s="193"/>
    </row>
    <row r="1930" spans="2:22" ht="15" customHeight="1" x14ac:dyDescent="0.2">
      <c r="B1930" s="193"/>
      <c r="C1930" s="347"/>
      <c r="D1930" s="347"/>
      <c r="E1930" s="193"/>
      <c r="F1930" s="193"/>
      <c r="G1930" s="193"/>
      <c r="H1930" s="193"/>
      <c r="I1930" s="193"/>
      <c r="J1930" s="193"/>
      <c r="K1930" s="194"/>
      <c r="L1930" s="195"/>
      <c r="M1930" s="195"/>
      <c r="N1930" s="195"/>
      <c r="O1930" s="195"/>
      <c r="P1930" s="196"/>
      <c r="Q1930" s="196"/>
      <c r="R1930" s="193"/>
      <c r="S1930" s="193"/>
      <c r="T1930" s="197"/>
      <c r="U1930" s="193"/>
      <c r="V1930" s="193"/>
    </row>
    <row r="1931" spans="2:22" ht="15" customHeight="1" x14ac:dyDescent="0.2">
      <c r="B1931" s="193"/>
      <c r="C1931" s="347"/>
      <c r="D1931" s="347"/>
      <c r="E1931" s="193"/>
      <c r="F1931" s="193"/>
      <c r="G1931" s="193"/>
      <c r="H1931" s="193"/>
      <c r="I1931" s="193"/>
      <c r="J1931" s="193"/>
      <c r="K1931" s="194"/>
      <c r="L1931" s="195"/>
      <c r="M1931" s="195"/>
      <c r="N1931" s="195"/>
      <c r="O1931" s="195"/>
      <c r="P1931" s="196"/>
      <c r="Q1931" s="196"/>
      <c r="R1931" s="193"/>
      <c r="S1931" s="193"/>
      <c r="T1931" s="197"/>
      <c r="U1931" s="193"/>
      <c r="V1931" s="193"/>
    </row>
    <row r="1932" spans="2:22" ht="15" customHeight="1" x14ac:dyDescent="0.2">
      <c r="B1932" s="193"/>
      <c r="C1932" s="347"/>
      <c r="D1932" s="347"/>
      <c r="E1932" s="193"/>
      <c r="F1932" s="193"/>
      <c r="G1932" s="193"/>
      <c r="H1932" s="193"/>
      <c r="I1932" s="193"/>
      <c r="J1932" s="193"/>
      <c r="K1932" s="194"/>
      <c r="L1932" s="195"/>
      <c r="M1932" s="195"/>
      <c r="N1932" s="195"/>
      <c r="O1932" s="195"/>
      <c r="P1932" s="196"/>
      <c r="Q1932" s="196"/>
      <c r="R1932" s="193"/>
      <c r="S1932" s="193"/>
      <c r="T1932" s="197"/>
      <c r="U1932" s="193"/>
      <c r="V1932" s="193"/>
    </row>
    <row r="1933" spans="2:22" ht="15" customHeight="1" x14ac:dyDescent="0.2">
      <c r="B1933" s="193"/>
      <c r="C1933" s="347"/>
      <c r="D1933" s="347"/>
      <c r="E1933" s="193"/>
      <c r="F1933" s="193"/>
      <c r="G1933" s="193"/>
      <c r="H1933" s="193"/>
      <c r="I1933" s="193"/>
      <c r="J1933" s="193"/>
      <c r="K1933" s="194"/>
      <c r="L1933" s="195"/>
      <c r="M1933" s="195"/>
      <c r="N1933" s="195"/>
      <c r="O1933" s="195"/>
      <c r="P1933" s="196"/>
      <c r="Q1933" s="196"/>
      <c r="R1933" s="193"/>
      <c r="S1933" s="193"/>
      <c r="T1933" s="197"/>
      <c r="U1933" s="193"/>
      <c r="V1933" s="193"/>
    </row>
    <row r="1934" spans="2:22" ht="15" customHeight="1" x14ac:dyDescent="0.2">
      <c r="B1934" s="193"/>
      <c r="C1934" s="347"/>
      <c r="D1934" s="347"/>
      <c r="E1934" s="193"/>
      <c r="F1934" s="193"/>
      <c r="G1934" s="193"/>
      <c r="H1934" s="193"/>
      <c r="I1934" s="193"/>
      <c r="J1934" s="193"/>
      <c r="K1934" s="194"/>
      <c r="L1934" s="195"/>
      <c r="M1934" s="195"/>
      <c r="N1934" s="195"/>
      <c r="O1934" s="195"/>
      <c r="P1934" s="196"/>
      <c r="Q1934" s="196"/>
      <c r="R1934" s="193"/>
      <c r="S1934" s="193"/>
      <c r="T1934" s="197"/>
      <c r="U1934" s="193"/>
      <c r="V1934" s="193"/>
    </row>
    <row r="1935" spans="2:22" ht="15" customHeight="1" x14ac:dyDescent="0.2">
      <c r="B1935" s="193"/>
      <c r="C1935" s="347"/>
      <c r="D1935" s="347"/>
      <c r="E1935" s="193"/>
      <c r="F1935" s="193"/>
      <c r="G1935" s="193"/>
      <c r="H1935" s="193"/>
      <c r="I1935" s="193"/>
      <c r="J1935" s="193"/>
      <c r="K1935" s="194"/>
      <c r="L1935" s="195"/>
      <c r="M1935" s="195"/>
      <c r="N1935" s="195"/>
      <c r="O1935" s="195"/>
      <c r="P1935" s="196"/>
      <c r="Q1935" s="196"/>
      <c r="R1935" s="193"/>
      <c r="S1935" s="193"/>
      <c r="T1935" s="197"/>
      <c r="U1935" s="193"/>
      <c r="V1935" s="193"/>
    </row>
    <row r="1936" spans="2:22" ht="15" customHeight="1" x14ac:dyDescent="0.2">
      <c r="B1936" s="193"/>
      <c r="C1936" s="347"/>
      <c r="D1936" s="347"/>
      <c r="E1936" s="193"/>
      <c r="F1936" s="193"/>
      <c r="G1936" s="193"/>
      <c r="H1936" s="193"/>
      <c r="I1936" s="193"/>
      <c r="J1936" s="193"/>
      <c r="K1936" s="194"/>
      <c r="L1936" s="195"/>
      <c r="M1936" s="195"/>
      <c r="N1936" s="195"/>
      <c r="O1936" s="195"/>
      <c r="P1936" s="196"/>
      <c r="Q1936" s="196"/>
      <c r="R1936" s="193"/>
      <c r="S1936" s="193"/>
      <c r="T1936" s="197"/>
      <c r="U1936" s="193"/>
      <c r="V1936" s="193"/>
    </row>
    <row r="1937" spans="2:22" ht="15" customHeight="1" x14ac:dyDescent="0.2">
      <c r="B1937" s="193"/>
      <c r="C1937" s="347"/>
      <c r="D1937" s="347"/>
      <c r="E1937" s="193"/>
      <c r="F1937" s="193"/>
      <c r="G1937" s="193"/>
      <c r="H1937" s="193"/>
      <c r="I1937" s="193"/>
      <c r="J1937" s="193"/>
      <c r="K1937" s="194"/>
      <c r="L1937" s="195"/>
      <c r="M1937" s="195"/>
      <c r="N1937" s="195"/>
      <c r="O1937" s="195"/>
      <c r="P1937" s="196"/>
      <c r="Q1937" s="196"/>
      <c r="R1937" s="193"/>
      <c r="S1937" s="193"/>
      <c r="T1937" s="197"/>
      <c r="U1937" s="193"/>
      <c r="V1937" s="193"/>
    </row>
    <row r="1938" spans="2:22" ht="15" customHeight="1" x14ac:dyDescent="0.2">
      <c r="B1938" s="193"/>
      <c r="C1938" s="347"/>
      <c r="D1938" s="347"/>
      <c r="E1938" s="193"/>
      <c r="F1938" s="193"/>
      <c r="G1938" s="193"/>
      <c r="H1938" s="193"/>
      <c r="I1938" s="193"/>
      <c r="J1938" s="193"/>
      <c r="K1938" s="194"/>
      <c r="L1938" s="195"/>
      <c r="M1938" s="195"/>
      <c r="N1938" s="195"/>
      <c r="O1938" s="195"/>
      <c r="P1938" s="196"/>
      <c r="Q1938" s="196"/>
      <c r="R1938" s="193"/>
      <c r="S1938" s="193"/>
      <c r="T1938" s="197"/>
      <c r="U1938" s="193"/>
      <c r="V1938" s="193"/>
    </row>
    <row r="1939" spans="2:22" ht="15" customHeight="1" x14ac:dyDescent="0.2">
      <c r="B1939" s="193"/>
      <c r="C1939" s="347"/>
      <c r="D1939" s="347"/>
      <c r="E1939" s="193"/>
      <c r="F1939" s="193"/>
      <c r="G1939" s="193"/>
      <c r="H1939" s="193"/>
      <c r="I1939" s="193"/>
      <c r="J1939" s="193"/>
      <c r="K1939" s="194"/>
      <c r="L1939" s="195"/>
      <c r="M1939" s="195"/>
      <c r="N1939" s="195"/>
      <c r="O1939" s="195"/>
      <c r="P1939" s="196"/>
      <c r="Q1939" s="196"/>
      <c r="R1939" s="193"/>
      <c r="S1939" s="193"/>
      <c r="T1939" s="197"/>
      <c r="U1939" s="193"/>
      <c r="V1939" s="193"/>
    </row>
    <row r="1940" spans="2:22" ht="15" customHeight="1" x14ac:dyDescent="0.2">
      <c r="B1940" s="193"/>
      <c r="C1940" s="347"/>
      <c r="D1940" s="347"/>
      <c r="E1940" s="193"/>
      <c r="F1940" s="193"/>
      <c r="G1940" s="193"/>
      <c r="H1940" s="193"/>
      <c r="I1940" s="193"/>
      <c r="J1940" s="193"/>
      <c r="K1940" s="194"/>
      <c r="L1940" s="195"/>
      <c r="M1940" s="195"/>
      <c r="N1940" s="195"/>
      <c r="O1940" s="195"/>
      <c r="P1940" s="196"/>
      <c r="Q1940" s="196"/>
      <c r="R1940" s="193"/>
      <c r="S1940" s="193"/>
      <c r="T1940" s="197"/>
      <c r="U1940" s="193"/>
      <c r="V1940" s="193"/>
    </row>
    <row r="1941" spans="2:22" ht="15" customHeight="1" x14ac:dyDescent="0.2">
      <c r="B1941" s="193"/>
      <c r="C1941" s="347"/>
      <c r="D1941" s="347"/>
      <c r="E1941" s="193"/>
      <c r="F1941" s="193"/>
      <c r="G1941" s="193"/>
      <c r="H1941" s="193"/>
      <c r="I1941" s="193"/>
      <c r="J1941" s="193"/>
      <c r="K1941" s="194"/>
      <c r="L1941" s="195"/>
      <c r="M1941" s="195"/>
      <c r="N1941" s="195"/>
      <c r="O1941" s="195"/>
      <c r="P1941" s="196"/>
      <c r="Q1941" s="196"/>
      <c r="R1941" s="193"/>
      <c r="S1941" s="193"/>
      <c r="T1941" s="197"/>
      <c r="U1941" s="193"/>
      <c r="V1941" s="193"/>
    </row>
    <row r="1942" spans="2:22" ht="15" customHeight="1" x14ac:dyDescent="0.2">
      <c r="B1942" s="193"/>
      <c r="C1942" s="347"/>
      <c r="D1942" s="347"/>
      <c r="E1942" s="193"/>
      <c r="F1942" s="193"/>
      <c r="G1942" s="193"/>
      <c r="H1942" s="193"/>
      <c r="I1942" s="193"/>
      <c r="J1942" s="193"/>
      <c r="K1942" s="194"/>
      <c r="L1942" s="195"/>
      <c r="M1942" s="195"/>
      <c r="N1942" s="195"/>
      <c r="O1942" s="195"/>
      <c r="P1942" s="196"/>
      <c r="Q1942" s="196"/>
      <c r="R1942" s="193"/>
      <c r="S1942" s="193"/>
      <c r="T1942" s="197"/>
      <c r="U1942" s="193"/>
      <c r="V1942" s="193"/>
    </row>
    <row r="1943" spans="2:22" ht="15" customHeight="1" x14ac:dyDescent="0.2">
      <c r="B1943" s="193"/>
      <c r="C1943" s="347"/>
      <c r="D1943" s="347"/>
      <c r="E1943" s="193"/>
      <c r="F1943" s="193"/>
      <c r="G1943" s="193"/>
      <c r="H1943" s="193"/>
      <c r="I1943" s="193"/>
      <c r="J1943" s="193"/>
      <c r="K1943" s="194"/>
      <c r="L1943" s="195"/>
      <c r="M1943" s="195"/>
      <c r="N1943" s="195"/>
      <c r="O1943" s="195"/>
      <c r="P1943" s="196"/>
      <c r="Q1943" s="196"/>
      <c r="R1943" s="193"/>
      <c r="S1943" s="193"/>
      <c r="T1943" s="197"/>
      <c r="U1943" s="193"/>
      <c r="V1943" s="193"/>
    </row>
    <row r="1944" spans="2:22" ht="15" customHeight="1" x14ac:dyDescent="0.2">
      <c r="B1944" s="193"/>
      <c r="C1944" s="347"/>
      <c r="D1944" s="347"/>
      <c r="E1944" s="193"/>
      <c r="F1944" s="193"/>
      <c r="G1944" s="193"/>
      <c r="H1944" s="193"/>
      <c r="I1944" s="193"/>
      <c r="J1944" s="193"/>
      <c r="K1944" s="194"/>
      <c r="L1944" s="195"/>
      <c r="M1944" s="195"/>
      <c r="N1944" s="195"/>
      <c r="O1944" s="195"/>
      <c r="P1944" s="196"/>
      <c r="Q1944" s="196"/>
      <c r="R1944" s="193"/>
      <c r="S1944" s="193"/>
      <c r="T1944" s="197"/>
      <c r="U1944" s="193"/>
      <c r="V1944" s="193"/>
    </row>
    <row r="1945" spans="2:22" ht="15" customHeight="1" x14ac:dyDescent="0.2">
      <c r="B1945" s="193"/>
      <c r="C1945" s="347"/>
      <c r="D1945" s="347"/>
      <c r="E1945" s="193"/>
      <c r="F1945" s="193"/>
      <c r="G1945" s="193"/>
      <c r="H1945" s="193"/>
      <c r="I1945" s="193"/>
      <c r="J1945" s="193"/>
      <c r="K1945" s="194"/>
      <c r="L1945" s="195"/>
      <c r="M1945" s="195"/>
      <c r="N1945" s="195"/>
      <c r="O1945" s="195"/>
      <c r="P1945" s="196"/>
      <c r="Q1945" s="196"/>
      <c r="R1945" s="193"/>
      <c r="S1945" s="193"/>
      <c r="T1945" s="197"/>
      <c r="U1945" s="193"/>
      <c r="V1945" s="193"/>
    </row>
    <row r="1946" spans="2:22" ht="15" customHeight="1" x14ac:dyDescent="0.2">
      <c r="B1946" s="193"/>
      <c r="C1946" s="347"/>
      <c r="D1946" s="347"/>
      <c r="E1946" s="193"/>
      <c r="F1946" s="193"/>
      <c r="G1946" s="193"/>
      <c r="H1946" s="193"/>
      <c r="I1946" s="193"/>
      <c r="J1946" s="193"/>
      <c r="K1946" s="194"/>
      <c r="L1946" s="195"/>
      <c r="M1946" s="195"/>
      <c r="N1946" s="195"/>
      <c r="O1946" s="195"/>
      <c r="P1946" s="196"/>
      <c r="Q1946" s="196"/>
      <c r="R1946" s="193"/>
      <c r="S1946" s="193"/>
      <c r="T1946" s="197"/>
      <c r="U1946" s="193"/>
      <c r="V1946" s="193"/>
    </row>
    <row r="1947" spans="2:22" ht="15" customHeight="1" x14ac:dyDescent="0.2">
      <c r="B1947" s="193"/>
      <c r="C1947" s="347"/>
      <c r="D1947" s="347"/>
      <c r="E1947" s="193"/>
      <c r="F1947" s="193"/>
      <c r="G1947" s="193"/>
      <c r="H1947" s="193"/>
      <c r="I1947" s="193"/>
      <c r="J1947" s="193"/>
      <c r="K1947" s="194"/>
      <c r="L1947" s="195"/>
      <c r="M1947" s="195"/>
      <c r="N1947" s="195"/>
      <c r="O1947" s="195"/>
      <c r="P1947" s="196"/>
      <c r="Q1947" s="196"/>
      <c r="R1947" s="193"/>
      <c r="S1947" s="193"/>
      <c r="T1947" s="197"/>
      <c r="U1947" s="193"/>
      <c r="V1947" s="193"/>
    </row>
    <row r="1948" spans="2:22" ht="15" customHeight="1" x14ac:dyDescent="0.2">
      <c r="B1948" s="193"/>
      <c r="C1948" s="347"/>
      <c r="D1948" s="347"/>
      <c r="E1948" s="193"/>
      <c r="F1948" s="193"/>
      <c r="G1948" s="193"/>
      <c r="H1948" s="193"/>
      <c r="I1948" s="193"/>
      <c r="J1948" s="193"/>
      <c r="K1948" s="194"/>
      <c r="L1948" s="195"/>
      <c r="M1948" s="195"/>
      <c r="N1948" s="195"/>
      <c r="O1948" s="195"/>
      <c r="P1948" s="196"/>
      <c r="Q1948" s="196"/>
      <c r="R1948" s="193"/>
      <c r="S1948" s="193"/>
      <c r="T1948" s="197"/>
      <c r="U1948" s="193"/>
      <c r="V1948" s="193"/>
    </row>
    <row r="1949" spans="2:22" ht="15" customHeight="1" x14ac:dyDescent="0.2">
      <c r="B1949" s="193"/>
      <c r="C1949" s="347"/>
      <c r="D1949" s="347"/>
      <c r="E1949" s="193"/>
      <c r="F1949" s="193"/>
      <c r="G1949" s="193"/>
      <c r="H1949" s="193"/>
      <c r="I1949" s="193"/>
      <c r="J1949" s="193"/>
      <c r="K1949" s="194"/>
      <c r="L1949" s="195"/>
      <c r="M1949" s="195"/>
      <c r="N1949" s="195"/>
      <c r="O1949" s="195"/>
      <c r="P1949" s="196"/>
      <c r="Q1949" s="196"/>
      <c r="R1949" s="193"/>
      <c r="S1949" s="193"/>
      <c r="T1949" s="197"/>
      <c r="U1949" s="193"/>
      <c r="V1949" s="193"/>
    </row>
    <row r="1950" spans="2:22" ht="15" customHeight="1" x14ac:dyDescent="0.2">
      <c r="B1950" s="193"/>
      <c r="C1950" s="347"/>
      <c r="D1950" s="347"/>
      <c r="E1950" s="193"/>
      <c r="F1950" s="193"/>
      <c r="G1950" s="193"/>
      <c r="H1950" s="193"/>
      <c r="I1950" s="193"/>
      <c r="J1950" s="193"/>
      <c r="K1950" s="194"/>
      <c r="L1950" s="195"/>
      <c r="M1950" s="195"/>
      <c r="N1950" s="195"/>
      <c r="O1950" s="195"/>
      <c r="P1950" s="196"/>
      <c r="Q1950" s="196"/>
      <c r="R1950" s="193"/>
      <c r="S1950" s="193"/>
      <c r="T1950" s="197"/>
      <c r="U1950" s="193"/>
      <c r="V1950" s="193"/>
    </row>
    <row r="1951" spans="2:22" ht="15" customHeight="1" x14ac:dyDescent="0.2">
      <c r="B1951" s="193"/>
      <c r="C1951" s="347"/>
      <c r="D1951" s="347"/>
      <c r="E1951" s="193"/>
      <c r="F1951" s="193"/>
      <c r="G1951" s="193"/>
      <c r="H1951" s="193"/>
      <c r="I1951" s="193"/>
      <c r="J1951" s="193"/>
      <c r="K1951" s="194"/>
      <c r="L1951" s="195"/>
      <c r="M1951" s="195"/>
      <c r="N1951" s="195"/>
      <c r="O1951" s="195"/>
      <c r="P1951" s="196"/>
      <c r="Q1951" s="196"/>
      <c r="R1951" s="193"/>
      <c r="S1951" s="193"/>
      <c r="T1951" s="197"/>
      <c r="U1951" s="193"/>
      <c r="V1951" s="193"/>
    </row>
    <row r="1952" spans="2:22" ht="15" customHeight="1" x14ac:dyDescent="0.2">
      <c r="B1952" s="193"/>
      <c r="C1952" s="347"/>
      <c r="D1952" s="347"/>
      <c r="E1952" s="193"/>
      <c r="F1952" s="193"/>
      <c r="G1952" s="193"/>
      <c r="H1952" s="193"/>
      <c r="I1952" s="193"/>
      <c r="J1952" s="193"/>
      <c r="K1952" s="194"/>
      <c r="L1952" s="195"/>
      <c r="M1952" s="195"/>
      <c r="N1952" s="195"/>
      <c r="O1952" s="195"/>
      <c r="P1952" s="196"/>
      <c r="Q1952" s="196"/>
      <c r="R1952" s="193"/>
      <c r="S1952" s="193"/>
      <c r="T1952" s="197"/>
      <c r="U1952" s="193"/>
      <c r="V1952" s="193"/>
    </row>
    <row r="1953" spans="2:22" ht="15" customHeight="1" x14ac:dyDescent="0.2">
      <c r="B1953" s="193"/>
      <c r="C1953" s="347"/>
      <c r="D1953" s="347"/>
      <c r="E1953" s="193"/>
      <c r="F1953" s="193"/>
      <c r="G1953" s="193"/>
      <c r="H1953" s="193"/>
      <c r="I1953" s="193"/>
      <c r="J1953" s="193"/>
      <c r="K1953" s="194"/>
      <c r="L1953" s="195"/>
      <c r="M1953" s="195"/>
      <c r="N1953" s="195"/>
      <c r="O1953" s="195"/>
      <c r="P1953" s="196"/>
      <c r="Q1953" s="196"/>
      <c r="R1953" s="193"/>
      <c r="S1953" s="193"/>
      <c r="T1953" s="197"/>
      <c r="U1953" s="193"/>
      <c r="V1953" s="193"/>
    </row>
    <row r="1954" spans="2:22" ht="15" customHeight="1" x14ac:dyDescent="0.2">
      <c r="B1954" s="193"/>
      <c r="C1954" s="347"/>
      <c r="D1954" s="347"/>
      <c r="E1954" s="193"/>
      <c r="F1954" s="193"/>
      <c r="G1954" s="193"/>
      <c r="H1954" s="193"/>
      <c r="I1954" s="193"/>
      <c r="J1954" s="193"/>
      <c r="K1954" s="194"/>
      <c r="L1954" s="195"/>
      <c r="M1954" s="195"/>
      <c r="N1954" s="195"/>
      <c r="O1954" s="195"/>
      <c r="P1954" s="196"/>
      <c r="Q1954" s="196"/>
      <c r="R1954" s="193"/>
      <c r="S1954" s="193"/>
      <c r="T1954" s="197"/>
      <c r="U1954" s="193"/>
      <c r="V1954" s="193"/>
    </row>
    <row r="1955" spans="2:22" ht="15" customHeight="1" x14ac:dyDescent="0.2">
      <c r="B1955" s="193"/>
      <c r="C1955" s="347"/>
      <c r="D1955" s="347"/>
      <c r="E1955" s="193"/>
      <c r="F1955" s="193"/>
      <c r="G1955" s="193"/>
      <c r="H1955" s="193"/>
      <c r="I1955" s="193"/>
      <c r="J1955" s="193"/>
      <c r="K1955" s="194"/>
      <c r="L1955" s="195"/>
      <c r="M1955" s="195"/>
      <c r="N1955" s="195"/>
      <c r="O1955" s="195"/>
      <c r="P1955" s="196"/>
      <c r="Q1955" s="196"/>
      <c r="R1955" s="193"/>
      <c r="S1955" s="193"/>
      <c r="T1955" s="197"/>
      <c r="U1955" s="193"/>
      <c r="V1955" s="193"/>
    </row>
    <row r="1956" spans="2:22" ht="15" customHeight="1" x14ac:dyDescent="0.2">
      <c r="B1956" s="193"/>
      <c r="C1956" s="347"/>
      <c r="D1956" s="347"/>
      <c r="E1956" s="193"/>
      <c r="F1956" s="193"/>
      <c r="G1956" s="193"/>
      <c r="H1956" s="193"/>
      <c r="I1956" s="193"/>
      <c r="J1956" s="193"/>
      <c r="K1956" s="194"/>
      <c r="L1956" s="195"/>
      <c r="M1956" s="195"/>
      <c r="N1956" s="195"/>
      <c r="O1956" s="195"/>
      <c r="P1956" s="196"/>
      <c r="Q1956" s="196"/>
      <c r="R1956" s="193"/>
      <c r="S1956" s="193"/>
      <c r="T1956" s="197"/>
      <c r="U1956" s="193"/>
      <c r="V1956" s="193"/>
    </row>
    <row r="1957" spans="2:22" ht="15" customHeight="1" x14ac:dyDescent="0.2">
      <c r="B1957" s="193"/>
      <c r="C1957" s="347"/>
      <c r="D1957" s="347"/>
      <c r="E1957" s="193"/>
      <c r="F1957" s="193"/>
      <c r="G1957" s="193"/>
      <c r="H1957" s="193"/>
      <c r="I1957" s="193"/>
      <c r="J1957" s="193"/>
      <c r="K1957" s="194"/>
      <c r="L1957" s="195"/>
      <c r="M1957" s="195"/>
      <c r="N1957" s="195"/>
      <c r="O1957" s="195"/>
      <c r="P1957" s="196"/>
      <c r="Q1957" s="196"/>
      <c r="R1957" s="193"/>
      <c r="S1957" s="193"/>
      <c r="T1957" s="197"/>
      <c r="U1957" s="193"/>
      <c r="V1957" s="193"/>
    </row>
    <row r="1958" spans="2:22" x14ac:dyDescent="0.2">
      <c r="B1958" s="349"/>
      <c r="C1958" s="349"/>
      <c r="D1958" s="349"/>
      <c r="E1958" s="349"/>
      <c r="F1958" s="349"/>
      <c r="G1958" s="349"/>
      <c r="H1958" s="349"/>
      <c r="I1958" s="349"/>
      <c r="J1958" s="349"/>
      <c r="K1958" s="349"/>
      <c r="L1958" s="349"/>
      <c r="M1958" s="349"/>
      <c r="N1958" s="349"/>
      <c r="O1958" s="349"/>
      <c r="P1958" s="349"/>
      <c r="Q1958" s="349"/>
      <c r="R1958" s="349"/>
      <c r="S1958" s="349"/>
      <c r="T1958" s="349"/>
      <c r="U1958" s="349"/>
      <c r="V1958" s="349"/>
    </row>
    <row r="1959" spans="2:22" x14ac:dyDescent="0.2">
      <c r="B1959" s="349"/>
      <c r="C1959" s="349"/>
      <c r="D1959" s="349"/>
      <c r="E1959" s="349"/>
      <c r="F1959" s="349"/>
      <c r="G1959" s="349"/>
      <c r="H1959" s="349"/>
      <c r="I1959" s="349"/>
      <c r="J1959" s="349"/>
      <c r="K1959" s="349"/>
      <c r="L1959" s="349"/>
      <c r="M1959" s="349"/>
      <c r="N1959" s="349"/>
      <c r="O1959" s="349"/>
      <c r="P1959" s="349"/>
      <c r="Q1959" s="349"/>
      <c r="R1959" s="349"/>
      <c r="S1959" s="349"/>
      <c r="T1959" s="349"/>
      <c r="U1959" s="349"/>
      <c r="V1959" s="349"/>
    </row>
    <row r="1960" spans="2:22" x14ac:dyDescent="0.2">
      <c r="B1960" s="349"/>
      <c r="C1960" s="349"/>
      <c r="D1960" s="349"/>
      <c r="E1960" s="349"/>
      <c r="F1960" s="349"/>
      <c r="G1960" s="349"/>
      <c r="H1960" s="349"/>
      <c r="I1960" s="349"/>
      <c r="J1960" s="349"/>
      <c r="K1960" s="349"/>
      <c r="L1960" s="349"/>
      <c r="M1960" s="349"/>
      <c r="N1960" s="349"/>
      <c r="O1960" s="349"/>
      <c r="P1960" s="349"/>
      <c r="Q1960" s="349"/>
      <c r="R1960" s="349"/>
      <c r="S1960" s="349"/>
      <c r="T1960" s="349"/>
      <c r="U1960" s="349"/>
      <c r="V1960" s="349"/>
    </row>
    <row r="1961" spans="2:22" x14ac:dyDescent="0.2">
      <c r="B1961" s="349"/>
      <c r="C1961" s="349"/>
      <c r="D1961" s="349"/>
      <c r="E1961" s="349"/>
      <c r="F1961" s="349"/>
      <c r="G1961" s="349"/>
      <c r="H1961" s="349"/>
      <c r="I1961" s="349"/>
      <c r="J1961" s="349"/>
      <c r="K1961" s="349"/>
      <c r="L1961" s="349"/>
      <c r="M1961" s="349"/>
      <c r="N1961" s="349"/>
      <c r="O1961" s="349"/>
      <c r="P1961" s="349"/>
      <c r="Q1961" s="349"/>
      <c r="R1961" s="349"/>
      <c r="S1961" s="349"/>
      <c r="T1961" s="349"/>
      <c r="U1961" s="349"/>
      <c r="V1961" s="349"/>
    </row>
    <row r="1962" spans="2:22" x14ac:dyDescent="0.2">
      <c r="B1962" s="349"/>
      <c r="C1962" s="349"/>
      <c r="D1962" s="349"/>
      <c r="E1962" s="349"/>
      <c r="F1962" s="349"/>
      <c r="G1962" s="349"/>
      <c r="H1962" s="349"/>
      <c r="I1962" s="349"/>
      <c r="J1962" s="349"/>
      <c r="K1962" s="349"/>
      <c r="L1962" s="349"/>
      <c r="M1962" s="349"/>
      <c r="N1962" s="349"/>
      <c r="O1962" s="349"/>
      <c r="P1962" s="349"/>
      <c r="Q1962" s="349"/>
      <c r="R1962" s="349"/>
      <c r="S1962" s="349"/>
      <c r="T1962" s="349"/>
      <c r="U1962" s="349"/>
      <c r="V1962" s="349"/>
    </row>
    <row r="1963" spans="2:22" x14ac:dyDescent="0.2">
      <c r="B1963" s="349"/>
      <c r="C1963" s="349"/>
      <c r="D1963" s="349"/>
      <c r="E1963" s="349"/>
      <c r="F1963" s="349"/>
      <c r="G1963" s="349"/>
      <c r="H1963" s="349"/>
      <c r="I1963" s="349"/>
      <c r="J1963" s="349"/>
      <c r="K1963" s="349"/>
      <c r="L1963" s="349"/>
      <c r="M1963" s="349"/>
      <c r="N1963" s="349"/>
      <c r="O1963" s="349"/>
      <c r="P1963" s="349"/>
      <c r="Q1963" s="349"/>
      <c r="R1963" s="349"/>
      <c r="S1963" s="349"/>
      <c r="T1963" s="349"/>
      <c r="U1963" s="349"/>
      <c r="V1963" s="349"/>
    </row>
    <row r="1964" spans="2:22" x14ac:dyDescent="0.2">
      <c r="B1964" s="349"/>
      <c r="C1964" s="349"/>
      <c r="D1964" s="349"/>
      <c r="E1964" s="349"/>
      <c r="F1964" s="349"/>
      <c r="G1964" s="349"/>
      <c r="H1964" s="349"/>
      <c r="I1964" s="349"/>
      <c r="J1964" s="349"/>
      <c r="K1964" s="349"/>
      <c r="L1964" s="349"/>
      <c r="M1964" s="349"/>
      <c r="N1964" s="349"/>
      <c r="O1964" s="349"/>
      <c r="P1964" s="349"/>
      <c r="Q1964" s="349"/>
      <c r="R1964" s="349"/>
      <c r="S1964" s="349"/>
      <c r="T1964" s="349"/>
      <c r="U1964" s="349"/>
      <c r="V1964" s="349"/>
    </row>
    <row r="1965" spans="2:22" x14ac:dyDescent="0.2">
      <c r="B1965" s="349"/>
      <c r="C1965" s="349"/>
      <c r="D1965" s="349"/>
      <c r="E1965" s="349"/>
      <c r="F1965" s="349"/>
      <c r="G1965" s="349"/>
      <c r="H1965" s="349"/>
      <c r="I1965" s="349"/>
      <c r="J1965" s="349"/>
      <c r="K1965" s="349"/>
      <c r="L1965" s="349"/>
      <c r="M1965" s="349"/>
      <c r="N1965" s="349"/>
      <c r="O1965" s="349"/>
      <c r="P1965" s="349"/>
      <c r="Q1965" s="349"/>
      <c r="R1965" s="349"/>
      <c r="S1965" s="349"/>
      <c r="T1965" s="349"/>
      <c r="U1965" s="349"/>
      <c r="V1965" s="349"/>
    </row>
    <row r="1967" spans="2:22" x14ac:dyDescent="0.2">
      <c r="N1967" s="350"/>
      <c r="O1967" s="350"/>
    </row>
    <row r="1968" spans="2:22" x14ac:dyDescent="0.2">
      <c r="L1968" s="350"/>
    </row>
  </sheetData>
  <pageMargins left="0.7" right="0.7" top="0.75" bottom="0.75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7BAC-4915-6F46-AB2F-420E997BDEAD}">
  <sheetPr>
    <tabColor rgb="FFE8F5E9"/>
  </sheetPr>
  <dimension ref="B1:O80"/>
  <sheetViews>
    <sheetView showGridLines="0" zoomScale="131" workbookViewId="0">
      <pane ySplit="1" topLeftCell="A2" activePane="bottomLeft" state="frozen"/>
      <selection pane="bottomLeft" activeCell="B69" sqref="B69:F69"/>
    </sheetView>
  </sheetViews>
  <sheetFormatPr baseColWidth="10" defaultRowHeight="15" x14ac:dyDescent="0.2"/>
  <cols>
    <col min="1" max="1" width="1.6640625" customWidth="1"/>
    <col min="2" max="2" width="28.5" customWidth="1"/>
    <col min="3" max="5" width="14.83203125" customWidth="1"/>
    <col min="6" max="6" width="19.5" customWidth="1"/>
    <col min="7" max="7" width="12.1640625" bestFit="1" customWidth="1"/>
    <col min="8" max="8" width="14" customWidth="1"/>
    <col min="9" max="9" width="14.1640625" bestFit="1" customWidth="1"/>
    <col min="10" max="10" width="13.6640625" bestFit="1" customWidth="1"/>
    <col min="11" max="11" width="14.33203125" bestFit="1" customWidth="1"/>
    <col min="12" max="12" width="16.5" customWidth="1"/>
    <col min="13" max="15" width="10.83203125" customWidth="1"/>
  </cols>
  <sheetData>
    <row r="1" spans="2:15" s="268" customFormat="1" ht="19" x14ac:dyDescent="0.25">
      <c r="B1" s="267"/>
      <c r="O1" s="269" t="s">
        <v>1862</v>
      </c>
    </row>
    <row r="2" spans="2:15" x14ac:dyDescent="0.2"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O2" t="s">
        <v>68</v>
      </c>
    </row>
    <row r="3" spans="2:15" x14ac:dyDescent="0.2">
      <c r="B3" s="433" t="s">
        <v>3165</v>
      </c>
      <c r="C3" s="433"/>
      <c r="D3" s="433"/>
      <c r="E3" s="433"/>
      <c r="F3" s="433"/>
      <c r="G3" s="191"/>
      <c r="H3" s="191"/>
      <c r="I3" s="191"/>
      <c r="J3" s="191"/>
      <c r="K3" s="191"/>
      <c r="L3" s="191"/>
      <c r="O3" t="s">
        <v>88</v>
      </c>
    </row>
    <row r="4" spans="2:15" x14ac:dyDescent="0.2">
      <c r="B4" s="208" t="s">
        <v>1804</v>
      </c>
      <c r="C4" s="208" t="s">
        <v>1131</v>
      </c>
      <c r="D4" s="208" t="s">
        <v>1132</v>
      </c>
      <c r="E4" s="208" t="s">
        <v>1133</v>
      </c>
      <c r="F4" s="208" t="s">
        <v>1805</v>
      </c>
      <c r="G4" s="191"/>
      <c r="H4" s="191"/>
      <c r="I4" s="191"/>
      <c r="J4" s="191"/>
      <c r="K4" s="191"/>
      <c r="L4" s="191"/>
      <c r="O4" t="s">
        <v>1740</v>
      </c>
    </row>
    <row r="5" spans="2:15" ht="16" thickBot="1" x14ac:dyDescent="0.25">
      <c r="B5" s="262" t="s">
        <v>1870</v>
      </c>
      <c r="C5" s="263">
        <f>IFERROR(IF($B$11="(Semua Lokasi)",_xlfn.MAXIFS(Database!$N$4:$N$1256,Database!$J$4:$J$1256,"6 Roda"),_xlfn.MAXIFS(Database!$N$4:$N$1256,Database!$J$4:$J$1256,"6 Roda",Database!$V$4:$V$1256,$B$11)),0)</f>
        <v>28440</v>
      </c>
      <c r="D5" s="263">
        <f>IFERROR(IF($B$11="(Semua Lokasi)",_xlfn.MAXIFS(Database!$N$4:$N$1256,Database!$J$4:$J$1256,"10 Roda"),_xlfn.MAXIFS(Database!$N$4:$N$1256,Database!$J$4:$J$1256,"10 Roda",Database!$V$4:$V$1256,$B$11)),0)</f>
        <v>20510</v>
      </c>
      <c r="E5" s="263">
        <f>IFERROR(IF($B$11="(Semua Lokasi)",_xlfn.MAXIFS(Database!$N$4:$N$1256,Database!$J$4:$J$1256,"12 Roda"),_xlfn.MAXIFS(Database!$N$4:$N$1256,Database!$J$4:$J$1256,"12 Roda",Database!$V$4:$V$1256,$B$11)),0)</f>
        <v>28960</v>
      </c>
      <c r="F5" s="264" t="s">
        <v>1871</v>
      </c>
      <c r="G5" s="216"/>
      <c r="H5" s="191"/>
      <c r="I5" s="191"/>
      <c r="J5" s="191"/>
      <c r="K5" s="191"/>
      <c r="L5" s="191"/>
      <c r="O5" t="s">
        <v>44</v>
      </c>
    </row>
    <row r="6" spans="2:15" x14ac:dyDescent="0.2">
      <c r="B6" s="218" t="s">
        <v>1875</v>
      </c>
      <c r="C6" s="265">
        <f>IFERROR(IF($B$11="(Semua Lokasi)",AVERAGEIF(Database!$AR$4:$AR$18,"&gt;"&amp;0)/$N$6+AVERAGEIF(Database!$AR$4:$AR$18,"&gt;"&amp;0)/$N$7,_xlfn.XLOOKUP($B$11,Database!$AO$4:$AO$18,Database!$AR$4:$AR$18,0,0)/$N$6+_xlfn.XLOOKUP($B$11,Database!$AO$4:$AO$18,Database!$AR$4:$AR$18,0,0)/$N$7),0)</f>
        <v>258.88831168831172</v>
      </c>
      <c r="D6" s="265">
        <f>IFERROR(IF($B$11="(Semua Lokasi)",AVERAGEIF(Database!$AZ$4:$AZ$18,"&gt;"&amp;0),IF(_xlfn.XLOOKUP($B$11,Database!$AO$4:$AO$18,Database!$AZ$4:$AZ$18,0,0)&gt;0,_xlfn.XLOOKUP($B$11,Database!$AO$4:$AO$18,Database!$AZ$4:$AZ$18,0,0),IFERROR(AVERAGEIFS(Database!$T$4:$T$1256,Database!$J$4:$J$1256,"10 Roda",Database!$V$4:$V$1256,$B$11)*2/$N$8,0))),0)</f>
        <v>296.11111111111109</v>
      </c>
      <c r="E6" s="265">
        <f>IFERROR(IF($B$11="(Semua Lokasi)",AVERAGEIF(Database!$AX$4:$AX$18,"&gt;"&amp;0),IF(_xlfn.XLOOKUP($B$11,Database!$AO$4:$AO$18,Database!$AX$4:$AX$18,0,0)&gt;0,_xlfn.XLOOKUP($B$11,Database!$AO$4:$AO$18,Database!$AX$4:$AX$18,0,0),IFERROR(AVERAGEIFS(Database!$T$4:$T$1256,Database!$J$4:$J$1256,"12 Roda",Database!$V$4:$V$1256,$B$11)*2/$N$10,0))),0)</f>
        <v>333.88888888888891</v>
      </c>
      <c r="F6" s="261" t="s">
        <v>1876</v>
      </c>
      <c r="G6" s="191"/>
      <c r="H6" s="191"/>
      <c r="I6" s="191"/>
      <c r="J6" s="191"/>
      <c r="K6" s="191"/>
      <c r="L6" s="191"/>
      <c r="M6" s="248" t="s">
        <v>1877</v>
      </c>
      <c r="N6" s="248">
        <v>5</v>
      </c>
      <c r="O6" t="s">
        <v>75</v>
      </c>
    </row>
    <row r="7" spans="2:15" x14ac:dyDescent="0.2">
      <c r="B7" s="218" t="s">
        <v>1807</v>
      </c>
      <c r="C7" s="246">
        <v>50</v>
      </c>
      <c r="D7" s="246">
        <v>50</v>
      </c>
      <c r="E7" s="246">
        <v>50</v>
      </c>
      <c r="F7" s="219" t="s">
        <v>1808</v>
      </c>
      <c r="G7" s="191"/>
      <c r="H7" s="191"/>
      <c r="I7" s="191"/>
      <c r="J7" s="191"/>
      <c r="K7" s="191"/>
      <c r="L7" s="191"/>
      <c r="M7" s="248" t="s">
        <v>1878</v>
      </c>
      <c r="N7" s="248">
        <v>7</v>
      </c>
      <c r="O7" t="s">
        <v>82</v>
      </c>
    </row>
    <row r="8" spans="2:15" x14ac:dyDescent="0.2">
      <c r="B8" s="218" t="s">
        <v>1809</v>
      </c>
      <c r="C8" s="246">
        <v>10600</v>
      </c>
      <c r="D8" s="246">
        <v>10600</v>
      </c>
      <c r="E8" s="246">
        <v>10600</v>
      </c>
      <c r="F8" s="219" t="s">
        <v>1810</v>
      </c>
      <c r="G8" s="191"/>
      <c r="H8" s="191"/>
      <c r="I8" s="191"/>
      <c r="J8" s="191"/>
      <c r="K8" s="191"/>
      <c r="L8" s="191"/>
      <c r="M8" s="248" t="s">
        <v>1879</v>
      </c>
      <c r="N8" s="248">
        <v>4</v>
      </c>
      <c r="O8" t="s">
        <v>1741</v>
      </c>
    </row>
    <row r="9" spans="2:15" x14ac:dyDescent="0.2">
      <c r="B9" s="253"/>
      <c r="C9" s="254"/>
      <c r="D9" s="254"/>
      <c r="E9" s="254"/>
      <c r="F9" s="255"/>
      <c r="G9" s="191"/>
      <c r="H9" s="191"/>
      <c r="I9" s="191"/>
      <c r="J9" s="191"/>
      <c r="K9" s="191"/>
      <c r="L9" s="191"/>
      <c r="M9" s="248" t="s">
        <v>1880</v>
      </c>
      <c r="N9" s="248">
        <v>6</v>
      </c>
      <c r="O9" t="s">
        <v>1661</v>
      </c>
    </row>
    <row r="10" spans="2:15" ht="16" thickBot="1" x14ac:dyDescent="0.25">
      <c r="B10" s="253"/>
      <c r="C10" s="254"/>
      <c r="D10" s="254"/>
      <c r="E10" s="254"/>
      <c r="F10" s="255"/>
      <c r="G10" s="191"/>
      <c r="H10" s="191"/>
      <c r="I10" s="191"/>
      <c r="J10" s="191"/>
      <c r="K10" s="191"/>
      <c r="L10" s="191"/>
      <c r="M10" s="248" t="s">
        <v>1881</v>
      </c>
      <c r="N10" s="248">
        <v>3</v>
      </c>
    </row>
    <row r="11" spans="2:15" ht="16" thickBot="1" x14ac:dyDescent="0.25">
      <c r="B11" s="286" t="s">
        <v>1863</v>
      </c>
      <c r="D11" s="216"/>
      <c r="E11" s="191"/>
      <c r="F11" s="191"/>
      <c r="G11" s="252"/>
      <c r="H11" s="191"/>
      <c r="I11" s="191"/>
      <c r="J11" s="191"/>
      <c r="K11" s="191"/>
      <c r="L11" s="191"/>
      <c r="N11" s="248">
        <v>5</v>
      </c>
    </row>
    <row r="12" spans="2:15" x14ac:dyDescent="0.2">
      <c r="B12" s="434" t="s">
        <v>1887</v>
      </c>
      <c r="C12" s="434"/>
      <c r="D12" s="434"/>
      <c r="E12" s="434"/>
      <c r="F12" s="434"/>
      <c r="G12" s="191"/>
      <c r="H12" s="191"/>
      <c r="I12" s="191"/>
      <c r="J12" s="191"/>
      <c r="K12" s="191"/>
      <c r="L12" s="191"/>
    </row>
    <row r="13" spans="2:15" x14ac:dyDescent="0.2">
      <c r="B13" s="208" t="s">
        <v>1811</v>
      </c>
      <c r="C13" s="208" t="s">
        <v>1131</v>
      </c>
      <c r="D13" s="208" t="s">
        <v>1132</v>
      </c>
      <c r="E13" s="208" t="s">
        <v>1133</v>
      </c>
      <c r="F13" s="208" t="s">
        <v>1805</v>
      </c>
      <c r="G13" s="191"/>
      <c r="H13" s="191"/>
      <c r="I13" s="191"/>
      <c r="J13" s="191"/>
      <c r="K13" s="191"/>
      <c r="L13" s="191"/>
    </row>
    <row r="14" spans="2:15" x14ac:dyDescent="0.2">
      <c r="B14" s="215" t="s">
        <v>1812</v>
      </c>
      <c r="C14" s="217">
        <f>COUNTIFS(Database!$J$4:$J$1256,"6 Roda",Database!$V$4:$V$1256,IF($B$11="(Semua Lokasi)","*",$B$11))</f>
        <v>659</v>
      </c>
      <c r="D14" s="217">
        <f>COUNTIFS(Database!$J$4:$J$1256,"10 Roda",Database!$V$4:$V$1256,IF($B$11="(Semua Lokasi)","*",$B$11))</f>
        <v>334</v>
      </c>
      <c r="E14" s="217">
        <f>COUNTIFS(Database!$J$4:$J$1256,"12 Roda",Database!$V$4:$V$1256,IF($B$11="(Semua Lokasi)","*",$B$11))</f>
        <v>249</v>
      </c>
      <c r="F14" s="215" t="s">
        <v>10</v>
      </c>
      <c r="G14" s="191"/>
      <c r="H14" s="191"/>
      <c r="I14" s="191"/>
      <c r="J14" s="191"/>
      <c r="K14" s="191"/>
      <c r="L14" s="191"/>
    </row>
    <row r="15" spans="2:15" x14ac:dyDescent="0.2">
      <c r="B15" s="124" t="s">
        <v>1813</v>
      </c>
      <c r="C15" s="126">
        <f>SUMIFS(Database!$N$4:$N$1256,Database!$J$4:$J$1256,"6 Roda",Database!$V$4:$V$1256,IF($B$11="(Semua Lokasi)","*",$B$11))</f>
        <v>6283400</v>
      </c>
      <c r="D15" s="126">
        <f>SUMIFS(Database!$N$4:$N$1256,Database!$J$4:$J$1256,"10 Roda",Database!$V$4:$V$1256,IF($B$11="(Semua Lokasi)","*",$B$11))</f>
        <v>4843040</v>
      </c>
      <c r="E15" s="126">
        <f>SUMIFS(Database!$N$4:$N$1256,Database!$J$4:$J$1256,"12 Roda",Database!$V$4:$V$1256,IF($B$11="(Semua Lokasi)","*",$B$11))</f>
        <v>6969570</v>
      </c>
      <c r="F15" s="124" t="s">
        <v>1806</v>
      </c>
      <c r="G15" s="210"/>
      <c r="H15" s="191"/>
      <c r="I15" s="191"/>
      <c r="J15" s="191"/>
      <c r="K15" s="191"/>
      <c r="L15" s="191"/>
    </row>
    <row r="16" spans="2:15" x14ac:dyDescent="0.2">
      <c r="B16" s="215" t="s">
        <v>1774</v>
      </c>
      <c r="C16" s="217">
        <f>IFERROR(C15/C14,0)</f>
        <v>9534.7496206373289</v>
      </c>
      <c r="D16" s="217">
        <f>IFERROR(D15/D14,0)</f>
        <v>14500.119760479041</v>
      </c>
      <c r="E16" s="217">
        <f>IFERROR(E15/E14,0)</f>
        <v>27990.24096385542</v>
      </c>
      <c r="F16" s="215" t="s">
        <v>1806</v>
      </c>
      <c r="G16" s="210"/>
      <c r="H16" s="210"/>
      <c r="I16" s="210"/>
      <c r="J16" s="191"/>
      <c r="K16" s="191"/>
      <c r="L16" s="191"/>
    </row>
    <row r="17" spans="2:12" x14ac:dyDescent="0.2">
      <c r="B17" s="124" t="s">
        <v>1814</v>
      </c>
      <c r="C17" s="126">
        <f>C5</f>
        <v>28440</v>
      </c>
      <c r="D17" s="126">
        <f>D5</f>
        <v>20510</v>
      </c>
      <c r="E17" s="126">
        <f>E5</f>
        <v>28960</v>
      </c>
      <c r="F17" s="124" t="s">
        <v>1806</v>
      </c>
      <c r="G17" s="191"/>
      <c r="H17" s="191"/>
      <c r="I17" s="191"/>
      <c r="J17" s="191"/>
      <c r="K17" s="191"/>
      <c r="L17" s="191"/>
    </row>
    <row r="18" spans="2:12" x14ac:dyDescent="0.2">
      <c r="B18" s="214" t="s">
        <v>1815</v>
      </c>
      <c r="C18" s="222">
        <f>IFERROR(C16/C17,0)</f>
        <v>0.33525842547951229</v>
      </c>
      <c r="D18" s="222">
        <f>IFERROR(D16/D17,0)</f>
        <v>0.70697804780492646</v>
      </c>
      <c r="E18" s="222">
        <f>IFERROR(E16/E17,0)</f>
        <v>0.96651384543699659</v>
      </c>
      <c r="F18" s="214" t="s">
        <v>1816</v>
      </c>
      <c r="G18" s="191"/>
      <c r="H18" s="191"/>
      <c r="I18" s="191"/>
      <c r="J18" s="191"/>
      <c r="K18" s="191"/>
      <c r="L18" s="191"/>
    </row>
    <row r="19" spans="2:12" x14ac:dyDescent="0.2">
      <c r="B19" s="124" t="s">
        <v>1817</v>
      </c>
      <c r="C19" s="213">
        <f>IFERROR(AVERAGEIFS(Database!$T$4:$T$1256,Database!$J$4:$J$1256,"6 Roda",Database!$V$4:$V$1256,IF($B$11="(Semua Lokasi)","*",$B$11),Database!$T$4:$T$1256,"&gt;"&amp;0),0)</f>
        <v>422.54946727549469</v>
      </c>
      <c r="D19" s="213">
        <f>IFERROR(AVERAGEIFS(Database!$T$4:$T$1256,Database!$J$4:$J$1256,"10 Roda",Database!$V$4:$V$1256,IF($B$11="(Semua Lokasi)","*",$B$11),Database!$T$4:$T$1256,"&gt;"&amp;0),0)</f>
        <v>94.431137724550894</v>
      </c>
      <c r="E19" s="213">
        <f>IFERROR(AVERAGEIFS(Database!$T$4:$T$1256,Database!$J$4:$J$1256,"12 Roda",Database!$V$4:$V$1256,IF($B$11="(Semua Lokasi)","*",$B$11),Database!$T$4:$T$1256,"&gt;"&amp;0),0)</f>
        <v>96.646586345381522</v>
      </c>
      <c r="F19" s="124" t="s">
        <v>1818</v>
      </c>
      <c r="G19" s="191"/>
      <c r="H19" s="191"/>
      <c r="I19" s="191"/>
      <c r="J19" s="191"/>
      <c r="K19" s="191"/>
      <c r="L19" s="191"/>
    </row>
    <row r="20" spans="2:12" x14ac:dyDescent="0.2">
      <c r="B20" s="215" t="s">
        <v>1869</v>
      </c>
      <c r="C20" s="266">
        <f>IFERROR(IF($B$11="(Semua Lokasi)",AVERAGEIF(Database!$AR$4:$AR$18,"&gt;"&amp;0)/C7,_xlfn.XLOOKUP($B$11,Database!$AO$4:$AO$18,Database!$AR$4:$AR$18,0,0)/C7),0)</f>
        <v>15.101818181818182</v>
      </c>
      <c r="D20" s="266">
        <f>IFERROR(IF($B$11="(Semua Lokasi)",AVERAGEIF(Database!$AR$4:$AR$18,"&gt;"&amp;0)/D7,_xlfn.XLOOKUP($B$11,Database!$AO$4:$AO$18,Database!$AR$4:$AR$18,0,0)/D7),0)</f>
        <v>15.101818181818182</v>
      </c>
      <c r="E20" s="266">
        <f>IFERROR(IF($B$11="(Semua Lokasi)",AVERAGEIF(Database!$AR$4:$AR$18,"&gt;"&amp;0)/E7,_xlfn.XLOOKUP($B$11,Database!$AO$4:$AO$18,Database!$AR$4:$AR$18,0,0)/E7),0)</f>
        <v>15.101818181818182</v>
      </c>
      <c r="F20" s="215"/>
      <c r="G20" s="191"/>
      <c r="H20" s="191"/>
      <c r="I20" s="191"/>
      <c r="J20" s="191"/>
      <c r="K20" s="191"/>
      <c r="L20" s="191"/>
    </row>
    <row r="21" spans="2:12" x14ac:dyDescent="0.2">
      <c r="B21" s="124" t="s">
        <v>1867</v>
      </c>
      <c r="C21" s="220">
        <f>IFERROR(C6*(1/$N$6)/((1/$N$6)+(1/$N$7)),0)</f>
        <v>151.01818181818186</v>
      </c>
      <c r="D21" s="220">
        <f>IFERROR(D6*(1/$N$8)/((1/$N$8)+(1/$N$9)),0)</f>
        <v>177.66666666666666</v>
      </c>
      <c r="E21" s="220">
        <f>IFERROR(E6*(1/$N$10)/((1/$N$10)+(1/$N$11)),0)</f>
        <v>208.68055555555557</v>
      </c>
      <c r="F21" s="124" t="s">
        <v>1819</v>
      </c>
      <c r="G21" s="191"/>
      <c r="H21" s="191"/>
      <c r="I21" s="191"/>
      <c r="J21" s="191"/>
      <c r="K21" s="191"/>
      <c r="L21" s="191"/>
    </row>
    <row r="22" spans="2:12" x14ac:dyDescent="0.2">
      <c r="B22" s="215" t="s">
        <v>1868</v>
      </c>
      <c r="C22" s="221">
        <f>IFERROR(C6-C21,0)</f>
        <v>107.87012987012986</v>
      </c>
      <c r="D22" s="221">
        <f>IFERROR(D6-D21,0)</f>
        <v>118.44444444444443</v>
      </c>
      <c r="E22" s="221">
        <f>IFERROR(E6-E21,0)</f>
        <v>125.20833333333334</v>
      </c>
      <c r="F22" s="215" t="s">
        <v>1819</v>
      </c>
      <c r="G22" s="191"/>
      <c r="H22" s="191"/>
      <c r="I22" s="191"/>
      <c r="J22" s="191"/>
      <c r="K22" s="191"/>
      <c r="L22" s="191"/>
    </row>
    <row r="23" spans="2:12" x14ac:dyDescent="0.2">
      <c r="B23" s="223" t="s">
        <v>1864</v>
      </c>
      <c r="C23" s="249">
        <f>C6</f>
        <v>258.88831168831172</v>
      </c>
      <c r="D23" s="249">
        <f>D6</f>
        <v>296.11111111111109</v>
      </c>
      <c r="E23" s="249">
        <f>E6</f>
        <v>333.88888888888891</v>
      </c>
      <c r="F23" s="251" t="s">
        <v>1819</v>
      </c>
      <c r="G23" s="191"/>
      <c r="H23" s="191"/>
      <c r="I23" s="191"/>
      <c r="J23" s="191"/>
      <c r="K23" s="191"/>
      <c r="L23" s="191"/>
    </row>
    <row r="24" spans="2:12" x14ac:dyDescent="0.2">
      <c r="B24" s="223" t="s">
        <v>1865</v>
      </c>
      <c r="C24" s="250">
        <f>C23*C8</f>
        <v>2744216.1038961043</v>
      </c>
      <c r="D24" s="250">
        <f>D23*D8</f>
        <v>3138777.7777777775</v>
      </c>
      <c r="E24" s="250">
        <f>E23*E8</f>
        <v>3539222.2222222225</v>
      </c>
      <c r="F24" s="251" t="s">
        <v>1866</v>
      </c>
      <c r="G24" s="191"/>
      <c r="H24" s="191"/>
      <c r="I24" s="191"/>
      <c r="J24" s="191"/>
      <c r="K24" s="191"/>
      <c r="L24" s="191"/>
    </row>
    <row r="25" spans="2:12" s="81" customFormat="1" x14ac:dyDescent="0.2">
      <c r="B25" s="256"/>
      <c r="C25" s="287">
        <f>C24*C8</f>
        <v>29088690701.298706</v>
      </c>
      <c r="D25" s="287">
        <f>D24*D8</f>
        <v>33271044444.444443</v>
      </c>
      <c r="E25" s="287">
        <f>E24*E8</f>
        <v>37515755555.555557</v>
      </c>
      <c r="F25" s="258"/>
      <c r="G25" s="259"/>
      <c r="H25" s="259"/>
      <c r="I25" s="259"/>
      <c r="J25" s="259"/>
      <c r="K25" s="259"/>
      <c r="L25" s="259"/>
    </row>
    <row r="26" spans="2:12" s="81" customFormat="1" x14ac:dyDescent="0.2">
      <c r="B26" s="256"/>
      <c r="C26" s="257"/>
      <c r="D26" s="257"/>
      <c r="E26" s="257"/>
      <c r="F26" s="258"/>
      <c r="G26" s="259"/>
      <c r="H26" s="259"/>
      <c r="I26" s="259"/>
      <c r="J26" s="259"/>
      <c r="K26" s="259"/>
      <c r="L26" s="259"/>
    </row>
    <row r="27" spans="2:12" x14ac:dyDescent="0.2">
      <c r="B27" s="434" t="s">
        <v>1820</v>
      </c>
      <c r="C27" s="434"/>
      <c r="D27" s="434"/>
      <c r="E27" s="434"/>
      <c r="F27" s="434"/>
      <c r="G27" s="191"/>
      <c r="H27" s="191"/>
      <c r="I27" s="191"/>
      <c r="J27" s="191"/>
      <c r="K27" s="191"/>
      <c r="L27" s="191"/>
    </row>
    <row r="28" spans="2:12" x14ac:dyDescent="0.2">
      <c r="B28" s="208" t="s">
        <v>1821</v>
      </c>
      <c r="C28" s="208" t="s">
        <v>1131</v>
      </c>
      <c r="D28" s="208" t="s">
        <v>1132</v>
      </c>
      <c r="E28" s="208" t="s">
        <v>1133</v>
      </c>
      <c r="F28" s="208" t="s">
        <v>1822</v>
      </c>
      <c r="G28" s="191"/>
      <c r="H28" s="191"/>
      <c r="I28" s="191"/>
      <c r="J28" s="191"/>
      <c r="K28" s="191"/>
      <c r="L28" s="191"/>
    </row>
    <row r="29" spans="2:12" x14ac:dyDescent="0.2">
      <c r="B29" s="215" t="s">
        <v>1823</v>
      </c>
      <c r="C29" s="217">
        <f>SUMIFS(Database!$T$4:$T$1256,Database!$J$4:$J$1256,"6 Roda",Database!$T$4:$T$1256,"&gt;"&amp;0)</f>
        <v>277615</v>
      </c>
      <c r="D29" s="217">
        <f>SUMIFS(Database!$T$4:$T$1256,Database!$J$4:$J$1256,"10 Roda",Database!$T$4:$T$1256,"&gt;"&amp;0)</f>
        <v>31540</v>
      </c>
      <c r="E29" s="217">
        <f>SUMIFS(Database!$T$4:$T$1256,Database!$J$4:$J$1256,"12 Roda",Database!$T$4:$T$1256,"&gt;"&amp;0)</f>
        <v>24065</v>
      </c>
      <c r="F29" s="217">
        <f>SUM(C29:E29)</f>
        <v>333220</v>
      </c>
      <c r="G29" s="191"/>
      <c r="H29" s="191"/>
      <c r="I29" s="191"/>
      <c r="J29" s="191"/>
      <c r="K29" s="191"/>
      <c r="L29" s="191"/>
    </row>
    <row r="30" spans="2:12" x14ac:dyDescent="0.2">
      <c r="B30" s="124" t="s">
        <v>1882</v>
      </c>
      <c r="C30" s="126">
        <f>IFERROR(C29/$N$6,0)</f>
        <v>55523</v>
      </c>
      <c r="D30" s="126" cm="1">
        <f t="array" ref="D30">IFERROR(SUMPRODUCT((COUNTIFS(Database!$J$4:$J$1256,"10 Roda",Database!$V$4:$V$1256,Database!$AO$4:$AO$18))*(Database!$AZ$4:$AZ$18))*((1/$N$7)/((1/$N$7)+(1/$N$8))),0)</f>
        <v>9483.636363636364</v>
      </c>
      <c r="E30" s="126" cm="1">
        <f t="array" ref="E30">IFERROR(SUMPRODUCT((COUNTIFS(Database!$J$4:$J$1256,"12 Roda",Database!$V$4:$V$1256,Database!$AO$4:$AO$18))*(Database!$AX$4:$AX$18))*((1/$N$9)/((1/$N$9)+(1/$N$10))),0)</f>
        <v>9648.3333333333321</v>
      </c>
      <c r="F30" s="126">
        <f>SUM(C30:E30)</f>
        <v>74654.969696969696</v>
      </c>
      <c r="G30" s="191"/>
      <c r="H30" s="191"/>
      <c r="I30" s="191"/>
      <c r="J30" s="191"/>
      <c r="K30" s="191"/>
      <c r="L30" s="191"/>
    </row>
    <row r="31" spans="2:12" x14ac:dyDescent="0.2">
      <c r="B31" s="215" t="s">
        <v>1883</v>
      </c>
      <c r="C31" s="217">
        <f>IFERROR(C29/#REF!,0)</f>
        <v>0</v>
      </c>
      <c r="D31" s="217" cm="1">
        <f t="array" ref="D31">IFERROR(SUMPRODUCT((COUNTIFS(Database!$J$4:$J$1256,"10 Roda",Database!$V$4:$V$1256,Database!$AO$4:$AO$18))*(Database!$AZ$4:$AZ$18))*(1-((1/$N$7)/((1/$N$7)+(1/$N$8)))),0)</f>
        <v>16596.363636363636</v>
      </c>
      <c r="E31" s="217" cm="1">
        <f t="array" ref="E31">IFERROR(SUMPRODUCT((COUNTIFS(Database!$J$4:$J$1256,"12 Roda",Database!$V$4:$V$1256,Database!$AO$4:$AO$18))*(Database!$AX$4:$AX$18))*(1-((1/$N$9)/((1/$N$9)+(1/$N$10)))),0)</f>
        <v>19296.666666666668</v>
      </c>
      <c r="F31" s="217">
        <f>SUM(C31:E31)</f>
        <v>35893.030303030304</v>
      </c>
      <c r="G31" s="191"/>
      <c r="H31" s="191"/>
      <c r="I31" s="191"/>
      <c r="J31" s="191"/>
      <c r="K31" s="191"/>
      <c r="L31" s="191"/>
    </row>
    <row r="32" spans="2:12" x14ac:dyDescent="0.2">
      <c r="B32" s="211" t="s">
        <v>1824</v>
      </c>
      <c r="C32" s="212">
        <f>C30+C31</f>
        <v>55523</v>
      </c>
      <c r="D32" s="212">
        <f>D30+D31</f>
        <v>26080</v>
      </c>
      <c r="E32" s="212">
        <f>E30+E31</f>
        <v>28945</v>
      </c>
      <c r="F32" s="212">
        <f>SUM(C32:E32)</f>
        <v>110548</v>
      </c>
      <c r="G32" s="191"/>
      <c r="H32" s="191"/>
      <c r="I32" s="191"/>
      <c r="J32" s="191"/>
      <c r="K32" s="191"/>
      <c r="L32" s="191"/>
    </row>
    <row r="33" spans="2:12" x14ac:dyDescent="0.2">
      <c r="B33" s="224" t="s">
        <v>1825</v>
      </c>
      <c r="C33" s="225">
        <f>C32*C8</f>
        <v>588543800</v>
      </c>
      <c r="D33" s="225">
        <f>D32*D8</f>
        <v>276448000</v>
      </c>
      <c r="E33" s="225">
        <f>E32*E8</f>
        <v>306817000</v>
      </c>
      <c r="F33" s="225">
        <f>SUM(C33:E33)</f>
        <v>1171808800</v>
      </c>
      <c r="G33" s="191"/>
      <c r="H33" s="191"/>
      <c r="I33" s="191"/>
      <c r="J33" s="191"/>
      <c r="K33" s="191"/>
      <c r="L33" s="191"/>
    </row>
    <row r="34" spans="2:12" x14ac:dyDescent="0.2">
      <c r="B34" s="124" t="s">
        <v>1826</v>
      </c>
      <c r="C34" s="213">
        <f>IFERROR(C33/C15,0)</f>
        <v>93.666454467326602</v>
      </c>
      <c r="D34" s="213">
        <f>IFERROR(D33/D15,0)</f>
        <v>57.081502527338202</v>
      </c>
      <c r="E34" s="213">
        <f>IFERROR(E33/E15,0)</f>
        <v>44.022371537985848</v>
      </c>
      <c r="F34" s="213">
        <f>IFERROR(F33/SUM(C15:E15),0)</f>
        <v>64.755092420925934</v>
      </c>
      <c r="G34" s="191"/>
      <c r="H34" s="191"/>
      <c r="I34" s="191"/>
      <c r="J34" s="191"/>
      <c r="K34" s="191"/>
      <c r="L34" s="191"/>
    </row>
    <row r="35" spans="2:12" x14ac:dyDescent="0.2">
      <c r="B35" s="215" t="s">
        <v>1827</v>
      </c>
      <c r="C35" s="217">
        <f>IFERROR(C33/C14,0)</f>
        <v>893086.19119878602</v>
      </c>
      <c r="D35" s="217">
        <f>IFERROR(D33/D14,0)</f>
        <v>827688.62275449105</v>
      </c>
      <c r="E35" s="217">
        <f>IFERROR(E33/E14,0)</f>
        <v>1232196.7871485944</v>
      </c>
      <c r="F35" s="217">
        <f>IFERROR(F33/SUM(C14:E14),0)</f>
        <v>943485.34621578094</v>
      </c>
      <c r="G35" s="191"/>
      <c r="H35" s="191"/>
      <c r="I35" s="191"/>
      <c r="J35" s="191"/>
      <c r="K35" s="191"/>
      <c r="L35" s="191"/>
    </row>
    <row r="36" spans="2:12" x14ac:dyDescent="0.2">
      <c r="B36" s="191"/>
      <c r="C36" s="191"/>
      <c r="D36" s="191"/>
      <c r="E36" s="191"/>
      <c r="F36" s="191"/>
      <c r="G36" s="191"/>
      <c r="H36" s="191"/>
      <c r="I36" s="191"/>
      <c r="J36" s="191"/>
      <c r="K36" s="191"/>
      <c r="L36" s="191"/>
    </row>
    <row r="37" spans="2:12" x14ac:dyDescent="0.2">
      <c r="B37" s="191"/>
      <c r="C37" s="191"/>
      <c r="D37" s="191"/>
      <c r="E37" s="191"/>
      <c r="F37" s="191"/>
      <c r="G37" s="191"/>
      <c r="H37" s="191"/>
      <c r="I37" s="191"/>
      <c r="J37" s="191"/>
      <c r="K37" s="191"/>
      <c r="L37" s="191"/>
    </row>
    <row r="38" spans="2:12" x14ac:dyDescent="0.2">
      <c r="B38" s="432" t="s">
        <v>3166</v>
      </c>
      <c r="C38" s="432"/>
      <c r="D38" s="432"/>
      <c r="E38" s="432"/>
      <c r="F38" s="432"/>
      <c r="G38" s="432"/>
      <c r="H38" s="432"/>
      <c r="I38" s="432"/>
      <c r="J38" s="432"/>
      <c r="K38" s="432"/>
      <c r="L38" s="191"/>
    </row>
    <row r="39" spans="2:12" x14ac:dyDescent="0.2">
      <c r="B39" s="216"/>
      <c r="C39" s="191"/>
      <c r="D39" s="191"/>
      <c r="E39" s="191"/>
      <c r="F39" s="191"/>
      <c r="G39" s="191"/>
      <c r="H39" s="191"/>
      <c r="I39" s="191"/>
      <c r="J39" s="191"/>
      <c r="K39" s="191"/>
      <c r="L39" s="191"/>
    </row>
    <row r="40" spans="2:12" s="85" customFormat="1" ht="34" customHeight="1" x14ac:dyDescent="0.2">
      <c r="B40" s="277" t="s">
        <v>35</v>
      </c>
      <c r="C40" s="277" t="s">
        <v>1828</v>
      </c>
      <c r="D40" s="277" t="s">
        <v>1746</v>
      </c>
      <c r="E40" s="277" t="s">
        <v>1177</v>
      </c>
      <c r="F40" s="277" t="s">
        <v>1829</v>
      </c>
      <c r="G40" s="277" t="s">
        <v>1830</v>
      </c>
      <c r="H40" s="278" t="s">
        <v>1859</v>
      </c>
      <c r="I40" s="278" t="s">
        <v>1860</v>
      </c>
      <c r="J40" s="278" t="s">
        <v>1831</v>
      </c>
      <c r="K40" s="278" t="s">
        <v>1861</v>
      </c>
      <c r="L40" s="276" t="s">
        <v>1832</v>
      </c>
    </row>
    <row r="41" spans="2:12" x14ac:dyDescent="0.2">
      <c r="B41" s="226" t="s">
        <v>68</v>
      </c>
      <c r="C41" s="270">
        <v>68</v>
      </c>
      <c r="D41" s="273" t="s">
        <v>1131</v>
      </c>
      <c r="E41" s="270">
        <f>COUNTIFS(Database!$J$4:$J$1256,"6 Roda",Database!$V$4:$V$1256,"Bone Bone")</f>
        <v>78</v>
      </c>
      <c r="F41" s="270">
        <f>IFERROR(AVERAGEIFS(Database!$N$4:$N$1256,Database!$J$4:$J$1256,"6 Roda",Database!$V$4:$V$1256,"Bone Bone"),0)</f>
        <v>9827.6923076923085</v>
      </c>
      <c r="G41" s="228">
        <f>IFERROR(F41/$C5,0)</f>
        <v>0.34555880125500382</v>
      </c>
      <c r="H41" s="229">
        <f>IFERROR(C41/$C$6,0)</f>
        <v>0.26266152981780239</v>
      </c>
      <c r="I41" s="229">
        <f>IFERROR(C41/#REF!,0)</f>
        <v>0</v>
      </c>
      <c r="J41" s="229">
        <f t="shared" ref="J41:J56" si="0">H41+I41</f>
        <v>0.26266152981780239</v>
      </c>
      <c r="K41" s="230">
        <f t="shared" ref="K41:K56" si="1">IFERROR(F41/J41,0)</f>
        <v>37415.803960745143</v>
      </c>
      <c r="L41" s="227">
        <f>IFERROR((J41*$C8)/(F41/1000),0)</f>
        <v>283.3027458429334</v>
      </c>
    </row>
    <row r="42" spans="2:12" x14ac:dyDescent="0.2">
      <c r="B42" s="231" t="s">
        <v>68</v>
      </c>
      <c r="C42" s="271">
        <v>68</v>
      </c>
      <c r="D42" s="274" t="s">
        <v>1132</v>
      </c>
      <c r="E42" s="271">
        <f>COUNTIFS(Database!$J$4:$J$1256,"10 Roda",Database!$V$4:$V$1256,"Bone Bone")</f>
        <v>177</v>
      </c>
      <c r="F42" s="271">
        <f>IFERROR(AVERAGEIFS(Database!$N$4:$N$1256,Database!$J$4:$J$1256,"10 Roda",Database!$V$4:$V$1256,"Bone Bone"),0)</f>
        <v>14645.762711864407</v>
      </c>
      <c r="G42" s="233">
        <f>IFERROR(F42/$D5,0)</f>
        <v>0.7140791180821261</v>
      </c>
      <c r="H42" s="234">
        <f>IFERROR(C42/$D$6,0)</f>
        <v>0.22964352720450285</v>
      </c>
      <c r="I42" s="234">
        <f>IFERROR(C42/#REF!,0)</f>
        <v>0</v>
      </c>
      <c r="J42" s="234">
        <f t="shared" si="0"/>
        <v>0.22964352720450285</v>
      </c>
      <c r="K42" s="235">
        <f t="shared" si="1"/>
        <v>63776.074554115425</v>
      </c>
      <c r="L42" s="232">
        <f>IFERROR((J42*$D8)/(F42/1000),0)</f>
        <v>166.20652923700504</v>
      </c>
    </row>
    <row r="43" spans="2:12" x14ac:dyDescent="0.2">
      <c r="B43" s="236" t="s">
        <v>68</v>
      </c>
      <c r="C43" s="272">
        <v>68</v>
      </c>
      <c r="D43" s="275" t="s">
        <v>1133</v>
      </c>
      <c r="E43" s="272">
        <f>COUNTIFS(Database!$J$4:$J$1256,"12 Roda",Database!$V$4:$V$1256,"Bone Bone")</f>
        <v>95</v>
      </c>
      <c r="F43" s="272">
        <f>IFERROR(AVERAGEIFS(Database!$N$4:$N$1256,Database!$J$4:$J$1256,"12 Roda",Database!$V$4:$V$1256,"Bone Bone"),0)</f>
        <v>27878.842105263157</v>
      </c>
      <c r="G43" s="238">
        <f>IFERROR(F43/$E5,0)</f>
        <v>0.96266719976737414</v>
      </c>
      <c r="H43" s="239">
        <f>IFERROR(C43/$E$6,0)</f>
        <v>0.20366056572379365</v>
      </c>
      <c r="I43" s="239">
        <f>IFERROR(C43/#REF!,0)</f>
        <v>0</v>
      </c>
      <c r="J43" s="239">
        <f t="shared" si="0"/>
        <v>0.20366056572379365</v>
      </c>
      <c r="K43" s="240">
        <f t="shared" si="1"/>
        <v>136888.75902992778</v>
      </c>
      <c r="L43" s="237">
        <f>IFERROR((J43*$E8)/(F43/1000),0)</f>
        <v>77.435138393522422</v>
      </c>
    </row>
    <row r="44" spans="2:12" x14ac:dyDescent="0.2">
      <c r="B44" s="226" t="s">
        <v>75</v>
      </c>
      <c r="C44" s="270">
        <v>53</v>
      </c>
      <c r="D44" s="273" t="s">
        <v>1132</v>
      </c>
      <c r="E44" s="270">
        <f>COUNTIFS(Database!$J$4:$J$1256,"10 Roda",Database!$V$4:$V$1256,"Masamba")</f>
        <v>70</v>
      </c>
      <c r="F44" s="270">
        <f>IFERROR(AVERAGEIFS(Database!$N$4:$N$1256,Database!$J$4:$J$1256,"10 Roda",Database!$V$4:$V$1256,"Masamba"),0)</f>
        <v>14499.285714285714</v>
      </c>
      <c r="G44" s="228">
        <f>IFERROR(F44/$D5,0)</f>
        <v>0.70693738246151705</v>
      </c>
      <c r="H44" s="229">
        <f>IFERROR(C44/$D$6,0)</f>
        <v>0.17898686679174486</v>
      </c>
      <c r="I44" s="229">
        <f>IFERROR(C44/#REF!,0)</f>
        <v>0</v>
      </c>
      <c r="J44" s="229">
        <f t="shared" si="0"/>
        <v>0.17898686679174486</v>
      </c>
      <c r="K44" s="230">
        <f t="shared" si="1"/>
        <v>81007.539682539675</v>
      </c>
      <c r="L44" s="227">
        <f>IFERROR((J44*$D8)/(F44/1000),0)</f>
        <v>130.85201749788138</v>
      </c>
    </row>
    <row r="45" spans="2:12" x14ac:dyDescent="0.2">
      <c r="B45" s="231" t="s">
        <v>75</v>
      </c>
      <c r="C45" s="271">
        <v>53</v>
      </c>
      <c r="D45" s="274" t="s">
        <v>1133</v>
      </c>
      <c r="E45" s="271">
        <f>COUNTIFS(Database!$J$4:$J$1256,"12 Roda",Database!$V$4:$V$1256,"Masamba")</f>
        <v>104</v>
      </c>
      <c r="F45" s="271">
        <f>IFERROR(AVERAGEIFS(Database!$N$4:$N$1256,Database!$J$4:$J$1256,"12 Roda",Database!$V$4:$V$1256,"Masamba"),0)</f>
        <v>28121.25</v>
      </c>
      <c r="G45" s="233">
        <f>IFERROR(F45/$E5,0)</f>
        <v>0.97103763812154698</v>
      </c>
      <c r="H45" s="234">
        <f>IFERROR(C45/$E$6,0)</f>
        <v>0.15873544093178035</v>
      </c>
      <c r="I45" s="234">
        <f>IFERROR(C45/#REF!,0)</f>
        <v>0</v>
      </c>
      <c r="J45" s="234">
        <f t="shared" si="0"/>
        <v>0.15873544093178035</v>
      </c>
      <c r="K45" s="235">
        <f t="shared" si="1"/>
        <v>177157.97955974843</v>
      </c>
      <c r="L45" s="232">
        <f>IFERROR((J45*$E8)/(F45/1000),0)</f>
        <v>59.833601773636374</v>
      </c>
    </row>
    <row r="46" spans="2:12" x14ac:dyDescent="0.2">
      <c r="B46" s="236" t="s">
        <v>88</v>
      </c>
      <c r="C46" s="272">
        <v>99</v>
      </c>
      <c r="D46" s="275" t="s">
        <v>1132</v>
      </c>
      <c r="E46" s="272">
        <f>COUNTIFS(Database!$J$4:$J$1256,"10 Roda",Database!$V$4:$V$1256,"Burau")</f>
        <v>66</v>
      </c>
      <c r="F46" s="272">
        <f>IFERROR(AVERAGEIFS(Database!$N$4:$N$1256,Database!$J$4:$J$1256,"10 Roda",Database!$V$4:$V$1256,"Burau"),0)</f>
        <v>14018.181818181818</v>
      </c>
      <c r="G46" s="238">
        <f>IFERROR(F46/$D5,0)</f>
        <v>0.6834803421834138</v>
      </c>
      <c r="H46" s="239">
        <f>IFERROR(C46/$D$6,0)</f>
        <v>0.33433395872420263</v>
      </c>
      <c r="I46" s="239">
        <f>IFERROR(C46/#REF!,0)</f>
        <v>0</v>
      </c>
      <c r="J46" s="239">
        <f t="shared" si="0"/>
        <v>0.33433395872420263</v>
      </c>
      <c r="K46" s="240">
        <f t="shared" si="1"/>
        <v>41928.680746862563</v>
      </c>
      <c r="L46" s="237">
        <f>IFERROR((J46*$D8)/(F46/1000),0)</f>
        <v>252.81024375643338</v>
      </c>
    </row>
    <row r="47" spans="2:12" x14ac:dyDescent="0.2">
      <c r="B47" s="226" t="s">
        <v>88</v>
      </c>
      <c r="C47" s="270">
        <v>99</v>
      </c>
      <c r="D47" s="273" t="s">
        <v>1133</v>
      </c>
      <c r="E47" s="270">
        <f>COUNTIFS(Database!$J$4:$J$1256,"12 Roda",Database!$V$4:$V$1256,"Burau")</f>
        <v>31</v>
      </c>
      <c r="F47" s="270">
        <f>IFERROR(AVERAGEIFS(Database!$N$4:$N$1256,Database!$J$4:$J$1256,"12 Roda",Database!$V$4:$V$1256,"Burau"),0)</f>
        <v>28180.967741935485</v>
      </c>
      <c r="G47" s="228">
        <f>IFERROR(F47/$E5,0)</f>
        <v>0.97309971484583857</v>
      </c>
      <c r="H47" s="229">
        <f>IFERROR(C47/$E$6,0)</f>
        <v>0.29650582362728783</v>
      </c>
      <c r="I47" s="229">
        <f>IFERROR(C47/#REF!,0)</f>
        <v>0</v>
      </c>
      <c r="J47" s="229">
        <f t="shared" si="0"/>
        <v>0.29650582362728783</v>
      </c>
      <c r="K47" s="230">
        <f t="shared" si="1"/>
        <v>95043.555627964233</v>
      </c>
      <c r="L47" s="227">
        <f>IFERROR((J47*$E8)/(F47/1000),0)</f>
        <v>111.52781406339989</v>
      </c>
    </row>
    <row r="48" spans="2:12" x14ac:dyDescent="0.2">
      <c r="B48" s="231" t="s">
        <v>82</v>
      </c>
      <c r="C48" s="271">
        <v>494</v>
      </c>
      <c r="D48" s="274" t="s">
        <v>1131</v>
      </c>
      <c r="E48" s="271">
        <f>COUNTIFS(Database!$J$4:$J$1256,"6 Roda",Database!$V$4:$V$1256,"Pomala")</f>
        <v>282</v>
      </c>
      <c r="F48" s="271">
        <f>IFERROR(AVERAGEIFS(Database!$N$4:$N$1256,Database!$J$4:$J$1256,"6 Roda",Database!$V$4:$V$1256,"Pomala"),0)</f>
        <v>9565.2482269503544</v>
      </c>
      <c r="G48" s="233">
        <f>IFERROR(F48/$C5,0)</f>
        <v>0.33633080966773399</v>
      </c>
      <c r="H48" s="234">
        <f>IFERROR(C48/$C$6,0)</f>
        <v>1.9081587607352113</v>
      </c>
      <c r="I48" s="234">
        <f>IFERROR(C48/#REF!,0)</f>
        <v>0</v>
      </c>
      <c r="J48" s="234">
        <f t="shared" si="0"/>
        <v>1.9081587607352113</v>
      </c>
      <c r="K48" s="235">
        <f t="shared" si="1"/>
        <v>5012.8157173173977</v>
      </c>
      <c r="L48" s="232">
        <f>IFERROR((J48*$C8)/(F48/1000),0)</f>
        <v>2114.5800280231683</v>
      </c>
    </row>
    <row r="49" spans="2:12" x14ac:dyDescent="0.2">
      <c r="B49" s="236" t="s">
        <v>44</v>
      </c>
      <c r="C49" s="272">
        <v>384</v>
      </c>
      <c r="D49" s="275" t="s">
        <v>1131</v>
      </c>
      <c r="E49" s="272">
        <f>COUNTIFS(Database!$J$4:$J$1256,"6 Roda",Database!$V$4:$V$1256,"Makassar")</f>
        <v>127</v>
      </c>
      <c r="F49" s="272">
        <f>IFERROR(AVERAGEIFS(Database!$N$4:$N$1256,Database!$J$4:$J$1256,"6 Roda",Database!$V$4:$V$1256,"Makassar"),0)</f>
        <v>9597.0078740157478</v>
      </c>
      <c r="G49" s="238">
        <f>IFERROR(F49/$C5,0)</f>
        <v>0.33744753424809237</v>
      </c>
      <c r="H49" s="239">
        <f>IFERROR(C49/$C$6,0)</f>
        <v>1.4832651095593545</v>
      </c>
      <c r="I49" s="239">
        <f>IFERROR(C49/#REF!,0)</f>
        <v>0</v>
      </c>
      <c r="J49" s="239">
        <f t="shared" si="0"/>
        <v>1.4832651095593545</v>
      </c>
      <c r="K49" s="240">
        <f t="shared" si="1"/>
        <v>6470.1905358421109</v>
      </c>
      <c r="L49" s="237">
        <f>IFERROR((J49*$C8)/(F49/1000),0)</f>
        <v>1638.2825113542631</v>
      </c>
    </row>
    <row r="50" spans="2:12" x14ac:dyDescent="0.2">
      <c r="B50" s="226" t="s">
        <v>44</v>
      </c>
      <c r="C50" s="270">
        <v>384</v>
      </c>
      <c r="D50" s="273" t="s">
        <v>1132</v>
      </c>
      <c r="E50" s="270">
        <f>COUNTIFS(Database!$J$4:$J$1256,"10 Roda",Database!$V$4:$V$1256,"Makassar")</f>
        <v>6</v>
      </c>
      <c r="F50" s="270">
        <f>IFERROR(AVERAGEIFS(Database!$N$4:$N$1256,Database!$J$4:$J$1256,"10 Roda",Database!$V$4:$V$1256,"Makassar"),0)</f>
        <v>14630</v>
      </c>
      <c r="G50" s="228">
        <f>IFERROR(F50/$D5,0)</f>
        <v>0.71331058020477811</v>
      </c>
      <c r="H50" s="229">
        <f>IFERROR(C50/$D$6,0)</f>
        <v>1.2968105065666042</v>
      </c>
      <c r="I50" s="229">
        <f>IFERROR(C50/#REF!,0)</f>
        <v>0</v>
      </c>
      <c r="J50" s="229">
        <f t="shared" si="0"/>
        <v>1.2968105065666042</v>
      </c>
      <c r="K50" s="230">
        <f t="shared" si="1"/>
        <v>11281.524884259259</v>
      </c>
      <c r="L50" s="227">
        <f>IFERROR((J50*$D8)/(F50/1000),0)</f>
        <v>939.58929388967908</v>
      </c>
    </row>
    <row r="51" spans="2:12" x14ac:dyDescent="0.2">
      <c r="B51" s="231" t="s">
        <v>44</v>
      </c>
      <c r="C51" s="271">
        <v>384</v>
      </c>
      <c r="D51" s="274" t="s">
        <v>1133</v>
      </c>
      <c r="E51" s="271">
        <f>COUNTIFS(Database!$J$4:$J$1256,"12 Roda",Database!$V$4:$V$1256,"Makassar")</f>
        <v>8</v>
      </c>
      <c r="F51" s="271">
        <f>IFERROR(AVERAGEIFS(Database!$N$4:$N$1256,Database!$J$4:$J$1256,"12 Roda",Database!$V$4:$V$1256,"Makassar"),0)</f>
        <v>25615</v>
      </c>
      <c r="G51" s="233">
        <f>IFERROR(F51/$E5,0)</f>
        <v>0.88449585635359118</v>
      </c>
      <c r="H51" s="234">
        <f>IFERROR(C51/$E$6,0)</f>
        <v>1.1500831946755408</v>
      </c>
      <c r="I51" s="234">
        <f>IFERROR(C51/#REF!,0)</f>
        <v>0</v>
      </c>
      <c r="J51" s="234">
        <f t="shared" si="0"/>
        <v>1.1500831946755408</v>
      </c>
      <c r="K51" s="235">
        <f t="shared" si="1"/>
        <v>22272.301793981482</v>
      </c>
      <c r="L51" s="232">
        <f>IFERROR((J51*$E8)/(F51/1000),0)</f>
        <v>475.9274590498041</v>
      </c>
    </row>
    <row r="52" spans="2:12" x14ac:dyDescent="0.2">
      <c r="B52" s="236" t="s">
        <v>1740</v>
      </c>
      <c r="C52" s="272">
        <v>400</v>
      </c>
      <c r="D52" s="275" t="s">
        <v>1131</v>
      </c>
      <c r="E52" s="272">
        <f>COUNTIFS(Database!$J$4:$J$1256,"6 Roda",Database!$V$4:$V$1256,"Gowa")</f>
        <v>58</v>
      </c>
      <c r="F52" s="272">
        <f>IFERROR(AVERAGEIFS(Database!$N$4:$N$1256,Database!$J$4:$J$1256,"6 Roda",Database!$V$4:$V$1256,"Gowa"),0)</f>
        <v>9427.5862068965525</v>
      </c>
      <c r="G52" s="238">
        <f>IFERROR(F52/$C5,0)</f>
        <v>0.33149037295698147</v>
      </c>
      <c r="H52" s="239">
        <f>IFERROR(C52/$C$6,0)</f>
        <v>1.5450678224576611</v>
      </c>
      <c r="I52" s="239">
        <f>IFERROR(C52/#REF!,0)</f>
        <v>0</v>
      </c>
      <c r="J52" s="239">
        <f t="shared" si="0"/>
        <v>1.5450678224576611</v>
      </c>
      <c r="K52" s="240">
        <f t="shared" si="1"/>
        <v>6101.7296909986571</v>
      </c>
      <c r="L52" s="237">
        <f>IFERROR((J52*$C8)/(F52/1000),0)</f>
        <v>1737.2123212270847</v>
      </c>
    </row>
    <row r="53" spans="2:12" x14ac:dyDescent="0.2">
      <c r="B53" s="226" t="s">
        <v>1740</v>
      </c>
      <c r="C53" s="270">
        <v>400</v>
      </c>
      <c r="D53" s="273" t="s">
        <v>1132</v>
      </c>
      <c r="E53" s="270">
        <f>COUNTIFS(Database!$J$4:$J$1256,"10 Roda",Database!$V$4:$V$1256,"Gowa")</f>
        <v>7</v>
      </c>
      <c r="F53" s="270">
        <f>IFERROR(AVERAGEIFS(Database!$N$4:$N$1256,Database!$J$4:$J$1256,"10 Roda",Database!$V$4:$V$1256,"Gowa"),0)</f>
        <v>14840</v>
      </c>
      <c r="G53" s="228">
        <f>IFERROR(F53/$D5,0)</f>
        <v>0.7235494880546075</v>
      </c>
      <c r="H53" s="229">
        <f>IFERROR(C53/$D$6,0)</f>
        <v>1.3508442776735461</v>
      </c>
      <c r="I53" s="229">
        <f>IFERROR(C53/#REF!,0)</f>
        <v>0</v>
      </c>
      <c r="J53" s="229">
        <f t="shared" si="0"/>
        <v>1.3508442776735461</v>
      </c>
      <c r="K53" s="230">
        <f t="shared" si="1"/>
        <v>10985.722222222221</v>
      </c>
      <c r="L53" s="227">
        <f>IFERROR((J53*$D8)/(F53/1000),0)</f>
        <v>964.88876976681865</v>
      </c>
    </row>
    <row r="54" spans="2:12" x14ac:dyDescent="0.2">
      <c r="B54" s="231" t="s">
        <v>55</v>
      </c>
      <c r="C54" s="271">
        <v>562</v>
      </c>
      <c r="D54" s="274" t="s">
        <v>1131</v>
      </c>
      <c r="E54" s="271">
        <f>COUNTIFS(Database!$J$4:$J$1256,"6 Roda",Database!$V$4:$V$1256,"Palu")</f>
        <v>110</v>
      </c>
      <c r="F54" s="271">
        <f>IFERROR(AVERAGEIFS(Database!$N$4:$N$1256,Database!$J$4:$J$1256,"6 Roda",Database!$V$4:$V$1256,"Palu"),0)</f>
        <v>9333.363636363636</v>
      </c>
      <c r="G54" s="233">
        <f>IFERROR(F54/$C5,0)</f>
        <v>0.32817734305076074</v>
      </c>
      <c r="H54" s="234">
        <f>IFERROR(C54/$C$6,0)</f>
        <v>2.1708202905530136</v>
      </c>
      <c r="I54" s="234">
        <f>IFERROR(C54/#REF!,0)</f>
        <v>0</v>
      </c>
      <c r="J54" s="234">
        <f t="shared" si="0"/>
        <v>2.1708202905530136</v>
      </c>
      <c r="K54" s="235">
        <f t="shared" si="1"/>
        <v>4299.4639754292948</v>
      </c>
      <c r="L54" s="232">
        <f>IFERROR((J54*$C8)/(F54/1000),0)</f>
        <v>2465.4236110773804</v>
      </c>
    </row>
    <row r="55" spans="2:12" x14ac:dyDescent="0.2">
      <c r="B55" s="236" t="s">
        <v>1661</v>
      </c>
      <c r="C55" s="272">
        <v>642</v>
      </c>
      <c r="D55" s="275" t="s">
        <v>1133</v>
      </c>
      <c r="E55" s="272">
        <f>COUNTIFS(Database!$J$4:$J$1256,"12 Roda",Database!$V$4:$V$1256,"Torobulu")</f>
        <v>6</v>
      </c>
      <c r="F55" s="272">
        <f>IFERROR(AVERAGEIFS(Database!$N$4:$N$1256,Database!$J$4:$J$1256,"12 Roda",Database!$V$4:$V$1256,"Torobulu"),0)</f>
        <v>28895</v>
      </c>
      <c r="G55" s="238">
        <f>IFERROR(F55/$E5,0)</f>
        <v>0.99775552486187846</v>
      </c>
      <c r="H55" s="239">
        <f>IFERROR(C55/$E$6,0)</f>
        <v>1.9227953410981695</v>
      </c>
      <c r="I55" s="239">
        <f>IFERROR(C55/#REF!,0)</f>
        <v>0</v>
      </c>
      <c r="J55" s="239">
        <f t="shared" si="0"/>
        <v>1.9227953410981695</v>
      </c>
      <c r="K55" s="240">
        <f t="shared" si="1"/>
        <v>15027.600380754588</v>
      </c>
      <c r="L55" s="237">
        <f>IFERROR((J55*$E8)/(F55/1000),0)</f>
        <v>705.36877022462693</v>
      </c>
    </row>
    <row r="56" spans="2:12" x14ac:dyDescent="0.2">
      <c r="B56" s="226" t="s">
        <v>1741</v>
      </c>
      <c r="C56" s="270">
        <v>473</v>
      </c>
      <c r="D56" s="273" t="s">
        <v>1133</v>
      </c>
      <c r="E56" s="270">
        <f>COUNTIFS(Database!$J$4:$J$1256,"12 Roda",Database!$V$4:$V$1256,"Siumbatu")</f>
        <v>4</v>
      </c>
      <c r="F56" s="270">
        <f>IFERROR(AVERAGEIFS(Database!$N$4:$N$1256,Database!$J$4:$J$1256,"12 Roda",Database!$V$4:$V$1256,"Siumbatu"),0)</f>
        <v>28910</v>
      </c>
      <c r="G56" s="228">
        <f>IFERROR(F56/$E5,0)</f>
        <v>0.99827348066298338</v>
      </c>
      <c r="H56" s="229">
        <f>IFERROR(C56/$E$6,0)</f>
        <v>1.416638935108153</v>
      </c>
      <c r="I56" s="229">
        <f>IFERROR(C56/#REF!,0)</f>
        <v>0</v>
      </c>
      <c r="J56" s="229">
        <f t="shared" si="0"/>
        <v>1.416638935108153</v>
      </c>
      <c r="K56" s="230">
        <f t="shared" si="1"/>
        <v>20407.458303969932</v>
      </c>
      <c r="L56" s="227">
        <f>IFERROR((J56*$E8)/(F56/1000),0)</f>
        <v>519.41794230876587</v>
      </c>
    </row>
    <row r="57" spans="2:12" x14ac:dyDescent="0.2">
      <c r="B57" s="191"/>
      <c r="C57" s="191"/>
      <c r="D57" s="191"/>
      <c r="E57" s="191"/>
      <c r="F57" s="191"/>
      <c r="G57" s="191"/>
      <c r="H57" s="191"/>
      <c r="I57" s="191"/>
      <c r="J57" s="191"/>
      <c r="K57" s="191"/>
      <c r="L57" s="191"/>
    </row>
    <row r="58" spans="2:12" x14ac:dyDescent="0.2">
      <c r="B58" s="191"/>
      <c r="C58" s="191"/>
      <c r="D58" s="191"/>
      <c r="E58" s="191"/>
      <c r="F58" s="191"/>
      <c r="G58" s="191"/>
      <c r="H58" s="191"/>
      <c r="I58" s="191"/>
      <c r="J58" s="191"/>
      <c r="K58" s="191"/>
      <c r="L58" s="191"/>
    </row>
    <row r="59" spans="2:12" x14ac:dyDescent="0.2">
      <c r="B59" s="434" t="s">
        <v>3167</v>
      </c>
      <c r="C59" s="434"/>
      <c r="D59" s="434"/>
      <c r="E59" s="434"/>
      <c r="F59" s="191"/>
      <c r="G59" s="191"/>
      <c r="H59" s="191"/>
      <c r="I59" s="191"/>
      <c r="J59" s="191"/>
      <c r="K59" s="191"/>
      <c r="L59" s="191"/>
    </row>
    <row r="60" spans="2:12" x14ac:dyDescent="0.2">
      <c r="B60" s="279" t="s">
        <v>1778</v>
      </c>
      <c r="C60" s="208" t="s">
        <v>1833</v>
      </c>
      <c r="D60" s="208" t="s">
        <v>1779</v>
      </c>
      <c r="E60" s="208" t="s">
        <v>1780</v>
      </c>
      <c r="F60" s="191"/>
      <c r="G60" s="191"/>
      <c r="H60" s="191"/>
      <c r="I60" s="191"/>
      <c r="J60" s="191"/>
      <c r="K60" s="191"/>
      <c r="L60" s="191"/>
    </row>
    <row r="61" spans="2:12" ht="15" customHeight="1" x14ac:dyDescent="0.2">
      <c r="B61" s="280">
        <v>1</v>
      </c>
      <c r="C61" s="241" t="s">
        <v>1834</v>
      </c>
      <c r="D61" s="241" t="s">
        <v>1835</v>
      </c>
      <c r="E61" s="241" t="s">
        <v>1836</v>
      </c>
      <c r="F61" s="191"/>
      <c r="G61" s="191"/>
      <c r="H61" s="191"/>
      <c r="I61" s="191"/>
      <c r="J61" s="191"/>
      <c r="K61" s="191"/>
      <c r="L61" s="191"/>
    </row>
    <row r="62" spans="2:12" ht="15" customHeight="1" x14ac:dyDescent="0.2">
      <c r="B62" s="281">
        <v>2</v>
      </c>
      <c r="C62" s="243" t="s">
        <v>1837</v>
      </c>
      <c r="D62" s="243" t="s">
        <v>1838</v>
      </c>
      <c r="E62" s="243" t="s">
        <v>1839</v>
      </c>
      <c r="F62" s="191"/>
      <c r="G62" s="191"/>
      <c r="H62" s="191"/>
      <c r="I62" s="191"/>
      <c r="J62" s="191"/>
      <c r="K62" s="191"/>
      <c r="L62" s="191"/>
    </row>
    <row r="63" spans="2:12" ht="15" customHeight="1" x14ac:dyDescent="0.2">
      <c r="B63" s="282">
        <v>3</v>
      </c>
      <c r="C63" s="244" t="s">
        <v>1840</v>
      </c>
      <c r="D63" s="244" t="s">
        <v>1841</v>
      </c>
      <c r="E63" s="244" t="s">
        <v>1842</v>
      </c>
      <c r="F63" s="191"/>
      <c r="G63" s="191"/>
      <c r="H63" s="191"/>
      <c r="I63" s="191"/>
      <c r="J63" s="191"/>
      <c r="K63" s="191"/>
      <c r="L63" s="191"/>
    </row>
    <row r="64" spans="2:12" ht="15" customHeight="1" x14ac:dyDescent="0.2">
      <c r="B64" s="283">
        <v>4</v>
      </c>
      <c r="C64" s="245" t="s">
        <v>1843</v>
      </c>
      <c r="D64" s="245" t="s">
        <v>1844</v>
      </c>
      <c r="E64" s="245" t="s">
        <v>1845</v>
      </c>
      <c r="F64" s="191"/>
      <c r="G64" s="191"/>
      <c r="H64" s="191"/>
      <c r="I64" s="191"/>
      <c r="J64" s="191"/>
      <c r="K64" s="191"/>
      <c r="L64" s="191"/>
    </row>
    <row r="65" spans="2:12" ht="15" customHeight="1" x14ac:dyDescent="0.2">
      <c r="B65" s="283">
        <v>5</v>
      </c>
      <c r="C65" s="245" t="s">
        <v>1846</v>
      </c>
      <c r="D65" s="245" t="s">
        <v>1847</v>
      </c>
      <c r="E65" s="245" t="s">
        <v>1848</v>
      </c>
      <c r="F65" s="191"/>
      <c r="G65" s="191"/>
      <c r="H65" s="191"/>
      <c r="I65" s="191"/>
      <c r="J65" s="191"/>
      <c r="K65" s="191"/>
      <c r="L65" s="191"/>
    </row>
    <row r="66" spans="2:12" ht="15" customHeight="1" x14ac:dyDescent="0.2">
      <c r="B66" s="284">
        <v>6</v>
      </c>
      <c r="C66" s="242" t="s">
        <v>1849</v>
      </c>
      <c r="D66" s="242" t="s">
        <v>1850</v>
      </c>
      <c r="E66" s="242" t="s">
        <v>1851</v>
      </c>
      <c r="F66" s="191"/>
      <c r="G66" s="191"/>
      <c r="H66" s="191"/>
      <c r="I66" s="191"/>
      <c r="J66" s="191"/>
      <c r="K66" s="191"/>
      <c r="L66" s="191"/>
    </row>
    <row r="67" spans="2:12" x14ac:dyDescent="0.2">
      <c r="B67" s="191"/>
      <c r="C67" s="191"/>
      <c r="D67" s="191"/>
      <c r="E67" s="191"/>
      <c r="F67" s="191"/>
      <c r="G67" s="191"/>
      <c r="H67" s="191"/>
      <c r="I67" s="191"/>
      <c r="J67" s="191"/>
      <c r="K67" s="191"/>
      <c r="L67" s="191"/>
    </row>
    <row r="68" spans="2:12" x14ac:dyDescent="0.2">
      <c r="B68" s="191"/>
      <c r="C68" s="191"/>
      <c r="D68" s="191"/>
      <c r="E68" s="191"/>
      <c r="F68" s="191"/>
      <c r="G68" s="191"/>
      <c r="H68" s="191"/>
      <c r="I68" s="191"/>
      <c r="J68" s="191"/>
      <c r="K68" s="191"/>
      <c r="L68" s="191"/>
    </row>
    <row r="69" spans="2:12" x14ac:dyDescent="0.2">
      <c r="B69" s="432" t="s">
        <v>1852</v>
      </c>
      <c r="C69" s="432"/>
      <c r="D69" s="432"/>
      <c r="E69" s="432"/>
      <c r="F69" s="432"/>
      <c r="G69" s="191"/>
      <c r="H69" s="191"/>
      <c r="I69" s="191"/>
      <c r="J69" s="191"/>
      <c r="K69" s="191"/>
      <c r="L69" s="191"/>
    </row>
    <row r="70" spans="2:12" x14ac:dyDescent="0.2">
      <c r="B70" s="216" t="s">
        <v>1853</v>
      </c>
      <c r="C70" s="191"/>
      <c r="D70" s="191"/>
      <c r="E70" s="191"/>
      <c r="F70" s="191"/>
      <c r="G70" s="191"/>
      <c r="H70" s="191"/>
      <c r="I70" s="191"/>
      <c r="J70" s="191"/>
      <c r="K70" s="191"/>
      <c r="L70" s="191"/>
    </row>
    <row r="71" spans="2:12" x14ac:dyDescent="0.2">
      <c r="B71" s="216"/>
      <c r="C71" s="191"/>
      <c r="D71" s="191"/>
      <c r="E71" s="191"/>
      <c r="F71" s="191"/>
      <c r="G71" s="191"/>
      <c r="H71" s="191"/>
      <c r="I71" s="191"/>
      <c r="J71" s="191"/>
      <c r="K71" s="191"/>
      <c r="L71" s="191"/>
    </row>
    <row r="72" spans="2:12" x14ac:dyDescent="0.2">
      <c r="B72" s="285" t="s">
        <v>1854</v>
      </c>
      <c r="C72" s="285" t="s">
        <v>1855</v>
      </c>
      <c r="D72" s="285" t="s">
        <v>1856</v>
      </c>
      <c r="E72" s="285" t="s">
        <v>1857</v>
      </c>
      <c r="F72" s="285" t="s">
        <v>1858</v>
      </c>
      <c r="G72" s="191"/>
      <c r="H72" s="191"/>
      <c r="I72" s="191"/>
      <c r="J72" s="191"/>
      <c r="K72" s="191"/>
      <c r="L72" s="191"/>
    </row>
    <row r="73" spans="2:12" x14ac:dyDescent="0.2">
      <c r="B73" s="215" t="s">
        <v>68</v>
      </c>
      <c r="C73" s="217">
        <v>136</v>
      </c>
      <c r="D73" s="217" t="str">
        <f>IFERROR(IF(COUNTIFS(Database!$J$4:$J$1256,"6 Roda",Database!$V$4:$V$1256,"Bone Bone")=0,"—",(C73/$C$6+C73/#REF!)*$C$8/(AVERAGEIFS(Database!$N$4:$N$1256,Database!$J$4:$J$1256,"6 Roda",Database!$V$4:$V$1256,"Bone Bone")/1000)),"—")</f>
        <v>—</v>
      </c>
      <c r="E73" s="217" t="str">
        <f>IFERROR(IF(COUNTIFS(Database!$J$4:$J$1256,"10 Roda",Database!$V$4:$V$1256,"Bone Bone")=0,"—",(C73/$D$6+C73/#REF!)*$D$8/(AVERAGEIFS(Database!$N$4:$N$1256,Database!$J$4:$J$1256,"10 Roda",Database!$V$4:$V$1256,"Bone Bone")/1000)),"—")</f>
        <v>—</v>
      </c>
      <c r="F73" s="217" t="str">
        <f>IFERROR(IF(COUNTIFS(Database!$J$4:$J$1256,"12 Roda",Database!$V$4:$V$1256,"Bone Bone")=0,"—",(C73/$E$6+C73/#REF!)*$E$8/(AVERAGEIFS(Database!$N$4:$N$1256,Database!$J$4:$J$1256,"12 Roda",Database!$V$4:$V$1256,"Bone Bone")/1000)),"—")</f>
        <v>—</v>
      </c>
      <c r="G73" s="191"/>
      <c r="H73" s="191"/>
      <c r="I73" s="191"/>
      <c r="J73" s="191"/>
      <c r="K73" s="191"/>
      <c r="L73" s="191"/>
    </row>
    <row r="74" spans="2:12" x14ac:dyDescent="0.2">
      <c r="B74" s="124" t="s">
        <v>75</v>
      </c>
      <c r="C74" s="126">
        <v>106</v>
      </c>
      <c r="D74" s="126" t="str">
        <f>IFERROR(IF(COUNTIFS(Database!$J$4:$J$1256,"6 Roda",Database!$V$4:$V$1256,"Masamba")=0,"—",(C74/$C$6+C74/#REF!)*$C$8/(AVERAGEIFS(Database!$N$4:$N$1256,Database!$J$4:$J$1256,"6 Roda",Database!$V$4:$V$1256,"Masamba")/1000)),"—")</f>
        <v>—</v>
      </c>
      <c r="E74" s="126" t="str">
        <f>IFERROR(IF(COUNTIFS(Database!$J$4:$J$1256,"10 Roda",Database!$V$4:$V$1256,"Masamba")=0,"—",(C74/$D$6+C74/#REF!)*$D$8/(AVERAGEIFS(Database!$N$4:$N$1256,Database!$J$4:$J$1256,"10 Roda",Database!$V$4:$V$1256,"Masamba")/1000)),"—")</f>
        <v>—</v>
      </c>
      <c r="F74" s="126" t="str">
        <f>IFERROR(IF(COUNTIFS(Database!$J$4:$J$1256,"12 Roda",Database!$V$4:$V$1256,"Masamba")=0,"—",(C74/$E$6+C74/#REF!)*$E$8/(AVERAGEIFS(Database!$N$4:$N$1256,Database!$J$4:$J$1256,"12 Roda",Database!$V$4:$V$1256,"Masamba")/1000)),"—")</f>
        <v>—</v>
      </c>
      <c r="G74" s="191"/>
      <c r="H74" s="191"/>
      <c r="I74" s="191"/>
      <c r="J74" s="191"/>
      <c r="K74" s="191"/>
      <c r="L74" s="191"/>
    </row>
    <row r="75" spans="2:12" x14ac:dyDescent="0.2">
      <c r="B75" s="215" t="s">
        <v>88</v>
      </c>
      <c r="C75" s="217">
        <v>198</v>
      </c>
      <c r="D75" s="217" t="str">
        <f>IFERROR(IF(COUNTIFS(Database!$J$4:$J$1256,"6 Roda",Database!$V$4:$V$1256,"Burau")=0,"—",(C75/$C$6+C75/#REF!)*$C$8/(AVERAGEIFS(Database!$N$4:$N$1256,Database!$J$4:$J$1256,"6 Roda",Database!$V$4:$V$1256,"Burau")/1000)),"—")</f>
        <v>—</v>
      </c>
      <c r="E75" s="217" t="str">
        <f>IFERROR(IF(COUNTIFS(Database!$J$4:$J$1256,"10 Roda",Database!$V$4:$V$1256,"Burau")=0,"—",(C75/$D$6+C75/#REF!)*$D$8/(AVERAGEIFS(Database!$N$4:$N$1256,Database!$J$4:$J$1256,"10 Roda",Database!$V$4:$V$1256,"Burau")/1000)),"—")</f>
        <v>—</v>
      </c>
      <c r="F75" s="217" t="str">
        <f>IFERROR(IF(COUNTIFS(Database!$J$4:$J$1256,"12 Roda",Database!$V$4:$V$1256,"Burau")=0,"—",(C75/$E$6+C75/#REF!)*$E$8/(AVERAGEIFS(Database!$N$4:$N$1256,Database!$J$4:$J$1256,"12 Roda",Database!$V$4:$V$1256,"Burau")/1000)),"—")</f>
        <v>—</v>
      </c>
      <c r="G75" s="191"/>
      <c r="H75" s="191"/>
      <c r="I75" s="191"/>
      <c r="J75" s="191"/>
      <c r="K75" s="191"/>
      <c r="L75" s="191"/>
    </row>
    <row r="76" spans="2:12" x14ac:dyDescent="0.2">
      <c r="B76" s="124" t="s">
        <v>82</v>
      </c>
      <c r="C76" s="126">
        <v>988</v>
      </c>
      <c r="D76" s="126" t="str">
        <f>IFERROR(IF(COUNTIFS(Database!$J$4:$J$1256,"6 Roda",Database!$V$4:$V$1256,"Pomala")=0,"—",(C76/$C$6+C76/#REF!)*$C$8/(AVERAGEIFS(Database!$N$4:$N$1256,Database!$J$4:$J$1256,"6 Roda",Database!$V$4:$V$1256,"Pomala")/1000)),"—")</f>
        <v>—</v>
      </c>
      <c r="E76" s="126" t="str">
        <f>IFERROR(IF(COUNTIFS(Database!$J$4:$J$1256,"10 Roda",Database!$V$4:$V$1256,"Pomala")&lt;=2,"*data terlalu sedikit",IF(COUNTIFS(Database!$J$4:$J$1256,"10 Roda",Database!$V$4:$V$1256,"Pomala")=0,"—",(C76/$D$6+C76/#REF!)*$D$8/(AVERAGEIFS(Database!$N$4:$N$1256,Database!$J$4:$J$1256,"10 Roda",Database!$V$4:$V$1256,"Pomala")/1000))),"—")</f>
        <v>*data terlalu sedikit</v>
      </c>
      <c r="F76" s="126" t="str">
        <f>IFERROR(IF(COUNTIFS(Database!$J$4:$J$1256,"12 Roda",Database!$V$4:$V$1256,"Pomala")=0,"—",(C76/$E$6+C76/#REF!)*$E$8/(AVERAGEIFS(Database!$N$4:$N$1256,Database!$J$4:$J$1256,"12 Roda",Database!$V$4:$V$1256,"Pomala")/1000)),"—")</f>
        <v>—</v>
      </c>
      <c r="G76" s="191"/>
      <c r="H76" s="191"/>
      <c r="I76" s="191"/>
      <c r="J76" s="191"/>
      <c r="K76" s="191"/>
      <c r="L76" s="191"/>
    </row>
    <row r="77" spans="2:12" x14ac:dyDescent="0.2">
      <c r="B77" s="215" t="s">
        <v>44</v>
      </c>
      <c r="C77" s="217">
        <v>768</v>
      </c>
      <c r="D77" s="217" t="str">
        <f>IFERROR(IF(COUNTIFS(Database!$J$4:$J$1256,"6 Roda",Database!$V$4:$V$1256,"Makassar")=0,"—",(C77/$C$6+C77/#REF!)*$C$8/(AVERAGEIFS(Database!$N$4:$N$1256,Database!$J$4:$J$1256,"6 Roda",Database!$V$4:$V$1256,"Makassar")/1000)),"—")</f>
        <v>—</v>
      </c>
      <c r="E77" s="217" t="str">
        <f>IFERROR(IF(COUNTIFS(Database!$J$4:$J$1256,"10 Roda",Database!$V$4:$V$1256,"Makassar")=0,"—",(C77/$D$6+C77/#REF!)*$D$8/(AVERAGEIFS(Database!$N$4:$N$1256,Database!$J$4:$J$1256,"10 Roda",Database!$V$4:$V$1256,"Makassar")/1000)),"—")</f>
        <v>—</v>
      </c>
      <c r="F77" s="217" t="str">
        <f>IFERROR(IF(COUNTIFS(Database!$J$4:$J$1256,"12 Roda",Database!$V$4:$V$1256,"Makassar")=0,"—",(C77/$E$6+C77/#REF!)*$E$8/(AVERAGEIFS(Database!$N$4:$N$1256,Database!$J$4:$J$1256,"12 Roda",Database!$V$4:$V$1256,"Makassar")/1000)),"—")</f>
        <v>—</v>
      </c>
      <c r="G77" s="191"/>
      <c r="H77" s="191"/>
      <c r="I77" s="191"/>
      <c r="J77" s="191"/>
      <c r="K77" s="191"/>
      <c r="L77" s="191"/>
    </row>
    <row r="78" spans="2:12" x14ac:dyDescent="0.2">
      <c r="B78" s="124" t="s">
        <v>1740</v>
      </c>
      <c r="C78" s="126">
        <v>800</v>
      </c>
      <c r="D78" s="126" t="str">
        <f>IFERROR(IF(COUNTIFS(Database!$J$4:$J$1256,"6 Roda",Database!$V$4:$V$1256,"Gowa")=0,"—",(C78/$C$6+C78/#REF!)*$C$8/(AVERAGEIFS(Database!$N$4:$N$1256,Database!$J$4:$J$1256,"6 Roda",Database!$V$4:$V$1256,"Gowa")/1000)),"—")</f>
        <v>—</v>
      </c>
      <c r="E78" s="126" t="str">
        <f>IFERROR(IF(COUNTIFS(Database!$J$4:$J$1256,"10 Roda",Database!$V$4:$V$1256,"Gowa")=0,"—",(C78/$D$6+C78/#REF!)*$D$8/(AVERAGEIFS(Database!$N$4:$N$1256,Database!$J$4:$J$1256,"10 Roda",Database!$V$4:$V$1256,"Gowa")/1000)),"—")</f>
        <v>—</v>
      </c>
      <c r="F78" s="126" t="str">
        <f>IFERROR(IF(COUNTIFS(Database!$J$4:$J$1256,"12 Roda",Database!$V$4:$V$1256,"Gowa")=0,"—",(C78/$E$6+C78/#REF!)*$E$8/(AVERAGEIFS(Database!$N$4:$N$1256,Database!$J$4:$J$1256,"12 Roda",Database!$V$4:$V$1256,"Gowa")/1000)),"—")</f>
        <v>—</v>
      </c>
      <c r="G78" s="191"/>
      <c r="H78" s="191"/>
      <c r="I78" s="191"/>
      <c r="J78" s="191"/>
      <c r="K78" s="191"/>
      <c r="L78" s="191"/>
    </row>
    <row r="79" spans="2:12" x14ac:dyDescent="0.2">
      <c r="B79" s="215" t="s">
        <v>55</v>
      </c>
      <c r="C79" s="217">
        <v>1124</v>
      </c>
      <c r="D79" s="217" t="str">
        <f>IFERROR(IF(COUNTIFS(Database!$J$4:$J$1256,"6 Roda",Database!$V$4:$V$1256,"Palu")=0,"—",(C79/$C$6+C79/#REF!)*$C$8/(AVERAGEIFS(Database!$N$4:$N$1256,Database!$J$4:$J$1256,"6 Roda",Database!$V$4:$V$1256,"Palu")/1000)),"—")</f>
        <v>—</v>
      </c>
      <c r="E79" s="217" t="str">
        <f>IFERROR(IF(COUNTIFS(Database!$J$4:$J$1256,"10 Roda",Database!$V$4:$V$1256,"Palu")=0,"—",(C79/$D$6+C79/#REF!)*$D$8/(AVERAGEIFS(Database!$N$4:$N$1256,Database!$J$4:$J$1256,"10 Roda",Database!$V$4:$V$1256,"Palu")/1000)),"—")</f>
        <v>—</v>
      </c>
      <c r="F79" s="217" t="str">
        <f>IFERROR(IF(COUNTIFS(Database!$J$4:$J$1256,"12 Roda",Database!$V$4:$V$1256,"Palu")=0,"—",(C79/$E$6+C79/#REF!)*$E$8/(AVERAGEIFS(Database!$N$4:$N$1256,Database!$J$4:$J$1256,"12 Roda",Database!$V$4:$V$1256,"Palu")/1000)),"—")</f>
        <v>—</v>
      </c>
      <c r="G79" s="191"/>
      <c r="H79" s="191"/>
      <c r="I79" s="191"/>
      <c r="J79" s="191"/>
      <c r="K79" s="191"/>
      <c r="L79" s="191"/>
    </row>
    <row r="80" spans="2:12" x14ac:dyDescent="0.2">
      <c r="B80" s="124" t="s">
        <v>1661</v>
      </c>
      <c r="C80" s="126">
        <v>1284</v>
      </c>
      <c r="D80" s="126" t="str">
        <f>IFERROR(IF(COUNTIFS(Database!$J$4:$J$1256,"6 Roda",Database!$V$4:$V$1256,"Torobulu")=0,"—",(C80/$C$6+C80/#REF!)*$C$8/(AVERAGEIFS(Database!$N$4:$N$1256,Database!$J$4:$J$1256,"6 Roda",Database!$V$4:$V$1256,"Torobulu")/1000)),"—")</f>
        <v>—</v>
      </c>
      <c r="E80" s="126" t="str">
        <f>IFERROR(IF(COUNTIFS(Database!$J$4:$J$1256,"10 Roda",Database!$V$4:$V$1256,"Torobulu")=0,"—",(C80/$D$6+C80/#REF!)*$D$8/(AVERAGEIFS(Database!$N$4:$N$1256,Database!$J$4:$J$1256,"10 Roda",Database!$V$4:$V$1256,"Torobulu")/1000)),"—")</f>
        <v>—</v>
      </c>
      <c r="F80" s="126" t="str">
        <f>IFERROR(IF(COUNTIFS(Database!$J$4:$J$1256,"12 Roda",Database!$V$4:$V$1256,"Torobulu")=0,"—",(C80/$E$6+C80/#REF!)*$E$8/(AVERAGEIFS(Database!$N$4:$N$1256,Database!$J$4:$J$1256,"12 Roda",Database!$V$4:$V$1256,"Torobulu")/1000)),"—")</f>
        <v>—</v>
      </c>
      <c r="G80" s="191"/>
      <c r="H80" s="191"/>
      <c r="I80" s="191"/>
      <c r="J80" s="191"/>
      <c r="K80" s="191"/>
      <c r="L80" s="191"/>
    </row>
  </sheetData>
  <autoFilter ref="B40:K40" xr:uid="{3BB47BAC-4915-6F46-AB2F-420E997BDEAD}"/>
  <mergeCells count="6">
    <mergeCell ref="B69:F69"/>
    <mergeCell ref="B3:F3"/>
    <mergeCell ref="B12:F12"/>
    <mergeCell ref="B27:F27"/>
    <mergeCell ref="B38:K38"/>
    <mergeCell ref="B59:E59"/>
  </mergeCells>
  <conditionalFormatting sqref="G18">
    <cfRule type="cellIs" dxfId="23" priority="1" operator="greaterThan">
      <formula>1</formula>
    </cfRule>
  </conditionalFormatting>
  <conditionalFormatting sqref="G41:G56">
    <cfRule type="cellIs" dxfId="22" priority="2" operator="greaterThan">
      <formula>1</formula>
    </cfRule>
    <cfRule type="cellIs" dxfId="21" priority="3" operator="lessThan">
      <formula>0.8</formula>
    </cfRule>
  </conditionalFormatting>
  <dataValidations count="1">
    <dataValidation type="list" allowBlank="1" showInputMessage="1" showErrorMessage="1" sqref="B11" xr:uid="{D4A5AD03-8405-254E-83D0-864092413D60}">
      <formula1>$O$2:$O$11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2833C-D0A8-D240-A13B-A053B2206033}">
  <sheetPr>
    <tabColor rgb="FF2E75B6"/>
  </sheetPr>
  <dimension ref="A1:Z51"/>
  <sheetViews>
    <sheetView showGridLines="0" zoomScale="119" workbookViewId="0">
      <selection activeCell="E8" sqref="E8"/>
    </sheetView>
  </sheetViews>
  <sheetFormatPr baseColWidth="10" defaultRowHeight="15" x14ac:dyDescent="0.2"/>
  <cols>
    <col min="1" max="1" width="25.6640625" customWidth="1"/>
    <col min="2" max="2" width="11.6640625" customWidth="1"/>
    <col min="3" max="3" width="12.5" customWidth="1"/>
    <col min="4" max="4" width="14.1640625" customWidth="1"/>
    <col min="5" max="5" width="15" customWidth="1"/>
    <col min="6" max="7" width="18.33203125" customWidth="1"/>
    <col min="8" max="8" width="14.1640625" customWidth="1"/>
    <col min="9" max="9" width="21.6640625" customWidth="1"/>
    <col min="10" max="10" width="15" customWidth="1"/>
    <col min="11" max="11" width="30.83203125" customWidth="1"/>
    <col min="12" max="14" width="18.33203125" customWidth="1"/>
    <col min="15" max="17" width="14.1640625" customWidth="1"/>
    <col min="18" max="18" width="13.33203125" customWidth="1"/>
  </cols>
  <sheetData>
    <row r="1" spans="1:26" s="81" customFormat="1" ht="28" customHeight="1" x14ac:dyDescent="0.25">
      <c r="A1" s="439" t="s">
        <v>1897</v>
      </c>
      <c r="B1" s="439"/>
      <c r="C1" s="439"/>
      <c r="D1" s="439"/>
      <c r="E1" s="439"/>
      <c r="F1" s="439"/>
      <c r="G1" s="439"/>
      <c r="H1" s="439"/>
      <c r="I1" s="439"/>
      <c r="J1" s="439"/>
      <c r="O1" s="290"/>
      <c r="P1" s="290"/>
      <c r="Q1"/>
      <c r="R1"/>
      <c r="S1"/>
      <c r="T1"/>
      <c r="U1"/>
      <c r="V1"/>
      <c r="W1"/>
      <c r="X1"/>
      <c r="Y1"/>
      <c r="Z1"/>
    </row>
    <row r="2" spans="1:26" s="81" customFormat="1" ht="18" customHeight="1" x14ac:dyDescent="0.2">
      <c r="A2" s="440"/>
      <c r="B2" s="440"/>
      <c r="C2" s="440"/>
      <c r="D2" s="440"/>
      <c r="E2" s="440"/>
      <c r="F2" s="440"/>
      <c r="G2" s="440"/>
      <c r="H2" s="440"/>
      <c r="I2" s="440"/>
      <c r="J2" s="440"/>
      <c r="O2"/>
      <c r="P2"/>
      <c r="Q2"/>
      <c r="R2"/>
      <c r="S2"/>
      <c r="T2"/>
      <c r="U2"/>
      <c r="V2"/>
      <c r="W2"/>
      <c r="X2"/>
      <c r="Y2"/>
      <c r="Z2"/>
    </row>
    <row r="3" spans="1:26" x14ac:dyDescent="0.2">
      <c r="O3" s="289"/>
      <c r="P3" s="289"/>
    </row>
    <row r="4" spans="1:26" x14ac:dyDescent="0.2">
      <c r="A4" s="209" t="s">
        <v>1884</v>
      </c>
      <c r="B4" s="205"/>
      <c r="C4" s="205"/>
      <c r="D4" s="205"/>
      <c r="E4" s="205"/>
    </row>
    <row r="5" spans="1:26" x14ac:dyDescent="0.2">
      <c r="A5" s="125" t="s">
        <v>1899</v>
      </c>
      <c r="B5" s="247" t="s">
        <v>1131</v>
      </c>
      <c r="C5" s="247" t="s">
        <v>1132</v>
      </c>
      <c r="D5" s="247" t="s">
        <v>1133</v>
      </c>
      <c r="E5" s="247" t="s">
        <v>1904</v>
      </c>
    </row>
    <row r="6" spans="1:26" x14ac:dyDescent="0.2">
      <c r="A6" s="125" t="s">
        <v>1900</v>
      </c>
      <c r="B6" s="291">
        <v>10000</v>
      </c>
      <c r="C6" s="291">
        <v>15000</v>
      </c>
      <c r="D6" s="291">
        <v>29000</v>
      </c>
      <c r="E6" s="294">
        <f>'Efisiensi Armada'!C8</f>
        <v>10600</v>
      </c>
    </row>
    <row r="7" spans="1:26" x14ac:dyDescent="0.2">
      <c r="A7" s="125" t="s">
        <v>1901</v>
      </c>
      <c r="B7" s="292">
        <f>'Efisiensi Armada'!N6</f>
        <v>5</v>
      </c>
      <c r="C7" s="311">
        <f>'Efisiensi Armada'!N8</f>
        <v>4</v>
      </c>
      <c r="D7" s="311">
        <f>'Efisiensi Armada'!N10</f>
        <v>3</v>
      </c>
      <c r="E7" s="81"/>
    </row>
    <row r="8" spans="1:26" x14ac:dyDescent="0.2">
      <c r="A8" s="125" t="s">
        <v>1902</v>
      </c>
      <c r="B8" s="292">
        <f>'Efisiensi Armada'!N7</f>
        <v>7</v>
      </c>
      <c r="C8" s="311">
        <f>'Efisiensi Armada'!N9</f>
        <v>6</v>
      </c>
      <c r="D8" s="311">
        <f>'Efisiensi Armada'!N11</f>
        <v>5</v>
      </c>
      <c r="E8" s="81"/>
    </row>
    <row r="9" spans="1:26" x14ac:dyDescent="0.2">
      <c r="A9" s="125" t="s">
        <v>1903</v>
      </c>
      <c r="B9" s="293">
        <v>0.15</v>
      </c>
      <c r="C9" s="81"/>
      <c r="D9" s="81"/>
      <c r="E9" s="81"/>
    </row>
    <row r="10" spans="1:26" ht="24" customHeight="1" x14ac:dyDescent="0.2"/>
    <row r="11" spans="1:26" ht="22" customHeight="1" x14ac:dyDescent="0.2">
      <c r="A11" s="434" t="s">
        <v>1905</v>
      </c>
      <c r="B11" s="434"/>
      <c r="C11" s="434"/>
      <c r="D11" s="434"/>
      <c r="E11" s="434"/>
      <c r="F11" s="434"/>
      <c r="G11" s="434"/>
      <c r="H11" s="434"/>
      <c r="I11" s="434"/>
      <c r="J11" s="325"/>
    </row>
    <row r="12" spans="1:26" x14ac:dyDescent="0.2">
      <c r="A12" s="247" t="s">
        <v>34</v>
      </c>
      <c r="B12" s="247" t="s">
        <v>20</v>
      </c>
      <c r="C12" s="247" t="s">
        <v>35</v>
      </c>
      <c r="D12" s="247" t="s">
        <v>1874</v>
      </c>
      <c r="E12" s="247" t="s">
        <v>1906</v>
      </c>
      <c r="F12" s="247" t="s">
        <v>1907</v>
      </c>
      <c r="G12" s="247" t="s">
        <v>1908</v>
      </c>
      <c r="H12" s="295" t="s">
        <v>1909</v>
      </c>
      <c r="I12" s="295" t="s">
        <v>1885</v>
      </c>
      <c r="J12" s="295" t="s">
        <v>1886</v>
      </c>
    </row>
    <row r="13" spans="1:26" x14ac:dyDescent="0.2">
      <c r="A13" t="s">
        <v>111</v>
      </c>
      <c r="B13" s="78" t="str">
        <f>_xlfn.XLOOKUP(A13,Database!$AM$4:$AM$18,Database!$AQ$4:$AQ$18,"")</f>
        <v>RBDPL</v>
      </c>
      <c r="C13" t="str">
        <f>_xlfn.XLOOKUP(A13,Database!$AM$4:$AM$18,Database!$AO$4:$AO$18,"")</f>
        <v>Makassar</v>
      </c>
      <c r="D13" s="312">
        <f>_xlfn.XLOOKUP(A13,Database!$AM$4:$AM$18,Database!$AR$4:$AR$18,0)</f>
        <v>720</v>
      </c>
      <c r="E13" s="312">
        <f>_xlfn.XLOOKUP(A13,Database!$AM$4:$AM$18,Database!$AS$4:$AS$18,0)</f>
        <v>475</v>
      </c>
      <c r="F13" s="312">
        <f>_xlfn.XLOOKUP(A13,Database!$AM$4:$AM$18,Database!$AT$4:$AT$18,0)</f>
        <v>475</v>
      </c>
      <c r="G13" s="312">
        <f>_xlfn.XLOOKUP(A13,Database!$AM$4:$AM$18,Database!$AU$4:$AU$18,0)</f>
        <v>475</v>
      </c>
      <c r="H13" s="313">
        <v>0</v>
      </c>
      <c r="I13" s="313">
        <v>0</v>
      </c>
      <c r="J13" s="313">
        <v>0</v>
      </c>
    </row>
    <row r="14" spans="1:26" x14ac:dyDescent="0.2">
      <c r="A14" t="s">
        <v>103</v>
      </c>
      <c r="B14" s="78" t="str">
        <f>_xlfn.XLOOKUP(A14,Database!$AM$4:$AM$18,Database!$AQ$4:$AQ$18,"")</f>
        <v>RBDPL</v>
      </c>
      <c r="C14" t="str">
        <f>_xlfn.XLOOKUP(A14,Database!$AM$4:$AM$18,Database!$AO$4:$AO$18,"")</f>
        <v>Makassar</v>
      </c>
      <c r="D14" s="312">
        <f>_xlfn.XLOOKUP(A14,Database!$AM$4:$AM$18,Database!$AR$4:$AR$18,0)</f>
        <v>720</v>
      </c>
      <c r="E14" s="312">
        <f>_xlfn.XLOOKUP(A14,Database!$AM$4:$AM$18,Database!$AS$4:$AS$18,0)</f>
        <v>475</v>
      </c>
      <c r="F14" s="312">
        <f>_xlfn.XLOOKUP(A14,Database!$AM$4:$AM$18,Database!$AT$4:$AT$18,0)</f>
        <v>475</v>
      </c>
      <c r="G14" s="312">
        <f>_xlfn.XLOOKUP(A14,Database!$AM$4:$AM$18,Database!$AU$4:$AU$18,0)</f>
        <v>475</v>
      </c>
      <c r="H14" s="313">
        <v>0</v>
      </c>
      <c r="I14" s="313">
        <v>0</v>
      </c>
      <c r="J14" s="313">
        <v>0</v>
      </c>
    </row>
    <row r="15" spans="1:26" x14ac:dyDescent="0.2">
      <c r="A15" t="s">
        <v>1640</v>
      </c>
      <c r="B15" s="78" t="str">
        <f>_xlfn.XLOOKUP(A15,Database!$AM$4:$AM$18,Database!$AQ$4:$AQ$18,"")</f>
        <v>RBDPL</v>
      </c>
      <c r="C15" s="86">
        <f>_xlfn.XLOOKUP(A15,Database!$AM$4:$AM$18,Database!$AO$4:$AO$18,"")</f>
        <v>0</v>
      </c>
      <c r="D15" s="312">
        <f>_xlfn.XLOOKUP(A15,Database!$AM$4:$AM$18,Database!$AR$4:$AR$18,0)</f>
        <v>0</v>
      </c>
      <c r="E15" s="312">
        <f>_xlfn.XLOOKUP(A15,Database!$AM$4:$AM$18,Database!$AS$4:$AS$18,0)</f>
        <v>0</v>
      </c>
      <c r="F15" s="312">
        <f>_xlfn.XLOOKUP(A15,Database!$AM$4:$AM$18,Database!$AT$4:$AT$18,0)</f>
        <v>0</v>
      </c>
      <c r="G15" s="312">
        <f>_xlfn.XLOOKUP(A15,Database!$AM$4:$AM$18,Database!$AU$4:$AU$18,0)</f>
        <v>0</v>
      </c>
      <c r="H15" s="313">
        <v>0</v>
      </c>
      <c r="I15" s="313">
        <v>0</v>
      </c>
      <c r="J15" s="313">
        <v>0</v>
      </c>
    </row>
    <row r="16" spans="1:26" x14ac:dyDescent="0.2">
      <c r="A16" t="s">
        <v>107</v>
      </c>
      <c r="B16" s="78" t="str">
        <f>_xlfn.XLOOKUP(A16,Database!$AM$4:$AM$18,Database!$AQ$4:$AQ$18,"")</f>
        <v>RBDPL</v>
      </c>
      <c r="C16" t="str">
        <f>_xlfn.XLOOKUP(A16,Database!$AM$4:$AM$18,Database!$AO$4:$AO$18,"")</f>
        <v>Gowa</v>
      </c>
      <c r="D16" s="312">
        <f>_xlfn.XLOOKUP(A16,Database!$AM$4:$AM$18,Database!$AR$4:$AR$18,0)</f>
        <v>800</v>
      </c>
      <c r="E16" s="312">
        <f>_xlfn.XLOOKUP(A16,Database!$AM$4:$AM$18,Database!$AS$4:$AS$18,0)</f>
        <v>475</v>
      </c>
      <c r="F16" s="312">
        <f>_xlfn.XLOOKUP(A16,Database!$AM$4:$AM$18,Database!$AT$4:$AT$18,0)</f>
        <v>475</v>
      </c>
      <c r="G16" s="312">
        <f>_xlfn.XLOOKUP(A16,Database!$AM$4:$AM$18,Database!$AU$4:$AU$18,0)</f>
        <v>475</v>
      </c>
      <c r="H16" s="313">
        <v>0</v>
      </c>
      <c r="I16" s="313">
        <v>0</v>
      </c>
      <c r="J16" s="313">
        <v>0</v>
      </c>
    </row>
    <row r="17" spans="1:10" x14ac:dyDescent="0.2">
      <c r="A17" t="s">
        <v>86</v>
      </c>
      <c r="B17" s="78" t="str">
        <f>_xlfn.XLOOKUP(A17,Database!$AM$4:$AM$18,Database!$AQ$4:$AQ$18,"")</f>
        <v>RBDPL</v>
      </c>
      <c r="C17" t="str">
        <f>_xlfn.XLOOKUP(A17,Database!$AM$4:$AM$18,Database!$AO$4:$AO$18,"")</f>
        <v>Palu</v>
      </c>
      <c r="D17" s="312">
        <f>_xlfn.XLOOKUP(A17,Database!$AM$4:$AM$18,Database!$AR$4:$AR$18,0)</f>
        <v>1124</v>
      </c>
      <c r="E17" s="312">
        <f>_xlfn.XLOOKUP(A17,Database!$AM$4:$AM$18,Database!$AS$4:$AS$18,0)</f>
        <v>1200</v>
      </c>
      <c r="F17" s="312">
        <f>_xlfn.XLOOKUP(A17,Database!$AM$4:$AM$18,Database!$AT$4:$AT$18,0)</f>
        <v>1200</v>
      </c>
      <c r="G17" s="312">
        <f>_xlfn.XLOOKUP(A17,Database!$AM$4:$AM$18,Database!$AU$4:$AU$18,0)</f>
        <v>1200</v>
      </c>
      <c r="H17" s="313">
        <v>0</v>
      </c>
      <c r="I17" s="313">
        <v>0</v>
      </c>
      <c r="J17" s="313">
        <v>0</v>
      </c>
    </row>
    <row r="18" spans="1:10" x14ac:dyDescent="0.2">
      <c r="A18" t="s">
        <v>49</v>
      </c>
      <c r="B18" s="78" t="str">
        <f>_xlfn.XLOOKUP(A18,Database!$AM$4:$AM$18,Database!$AQ$4:$AQ$18,"")</f>
        <v>CPO</v>
      </c>
      <c r="C18" t="str">
        <f>_xlfn.XLOOKUP(A18,Database!$AM$4:$AM$18,Database!$AO$4:$AO$18,"")</f>
        <v>Bone Bone</v>
      </c>
      <c r="D18" s="312">
        <f>_xlfn.XLOOKUP(A18,Database!$AM$4:$AM$18,Database!$AR$4:$AR$18,0)</f>
        <v>136</v>
      </c>
      <c r="E18" s="312">
        <f>_xlfn.XLOOKUP(A18,Database!$AM$4:$AM$18,Database!$AS$4:$AS$18,0)</f>
        <v>120</v>
      </c>
      <c r="F18" s="312">
        <f>_xlfn.XLOOKUP(A18,Database!$AM$4:$AM$18,Database!$AT$4:$AT$18,0)</f>
        <v>120</v>
      </c>
      <c r="G18" s="312">
        <f>_xlfn.XLOOKUP(A18,Database!$AM$4:$AM$18,Database!$AU$4:$AU$18,0)</f>
        <v>120</v>
      </c>
      <c r="H18" s="313">
        <v>0</v>
      </c>
      <c r="I18" s="313">
        <v>0</v>
      </c>
      <c r="J18" s="313">
        <v>0</v>
      </c>
    </row>
    <row r="19" spans="1:10" x14ac:dyDescent="0.2">
      <c r="A19" t="s">
        <v>59</v>
      </c>
      <c r="B19" s="78" t="str">
        <f>_xlfn.XLOOKUP(A19,Database!$AM$4:$AM$18,Database!$AQ$4:$AQ$18,"")</f>
        <v>CPO</v>
      </c>
      <c r="C19" t="str">
        <f>_xlfn.XLOOKUP(A19,Database!$AM$4:$AM$18,Database!$AO$4:$AO$18,"")</f>
        <v>Masamba</v>
      </c>
      <c r="D19" s="312">
        <f>_xlfn.XLOOKUP(A19,Database!$AM$4:$AM$18,Database!$AR$4:$AR$18,0)</f>
        <v>106</v>
      </c>
      <c r="E19" s="312">
        <f>_xlfn.XLOOKUP(A19,Database!$AM$4:$AM$18,Database!$AS$4:$AS$18,0)</f>
        <v>110</v>
      </c>
      <c r="F19" s="312">
        <f>_xlfn.XLOOKUP(A19,Database!$AM$4:$AM$18,Database!$AT$4:$AT$18,0)</f>
        <v>110</v>
      </c>
      <c r="G19" s="312">
        <f>_xlfn.XLOOKUP(A19,Database!$AM$4:$AM$18,Database!$AU$4:$AU$18,0)</f>
        <v>110</v>
      </c>
      <c r="H19" s="313">
        <v>0</v>
      </c>
      <c r="I19" s="313">
        <v>0</v>
      </c>
      <c r="J19" s="313">
        <v>0</v>
      </c>
    </row>
    <row r="20" spans="1:10" x14ac:dyDescent="0.2">
      <c r="A20" t="s">
        <v>40</v>
      </c>
      <c r="B20" s="78" t="str">
        <f>_xlfn.XLOOKUP(A20,Database!$AM$4:$AM$18,Database!$AQ$4:$AQ$18,"")</f>
        <v>CPO</v>
      </c>
      <c r="C20" t="str">
        <f>_xlfn.XLOOKUP(A20,Database!$AM$4:$AM$18,Database!$AO$4:$AO$18,"")</f>
        <v>Pomala</v>
      </c>
      <c r="D20" s="312">
        <f>_xlfn.XLOOKUP(A20,Database!$AM$4:$AM$18,Database!$AR$4:$AR$18,0)</f>
        <v>988</v>
      </c>
      <c r="E20" s="312">
        <f>_xlfn.XLOOKUP(A20,Database!$AM$4:$AM$18,Database!$AS$4:$AS$18,0)</f>
        <v>800</v>
      </c>
      <c r="F20" s="312">
        <f>_xlfn.XLOOKUP(A20,Database!$AM$4:$AM$18,Database!$AT$4:$AT$18,0)</f>
        <v>800</v>
      </c>
      <c r="G20" s="312">
        <f>_xlfn.XLOOKUP(A20,Database!$AM$4:$AM$18,Database!$AU$4:$AU$18,0)</f>
        <v>800</v>
      </c>
      <c r="H20" s="313">
        <v>0</v>
      </c>
      <c r="I20" s="313">
        <v>0</v>
      </c>
      <c r="J20" s="313">
        <v>0</v>
      </c>
    </row>
    <row r="21" spans="1:10" x14ac:dyDescent="0.2">
      <c r="A21" t="s">
        <v>1590</v>
      </c>
      <c r="B21" s="78" t="str">
        <f>_xlfn.XLOOKUP(A21,Database!$AM$4:$AM$18,Database!$AQ$4:$AQ$18,"")</f>
        <v>RBDPL</v>
      </c>
      <c r="C21" t="str">
        <f>_xlfn.XLOOKUP(A21,Database!$AM$4:$AM$18,Database!$AO$4:$AO$18,"")</f>
        <v>Torobulu</v>
      </c>
      <c r="D21" s="312">
        <f>_xlfn.XLOOKUP(A21,Database!$AM$4:$AM$18,Database!$AR$4:$AR$18,0)</f>
        <v>1284</v>
      </c>
      <c r="E21" s="312">
        <f>_xlfn.XLOOKUP(A21,Database!$AM$4:$AM$18,Database!$AS$4:$AS$18,0)</f>
        <v>1500</v>
      </c>
      <c r="F21" s="312">
        <f>_xlfn.XLOOKUP(A21,Database!$AM$4:$AM$18,Database!$AT$4:$AT$18,0)</f>
        <v>1500</v>
      </c>
      <c r="G21" s="312">
        <f>_xlfn.XLOOKUP(A21,Database!$AM$4:$AM$18,Database!$AU$4:$AU$18,0)</f>
        <v>1500</v>
      </c>
      <c r="H21" s="313">
        <v>0</v>
      </c>
      <c r="I21" s="313">
        <v>0</v>
      </c>
      <c r="J21" s="313">
        <v>0</v>
      </c>
    </row>
    <row r="22" spans="1:10" x14ac:dyDescent="0.2">
      <c r="A22" t="s">
        <v>78</v>
      </c>
      <c r="B22" s="78" t="str">
        <f>_xlfn.XLOOKUP(A22,Database!$AM$4:$AM$18,Database!$AQ$4:$AQ$18,"")</f>
        <v>CPO</v>
      </c>
      <c r="C22" t="str">
        <f>_xlfn.XLOOKUP(A22,Database!$AM$4:$AM$18,Database!$AO$4:$AO$18,"")</f>
        <v>Burau</v>
      </c>
      <c r="D22" s="312">
        <f>_xlfn.XLOOKUP(A22,Database!$AM$4:$AM$18,Database!$AR$4:$AR$18,0)</f>
        <v>198</v>
      </c>
      <c r="E22" s="312">
        <f>_xlfn.XLOOKUP(A22,Database!$AM$4:$AM$18,Database!$AS$4:$AS$18,0)</f>
        <v>140</v>
      </c>
      <c r="F22" s="312">
        <f>_xlfn.XLOOKUP(A22,Database!$AM$4:$AM$18,Database!$AT$4:$AT$18,0)</f>
        <v>140</v>
      </c>
      <c r="G22" s="312">
        <f>_xlfn.XLOOKUP(A22,Database!$AM$4:$AM$18,Database!$AU$4:$AU$18,0)</f>
        <v>140</v>
      </c>
      <c r="H22" s="313">
        <v>0</v>
      </c>
      <c r="I22" s="313">
        <v>0</v>
      </c>
      <c r="J22" s="313">
        <v>0</v>
      </c>
    </row>
    <row r="23" spans="1:10" x14ac:dyDescent="0.2">
      <c r="A23" t="s">
        <v>1523</v>
      </c>
      <c r="B23" s="78" t="str">
        <f>_xlfn.XLOOKUP(A23,Database!$AM$4:$AM$18,Database!$AQ$4:$AQ$18,"")</f>
        <v>RBDPL</v>
      </c>
      <c r="C23" t="str">
        <f>_xlfn.XLOOKUP(A23,Database!$AM$4:$AM$18,Database!$AO$4:$AO$18,"")</f>
        <v>Siumbatu</v>
      </c>
      <c r="D23" s="312">
        <f>_xlfn.XLOOKUP(A23,Database!$AM$4:$AM$18,Database!$AR$4:$AR$18,0)</f>
        <v>946</v>
      </c>
      <c r="E23" s="312">
        <f>_xlfn.XLOOKUP(A23,Database!$AM$4:$AM$18,Database!$AS$4:$AS$18,0)</f>
        <v>1000</v>
      </c>
      <c r="F23" s="312">
        <f>_xlfn.XLOOKUP(A23,Database!$AM$4:$AM$18,Database!$AT$4:$AT$18,0)</f>
        <v>1000</v>
      </c>
      <c r="G23" s="312">
        <f>_xlfn.XLOOKUP(A23,Database!$AM$4:$AM$18,Database!$AU$4:$AU$18,0)</f>
        <v>1000</v>
      </c>
      <c r="H23" s="313">
        <v>0</v>
      </c>
      <c r="I23" s="313">
        <v>0</v>
      </c>
      <c r="J23" s="313">
        <v>0</v>
      </c>
    </row>
    <row r="24" spans="1:10" x14ac:dyDescent="0.2">
      <c r="A24" t="s">
        <v>115</v>
      </c>
      <c r="B24" s="78" t="str">
        <f>_xlfn.XLOOKUP(A24,Database!$AM$4:$AM$18,Database!$AQ$4:$AQ$18,"")</f>
        <v>RBDPL</v>
      </c>
      <c r="C24" t="str">
        <f>_xlfn.XLOOKUP(A24,Database!$AM$4:$AM$18,Database!$AO$4:$AO$18,"")</f>
        <v>Torobulu</v>
      </c>
      <c r="D24" s="86">
        <f>_xlfn.XLOOKUP(A24,Database!$AM$4:$AM$18,Database!$AR$4:$AR$18,0)</f>
        <v>1284</v>
      </c>
      <c r="E24" s="86">
        <f>_xlfn.XLOOKUP(A24,Database!$AM$4:$AM$18,Database!$AS$4:$AS$18,0)</f>
        <v>1500</v>
      </c>
      <c r="F24" s="86">
        <f>_xlfn.XLOOKUP(A24,Database!$AM$4:$AM$18,Database!$AT$4:$AT$18,0)</f>
        <v>1500</v>
      </c>
      <c r="G24" s="86">
        <f>_xlfn.XLOOKUP(A24,Database!$AM$4:$AM$18,Database!$AU$4:$AU$18,0)</f>
        <v>1500</v>
      </c>
      <c r="H24" s="86">
        <v>0</v>
      </c>
      <c r="I24" s="86">
        <v>0</v>
      </c>
      <c r="J24" s="86">
        <v>0</v>
      </c>
    </row>
    <row r="27" spans="1:10" x14ac:dyDescent="0.2">
      <c r="A27" s="434" t="s">
        <v>1898</v>
      </c>
      <c r="B27" s="434"/>
      <c r="C27" s="434"/>
      <c r="D27" s="434"/>
    </row>
    <row r="28" spans="1:10" x14ac:dyDescent="0.2">
      <c r="A28" s="296"/>
    </row>
    <row r="29" spans="1:10" x14ac:dyDescent="0.2">
      <c r="A29" s="288" t="s">
        <v>1888</v>
      </c>
      <c r="B29" s="436" t="s">
        <v>1523</v>
      </c>
      <c r="C29" s="437"/>
      <c r="D29" s="438"/>
    </row>
    <row r="30" spans="1:10" x14ac:dyDescent="0.2">
      <c r="A30" s="288" t="s">
        <v>1889</v>
      </c>
      <c r="B30" s="124" t="str">
        <f>_xlfn.XLOOKUP(B29,Database!$AM$4:$AM$18,Database!$AQ$4:$AQ$18,"-")</f>
        <v>RBDPL</v>
      </c>
      <c r="C30" s="124"/>
      <c r="D30" s="124"/>
    </row>
    <row r="31" spans="1:10" x14ac:dyDescent="0.2">
      <c r="A31" s="288" t="s">
        <v>1890</v>
      </c>
      <c r="B31" s="124" t="str">
        <f>_xlfn.XLOOKUP(B29,Database!$AM$4:$AM$18,Database!$AO$4:$AO$18,"-")</f>
        <v>Siumbatu</v>
      </c>
      <c r="C31" s="124"/>
      <c r="D31" s="124"/>
    </row>
    <row r="32" spans="1:10" x14ac:dyDescent="0.2">
      <c r="A32" s="288" t="s">
        <v>1891</v>
      </c>
      <c r="B32" s="297">
        <f>_xlfn.XLOOKUP(B29,Database!$AM$4:$AM$18,Database!$AR$4:$AR$18,0)</f>
        <v>946</v>
      </c>
      <c r="C32" s="124">
        <f>B32/2</f>
        <v>473</v>
      </c>
      <c r="D32" s="124"/>
    </row>
    <row r="33" spans="1:4" x14ac:dyDescent="0.2">
      <c r="A33" s="288" t="s">
        <v>1892</v>
      </c>
      <c r="B33" s="297">
        <f>COUNTIF(Database!$H$3:$H$1965,B29)</f>
        <v>17</v>
      </c>
      <c r="C33" s="124"/>
      <c r="D33" s="124"/>
    </row>
    <row r="34" spans="1:4" x14ac:dyDescent="0.2">
      <c r="A34" s="288" t="s">
        <v>1893</v>
      </c>
      <c r="B34" s="297">
        <f>SUMIF(Database!$H$3:$H$1965,B29,Database!$N$3:$N$1965)</f>
        <v>334790</v>
      </c>
      <c r="C34" s="124"/>
      <c r="D34" s="124"/>
    </row>
    <row r="35" spans="1:4" x14ac:dyDescent="0.2">
      <c r="A35" s="124"/>
      <c r="B35" s="124"/>
      <c r="C35" s="124"/>
      <c r="D35" s="124"/>
    </row>
    <row r="36" spans="1:4" x14ac:dyDescent="0.2">
      <c r="A36" s="434" t="s">
        <v>1894</v>
      </c>
      <c r="B36" s="435"/>
      <c r="C36" s="435"/>
      <c r="D36" s="435"/>
    </row>
    <row r="37" spans="1:4" x14ac:dyDescent="0.2">
      <c r="A37" s="247" t="s">
        <v>1821</v>
      </c>
      <c r="B37" s="247" t="s">
        <v>1131</v>
      </c>
      <c r="C37" s="247" t="s">
        <v>1132</v>
      </c>
      <c r="D37" s="247" t="s">
        <v>1133</v>
      </c>
    </row>
    <row r="38" spans="1:4" x14ac:dyDescent="0.2">
      <c r="A38" s="295" t="s">
        <v>1921</v>
      </c>
      <c r="B38" s="308">
        <f>IFERROR(IF($B$29="(Semua Lokasi)",AVERAGEIFS(Database!$N$3:$N$1965,Database!$J$3:$J$1965,"6 Roda"),AVERAGEIFS(Database!$N$3:$N$1965,Database!$H$3:$H$1965,$B$29,Database!$J$3:$J$1965,"6 Roda")),0)</f>
        <v>200</v>
      </c>
      <c r="C38" s="305">
        <f>IFERROR(IF($B$29="(Semua Lokasi)",AVERAGEIFS(Database!$N$3:$N$1965,Database!$J$3:$J$1965,"10 Roda"),AVERAGEIFS(Database!$N$3:$N$1965,Database!$H$3:$H$1965,$B$29,Database!$J$3:$J$1965,"10 Roda")),0)</f>
        <v>16122</v>
      </c>
      <c r="D38" s="305">
        <f>IFERROR(IF($B$29="(Semua Lokasi)",AVERAGEIFS(Database!$N$3:$N$1965,Database!$J$3:$J$1965,"12 Roda"),AVERAGEIFS(Database!$N$3:$N$1965,Database!$H$3:$H$1965,$B$29,Database!$J$3:$J$1965,"12 Roda")),0)</f>
        <v>28895</v>
      </c>
    </row>
    <row r="39" spans="1:4" x14ac:dyDescent="0.2">
      <c r="A39" s="298" t="s">
        <v>1910</v>
      </c>
      <c r="B39" s="308">
        <f>IFERROR(_xlfn.XLOOKUP($B$29,$A$13:$A$23,$E$13:$E$23,"-"),"-")</f>
        <v>1000</v>
      </c>
      <c r="C39" s="305">
        <f>IFERROR(_xlfn.XLOOKUP($B$29,$A$13:$A$23,$F$13:$F$23,"-"),"-")</f>
        <v>1000</v>
      </c>
      <c r="D39" s="305">
        <f>IFERROR(_xlfn.XLOOKUP($B$29,$A$13:$A$23,$G$13:$G$23,"-"),"-")</f>
        <v>1000</v>
      </c>
    </row>
    <row r="40" spans="1:4" x14ac:dyDescent="0.2">
      <c r="A40" s="299" t="s">
        <v>1911</v>
      </c>
      <c r="B40" s="304">
        <f>IFERROR(B39*B38,"-")</f>
        <v>200000</v>
      </c>
      <c r="C40" s="306">
        <f>IFERROR(C39*C38,"-")</f>
        <v>16122000</v>
      </c>
      <c r="D40" s="306">
        <f>IFERROR(D39*D38,"-")</f>
        <v>28895000</v>
      </c>
    </row>
    <row r="41" spans="1:4" x14ac:dyDescent="0.2">
      <c r="A41" s="298" t="s">
        <v>1912</v>
      </c>
      <c r="B41" s="308">
        <f>IFERROR(($B$32/2)/$B$7,"-")</f>
        <v>94.6</v>
      </c>
      <c r="C41" s="305">
        <f>IFERROR(($B$32/2)/$C$7,"-")</f>
        <v>118.25</v>
      </c>
      <c r="D41" s="305">
        <f>IFERROR(($B$32/2)/$D$7,"-")</f>
        <v>157.66666666666666</v>
      </c>
    </row>
    <row r="42" spans="1:4" x14ac:dyDescent="0.2">
      <c r="A42" s="298" t="s">
        <v>1913</v>
      </c>
      <c r="B42" s="308">
        <f>IFERROR(($B$32/2)/$B$8,"-")</f>
        <v>67.571428571428569</v>
      </c>
      <c r="C42" s="305">
        <f>IFERROR(($B$32/2)/$C$8,"-")</f>
        <v>78.833333333333329</v>
      </c>
      <c r="D42" s="305">
        <f>IFERROR(($B$32/2)/$D$8,"-")</f>
        <v>94.6</v>
      </c>
    </row>
    <row r="43" spans="1:4" x14ac:dyDescent="0.2">
      <c r="A43" s="300" t="s">
        <v>1914</v>
      </c>
      <c r="B43" s="308">
        <f>IFERROR((B41+B42)*$E$6,"-")</f>
        <v>1719017.142857143</v>
      </c>
      <c r="C43" s="305">
        <f>IFERROR((C41+C42)*$E$6,"-")</f>
        <v>2089083.333333333</v>
      </c>
      <c r="D43" s="305">
        <f>IFERROR((D41+D42)*$E$6,"-")</f>
        <v>2674026.6666666665</v>
      </c>
    </row>
    <row r="44" spans="1:4" x14ac:dyDescent="0.2">
      <c r="A44" s="300" t="s">
        <v>1915</v>
      </c>
      <c r="B44" s="308">
        <f>IFERROR(_xlfn.XLOOKUP($B$29,$A$13:$A$23,$B$39:$B$49,0),0)</f>
        <v>8595.0857142857149</v>
      </c>
      <c r="C44" s="305">
        <f>B44</f>
        <v>8595.0857142857149</v>
      </c>
      <c r="D44" s="305">
        <f>B44</f>
        <v>8595.0857142857149</v>
      </c>
    </row>
    <row r="45" spans="1:4" x14ac:dyDescent="0.2">
      <c r="A45" s="299" t="s">
        <v>1916</v>
      </c>
      <c r="B45" s="304">
        <f>IFERROR(B43+B44,"-")</f>
        <v>1727612.2285714287</v>
      </c>
      <c r="C45" s="306">
        <f>IFERROR(C43+C44,"-")</f>
        <v>2097678.4190476188</v>
      </c>
      <c r="D45" s="306">
        <f>IFERROR(D43+D44,"-")</f>
        <v>2682621.7523809522</v>
      </c>
    </row>
    <row r="46" spans="1:4" x14ac:dyDescent="0.2">
      <c r="A46" s="301" t="s">
        <v>1917</v>
      </c>
      <c r="B46" s="307">
        <f>IFERROR(B40-B45,"-")</f>
        <v>-1527612.2285714287</v>
      </c>
      <c r="C46" s="307">
        <f>IFERROR(C40-C45,"-")</f>
        <v>14024321.580952382</v>
      </c>
      <c r="D46" s="307">
        <f>IFERROR(D40-D45,"-")</f>
        <v>26212378.247619048</v>
      </c>
    </row>
    <row r="47" spans="1:4" x14ac:dyDescent="0.2">
      <c r="A47" s="300" t="s">
        <v>1918</v>
      </c>
      <c r="B47" s="308">
        <f>IFERROR(B46/B38,"-")</f>
        <v>-7638.0611428571438</v>
      </c>
      <c r="C47" s="308">
        <f>IFERROR(C46/C38,"-")</f>
        <v>869.88720884210284</v>
      </c>
      <c r="D47" s="308">
        <f>IFERROR(D46/D38,"-")</f>
        <v>907.15965556736626</v>
      </c>
    </row>
    <row r="48" spans="1:4" x14ac:dyDescent="0.2">
      <c r="A48" s="298" t="s">
        <v>1919</v>
      </c>
      <c r="B48" s="324">
        <f>IFERROR(B46/B40,"-")</f>
        <v>-7.6380611428571434</v>
      </c>
      <c r="C48" s="305">
        <f>IFERROR(C46/C40,"-")</f>
        <v>0.8698872088421028</v>
      </c>
      <c r="D48" s="305">
        <f>IFERROR(D46/D40,"-")</f>
        <v>0.90715965556736622</v>
      </c>
    </row>
    <row r="49" spans="1:4" x14ac:dyDescent="0.2">
      <c r="A49" s="300" t="s">
        <v>1920</v>
      </c>
      <c r="B49" s="308">
        <f>IFERROR(B43/B38,"-")</f>
        <v>8595.0857142857149</v>
      </c>
      <c r="C49" s="308">
        <f>IFERROR(C43/C38,"-")</f>
        <v>129.57966339990901</v>
      </c>
      <c r="D49" s="308">
        <f>IFERROR(D43/D38,"-")</f>
        <v>92.542885158908689</v>
      </c>
    </row>
    <row r="50" spans="1:4" x14ac:dyDescent="0.2">
      <c r="A50" s="302" t="s">
        <v>1895</v>
      </c>
      <c r="B50" s="309">
        <f>IFERROR(B46*COUNTIFS(Database!$H$3:$H$1965,$B$29,Database!$J$3:$J$1965,"6 Roda"),"-")</f>
        <v>-1527612.2285714287</v>
      </c>
      <c r="C50" s="309">
        <f>IFERROR(C46*COUNTIFS(Database!$H$3:$H$1965,$B$29,Database!$J$3:$J$1965,"10 Roda"),"-")</f>
        <v>140243215.80952382</v>
      </c>
      <c r="D50" s="309">
        <f>IFERROR(D46*COUNTIFS(Database!$H$3:$H$1965,$B$29,Database!$J$3:$J$1965,"12 Roda"),"-")</f>
        <v>157274269.48571429</v>
      </c>
    </row>
    <row r="51" spans="1:4" x14ac:dyDescent="0.2">
      <c r="A51" s="303" t="s">
        <v>1896</v>
      </c>
      <c r="B51" s="310">
        <f>COUNTIFS(Database!$H$3:$H$1965,$B$29,Database!$J$3:$J$1965,"6 Roda")</f>
        <v>1</v>
      </c>
      <c r="C51" s="310">
        <f>COUNTIFS(Database!$H$3:$H$1965,$B$29,Database!$J$3:$J$1965,"10 Roda")</f>
        <v>10</v>
      </c>
      <c r="D51" s="310">
        <f>COUNTIFS(Database!$H$3:$H$1965,$B$29,Database!$J$3:$J$1965,"12 Roda")</f>
        <v>6</v>
      </c>
    </row>
  </sheetData>
  <mergeCells count="8">
    <mergeCell ref="A36:D36"/>
    <mergeCell ref="B29:D29"/>
    <mergeCell ref="A27:D27"/>
    <mergeCell ref="A11:C11"/>
    <mergeCell ref="A1:J1"/>
    <mergeCell ref="A2:J2"/>
    <mergeCell ref="D11:F11"/>
    <mergeCell ref="G11:I11"/>
  </mergeCells>
  <conditionalFormatting sqref="B46">
    <cfRule type="cellIs" dxfId="20" priority="20" operator="between"/>
  </conditionalFormatting>
  <conditionalFormatting sqref="B46:D46">
    <cfRule type="cellIs" dxfId="19" priority="16" operator="greaterThan">
      <formula>0</formula>
    </cfRule>
    <cfRule type="cellIs" dxfId="18" priority="22" operator="lessThanOrEqual">
      <formula>0</formula>
    </cfRule>
  </conditionalFormatting>
  <conditionalFormatting sqref="B48:D48">
    <cfRule type="cellIs" dxfId="17" priority="17" operator="greaterThan">
      <formula>0.5</formula>
    </cfRule>
    <cfRule type="cellIs" dxfId="16" priority="18" operator="between">
      <formula>0</formula>
      <formula>0.5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73B3FC-66F3-784F-9BD5-62C694D3B9D5}">
          <x14:formula1>
            <xm:f>Database!$AM$4:$AM$18</xm:f>
          </x14:formula1>
          <xm:sqref>B29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D0C2E-6BF3-4C4E-9213-5853267FED94}">
  <dimension ref="B1:M245"/>
  <sheetViews>
    <sheetView showGridLines="0" zoomScale="125" workbookViewId="0">
      <selection activeCell="D25" sqref="D25"/>
    </sheetView>
  </sheetViews>
  <sheetFormatPr baseColWidth="10" defaultRowHeight="15" x14ac:dyDescent="0.2"/>
  <cols>
    <col min="2" max="2" width="33.33203125" customWidth="1"/>
    <col min="3" max="3" width="10.6640625" bestFit="1" customWidth="1"/>
    <col min="4" max="4" width="13.83203125" bestFit="1" customWidth="1"/>
    <col min="5" max="6" width="16.33203125" bestFit="1" customWidth="1"/>
    <col min="7" max="7" width="24" bestFit="1" customWidth="1"/>
    <col min="8" max="8" width="15.83203125" bestFit="1" customWidth="1"/>
    <col min="9" max="9" width="12.6640625" bestFit="1" customWidth="1"/>
    <col min="10" max="10" width="13" bestFit="1" customWidth="1"/>
    <col min="11" max="11" width="38.5" bestFit="1" customWidth="1"/>
    <col min="12" max="13" width="11" bestFit="1" customWidth="1"/>
  </cols>
  <sheetData>
    <row r="1" spans="2:13" s="81" customFormat="1" ht="17" x14ac:dyDescent="0.2">
      <c r="B1" s="326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</row>
    <row r="2" spans="2:13" s="81" customFormat="1" x14ac:dyDescent="0.2">
      <c r="B2" s="327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</row>
    <row r="4" spans="2:13" x14ac:dyDescent="0.2">
      <c r="B4" s="328" t="s">
        <v>1784</v>
      </c>
    </row>
    <row r="5" spans="2:13" x14ac:dyDescent="0.2">
      <c r="B5" s="208" t="s">
        <v>1155</v>
      </c>
      <c r="C5" s="208" t="s">
        <v>1764</v>
      </c>
      <c r="D5" s="208" t="s">
        <v>1765</v>
      </c>
      <c r="E5" s="208" t="s">
        <v>1766</v>
      </c>
      <c r="F5" s="208" t="s">
        <v>1767</v>
      </c>
      <c r="G5" s="208" t="s">
        <v>1177</v>
      </c>
      <c r="H5" s="208" t="s">
        <v>1742</v>
      </c>
      <c r="I5" s="208" t="s">
        <v>1768</v>
      </c>
      <c r="J5" s="208" t="s">
        <v>1775</v>
      </c>
    </row>
    <row r="6" spans="2:13" x14ac:dyDescent="0.2">
      <c r="B6" s="124" t="s">
        <v>1112</v>
      </c>
      <c r="C6" s="126">
        <f>COUNTIFS(Database!$I$4:$I$1256,"CPO",Database!$K$4:$K$1256,"&gt;="&amp;DATE(2025,8,1),Database!$K$4:$K$1256,"&lt;"&amp;DATE(2025,9,1))</f>
        <v>0</v>
      </c>
      <c r="D6" s="126">
        <f>SUMIFS(Database!$N$4:$N$1256,Database!$I$4:$I$1256,"CPO",Database!$K$4:$K$1256,"&gt;="&amp;DATE(2025,8,1),Database!$K$4:$K$1256,"&lt;"&amp;DATE(2025,9,1))</f>
        <v>0</v>
      </c>
      <c r="E6" s="126">
        <f>COUNTIFS(Database!$I$4:$I$1256,"RBDPL",Database!$K$4:$K$1256,"&gt;="&amp;DATE(2025,8,1),Database!$K$4:$K$1256,"&lt;"&amp;DATE(2025,9,1))</f>
        <v>0</v>
      </c>
      <c r="F6" s="126">
        <f>SUMIFS(Database!$N$4:$N$1256,Database!$I$4:$I$1256,"RBDPL",Database!$K$4:$K$1256,"&gt;="&amp;DATE(2025,8,1),Database!$K$4:$K$1256,"&lt;"&amp;DATE(2025,9,1))</f>
        <v>0</v>
      </c>
      <c r="G6" s="126">
        <f t="shared" ref="G6:G14" si="0">C6+E6</f>
        <v>0</v>
      </c>
      <c r="H6" s="126">
        <f t="shared" ref="H6:H14" si="1">D6+F6</f>
        <v>0</v>
      </c>
      <c r="I6" s="126">
        <f t="shared" ref="I6:I15" si="2">IFERROR(H6/G6,0)</f>
        <v>0</v>
      </c>
      <c r="J6" s="124" t="str">
        <f>"—"</f>
        <v>—</v>
      </c>
    </row>
    <row r="7" spans="2:13" x14ac:dyDescent="0.2">
      <c r="B7" s="329">
        <v>45901</v>
      </c>
      <c r="C7" s="126">
        <f>COUNTIFS(Database!$I$4:$I$1256,"CPO",Database!$K$4:$K$1256,"&gt;="&amp;DATE(2025,9,1),Database!$K$4:$K$1256,"&lt;"&amp;DATE(2025,10,1))</f>
        <v>6</v>
      </c>
      <c r="D7" s="126">
        <f>SUMIFS(Database!$N$4:$N$1256,Database!$I$4:$I$1256,"CPO",Database!$K$4:$K$1256,"&gt;="&amp;DATE(2025,9,1),Database!$K$4:$K$1256,"&lt;"&amp;DATE(2025,10,1))</f>
        <v>126650</v>
      </c>
      <c r="E7" s="126">
        <f>COUNTIFS(Database!$I$4:$I$1256,"RBDPL",Database!$K$4:$K$1256,"&gt;="&amp;DATE(2025,9,1),Database!$K$4:$K$1256,"&lt;"&amp;DATE(2025,10,1))</f>
        <v>0</v>
      </c>
      <c r="F7" s="126">
        <f>SUMIFS(Database!$N$4:$N$1256,Database!$I$4:$I$1256,"RBDPL",Database!$K$4:$K$1256,"&gt;="&amp;DATE(2025,9,1),Database!$K$4:$K$1256,"&lt;"&amp;DATE(2025,10,1))</f>
        <v>0</v>
      </c>
      <c r="G7" s="126">
        <f t="shared" si="0"/>
        <v>6</v>
      </c>
      <c r="H7" s="126">
        <f t="shared" si="1"/>
        <v>126650</v>
      </c>
      <c r="I7" s="126">
        <f t="shared" si="2"/>
        <v>21108.333333333332</v>
      </c>
      <c r="J7" s="330">
        <f t="shared" ref="J7:J14" si="3">IFERROR((H7-H6)/H6,0)</f>
        <v>0</v>
      </c>
    </row>
    <row r="8" spans="2:13" x14ac:dyDescent="0.2">
      <c r="B8" s="124" t="s">
        <v>1114</v>
      </c>
      <c r="C8" s="126">
        <f>COUNTIFS(Database!$I$4:$I$1256,"CPO",Database!$K$4:$K$1256,"&gt;="&amp;DATE(2025,10,1),Database!$K$4:$K$1256,"&lt;"&amp;DATE(2025,11,1))</f>
        <v>17</v>
      </c>
      <c r="D8" s="126">
        <f>SUMIFS(Database!$N$4:$N$1256,Database!$I$4:$I$1256,"CPO",Database!$K$4:$K$1256,"&gt;="&amp;DATE(2025,10,1),Database!$K$4:$K$1256,"&lt;"&amp;DATE(2025,11,1))</f>
        <v>369650</v>
      </c>
      <c r="E8" s="126">
        <f>COUNTIFS(Database!$I$4:$I$1256,"RBDPL",Database!$K$4:$K$1256,"&gt;="&amp;DATE(2025,10,1),Database!$K$4:$K$1256,"&lt;"&amp;DATE(2025,11,1))</f>
        <v>0</v>
      </c>
      <c r="F8" s="126">
        <f>SUMIFS(Database!$N$4:$N$1256,Database!$I$4:$I$1256,"RBDPL",Database!$K$4:$K$1256,"&gt;="&amp;DATE(2025,10,1),Database!$K$4:$K$1256,"&lt;"&amp;DATE(2025,11,1))</f>
        <v>0</v>
      </c>
      <c r="G8" s="126">
        <f t="shared" si="0"/>
        <v>17</v>
      </c>
      <c r="H8" s="126">
        <f t="shared" si="1"/>
        <v>369650</v>
      </c>
      <c r="I8" s="126">
        <f t="shared" si="2"/>
        <v>21744.117647058825</v>
      </c>
      <c r="J8" s="330">
        <f t="shared" si="3"/>
        <v>1.9186735096723253</v>
      </c>
    </row>
    <row r="9" spans="2:13" x14ac:dyDescent="0.2">
      <c r="B9" s="329">
        <v>45962</v>
      </c>
      <c r="C9" s="126">
        <f>COUNTIFS(Database!$I$4:$I$1256,"CPO",Database!$K$4:$K$1256,"&gt;="&amp;DATE(2025,11,1),Database!$K$4:$K$1256,"&lt;"&amp;DATE(2025,12,1))</f>
        <v>180</v>
      </c>
      <c r="D9" s="126">
        <f>SUMIFS(Database!$N$4:$N$1256,Database!$I$4:$I$1256,"CPO",Database!$K$4:$K$1256,"&gt;="&amp;DATE(2025,11,1),Database!$K$4:$K$1256,"&lt;"&amp;DATE(2025,12,1))</f>
        <v>2991090</v>
      </c>
      <c r="E9" s="126">
        <f>COUNTIFS(Database!$I$4:$I$1256,"RBDPL",Database!$K$4:$K$1256,"&gt;="&amp;DATE(2025,11,1),Database!$K$4:$K$1256,"&lt;"&amp;DATE(2025,12,1))</f>
        <v>0</v>
      </c>
      <c r="F9" s="126">
        <f>SUMIFS(Database!$N$4:$N$1256,Database!$I$4:$I$1256,"RBDPL",Database!$K$4:$K$1256,"&gt;="&amp;DATE(2025,11,1),Database!$K$4:$K$1256,"&lt;"&amp;DATE(2025,12,1))</f>
        <v>0</v>
      </c>
      <c r="G9" s="126">
        <f t="shared" si="0"/>
        <v>180</v>
      </c>
      <c r="H9" s="126">
        <f t="shared" si="1"/>
        <v>2991090</v>
      </c>
      <c r="I9" s="126">
        <f t="shared" si="2"/>
        <v>16617.166666666668</v>
      </c>
      <c r="J9" s="330">
        <f t="shared" si="3"/>
        <v>7.0916813201677265</v>
      </c>
    </row>
    <row r="10" spans="2:13" x14ac:dyDescent="0.2">
      <c r="B10" s="124" t="s">
        <v>1116</v>
      </c>
      <c r="C10" s="126">
        <f>COUNTIFS(Database!$I$4:$I$1256,"CPO",Database!$K$4:$K$1256,"&gt;="&amp;DATE(2025,12,1),Database!$K$4:$K$1256,"&lt;"&amp;DATE(2026,1,1))</f>
        <v>270</v>
      </c>
      <c r="D10" s="126">
        <f>SUMIFS(Database!$N$4:$N$1256,Database!$I$4:$I$1256,"CPO",Database!$K$4:$K$1256,"&gt;="&amp;DATE(2025,12,1),Database!$K$4:$K$1256,"&lt;"&amp;DATE(2026,1,1))</f>
        <v>4097400</v>
      </c>
      <c r="E10" s="126">
        <f>COUNTIFS(Database!$I$4:$I$1256,"RBDPL",Database!$K$4:$K$1256,"&gt;="&amp;DATE(2025,12,1),Database!$K$4:$K$1256,"&lt;"&amp;DATE(2026,1,1))</f>
        <v>0</v>
      </c>
      <c r="F10" s="126">
        <f>SUMIFS(Database!$N$4:$N$1256,Database!$I$4:$I$1256,"RBDPL",Database!$K$4:$K$1256,"&gt;="&amp;DATE(2025,12,1),Database!$K$4:$K$1256,"&lt;"&amp;DATE(2026,1,1))</f>
        <v>0</v>
      </c>
      <c r="G10" s="126">
        <f t="shared" si="0"/>
        <v>270</v>
      </c>
      <c r="H10" s="126">
        <f t="shared" si="1"/>
        <v>4097400</v>
      </c>
      <c r="I10" s="126">
        <f t="shared" si="2"/>
        <v>15175.555555555555</v>
      </c>
      <c r="J10" s="330">
        <f t="shared" si="3"/>
        <v>0.36986850947313521</v>
      </c>
    </row>
    <row r="11" spans="2:13" x14ac:dyDescent="0.2">
      <c r="B11" s="329">
        <v>46023</v>
      </c>
      <c r="C11" s="126">
        <f>COUNTIFS(Database!$I$4:$I$1256,"CPO",Database!$K$4:$K$1256,"&gt;="&amp;DATE(2026,1,1),Database!$K$4:$K$1256,"&lt;"&amp;DATE(2026,2,1))</f>
        <v>108</v>
      </c>
      <c r="D11" s="126">
        <f>SUMIFS(Database!$N$4:$N$1256,Database!$I$4:$I$1256,"CPO",Database!$K$4:$K$1256,"&gt;="&amp;DATE(2026,1,1),Database!$K$4:$K$1256,"&lt;"&amp;DATE(2026,2,1))</f>
        <v>2048750</v>
      </c>
      <c r="E11" s="126">
        <f>COUNTIFS(Database!$I$4:$I$1256,"RBDPL",Database!$K$4:$K$1256,"&gt;="&amp;DATE(2026,1,1),Database!$K$4:$K$1256,"&lt;"&amp;DATE(2026,2,1))</f>
        <v>0</v>
      </c>
      <c r="F11" s="126">
        <f>SUMIFS(Database!$N$4:$N$1256,Database!$I$4:$I$1256,"RBDPL",Database!$K$4:$K$1256,"&gt;="&amp;DATE(2026,1,1),Database!$K$4:$K$1256,"&lt;"&amp;DATE(2026,2,1))</f>
        <v>0</v>
      </c>
      <c r="G11" s="126">
        <f t="shared" si="0"/>
        <v>108</v>
      </c>
      <c r="H11" s="126">
        <f t="shared" si="1"/>
        <v>2048750</v>
      </c>
      <c r="I11" s="126">
        <f t="shared" si="2"/>
        <v>18969.907407407409</v>
      </c>
      <c r="J11" s="330">
        <f t="shared" si="3"/>
        <v>-0.49998779713964953</v>
      </c>
    </row>
    <row r="12" spans="2:13" x14ac:dyDescent="0.2">
      <c r="B12" s="329">
        <v>46054</v>
      </c>
      <c r="C12" s="126">
        <f>COUNTIFS(Database!$I$4:$I$1256,"CPO",Database!$K$4:$K$1256,"&gt;="&amp;DATE(2026,2,1),Database!$K$4:$K$1256,"&lt;"&amp;DATE(2026,3,1))</f>
        <v>191</v>
      </c>
      <c r="D12" s="126">
        <f>SUMIFS(Database!$N$4:$N$1256,Database!$I$4:$I$1256,"CPO",Database!$K$4:$K$1256,"&gt;="&amp;DATE(2026,2,1),Database!$K$4:$K$1256,"&lt;"&amp;DATE(2026,3,1))</f>
        <v>2973500</v>
      </c>
      <c r="E12" s="126">
        <f>COUNTIFS(Database!$I$4:$I$1256,"RBDPL",Database!$K$4:$K$1256,"&gt;="&amp;DATE(2026,2,1),Database!$K$4:$K$1256,"&lt;"&amp;DATE(2026,3,1))</f>
        <v>18</v>
      </c>
      <c r="F12" s="126">
        <f>SUMIFS(Database!$N$4:$N$1256,Database!$I$4:$I$1256,"RBDPL",Database!$K$4:$K$1256,"&gt;="&amp;DATE(2026,2,1),Database!$K$4:$K$1256,"&lt;"&amp;DATE(2026,3,1))</f>
        <v>164290</v>
      </c>
      <c r="G12" s="126">
        <f t="shared" si="0"/>
        <v>209</v>
      </c>
      <c r="H12" s="126">
        <f t="shared" si="1"/>
        <v>3137790</v>
      </c>
      <c r="I12" s="126">
        <f t="shared" si="2"/>
        <v>15013.349282296651</v>
      </c>
      <c r="J12" s="330">
        <f t="shared" si="3"/>
        <v>0.53156314826113482</v>
      </c>
    </row>
    <row r="13" spans="2:13" x14ac:dyDescent="0.2">
      <c r="B13" s="329">
        <v>46082</v>
      </c>
      <c r="C13" s="126">
        <f>COUNTIFS(Database!$I$4:$I$1256,"CPO",Database!$K$4:$K$1256,"&gt;="&amp;DATE(2026,3,1),Database!$K$4:$K$1256,"&lt;"&amp;DATE(2026,4,1))</f>
        <v>26</v>
      </c>
      <c r="D13" s="126">
        <f>SUMIFS(Database!$N$4:$N$1256,Database!$I$4:$I$1256,"CPO",Database!$K$4:$K$1256,"&gt;="&amp;DATE(2026,3,1),Database!$K$4:$K$1256,"&lt;"&amp;DATE(2026,4,1))</f>
        <v>557140</v>
      </c>
      <c r="E13" s="126">
        <f>COUNTIFS(Database!$I$4:$I$1256,"RBDPL",Database!$K$4:$K$1256,"&gt;="&amp;DATE(2026,3,1),Database!$K$4:$K$1256,"&lt;"&amp;DATE(2026,4,1))</f>
        <v>82</v>
      </c>
      <c r="F13" s="126">
        <f>SUMIFS(Database!$N$4:$N$1256,Database!$I$4:$I$1256,"RBDPL",Database!$K$4:$K$1256,"&gt;="&amp;DATE(2026,3,1),Database!$K$4:$K$1256,"&lt;"&amp;DATE(2026,4,1))</f>
        <v>842840</v>
      </c>
      <c r="G13" s="126">
        <f t="shared" si="0"/>
        <v>108</v>
      </c>
      <c r="H13" s="126">
        <f t="shared" si="1"/>
        <v>1399980</v>
      </c>
      <c r="I13" s="126">
        <f t="shared" si="2"/>
        <v>12962.777777777777</v>
      </c>
      <c r="J13" s="330">
        <f t="shared" si="3"/>
        <v>-0.55383247444857686</v>
      </c>
    </row>
    <row r="14" spans="2:13" x14ac:dyDescent="0.2">
      <c r="B14" s="329">
        <v>46113</v>
      </c>
      <c r="C14" s="126">
        <f>COUNTIFS(Database!$I$4:$I$1256,"CPO",Database!$K$4:$K$1256,"&gt;="&amp;DATE(2026,4,1),Database!$K$4:$K$1256,"&lt;"&amp;DATE(2026,5,1))</f>
        <v>105</v>
      </c>
      <c r="D14" s="126">
        <f>SUMIFS(Database!$N$4:$N$1256,Database!$I$4:$I$1256,"CPO",Database!$K$4:$K$1256,"&gt;="&amp;DATE(2026,4,1),Database!$K$4:$K$1256,"&lt;"&amp;DATE(2026,5,1))</f>
        <v>1278940</v>
      </c>
      <c r="E14" s="126">
        <f>COUNTIFS(Database!$I$4:$I$1256,"RBDPL",Database!$K$4:$K$1256,"&gt;="&amp;DATE(2026,4,1),Database!$K$4:$K$1256,"&lt;"&amp;DATE(2026,5,1))</f>
        <v>222</v>
      </c>
      <c r="F14" s="126">
        <f>SUMIFS(Database!$N$4:$N$1256,Database!$I$4:$I$1256,"RBDPL",Database!$K$4:$K$1256,"&gt;="&amp;DATE(2026,4,1),Database!$K$4:$K$1256,"&lt;"&amp;DATE(2026,5,1))</f>
        <v>2452090</v>
      </c>
      <c r="G14" s="126">
        <f t="shared" si="0"/>
        <v>327</v>
      </c>
      <c r="H14" s="126">
        <f t="shared" si="1"/>
        <v>3731030</v>
      </c>
      <c r="I14" s="126">
        <f t="shared" si="2"/>
        <v>11409.877675840979</v>
      </c>
      <c r="J14" s="330">
        <f t="shared" si="3"/>
        <v>1.6650595008500122</v>
      </c>
    </row>
    <row r="15" spans="2:13" x14ac:dyDescent="0.2">
      <c r="B15" s="211" t="s">
        <v>1122</v>
      </c>
      <c r="C15" s="212">
        <f t="shared" ref="C15:H15" si="4">SUM(C6:C14)</f>
        <v>903</v>
      </c>
      <c r="D15" s="212">
        <f t="shared" si="4"/>
        <v>14443120</v>
      </c>
      <c r="E15" s="212">
        <f t="shared" si="4"/>
        <v>322</v>
      </c>
      <c r="F15" s="212">
        <f t="shared" si="4"/>
        <v>3459220</v>
      </c>
      <c r="G15" s="212">
        <f t="shared" si="4"/>
        <v>1225</v>
      </c>
      <c r="H15" s="212">
        <f t="shared" si="4"/>
        <v>17902340</v>
      </c>
      <c r="I15" s="212">
        <f t="shared" si="2"/>
        <v>14614.155102040817</v>
      </c>
      <c r="J15" s="211"/>
    </row>
    <row r="17" spans="2:8" x14ac:dyDescent="0.2">
      <c r="B17" s="328" t="s">
        <v>1785</v>
      </c>
    </row>
    <row r="18" spans="2:8" x14ac:dyDescent="0.2">
      <c r="B18" s="208" t="s">
        <v>34</v>
      </c>
      <c r="C18" s="208" t="s">
        <v>1744</v>
      </c>
      <c r="D18" s="208" t="s">
        <v>1786</v>
      </c>
      <c r="E18" s="208" t="s">
        <v>1787</v>
      </c>
      <c r="F18" s="208" t="s">
        <v>1788</v>
      </c>
      <c r="G18" s="208" t="s">
        <v>1789</v>
      </c>
      <c r="H18" s="208" t="s">
        <v>1776</v>
      </c>
    </row>
    <row r="19" spans="2:8" x14ac:dyDescent="0.2">
      <c r="B19" s="124" t="s">
        <v>111</v>
      </c>
      <c r="C19" s="126">
        <f>COUNTIFS(Database!$H$4:$H$1256,B19,Database!$O$4:$O$1256,"&gt;"&amp;0)</f>
        <v>0</v>
      </c>
      <c r="D19" s="126">
        <f>SUMIFS(Database!$N$4:$N$1256,Database!$H$4:$H$1256,B19,Database!$O$4:$O$1256,"&gt;"&amp;0)</f>
        <v>0</v>
      </c>
      <c r="E19" s="126">
        <f>SUMIFS(Database!$O$4:$O$1256,Database!$H$4:$H$1256,B19,Database!$O$4:$O$1256,"&gt;"&amp;0)</f>
        <v>0</v>
      </c>
      <c r="F19" s="126">
        <f t="shared" ref="F19:F33" si="5">D19-E19</f>
        <v>0</v>
      </c>
      <c r="G19" s="213">
        <f t="shared" ref="G19:G34" si="6">IFERROR(F19/C19,0)</f>
        <v>0</v>
      </c>
      <c r="H19" s="331">
        <f t="shared" ref="H19:H34" si="7">IFERROR(F19/D19,0)</f>
        <v>0</v>
      </c>
    </row>
    <row r="20" spans="2:8" x14ac:dyDescent="0.2">
      <c r="B20" s="124" t="s">
        <v>103</v>
      </c>
      <c r="C20" s="126">
        <f>COUNTIFS(Database!$H$4:$H$1256,B20,Database!$O$4:$O$1256,"&gt;"&amp;0)</f>
        <v>0</v>
      </c>
      <c r="D20" s="126">
        <f>SUMIFS(Database!$N$4:$N$1256,Database!$H$4:$H$1256,B20,Database!$O$4:$O$1256,"&gt;"&amp;0)</f>
        <v>0</v>
      </c>
      <c r="E20" s="126">
        <f>SUMIFS(Database!$O$4:$O$1256,Database!$H$4:$H$1256,B20,Database!$O$4:$O$1256,"&gt;"&amp;0)</f>
        <v>0</v>
      </c>
      <c r="F20" s="126">
        <f t="shared" si="5"/>
        <v>0</v>
      </c>
      <c r="G20" s="213">
        <f t="shared" si="6"/>
        <v>0</v>
      </c>
      <c r="H20" s="331">
        <f t="shared" si="7"/>
        <v>0</v>
      </c>
    </row>
    <row r="21" spans="2:8" x14ac:dyDescent="0.2">
      <c r="B21" s="124" t="s">
        <v>1640</v>
      </c>
      <c r="C21" s="126">
        <f>COUNTIFS(Database!$H$4:$H$1256,B21,Database!$O$4:$O$1256,"&gt;"&amp;0)</f>
        <v>0</v>
      </c>
      <c r="D21" s="126">
        <f>SUMIFS(Database!$N$4:$N$1256,Database!$H$4:$H$1256,B21,Database!$O$4:$O$1256,"&gt;"&amp;0)</f>
        <v>0</v>
      </c>
      <c r="E21" s="126">
        <f>SUMIFS(Database!$O$4:$O$1256,Database!$H$4:$H$1256,B21,Database!$O$4:$O$1256,"&gt;"&amp;0)</f>
        <v>0</v>
      </c>
      <c r="F21" s="126">
        <f t="shared" si="5"/>
        <v>0</v>
      </c>
      <c r="G21" s="213">
        <f t="shared" si="6"/>
        <v>0</v>
      </c>
      <c r="H21" s="331">
        <f t="shared" si="7"/>
        <v>0</v>
      </c>
    </row>
    <row r="22" spans="2:8" x14ac:dyDescent="0.2">
      <c r="B22" s="124" t="s">
        <v>107</v>
      </c>
      <c r="C22" s="126">
        <f>COUNTIFS(Database!$H$4:$H$1256,B22,Database!$O$4:$O$1256,"&gt;"&amp;0)</f>
        <v>0</v>
      </c>
      <c r="D22" s="126">
        <f>SUMIFS(Database!$N$4:$N$1256,Database!$H$4:$H$1256,B22,Database!$O$4:$O$1256,"&gt;"&amp;0)</f>
        <v>0</v>
      </c>
      <c r="E22" s="126">
        <f>SUMIFS(Database!$O$4:$O$1256,Database!$H$4:$H$1256,B22,Database!$O$4:$O$1256,"&gt;"&amp;0)</f>
        <v>0</v>
      </c>
      <c r="F22" s="126">
        <f t="shared" si="5"/>
        <v>0</v>
      </c>
      <c r="G22" s="213">
        <f t="shared" si="6"/>
        <v>0</v>
      </c>
      <c r="H22" s="331">
        <f t="shared" si="7"/>
        <v>0</v>
      </c>
    </row>
    <row r="23" spans="2:8" x14ac:dyDescent="0.2">
      <c r="B23" s="124" t="s">
        <v>86</v>
      </c>
      <c r="C23" s="126">
        <f>COUNTIFS(Database!$H$4:$H$1256,B23,Database!$O$4:$O$1256,"&gt;"&amp;0)</f>
        <v>0</v>
      </c>
      <c r="D23" s="126">
        <f>SUMIFS(Database!$N$4:$N$1256,Database!$H$4:$H$1256,B23,Database!$O$4:$O$1256,"&gt;"&amp;0)</f>
        <v>0</v>
      </c>
      <c r="E23" s="126">
        <f>SUMIFS(Database!$O$4:$O$1256,Database!$H$4:$H$1256,B23,Database!$O$4:$O$1256,"&gt;"&amp;0)</f>
        <v>0</v>
      </c>
      <c r="F23" s="126">
        <f t="shared" si="5"/>
        <v>0</v>
      </c>
      <c r="G23" s="213">
        <f t="shared" si="6"/>
        <v>0</v>
      </c>
      <c r="H23" s="331">
        <f t="shared" si="7"/>
        <v>0</v>
      </c>
    </row>
    <row r="24" spans="2:8" x14ac:dyDescent="0.2">
      <c r="B24" s="124" t="s">
        <v>49</v>
      </c>
      <c r="C24" s="126">
        <f>COUNTIFS(Database!$H$4:$H$1256,B24,Database!$O$4:$O$1256,"&gt;"&amp;0)</f>
        <v>350</v>
      </c>
      <c r="D24" s="126">
        <f>SUMIFS(Database!$N$4:$N$1256,Database!$H$4:$H$1256,B24,Database!$O$4:$O$1256,"&gt;"&amp;0)</f>
        <v>6007350</v>
      </c>
      <c r="E24" s="126">
        <f>SUMIFS(Database!$O$4:$O$1256,Database!$H$4:$H$1256,B24,Database!$O$4:$O$1256,"&gt;"&amp;0)</f>
        <v>5992150</v>
      </c>
      <c r="F24" s="126">
        <f t="shared" si="5"/>
        <v>15200</v>
      </c>
      <c r="G24" s="213">
        <f t="shared" si="6"/>
        <v>43.428571428571431</v>
      </c>
      <c r="H24" s="331">
        <f t="shared" si="7"/>
        <v>2.5302337969320917E-3</v>
      </c>
    </row>
    <row r="25" spans="2:8" x14ac:dyDescent="0.2">
      <c r="B25" s="124" t="s">
        <v>59</v>
      </c>
      <c r="C25" s="126">
        <f>COUNTIFS(Database!$H$4:$H$1256,B25,Database!$O$4:$O$1256,"&gt;"&amp;0)</f>
        <v>174</v>
      </c>
      <c r="D25" s="126">
        <f>SUMIFS(Database!$N$4:$N$1256,Database!$H$4:$H$1256,B25,Database!$O$4:$O$1256,"&gt;"&amp;0)</f>
        <v>3939560</v>
      </c>
      <c r="E25" s="126">
        <f>SUMIFS(Database!$O$4:$O$1256,Database!$H$4:$H$1256,B25,Database!$O$4:$O$1256,"&gt;"&amp;0)</f>
        <v>3945890</v>
      </c>
      <c r="F25" s="126">
        <f t="shared" si="5"/>
        <v>-6330</v>
      </c>
      <c r="G25" s="213">
        <f t="shared" si="6"/>
        <v>-36.379310344827587</v>
      </c>
      <c r="H25" s="331">
        <f t="shared" si="7"/>
        <v>-1.6067784219557515E-3</v>
      </c>
    </row>
    <row r="26" spans="2:8" x14ac:dyDescent="0.2">
      <c r="B26" s="124" t="s">
        <v>40</v>
      </c>
      <c r="C26" s="126">
        <f>COUNTIFS(Database!$H$4:$H$1256,B26,Database!$O$4:$O$1256,"&gt;"&amp;0)</f>
        <v>282</v>
      </c>
      <c r="D26" s="126">
        <f>SUMIFS(Database!$N$4:$N$1256,Database!$H$4:$H$1256,B26,Database!$O$4:$O$1256,"&gt;"&amp;0)</f>
        <v>2697400</v>
      </c>
      <c r="E26" s="126">
        <f>SUMIFS(Database!$O$4:$O$1256,Database!$H$4:$H$1256,B26,Database!$O$4:$O$1256,"&gt;"&amp;0)</f>
        <v>2693510</v>
      </c>
      <c r="F26" s="126">
        <f t="shared" si="5"/>
        <v>3890</v>
      </c>
      <c r="G26" s="213">
        <f t="shared" si="6"/>
        <v>13.794326241134751</v>
      </c>
      <c r="H26" s="331">
        <f t="shared" si="7"/>
        <v>1.4421294579965893E-3</v>
      </c>
    </row>
    <row r="27" spans="2:8" x14ac:dyDescent="0.2">
      <c r="B27" s="124" t="s">
        <v>78</v>
      </c>
      <c r="C27" s="126">
        <f>COUNTIFS(Database!$H$4:$H$1256,B27,Database!$O$4:$O$1256,"&gt;"&amp;0)</f>
        <v>97</v>
      </c>
      <c r="D27" s="126">
        <f>SUMIFS(Database!$N$4:$N$1256,Database!$H$4:$H$1256,B27,Database!$O$4:$O$1256,"&gt;"&amp;0)</f>
        <v>1798810</v>
      </c>
      <c r="E27" s="126">
        <f>SUMIFS(Database!$O$4:$O$1256,Database!$H$4:$H$1256,B27,Database!$O$4:$O$1256,"&gt;"&amp;0)</f>
        <v>1800000</v>
      </c>
      <c r="F27" s="126">
        <f t="shared" si="5"/>
        <v>-1190</v>
      </c>
      <c r="G27" s="213">
        <f t="shared" si="6"/>
        <v>-12.268041237113403</v>
      </c>
      <c r="H27" s="331">
        <f t="shared" si="7"/>
        <v>-6.6154846815394625E-4</v>
      </c>
    </row>
    <row r="28" spans="2:8" x14ac:dyDescent="0.2">
      <c r="B28" s="124" t="s">
        <v>1523</v>
      </c>
      <c r="C28" s="126">
        <f>COUNTIFS(Database!$H$4:$H$1256,B28,Database!$O$4:$O$1256,"&gt;"&amp;0)</f>
        <v>0</v>
      </c>
      <c r="D28" s="126">
        <f>SUMIFS(Database!$N$4:$N$1256,Database!$H$4:$H$1256,B28,Database!$O$4:$O$1256,"&gt;"&amp;0)</f>
        <v>0</v>
      </c>
      <c r="E28" s="126">
        <f>SUMIFS(Database!$O$4:$O$1256,Database!$H$4:$H$1256,B28,Database!$O$4:$O$1256,"&gt;"&amp;0)</f>
        <v>0</v>
      </c>
      <c r="F28" s="126">
        <f t="shared" si="5"/>
        <v>0</v>
      </c>
      <c r="G28" s="213">
        <f t="shared" si="6"/>
        <v>0</v>
      </c>
      <c r="H28" s="331">
        <f t="shared" si="7"/>
        <v>0</v>
      </c>
    </row>
    <row r="29" spans="2:8" x14ac:dyDescent="0.2">
      <c r="B29" s="124" t="s">
        <v>115</v>
      </c>
      <c r="C29" s="126">
        <f>COUNTIFS(Database!$H$4:$H$1256,B29,Database!$O$4:$O$1256,"&gt;"&amp;0)</f>
        <v>0</v>
      </c>
      <c r="D29" s="126">
        <f>SUMIFS(Database!$N$4:$N$1256,Database!$H$4:$H$1256,B29,Database!$O$4:$O$1256,"&gt;"&amp;0)</f>
        <v>0</v>
      </c>
      <c r="E29" s="126">
        <f>SUMIFS(Database!$O$4:$O$1256,Database!$H$4:$H$1256,B29,Database!$O$4:$O$1256,"&gt;"&amp;0)</f>
        <v>0</v>
      </c>
      <c r="F29" s="126">
        <f t="shared" si="5"/>
        <v>0</v>
      </c>
      <c r="G29" s="213">
        <f t="shared" si="6"/>
        <v>0</v>
      </c>
      <c r="H29" s="331">
        <f t="shared" si="7"/>
        <v>0</v>
      </c>
    </row>
    <row r="30" spans="2:8" x14ac:dyDescent="0.2">
      <c r="B30" s="124" t="s">
        <v>61</v>
      </c>
      <c r="C30" s="126">
        <f>COUNTIFS(Database!$H$4:$H$1256,B30,Database!$O$4:$O$1256,"&gt;"&amp;0)</f>
        <v>0</v>
      </c>
      <c r="D30" s="126">
        <f>SUMIFS(Database!$N$4:$N$1256,Database!$H$4:$H$1256,B30,Database!$O$4:$O$1256,"&gt;"&amp;0)</f>
        <v>0</v>
      </c>
      <c r="E30" s="126">
        <f>SUMIFS(Database!$O$4:$O$1256,Database!$H$4:$H$1256,B30,Database!$O$4:$O$1256,"&gt;"&amp;0)</f>
        <v>0</v>
      </c>
      <c r="F30" s="126">
        <f t="shared" si="5"/>
        <v>0</v>
      </c>
      <c r="G30" s="213">
        <f t="shared" si="6"/>
        <v>0</v>
      </c>
      <c r="H30" s="331">
        <f t="shared" si="7"/>
        <v>0</v>
      </c>
    </row>
    <row r="31" spans="2:8" x14ac:dyDescent="0.2">
      <c r="B31" s="124" t="s">
        <v>94</v>
      </c>
      <c r="C31" s="126">
        <f>COUNTIFS(Database!$H$4:$H$1256,B31,Database!$O$4:$O$1256,"&gt;"&amp;0)</f>
        <v>0</v>
      </c>
      <c r="D31" s="126">
        <f>SUMIFS(Database!$N$4:$N$1256,Database!$H$4:$H$1256,B31,Database!$O$4:$O$1256,"&gt;"&amp;0)</f>
        <v>0</v>
      </c>
      <c r="E31" s="126">
        <f>SUMIFS(Database!$O$4:$O$1256,Database!$H$4:$H$1256,B31,Database!$O$4:$O$1256,"&gt;"&amp;0)</f>
        <v>0</v>
      </c>
      <c r="F31" s="126">
        <f t="shared" si="5"/>
        <v>0</v>
      </c>
      <c r="G31" s="213">
        <f t="shared" si="6"/>
        <v>0</v>
      </c>
      <c r="H31" s="331">
        <f t="shared" si="7"/>
        <v>0</v>
      </c>
    </row>
    <row r="32" spans="2:8" x14ac:dyDescent="0.2">
      <c r="B32" s="124" t="s">
        <v>98</v>
      </c>
      <c r="C32" s="126">
        <f>COUNTIFS(Database!$H$4:$H$1256,B32,Database!$O$4:$O$1256,"&gt;"&amp;0)</f>
        <v>0</v>
      </c>
      <c r="D32" s="126">
        <f>SUMIFS(Database!$N$4:$N$1256,Database!$H$4:$H$1256,B32,Database!$O$4:$O$1256,"&gt;"&amp;0)</f>
        <v>0</v>
      </c>
      <c r="E32" s="126">
        <f>SUMIFS(Database!$O$4:$O$1256,Database!$H$4:$H$1256,B32,Database!$O$4:$O$1256,"&gt;"&amp;0)</f>
        <v>0</v>
      </c>
      <c r="F32" s="126">
        <f t="shared" si="5"/>
        <v>0</v>
      </c>
      <c r="G32" s="213">
        <f t="shared" si="6"/>
        <v>0</v>
      </c>
      <c r="H32" s="331">
        <f t="shared" si="7"/>
        <v>0</v>
      </c>
    </row>
    <row r="33" spans="2:8" x14ac:dyDescent="0.2">
      <c r="B33" s="124" t="s">
        <v>1590</v>
      </c>
      <c r="C33" s="126">
        <f>COUNTIFS(Database!$H$4:$H$1256,B33,Database!$O$4:$O$1256,"&gt;"&amp;0)</f>
        <v>0</v>
      </c>
      <c r="D33" s="126">
        <f>SUMIFS(Database!$N$4:$N$1256,Database!$H$4:$H$1256,B33,Database!$O$4:$O$1256,"&gt;"&amp;0)</f>
        <v>0</v>
      </c>
      <c r="E33" s="126">
        <f>SUMIFS(Database!$O$4:$O$1256,Database!$H$4:$H$1256,B33,Database!$O$4:$O$1256,"&gt;"&amp;0)</f>
        <v>0</v>
      </c>
      <c r="F33" s="126">
        <f t="shared" si="5"/>
        <v>0</v>
      </c>
      <c r="G33" s="213">
        <f t="shared" si="6"/>
        <v>0</v>
      </c>
      <c r="H33" s="331">
        <f t="shared" si="7"/>
        <v>0</v>
      </c>
    </row>
    <row r="34" spans="2:8" x14ac:dyDescent="0.2">
      <c r="B34" s="211" t="s">
        <v>1122</v>
      </c>
      <c r="C34" s="212">
        <f>SUM(C19:C33)</f>
        <v>903</v>
      </c>
      <c r="D34" s="212">
        <f>SUM(D19:D33)</f>
        <v>14443120</v>
      </c>
      <c r="E34" s="212">
        <f>SUM(E19:E33)</f>
        <v>14431550</v>
      </c>
      <c r="F34" s="212">
        <f>SUM(F19:F33)</f>
        <v>11570</v>
      </c>
      <c r="G34" s="332">
        <f t="shared" si="6"/>
        <v>12.812846068660022</v>
      </c>
      <c r="H34" s="333">
        <f t="shared" si="7"/>
        <v>8.0107345227347E-4</v>
      </c>
    </row>
    <row r="36" spans="2:8" x14ac:dyDescent="0.2">
      <c r="B36" s="208" t="s">
        <v>28</v>
      </c>
      <c r="C36" s="208" t="s">
        <v>1744</v>
      </c>
      <c r="D36" s="208" t="s">
        <v>1786</v>
      </c>
      <c r="E36" s="208" t="s">
        <v>1787</v>
      </c>
      <c r="F36" s="208" t="s">
        <v>1788</v>
      </c>
      <c r="G36" s="208" t="s">
        <v>1789</v>
      </c>
      <c r="H36" s="208" t="s">
        <v>1776</v>
      </c>
    </row>
    <row r="37" spans="2:8" x14ac:dyDescent="0.2">
      <c r="B37" s="124" t="s">
        <v>1221</v>
      </c>
      <c r="C37" s="126">
        <f>COUNTIFS(Database!$R$4:$R$1256,"SAMSIRA",Database!$O$4:$O$1256,"&gt;"&amp;0)+COUNTIFS(Database!$R$4:$R$1256,"SAMSIRA/CHANDRA",Database!$O$4:$O$1256,"&gt;"&amp;0)</f>
        <v>458</v>
      </c>
      <c r="D37" s="126">
        <f>SUMIFS(Database!$N$4:$N$1256,Database!$R$4:$R$1256,"SAMSIRA")+SUMIFS(Database!$N$4:$N$1256,Database!$R$4:$R$1256,"SAMSIRA/CHANDRA")</f>
        <v>8969360</v>
      </c>
      <c r="E37" s="126">
        <f>SUMIFS(Database!$O$4:$O$1256,Database!$R$4:$R$1256,"SAMSIRA",Database!$O$4:$O$1256,"&gt;"&amp;0)+SUMIFS(Database!$O$4:$O$1256,Database!$R$4:$R$1256,"SAMSIRA/CHANDRA",Database!$O$4:$O$1256,"&gt;"&amp;0)</f>
        <v>7445350</v>
      </c>
      <c r="F37" s="126">
        <f>D37-E37</f>
        <v>1524010</v>
      </c>
      <c r="G37" s="213">
        <f>IFERROR(F37/C37,0)</f>
        <v>3327.5327510917032</v>
      </c>
      <c r="H37" s="331">
        <f>IFERROR(F37/D37,0)</f>
        <v>0.16991290348475255</v>
      </c>
    </row>
    <row r="38" spans="2:8" x14ac:dyDescent="0.2">
      <c r="B38" s="124" t="s">
        <v>137</v>
      </c>
      <c r="C38" s="126">
        <f>COUNTIFS(Database!$R$4:$R$1256,"DATU",Database!$O$4:$O$1256,"&gt;"&amp;0)</f>
        <v>399</v>
      </c>
      <c r="D38" s="126">
        <f>SUMIF(Database!$R$4:$R$1256,"DATU",Database!$N$4:$N$1256)</f>
        <v>8741510</v>
      </c>
      <c r="E38" s="126">
        <f>SUMIFS(Database!$O$4:$O$1256,Database!$R$4:$R$1256,"DATU",Database!$O$4:$O$1256,"&gt;"&amp;0)</f>
        <v>6486200</v>
      </c>
      <c r="F38" s="126">
        <f>D38-E38</f>
        <v>2255310</v>
      </c>
      <c r="G38" s="213">
        <f>IFERROR(F38/C38,0)</f>
        <v>5652.4060150375935</v>
      </c>
      <c r="H38" s="331">
        <f>IFERROR(F38/D38,0)</f>
        <v>0.25800004804661897</v>
      </c>
    </row>
    <row r="39" spans="2:8" x14ac:dyDescent="0.2">
      <c r="B39" s="211" t="s">
        <v>1122</v>
      </c>
      <c r="C39" s="212">
        <f>SUM(C37:C38)</f>
        <v>857</v>
      </c>
      <c r="D39" s="212">
        <f>SUM(D37:D38)</f>
        <v>17710870</v>
      </c>
      <c r="E39" s="212">
        <f>SUM(E37:E38)</f>
        <v>13931550</v>
      </c>
      <c r="F39" s="212">
        <f>SUM(F37:F38)</f>
        <v>3779320</v>
      </c>
      <c r="G39" s="332">
        <f>IFERROR(F39/C39,0)</f>
        <v>4409.941656942824</v>
      </c>
      <c r="H39" s="333">
        <f>IFERROR(F39/D39,0)</f>
        <v>0.21338985606014838</v>
      </c>
    </row>
    <row r="41" spans="2:8" x14ac:dyDescent="0.2">
      <c r="B41" s="328" t="s">
        <v>1790</v>
      </c>
    </row>
    <row r="42" spans="2:8" x14ac:dyDescent="0.2">
      <c r="B42" s="208" t="s">
        <v>29</v>
      </c>
      <c r="C42" s="208" t="s">
        <v>1177</v>
      </c>
      <c r="D42" s="208" t="s">
        <v>1742</v>
      </c>
      <c r="E42" s="208" t="s">
        <v>1743</v>
      </c>
      <c r="F42" s="208" t="s">
        <v>1745</v>
      </c>
      <c r="G42" s="208" t="s">
        <v>1791</v>
      </c>
    </row>
    <row r="43" spans="2:8" x14ac:dyDescent="0.2">
      <c r="B43" s="215" t="s">
        <v>1387</v>
      </c>
      <c r="C43" s="217">
        <f>COUNTIF(Database!$S$4:$S$1256,B43)</f>
        <v>14</v>
      </c>
      <c r="D43" s="217">
        <f>SUMIF(Database!$S$4:$S$1256,B43,Database!$N$4:$N$1256)</f>
        <v>130320</v>
      </c>
      <c r="E43" s="217">
        <f t="shared" ref="E43:E74" si="8">IFERROR(D43/C43,0)</f>
        <v>9308.5714285714294</v>
      </c>
      <c r="F43" s="334">
        <f>IFERROR(C43/COUNTIF(Database!$S$4:$S$1256,"&lt;&gt;"),0)</f>
        <v>1.6036655211912942E-2</v>
      </c>
      <c r="G43" s="215" t="str">
        <f>IFERROR(INDEX(Database!$H$4:$H$1256,MATCH(_xlfn.MAXIFS(Database!$B$4:$B$1256,Database!$S$4:$S$1256,B43),Database!$B$4:$B$1256,0)),"")</f>
        <v>PT. KASMAR MATANO PERSADA</v>
      </c>
    </row>
    <row r="44" spans="2:8" x14ac:dyDescent="0.2">
      <c r="B44" s="124" t="s">
        <v>1391</v>
      </c>
      <c r="C44" s="126">
        <f>COUNTIF(Database!$S$4:$S$1256,B44)</f>
        <v>2</v>
      </c>
      <c r="D44" s="126">
        <f>SUMIF(Database!$S$4:$S$1256,B44,Database!$N$4:$N$1256)</f>
        <v>18030</v>
      </c>
      <c r="E44" s="126">
        <f t="shared" si="8"/>
        <v>9015</v>
      </c>
      <c r="F44" s="330">
        <f>IFERROR(C44/COUNTIF(Database!$S$4:$S$1256,"&lt;&gt;"),0)</f>
        <v>2.2909507445589921E-3</v>
      </c>
      <c r="G44" s="124" t="str">
        <f>IFERROR(INDEX(Database!$H$4:$H$1256,MATCH(_xlfn.MAXIFS(Database!$B$4:$B$1256,Database!$S$4:$S$1256,B44),Database!$B$4:$B$1256,0)),"")</f>
        <v>PT. KASMAR MATANO PERSADA</v>
      </c>
    </row>
    <row r="45" spans="2:8" x14ac:dyDescent="0.2">
      <c r="B45" s="215" t="s">
        <v>1380</v>
      </c>
      <c r="C45" s="217">
        <f>COUNTIF(Database!$S$4:$S$1256,B45)</f>
        <v>3</v>
      </c>
      <c r="D45" s="217">
        <f>SUMIF(Database!$S$4:$S$1256,B45,Database!$N$4:$N$1256)</f>
        <v>29830</v>
      </c>
      <c r="E45" s="217">
        <f t="shared" si="8"/>
        <v>9943.3333333333339</v>
      </c>
      <c r="F45" s="334">
        <f>IFERROR(C45/COUNTIF(Database!$S$4:$S$1256,"&lt;&gt;"),0)</f>
        <v>3.4364261168384879E-3</v>
      </c>
      <c r="G45" s="215" t="str">
        <f>IFERROR(INDEX(Database!$H$4:$H$1256,MATCH(_xlfn.MAXIFS(Database!$B$4:$B$1256,Database!$S$4:$S$1256,B45),Database!$B$4:$B$1256,0)),"")</f>
        <v>PT. KASMAR MATANO PERSADA</v>
      </c>
    </row>
    <row r="46" spans="2:8" x14ac:dyDescent="0.2">
      <c r="B46" s="124" t="s">
        <v>1377</v>
      </c>
      <c r="C46" s="126">
        <f>COUNTIF(Database!$S$4:$S$1256,B46)</f>
        <v>10</v>
      </c>
      <c r="D46" s="126">
        <f>SUMIF(Database!$S$4:$S$1256,B46,Database!$N$4:$N$1256)</f>
        <v>96200</v>
      </c>
      <c r="E46" s="126">
        <f t="shared" si="8"/>
        <v>9620</v>
      </c>
      <c r="F46" s="330">
        <f>IFERROR(C46/COUNTIF(Database!$S$4:$S$1256,"&lt;&gt;"),0)</f>
        <v>1.1454753722794959E-2</v>
      </c>
      <c r="G46" s="124" t="str">
        <f>IFERROR(INDEX(Database!$H$4:$H$1256,MATCH(_xlfn.MAXIFS(Database!$B$4:$B$1256,Database!$S$4:$S$1256,B46),Database!$B$4:$B$1256,0)),"")</f>
        <v>PT. KASMAR MATANO PERSADA</v>
      </c>
    </row>
    <row r="47" spans="2:8" x14ac:dyDescent="0.2">
      <c r="B47" s="215" t="s">
        <v>1471</v>
      </c>
      <c r="C47" s="217">
        <f>COUNTIF(Database!$S$4:$S$1256,B47)</f>
        <v>1</v>
      </c>
      <c r="D47" s="217">
        <f>SUMIF(Database!$S$4:$S$1256,B47,Database!$N$4:$N$1256)</f>
        <v>9220</v>
      </c>
      <c r="E47" s="217">
        <f t="shared" si="8"/>
        <v>9220</v>
      </c>
      <c r="F47" s="334">
        <f>IFERROR(C47/COUNTIF(Database!$S$4:$S$1256,"&lt;&gt;"),0)</f>
        <v>1.145475372279496E-3</v>
      </c>
      <c r="G47" s="215" t="str">
        <f>IFERROR(INDEX(Database!$H$4:$H$1256,MATCH(_xlfn.MAXIFS(Database!$B$4:$B$1256,Database!$S$4:$S$1256,B47),Database!$B$4:$B$1256,0)),"")</f>
        <v>PT. KASMAR MATANO PERSADA</v>
      </c>
    </row>
    <row r="48" spans="2:8" x14ac:dyDescent="0.2">
      <c r="B48" s="124" t="s">
        <v>1379</v>
      </c>
      <c r="C48" s="126">
        <f>COUNTIF(Database!$S$4:$S$1256,B48)</f>
        <v>2</v>
      </c>
      <c r="D48" s="126">
        <f>SUMIF(Database!$S$4:$S$1256,B48,Database!$N$4:$N$1256)</f>
        <v>19390</v>
      </c>
      <c r="E48" s="126">
        <f t="shared" si="8"/>
        <v>9695</v>
      </c>
      <c r="F48" s="330">
        <f>IFERROR(C48/COUNTIF(Database!$S$4:$S$1256,"&lt;&gt;"),0)</f>
        <v>2.2909507445589921E-3</v>
      </c>
      <c r="G48" s="124" t="str">
        <f>IFERROR(INDEX(Database!$H$4:$H$1256,MATCH(_xlfn.MAXIFS(Database!$B$4:$B$1256,Database!$S$4:$S$1256,B48),Database!$B$4:$B$1256,0)),"")</f>
        <v>PT. KASMAR MATANO PERSADA</v>
      </c>
    </row>
    <row r="49" spans="2:7" x14ac:dyDescent="0.2">
      <c r="B49" s="215" t="s">
        <v>1474</v>
      </c>
      <c r="C49" s="217">
        <f>COUNTIF(Database!$S$4:$S$1256,B49)</f>
        <v>3</v>
      </c>
      <c r="D49" s="217">
        <f>SUMIF(Database!$S$4:$S$1256,B49,Database!$N$4:$N$1256)</f>
        <v>30650</v>
      </c>
      <c r="E49" s="217">
        <f t="shared" si="8"/>
        <v>10216.666666666666</v>
      </c>
      <c r="F49" s="334">
        <f>IFERROR(C49/COUNTIF(Database!$S$4:$S$1256,"&lt;&gt;"),0)</f>
        <v>3.4364261168384879E-3</v>
      </c>
      <c r="G49" s="215" t="str">
        <f>IFERROR(INDEX(Database!$H$4:$H$1256,MATCH(_xlfn.MAXIFS(Database!$B$4:$B$1256,Database!$S$4:$S$1256,B49),Database!$B$4:$B$1256,0)),"")</f>
        <v>PT. KASMAR MATANO PERSADA</v>
      </c>
    </row>
    <row r="50" spans="2:7" x14ac:dyDescent="0.2">
      <c r="B50" s="124" t="s">
        <v>1385</v>
      </c>
      <c r="C50" s="126">
        <f>COUNTIF(Database!$S$4:$S$1256,B50)</f>
        <v>17</v>
      </c>
      <c r="D50" s="126">
        <f>SUMIF(Database!$S$4:$S$1256,B50,Database!$N$4:$N$1256)</f>
        <v>171390</v>
      </c>
      <c r="E50" s="126">
        <f t="shared" si="8"/>
        <v>10081.764705882353</v>
      </c>
      <c r="F50" s="330">
        <f>IFERROR(C50/COUNTIF(Database!$S$4:$S$1256,"&lt;&gt;"),0)</f>
        <v>1.9473081328751432E-2</v>
      </c>
      <c r="G50" s="124" t="str">
        <f>IFERROR(INDEX(Database!$H$4:$H$1256,MATCH(_xlfn.MAXIFS(Database!$B$4:$B$1256,Database!$S$4:$S$1256,B50),Database!$B$4:$B$1256,0)),"")</f>
        <v>PT. KASMAR MATANO PERSADA</v>
      </c>
    </row>
    <row r="51" spans="2:7" x14ac:dyDescent="0.2">
      <c r="B51" s="215" t="s">
        <v>1373</v>
      </c>
      <c r="C51" s="217">
        <f>COUNTIF(Database!$S$4:$S$1256,B51)</f>
        <v>10</v>
      </c>
      <c r="D51" s="217">
        <f>SUMIF(Database!$S$4:$S$1256,B51,Database!$N$4:$N$1256)</f>
        <v>101120</v>
      </c>
      <c r="E51" s="217">
        <f t="shared" si="8"/>
        <v>10112</v>
      </c>
      <c r="F51" s="334">
        <f>IFERROR(C51/COUNTIF(Database!$S$4:$S$1256,"&lt;&gt;"),0)</f>
        <v>1.1454753722794959E-2</v>
      </c>
      <c r="G51" s="215" t="str">
        <f>IFERROR(INDEX(Database!$H$4:$H$1256,MATCH(_xlfn.MAXIFS(Database!$B$4:$B$1256,Database!$S$4:$S$1256,B51),Database!$B$4:$B$1256,0)),"")</f>
        <v>PT. KASMAR MATANO PERSADA</v>
      </c>
    </row>
    <row r="52" spans="2:7" x14ac:dyDescent="0.2">
      <c r="B52" s="124" t="s">
        <v>1522</v>
      </c>
      <c r="C52" s="126">
        <f>COUNTIF(Database!$S$4:$S$1256,B52)</f>
        <v>5</v>
      </c>
      <c r="D52" s="126">
        <f>SUMIF(Database!$S$4:$S$1256,B52,Database!$N$4:$N$1256)</f>
        <v>49280</v>
      </c>
      <c r="E52" s="126">
        <f t="shared" si="8"/>
        <v>9856</v>
      </c>
      <c r="F52" s="330">
        <f>IFERROR(C52/COUNTIF(Database!$S$4:$S$1256,"&lt;&gt;"),0)</f>
        <v>5.7273768613974796E-3</v>
      </c>
      <c r="G52" s="124" t="str">
        <f>IFERROR(INDEX(Database!$H$4:$H$1256,MATCH(_xlfn.MAXIFS(Database!$B$4:$B$1256,Database!$S$4:$S$1256,B52),Database!$B$4:$B$1256,0)),"")</f>
        <v>PT. KASMAR MATANO PERSADA</v>
      </c>
    </row>
    <row r="53" spans="2:7" x14ac:dyDescent="0.2">
      <c r="B53" s="215" t="s">
        <v>1519</v>
      </c>
      <c r="C53" s="217">
        <f>COUNTIF(Database!$S$4:$S$1256,B53)</f>
        <v>4</v>
      </c>
      <c r="D53" s="217">
        <f>SUMIF(Database!$S$4:$S$1256,B53,Database!$N$4:$N$1256)</f>
        <v>39970</v>
      </c>
      <c r="E53" s="217">
        <f t="shared" si="8"/>
        <v>9992.5</v>
      </c>
      <c r="F53" s="334">
        <f>IFERROR(C53/COUNTIF(Database!$S$4:$S$1256,"&lt;&gt;"),0)</f>
        <v>4.5819014891179842E-3</v>
      </c>
      <c r="G53" s="215" t="str">
        <f>IFERROR(INDEX(Database!$H$4:$H$1256,MATCH(_xlfn.MAXIFS(Database!$B$4:$B$1256,Database!$S$4:$S$1256,B53),Database!$B$4:$B$1256,0)),"")</f>
        <v>PT. KASMAR MATANO PERSADA</v>
      </c>
    </row>
    <row r="54" spans="2:7" x14ac:dyDescent="0.2">
      <c r="B54" s="124" t="s">
        <v>1618</v>
      </c>
      <c r="C54" s="126">
        <f>COUNTIF(Database!$S$4:$S$1256,B54)</f>
        <v>5</v>
      </c>
      <c r="D54" s="126">
        <f>SUMIF(Database!$S$4:$S$1256,B54,Database!$N$4:$N$1256)</f>
        <v>45930</v>
      </c>
      <c r="E54" s="126">
        <f t="shared" si="8"/>
        <v>9186</v>
      </c>
      <c r="F54" s="330">
        <f>IFERROR(C54/COUNTIF(Database!$S$4:$S$1256,"&lt;&gt;"),0)</f>
        <v>5.7273768613974796E-3</v>
      </c>
      <c r="G54" s="124" t="str">
        <f>IFERROR(INDEX(Database!$H$4:$H$1256,MATCH(_xlfn.MAXIFS(Database!$B$4:$B$1256,Database!$S$4:$S$1256,B54),Database!$B$4:$B$1256,0)),"")</f>
        <v>PT. KASMAR MATANO PERSADA</v>
      </c>
    </row>
    <row r="55" spans="2:7" x14ac:dyDescent="0.2">
      <c r="B55" s="215" t="s">
        <v>1782</v>
      </c>
      <c r="C55" s="217">
        <f>COUNTIF(Database!$S$4:$S$1256,B55)</f>
        <v>73</v>
      </c>
      <c r="D55" s="217">
        <f>SUMIF(Database!$S$4:$S$1256,B55,Database!$N$4:$N$1256)</f>
        <v>1054870</v>
      </c>
      <c r="E55" s="217">
        <f t="shared" si="8"/>
        <v>14450.273972602739</v>
      </c>
      <c r="F55" s="334">
        <f>IFERROR(C55/COUNTIF(Database!$S$4:$S$1256,"&lt;&gt;"),0)</f>
        <v>8.3619702176403202E-2</v>
      </c>
      <c r="G55" s="215" t="str">
        <f>IFERROR(INDEX(Database!$H$4:$H$1256,MATCH(_xlfn.MAXIFS(Database!$B$4:$B$1256,Database!$S$4:$S$1256,B55),Database!$B$4:$B$1256,0)),"")</f>
        <v>PT. KASMAR MATANO PERSADA</v>
      </c>
    </row>
    <row r="56" spans="2:7" x14ac:dyDescent="0.2">
      <c r="B56" s="124" t="s">
        <v>1517</v>
      </c>
      <c r="C56" s="126">
        <f>COUNTIF(Database!$S$4:$S$1256,B56)</f>
        <v>4</v>
      </c>
      <c r="D56" s="126">
        <f>SUMIF(Database!$S$4:$S$1256,B56,Database!$N$4:$N$1256)</f>
        <v>37560</v>
      </c>
      <c r="E56" s="126">
        <f t="shared" si="8"/>
        <v>9390</v>
      </c>
      <c r="F56" s="330">
        <f>IFERROR(C56/COUNTIF(Database!$S$4:$S$1256,"&lt;&gt;"),0)</f>
        <v>4.5819014891179842E-3</v>
      </c>
      <c r="G56" s="124" t="str">
        <f>IFERROR(INDEX(Database!$H$4:$H$1256,MATCH(_xlfn.MAXIFS(Database!$B$4:$B$1256,Database!$S$4:$S$1256,B56),Database!$B$4:$B$1256,0)),"")</f>
        <v>PT. KASMAR MATANO PERSADA</v>
      </c>
    </row>
    <row r="57" spans="2:7" x14ac:dyDescent="0.2">
      <c r="B57" s="215" t="s">
        <v>1467</v>
      </c>
      <c r="C57" s="217">
        <f>COUNTIF(Database!$S$4:$S$1256,B57)</f>
        <v>4</v>
      </c>
      <c r="D57" s="217">
        <f>SUMIF(Database!$S$4:$S$1256,B57,Database!$N$4:$N$1256)</f>
        <v>37360</v>
      </c>
      <c r="E57" s="217">
        <f t="shared" si="8"/>
        <v>9340</v>
      </c>
      <c r="F57" s="334">
        <f>IFERROR(C57/COUNTIF(Database!$S$4:$S$1256,"&lt;&gt;"),0)</f>
        <v>4.5819014891179842E-3</v>
      </c>
      <c r="G57" s="215" t="str">
        <f>IFERROR(INDEX(Database!$H$4:$H$1256,MATCH(_xlfn.MAXIFS(Database!$B$4:$B$1256,Database!$S$4:$S$1256,B57),Database!$B$4:$B$1256,0)),"")</f>
        <v>PT. KASMAR MATANO PERSADA</v>
      </c>
    </row>
    <row r="58" spans="2:7" x14ac:dyDescent="0.2">
      <c r="B58" s="124" t="s">
        <v>1466</v>
      </c>
      <c r="C58" s="126">
        <f>COUNTIF(Database!$S$4:$S$1256,B58)</f>
        <v>17</v>
      </c>
      <c r="D58" s="126">
        <f>SUMIF(Database!$S$4:$S$1256,B58,Database!$N$4:$N$1256)</f>
        <v>153780</v>
      </c>
      <c r="E58" s="126">
        <f t="shared" si="8"/>
        <v>9045.8823529411766</v>
      </c>
      <c r="F58" s="330">
        <f>IFERROR(C58/COUNTIF(Database!$S$4:$S$1256,"&lt;&gt;"),0)</f>
        <v>1.9473081328751432E-2</v>
      </c>
      <c r="G58" s="124" t="str">
        <f>IFERROR(INDEX(Database!$H$4:$H$1256,MATCH(_xlfn.MAXIFS(Database!$B$4:$B$1256,Database!$S$4:$S$1256,B58),Database!$B$4:$B$1256,0)),"")</f>
        <v>PT. KASMAR MATANO PERSADA</v>
      </c>
    </row>
    <row r="59" spans="2:7" x14ac:dyDescent="0.2">
      <c r="B59" s="215" t="s">
        <v>1383</v>
      </c>
      <c r="C59" s="217">
        <f>COUNTIF(Database!$S$4:$S$1256,B59)</f>
        <v>15</v>
      </c>
      <c r="D59" s="217">
        <f>SUMIF(Database!$S$4:$S$1256,B59,Database!$N$4:$N$1256)</f>
        <v>143180</v>
      </c>
      <c r="E59" s="217">
        <f t="shared" si="8"/>
        <v>9545.3333333333339</v>
      </c>
      <c r="F59" s="334">
        <f>IFERROR(C59/COUNTIF(Database!$S$4:$S$1256,"&lt;&gt;"),0)</f>
        <v>1.7182130584192441E-2</v>
      </c>
      <c r="G59" s="215" t="str">
        <f>IFERROR(INDEX(Database!$H$4:$H$1256,MATCH(_xlfn.MAXIFS(Database!$B$4:$B$1256,Database!$S$4:$S$1256,B59),Database!$B$4:$B$1256,0)),"")</f>
        <v>PT. KASMAR MATANO PERSADA</v>
      </c>
    </row>
    <row r="60" spans="2:7" x14ac:dyDescent="0.2">
      <c r="B60" s="124" t="s">
        <v>1397</v>
      </c>
      <c r="C60" s="126">
        <f>COUNTIF(Database!$S$4:$S$1256,B60)</f>
        <v>16</v>
      </c>
      <c r="D60" s="126">
        <f>SUMIF(Database!$S$4:$S$1256,B60,Database!$N$4:$N$1256)</f>
        <v>233090</v>
      </c>
      <c r="E60" s="126">
        <f t="shared" si="8"/>
        <v>14568.125</v>
      </c>
      <c r="F60" s="330">
        <f>IFERROR(C60/COUNTIF(Database!$S$4:$S$1256,"&lt;&gt;"),0)</f>
        <v>1.8327605956471937E-2</v>
      </c>
      <c r="G60" s="124" t="str">
        <f>IFERROR(INDEX(Database!$H$4:$H$1256,MATCH(_xlfn.MAXIFS(Database!$B$4:$B$1256,Database!$S$4:$S$1256,B60),Database!$B$4:$B$1256,0)),"")</f>
        <v>PT. KASMAR MATANO PERSADA</v>
      </c>
    </row>
    <row r="61" spans="2:7" x14ac:dyDescent="0.2">
      <c r="B61" s="215" t="s">
        <v>1382</v>
      </c>
      <c r="C61" s="217">
        <f>COUNTIF(Database!$S$4:$S$1256,B61)</f>
        <v>12</v>
      </c>
      <c r="D61" s="217">
        <f>SUMIF(Database!$S$4:$S$1256,B61,Database!$N$4:$N$1256)</f>
        <v>111800</v>
      </c>
      <c r="E61" s="217">
        <f t="shared" si="8"/>
        <v>9316.6666666666661</v>
      </c>
      <c r="F61" s="334">
        <f>IFERROR(C61/COUNTIF(Database!$S$4:$S$1256,"&lt;&gt;"),0)</f>
        <v>1.3745704467353952E-2</v>
      </c>
      <c r="G61" s="215" t="str">
        <f>IFERROR(INDEX(Database!$H$4:$H$1256,MATCH(_xlfn.MAXIFS(Database!$B$4:$B$1256,Database!$S$4:$S$1256,B61),Database!$B$4:$B$1256,0)),"")</f>
        <v>PT. KASMAR MATANO PERSADA</v>
      </c>
    </row>
    <row r="62" spans="2:7" x14ac:dyDescent="0.2">
      <c r="B62" s="124" t="s">
        <v>1783</v>
      </c>
      <c r="C62" s="126">
        <f>COUNTIF(Database!$S$4:$S$1256,B62)</f>
        <v>3</v>
      </c>
      <c r="D62" s="126">
        <f>SUMIF(Database!$S$4:$S$1256,B62,Database!$N$4:$N$1256)</f>
        <v>70950</v>
      </c>
      <c r="E62" s="126">
        <f t="shared" si="8"/>
        <v>23650</v>
      </c>
      <c r="F62" s="330">
        <f>IFERROR(C62/COUNTIF(Database!$S$4:$S$1256,"&lt;&gt;"),0)</f>
        <v>3.4364261168384879E-3</v>
      </c>
      <c r="G62" s="124" t="str">
        <f>IFERROR(INDEX(Database!$H$4:$H$1256,MATCH(_xlfn.MAXIFS(Database!$B$4:$B$1256,Database!$S$4:$S$1256,B62),Database!$B$4:$B$1256,0)),"")</f>
        <v>PT. KASMAR MATANO PERSADA</v>
      </c>
    </row>
    <row r="63" spans="2:7" x14ac:dyDescent="0.2">
      <c r="B63" s="215" t="s">
        <v>1475</v>
      </c>
      <c r="C63" s="217">
        <f>COUNTIF(Database!$S$4:$S$1256,B63)</f>
        <v>4</v>
      </c>
      <c r="D63" s="217">
        <f>SUMIF(Database!$S$4:$S$1256,B63,Database!$N$4:$N$1256)</f>
        <v>38090</v>
      </c>
      <c r="E63" s="217">
        <f t="shared" si="8"/>
        <v>9522.5</v>
      </c>
      <c r="F63" s="334">
        <f>IFERROR(C63/COUNTIF(Database!$S$4:$S$1256,"&lt;&gt;"),0)</f>
        <v>4.5819014891179842E-3</v>
      </c>
      <c r="G63" s="215" t="str">
        <f>IFERROR(INDEX(Database!$H$4:$H$1256,MATCH(_xlfn.MAXIFS(Database!$B$4:$B$1256,Database!$S$4:$S$1256,B63),Database!$B$4:$B$1256,0)),"")</f>
        <v>PT. KASMAR MATANO PERSADA</v>
      </c>
    </row>
    <row r="64" spans="2:7" x14ac:dyDescent="0.2">
      <c r="B64" s="124" t="s">
        <v>1398</v>
      </c>
      <c r="C64" s="126">
        <f>COUNTIF(Database!$S$4:$S$1256,B64)</f>
        <v>12</v>
      </c>
      <c r="D64" s="126">
        <f>SUMIF(Database!$S$4:$S$1256,B64,Database!$N$4:$N$1256)</f>
        <v>109920</v>
      </c>
      <c r="E64" s="126">
        <f t="shared" si="8"/>
        <v>9160</v>
      </c>
      <c r="F64" s="330">
        <f>IFERROR(C64/COUNTIF(Database!$S$4:$S$1256,"&lt;&gt;"),0)</f>
        <v>1.3745704467353952E-2</v>
      </c>
      <c r="G64" s="124" t="str">
        <f>IFERROR(INDEX(Database!$H$4:$H$1256,MATCH(_xlfn.MAXIFS(Database!$B$4:$B$1256,Database!$S$4:$S$1256,B64),Database!$B$4:$B$1256,0)),"")</f>
        <v>PT. KASMAR MATANO PERSADA</v>
      </c>
    </row>
    <row r="65" spans="2:7" x14ac:dyDescent="0.2">
      <c r="B65" s="215" t="s">
        <v>1472</v>
      </c>
      <c r="C65" s="217">
        <f>COUNTIF(Database!$S$4:$S$1256,B65)</f>
        <v>2</v>
      </c>
      <c r="D65" s="217">
        <f>SUMIF(Database!$S$4:$S$1256,B65,Database!$N$4:$N$1256)</f>
        <v>18360</v>
      </c>
      <c r="E65" s="217">
        <f t="shared" si="8"/>
        <v>9180</v>
      </c>
      <c r="F65" s="334">
        <f>IFERROR(C65/COUNTIF(Database!$S$4:$S$1256,"&lt;&gt;"),0)</f>
        <v>2.2909507445589921E-3</v>
      </c>
      <c r="G65" s="215" t="str">
        <f>IFERROR(INDEX(Database!$H$4:$H$1256,MATCH(_xlfn.MAXIFS(Database!$B$4:$B$1256,Database!$S$4:$S$1256,B65),Database!$B$4:$B$1256,0)),"")</f>
        <v>PT. KASMAR MATANO PERSADA</v>
      </c>
    </row>
    <row r="66" spans="2:7" x14ac:dyDescent="0.2">
      <c r="B66" s="124" t="s">
        <v>1636</v>
      </c>
      <c r="C66" s="126">
        <f>COUNTIF(Database!$S$4:$S$1256,B66)</f>
        <v>1</v>
      </c>
      <c r="D66" s="126">
        <f>SUMIF(Database!$S$4:$S$1256,B66,Database!$N$4:$N$1256)</f>
        <v>9900</v>
      </c>
      <c r="E66" s="126">
        <f t="shared" si="8"/>
        <v>9900</v>
      </c>
      <c r="F66" s="330">
        <f>IFERROR(C66/COUNTIF(Database!$S$4:$S$1256,"&lt;&gt;"),0)</f>
        <v>1.145475372279496E-3</v>
      </c>
      <c r="G66" s="124" t="str">
        <f>IFERROR(INDEX(Database!$H$4:$H$1256,MATCH(_xlfn.MAXIFS(Database!$B$4:$B$1256,Database!$S$4:$S$1256,B66),Database!$B$4:$B$1256,0)),"")</f>
        <v>PT. KASMAR MATANO PERSADA</v>
      </c>
    </row>
    <row r="67" spans="2:7" x14ac:dyDescent="0.2">
      <c r="B67" s="215" t="s">
        <v>1386</v>
      </c>
      <c r="C67" s="217">
        <f>COUNTIF(Database!$S$4:$S$1256,B67)</f>
        <v>2</v>
      </c>
      <c r="D67" s="217">
        <f>SUMIF(Database!$S$4:$S$1256,B67,Database!$N$4:$N$1256)</f>
        <v>18560</v>
      </c>
      <c r="E67" s="217">
        <f t="shared" si="8"/>
        <v>9280</v>
      </c>
      <c r="F67" s="334">
        <f>IFERROR(C67/COUNTIF(Database!$S$4:$S$1256,"&lt;&gt;"),0)</f>
        <v>2.2909507445589921E-3</v>
      </c>
      <c r="G67" s="215" t="str">
        <f>IFERROR(INDEX(Database!$H$4:$H$1256,MATCH(_xlfn.MAXIFS(Database!$B$4:$B$1256,Database!$S$4:$S$1256,B67),Database!$B$4:$B$1256,0)),"")</f>
        <v>PT. KASMAR MATANO PERSADA</v>
      </c>
    </row>
    <row r="68" spans="2:7" x14ac:dyDescent="0.2">
      <c r="B68" s="124" t="s">
        <v>1374</v>
      </c>
      <c r="C68" s="126">
        <f>COUNTIF(Database!$S$4:$S$1256,B68)</f>
        <v>2</v>
      </c>
      <c r="D68" s="126">
        <f>SUMIF(Database!$S$4:$S$1256,B68,Database!$N$4:$N$1256)</f>
        <v>16790</v>
      </c>
      <c r="E68" s="126">
        <f t="shared" si="8"/>
        <v>8395</v>
      </c>
      <c r="F68" s="330">
        <f>IFERROR(C68/COUNTIF(Database!$S$4:$S$1256,"&lt;&gt;"),0)</f>
        <v>2.2909507445589921E-3</v>
      </c>
      <c r="G68" s="124" t="str">
        <f>IFERROR(INDEX(Database!$H$4:$H$1256,MATCH(_xlfn.MAXIFS(Database!$B$4:$B$1256,Database!$S$4:$S$1256,B68),Database!$B$4:$B$1256,0)),"")</f>
        <v>PT. KASMAR MATANO PERSADA</v>
      </c>
    </row>
    <row r="69" spans="2:7" x14ac:dyDescent="0.2">
      <c r="B69" s="215" t="s">
        <v>1738</v>
      </c>
      <c r="C69" s="217">
        <f>COUNTIF(Database!$S$4:$S$1256,B69)</f>
        <v>1</v>
      </c>
      <c r="D69" s="217">
        <f>SUMIF(Database!$S$4:$S$1256,B69,Database!$N$4:$N$1256)</f>
        <v>10080</v>
      </c>
      <c r="E69" s="217">
        <f t="shared" si="8"/>
        <v>10080</v>
      </c>
      <c r="F69" s="334">
        <f>IFERROR(C69/COUNTIF(Database!$S$4:$S$1256,"&lt;&gt;"),0)</f>
        <v>1.145475372279496E-3</v>
      </c>
      <c r="G69" s="215" t="str">
        <f>IFERROR(INDEX(Database!$H$4:$H$1256,MATCH(_xlfn.MAXIFS(Database!$B$4:$B$1256,Database!$S$4:$S$1256,B69),Database!$B$4:$B$1256,0)),"")</f>
        <v>PT. KASMAR MATANO PERSADA</v>
      </c>
    </row>
    <row r="70" spans="2:7" x14ac:dyDescent="0.2">
      <c r="B70" s="124" t="s">
        <v>1372</v>
      </c>
      <c r="C70" s="126">
        <f>COUNTIF(Database!$S$4:$S$1256,B70)</f>
        <v>111</v>
      </c>
      <c r="D70" s="126">
        <f>SUMIF(Database!$S$4:$S$1256,B70,Database!$N$4:$N$1256)</f>
        <v>3132550</v>
      </c>
      <c r="E70" s="126">
        <f t="shared" si="8"/>
        <v>28221.171171171172</v>
      </c>
      <c r="F70" s="330">
        <f>IFERROR(C70/COUNTIF(Database!$S$4:$S$1256,"&lt;&gt;"),0)</f>
        <v>0.12714776632302405</v>
      </c>
      <c r="G70" s="124" t="str">
        <f>IFERROR(INDEX(Database!$H$4:$H$1256,MATCH(_xlfn.MAXIFS(Database!$B$4:$B$1256,Database!$S$4:$S$1256,B70),Database!$B$4:$B$1256,0)),"")</f>
        <v>PT. KASMAR MATANO PERSADA</v>
      </c>
    </row>
    <row r="71" spans="2:7" x14ac:dyDescent="0.2">
      <c r="B71" s="215" t="s">
        <v>1521</v>
      </c>
      <c r="C71" s="217">
        <f>COUNTIF(Database!$S$4:$S$1256,B71)</f>
        <v>6</v>
      </c>
      <c r="D71" s="217">
        <f>SUMIF(Database!$S$4:$S$1256,B71,Database!$N$4:$N$1256)</f>
        <v>55440</v>
      </c>
      <c r="E71" s="217">
        <f t="shared" si="8"/>
        <v>9240</v>
      </c>
      <c r="F71" s="334">
        <f>IFERROR(C71/COUNTIF(Database!$S$4:$S$1256,"&lt;&gt;"),0)</f>
        <v>6.8728522336769758E-3</v>
      </c>
      <c r="G71" s="215" t="str">
        <f>IFERROR(INDEX(Database!$H$4:$H$1256,MATCH(_xlfn.MAXIFS(Database!$B$4:$B$1256,Database!$S$4:$S$1256,B71),Database!$B$4:$B$1256,0)),"")</f>
        <v>PT. KASMAR MATANO PERSADA</v>
      </c>
    </row>
    <row r="72" spans="2:7" x14ac:dyDescent="0.2">
      <c r="B72" s="124" t="s">
        <v>1499</v>
      </c>
      <c r="C72" s="126">
        <f>COUNTIF(Database!$S$4:$S$1256,B72)</f>
        <v>129</v>
      </c>
      <c r="D72" s="126">
        <f>SUMIF(Database!$S$4:$S$1256,B72,Database!$N$4:$N$1256)</f>
        <v>3640730</v>
      </c>
      <c r="E72" s="126">
        <f t="shared" si="8"/>
        <v>28222.713178294573</v>
      </c>
      <c r="F72" s="330">
        <f>IFERROR(C72/COUNTIF(Database!$S$4:$S$1256,"&lt;&gt;"),0)</f>
        <v>0.14776632302405499</v>
      </c>
      <c r="G72" s="124" t="str">
        <f>IFERROR(INDEX(Database!$H$4:$H$1256,MATCH(_xlfn.MAXIFS(Database!$B$4:$B$1256,Database!$S$4:$S$1256,B72),Database!$B$4:$B$1256,0)),"")</f>
        <v>PT. KASMAR MATANO PERSADA</v>
      </c>
    </row>
    <row r="73" spans="2:7" x14ac:dyDescent="0.2">
      <c r="B73" s="215" t="s">
        <v>1381</v>
      </c>
      <c r="C73" s="217">
        <f>COUNTIF(Database!$S$4:$S$1256,B73)</f>
        <v>5</v>
      </c>
      <c r="D73" s="217">
        <f>SUMIF(Database!$S$4:$S$1256,B73,Database!$N$4:$N$1256)</f>
        <v>47150</v>
      </c>
      <c r="E73" s="217">
        <f t="shared" si="8"/>
        <v>9430</v>
      </c>
      <c r="F73" s="334">
        <f>IFERROR(C73/COUNTIF(Database!$S$4:$S$1256,"&lt;&gt;"),0)</f>
        <v>5.7273768613974796E-3</v>
      </c>
      <c r="G73" s="215" t="str">
        <f>IFERROR(INDEX(Database!$H$4:$H$1256,MATCH(_xlfn.MAXIFS(Database!$B$4:$B$1256,Database!$S$4:$S$1256,B73),Database!$B$4:$B$1256,0)),"")</f>
        <v>PT. KASMAR MATANO PERSADA</v>
      </c>
    </row>
    <row r="74" spans="2:7" x14ac:dyDescent="0.2">
      <c r="B74" s="124" t="s">
        <v>1396</v>
      </c>
      <c r="C74" s="126">
        <f>COUNTIF(Database!$S$4:$S$1256,B74)</f>
        <v>4</v>
      </c>
      <c r="D74" s="126">
        <f>SUMIF(Database!$S$4:$S$1256,B74,Database!$N$4:$N$1256)</f>
        <v>38370</v>
      </c>
      <c r="E74" s="126">
        <f t="shared" si="8"/>
        <v>9592.5</v>
      </c>
      <c r="F74" s="330">
        <f>IFERROR(C74/COUNTIF(Database!$S$4:$S$1256,"&lt;&gt;"),0)</f>
        <v>4.5819014891179842E-3</v>
      </c>
      <c r="G74" s="124" t="str">
        <f>IFERROR(INDEX(Database!$H$4:$H$1256,MATCH(_xlfn.MAXIFS(Database!$B$4:$B$1256,Database!$S$4:$S$1256,B74),Database!$B$4:$B$1256,0)),"")</f>
        <v>PT. KASMAR MATANO PERSADA</v>
      </c>
    </row>
    <row r="75" spans="2:7" x14ac:dyDescent="0.2">
      <c r="B75" s="215" t="s">
        <v>1737</v>
      </c>
      <c r="C75" s="217">
        <f>COUNTIF(Database!$S$4:$S$1256,B75)</f>
        <v>2</v>
      </c>
      <c r="D75" s="217">
        <f>SUMIF(Database!$S$4:$S$1256,B75,Database!$N$4:$N$1256)</f>
        <v>18020</v>
      </c>
      <c r="E75" s="217">
        <f t="shared" ref="E75:E106" si="9">IFERROR(D75/C75,0)</f>
        <v>9010</v>
      </c>
      <c r="F75" s="334">
        <f>IFERROR(C75/COUNTIF(Database!$S$4:$S$1256,"&lt;&gt;"),0)</f>
        <v>2.2909507445589921E-3</v>
      </c>
      <c r="G75" s="215" t="str">
        <f>IFERROR(INDEX(Database!$H$4:$H$1256,MATCH(_xlfn.MAXIFS(Database!$B$4:$B$1256,Database!$S$4:$S$1256,B75),Database!$B$4:$B$1256,0)),"")</f>
        <v>PT. KASMAR MATANO PERSADA</v>
      </c>
    </row>
    <row r="76" spans="2:7" x14ac:dyDescent="0.2">
      <c r="B76" s="124" t="s">
        <v>1617</v>
      </c>
      <c r="C76" s="126">
        <f>COUNTIF(Database!$S$4:$S$1256,B76)</f>
        <v>1</v>
      </c>
      <c r="D76" s="126">
        <f>SUMIF(Database!$S$4:$S$1256,B76,Database!$N$4:$N$1256)</f>
        <v>9720</v>
      </c>
      <c r="E76" s="126">
        <f t="shared" si="9"/>
        <v>9720</v>
      </c>
      <c r="F76" s="330">
        <f>IFERROR(C76/COUNTIF(Database!$S$4:$S$1256,"&lt;&gt;"),0)</f>
        <v>1.145475372279496E-3</v>
      </c>
      <c r="G76" s="124" t="str">
        <f>IFERROR(INDEX(Database!$H$4:$H$1256,MATCH(_xlfn.MAXIFS(Database!$B$4:$B$1256,Database!$S$4:$S$1256,B76),Database!$B$4:$B$1256,0)),"")</f>
        <v>PT. KASMAR MATANO PERSADA</v>
      </c>
    </row>
    <row r="77" spans="2:7" x14ac:dyDescent="0.2">
      <c r="B77" s="215" t="s">
        <v>1394</v>
      </c>
      <c r="C77" s="217">
        <f>COUNTIF(Database!$S$4:$S$1256,B77)</f>
        <v>1</v>
      </c>
      <c r="D77" s="217">
        <f>SUMIF(Database!$S$4:$S$1256,B77,Database!$N$4:$N$1256)</f>
        <v>23600</v>
      </c>
      <c r="E77" s="217">
        <f t="shared" si="9"/>
        <v>23600</v>
      </c>
      <c r="F77" s="334">
        <f>IFERROR(C77/COUNTIF(Database!$S$4:$S$1256,"&lt;&gt;"),0)</f>
        <v>1.145475372279496E-3</v>
      </c>
      <c r="G77" s="215" t="str">
        <f>IFERROR(INDEX(Database!$H$4:$H$1256,MATCH(_xlfn.MAXIFS(Database!$B$4:$B$1256,Database!$S$4:$S$1256,B77),Database!$B$4:$B$1256,0)),"")</f>
        <v>PT. KASMAR MATANO PERSADA</v>
      </c>
    </row>
    <row r="78" spans="2:7" x14ac:dyDescent="0.2">
      <c r="B78" s="124" t="s">
        <v>1477</v>
      </c>
      <c r="C78" s="126">
        <f>COUNTIF(Database!$S$4:$S$1256,B78)</f>
        <v>4</v>
      </c>
      <c r="D78" s="126">
        <f>SUMIF(Database!$S$4:$S$1256,B78,Database!$N$4:$N$1256)</f>
        <v>38590</v>
      </c>
      <c r="E78" s="126">
        <f t="shared" si="9"/>
        <v>9647.5</v>
      </c>
      <c r="F78" s="330">
        <f>IFERROR(C78/COUNTIF(Database!$S$4:$S$1256,"&lt;&gt;"),0)</f>
        <v>4.5819014891179842E-3</v>
      </c>
      <c r="G78" s="124" t="str">
        <f>IFERROR(INDEX(Database!$H$4:$H$1256,MATCH(_xlfn.MAXIFS(Database!$B$4:$B$1256,Database!$S$4:$S$1256,B78),Database!$B$4:$B$1256,0)),"")</f>
        <v>PT. KASMAR MATANO PERSADA</v>
      </c>
    </row>
    <row r="79" spans="2:7" x14ac:dyDescent="0.2">
      <c r="B79" s="215" t="s">
        <v>1518</v>
      </c>
      <c r="C79" s="217">
        <f>COUNTIF(Database!$S$4:$S$1256,B79)</f>
        <v>4</v>
      </c>
      <c r="D79" s="217">
        <f>SUMIF(Database!$S$4:$S$1256,B79,Database!$N$4:$N$1256)</f>
        <v>37000</v>
      </c>
      <c r="E79" s="217">
        <f t="shared" si="9"/>
        <v>9250</v>
      </c>
      <c r="F79" s="334">
        <f>IFERROR(C79/COUNTIF(Database!$S$4:$S$1256,"&lt;&gt;"),0)</f>
        <v>4.5819014891179842E-3</v>
      </c>
      <c r="G79" s="215" t="str">
        <f>IFERROR(INDEX(Database!$H$4:$H$1256,MATCH(_xlfn.MAXIFS(Database!$B$4:$B$1256,Database!$S$4:$S$1256,B79),Database!$B$4:$B$1256,0)),"")</f>
        <v>PT. KASMAR MATANO PERSADA</v>
      </c>
    </row>
    <row r="80" spans="2:7" x14ac:dyDescent="0.2">
      <c r="B80" s="124" t="s">
        <v>1520</v>
      </c>
      <c r="C80" s="126">
        <f>COUNTIF(Database!$S$4:$S$1256,B80)</f>
        <v>4</v>
      </c>
      <c r="D80" s="126">
        <f>SUMIF(Database!$S$4:$S$1256,B80,Database!$N$4:$N$1256)</f>
        <v>38780</v>
      </c>
      <c r="E80" s="126">
        <f t="shared" si="9"/>
        <v>9695</v>
      </c>
      <c r="F80" s="330">
        <f>IFERROR(C80/COUNTIF(Database!$S$4:$S$1256,"&lt;&gt;"),0)</f>
        <v>4.5819014891179842E-3</v>
      </c>
      <c r="G80" s="124" t="str">
        <f>IFERROR(INDEX(Database!$H$4:$H$1256,MATCH(_xlfn.MAXIFS(Database!$B$4:$B$1256,Database!$S$4:$S$1256,B80),Database!$B$4:$B$1256,0)),"")</f>
        <v>PT. KASMAR MATANO PERSADA</v>
      </c>
    </row>
    <row r="81" spans="2:7" x14ac:dyDescent="0.2">
      <c r="B81" s="215" t="s">
        <v>1465</v>
      </c>
      <c r="C81" s="217">
        <f>COUNTIF(Database!$S$4:$S$1256,B81)</f>
        <v>30</v>
      </c>
      <c r="D81" s="217">
        <f>SUMIF(Database!$S$4:$S$1256,B81,Database!$N$4:$N$1256)</f>
        <v>272940</v>
      </c>
      <c r="E81" s="217">
        <f t="shared" si="9"/>
        <v>9098</v>
      </c>
      <c r="F81" s="334">
        <f>IFERROR(C81/COUNTIF(Database!$S$4:$S$1256,"&lt;&gt;"),0)</f>
        <v>3.4364261168384883E-2</v>
      </c>
      <c r="G81" s="215" t="str">
        <f>IFERROR(INDEX(Database!$H$4:$H$1256,MATCH(_xlfn.MAXIFS(Database!$B$4:$B$1256,Database!$S$4:$S$1256,B81),Database!$B$4:$B$1256,0)),"")</f>
        <v>PT. KASMAR MATANO PERSADA</v>
      </c>
    </row>
    <row r="82" spans="2:7" x14ac:dyDescent="0.2">
      <c r="B82" s="124" t="s">
        <v>1469</v>
      </c>
      <c r="C82" s="126">
        <f>COUNTIF(Database!$S$4:$S$1256,B82)</f>
        <v>1</v>
      </c>
      <c r="D82" s="126">
        <f>SUMIF(Database!$S$4:$S$1256,B82,Database!$N$4:$N$1256)</f>
        <v>9370</v>
      </c>
      <c r="E82" s="126">
        <f t="shared" si="9"/>
        <v>9370</v>
      </c>
      <c r="F82" s="330">
        <f>IFERROR(C82/COUNTIF(Database!$S$4:$S$1256,"&lt;&gt;"),0)</f>
        <v>1.145475372279496E-3</v>
      </c>
      <c r="G82" s="124" t="str">
        <f>IFERROR(INDEX(Database!$H$4:$H$1256,MATCH(_xlfn.MAXIFS(Database!$B$4:$B$1256,Database!$S$4:$S$1256,B82),Database!$B$4:$B$1256,0)),"")</f>
        <v>PT. KASMAR MATANO PERSADA</v>
      </c>
    </row>
    <row r="83" spans="2:7" x14ac:dyDescent="0.2">
      <c r="B83" s="215" t="s">
        <v>1468</v>
      </c>
      <c r="C83" s="217">
        <f>COUNTIF(Database!$S$4:$S$1256,B83)</f>
        <v>3</v>
      </c>
      <c r="D83" s="217">
        <f>SUMIF(Database!$S$4:$S$1256,B83,Database!$N$4:$N$1256)</f>
        <v>27670</v>
      </c>
      <c r="E83" s="217">
        <f t="shared" si="9"/>
        <v>9223.3333333333339</v>
      </c>
      <c r="F83" s="334">
        <f>IFERROR(C83/COUNTIF(Database!$S$4:$S$1256,"&lt;&gt;"),0)</f>
        <v>3.4364261168384879E-3</v>
      </c>
      <c r="G83" s="215" t="str">
        <f>IFERROR(INDEX(Database!$H$4:$H$1256,MATCH(_xlfn.MAXIFS(Database!$B$4:$B$1256,Database!$S$4:$S$1256,B83),Database!$B$4:$B$1256,0)),"")</f>
        <v>PT. KASMAR MATANO PERSADA</v>
      </c>
    </row>
    <row r="84" spans="2:7" x14ac:dyDescent="0.2">
      <c r="B84" s="124" t="s">
        <v>1378</v>
      </c>
      <c r="C84" s="126">
        <f>COUNTIF(Database!$S$4:$S$1256,B84)</f>
        <v>8</v>
      </c>
      <c r="D84" s="126">
        <f>SUMIF(Database!$S$4:$S$1256,B84,Database!$N$4:$N$1256)</f>
        <v>76210</v>
      </c>
      <c r="E84" s="126">
        <f t="shared" si="9"/>
        <v>9526.25</v>
      </c>
      <c r="F84" s="330">
        <f>IFERROR(C84/COUNTIF(Database!$S$4:$S$1256,"&lt;&gt;"),0)</f>
        <v>9.1638029782359683E-3</v>
      </c>
      <c r="G84" s="124" t="str">
        <f>IFERROR(INDEX(Database!$H$4:$H$1256,MATCH(_xlfn.MAXIFS(Database!$B$4:$B$1256,Database!$S$4:$S$1256,B84),Database!$B$4:$B$1256,0)),"")</f>
        <v>PT. KASMAR MATANO PERSADA</v>
      </c>
    </row>
    <row r="85" spans="2:7" x14ac:dyDescent="0.2">
      <c r="B85" s="215" t="s">
        <v>1375</v>
      </c>
      <c r="C85" s="217">
        <f>COUNTIF(Database!$S$4:$S$1256,B85)</f>
        <v>1</v>
      </c>
      <c r="D85" s="217">
        <f>SUMIF(Database!$S$4:$S$1256,B85,Database!$N$4:$N$1256)</f>
        <v>10150</v>
      </c>
      <c r="E85" s="217">
        <f t="shared" si="9"/>
        <v>10150</v>
      </c>
      <c r="F85" s="334">
        <f>IFERROR(C85/COUNTIF(Database!$S$4:$S$1256,"&lt;&gt;"),0)</f>
        <v>1.145475372279496E-3</v>
      </c>
      <c r="G85" s="215" t="str">
        <f>IFERROR(INDEX(Database!$H$4:$H$1256,MATCH(_xlfn.MAXIFS(Database!$B$4:$B$1256,Database!$S$4:$S$1256,B85),Database!$B$4:$B$1256,0)),"")</f>
        <v>PT. KASMAR MATANO PERSADA</v>
      </c>
    </row>
    <row r="86" spans="2:7" x14ac:dyDescent="0.2">
      <c r="B86" s="124" t="s">
        <v>1480</v>
      </c>
      <c r="C86" s="126">
        <f>COUNTIF(Database!$S$4:$S$1256,B86)</f>
        <v>1</v>
      </c>
      <c r="D86" s="126">
        <f>SUMIF(Database!$S$4:$S$1256,B86,Database!$N$4:$N$1256)</f>
        <v>10160</v>
      </c>
      <c r="E86" s="126">
        <f t="shared" si="9"/>
        <v>10160</v>
      </c>
      <c r="F86" s="330">
        <f>IFERROR(C86/COUNTIF(Database!$S$4:$S$1256,"&lt;&gt;"),0)</f>
        <v>1.145475372279496E-3</v>
      </c>
      <c r="G86" s="124" t="str">
        <f>IFERROR(INDEX(Database!$H$4:$H$1256,MATCH(_xlfn.MAXIFS(Database!$B$4:$B$1256,Database!$S$4:$S$1256,B86),Database!$B$4:$B$1256,0)),"")</f>
        <v>PT. KASMAR MATANO PERSADA</v>
      </c>
    </row>
    <row r="87" spans="2:7" x14ac:dyDescent="0.2">
      <c r="B87" s="215" t="s">
        <v>1634</v>
      </c>
      <c r="C87" s="217">
        <f>COUNTIF(Database!$S$4:$S$1256,B87)</f>
        <v>3</v>
      </c>
      <c r="D87" s="217">
        <f>SUMIF(Database!$S$4:$S$1256,B87,Database!$N$4:$N$1256)</f>
        <v>28020</v>
      </c>
      <c r="E87" s="217">
        <f t="shared" si="9"/>
        <v>9340</v>
      </c>
      <c r="F87" s="334">
        <f>IFERROR(C87/COUNTIF(Database!$S$4:$S$1256,"&lt;&gt;"),0)</f>
        <v>3.4364261168384879E-3</v>
      </c>
      <c r="G87" s="215" t="str">
        <f>IFERROR(INDEX(Database!$H$4:$H$1256,MATCH(_xlfn.MAXIFS(Database!$B$4:$B$1256,Database!$S$4:$S$1256,B87),Database!$B$4:$B$1256,0)),"")</f>
        <v>PT. KASMAR MATANO PERSADA</v>
      </c>
    </row>
    <row r="88" spans="2:7" x14ac:dyDescent="0.2">
      <c r="B88" s="124" t="s">
        <v>1388</v>
      </c>
      <c r="C88" s="126">
        <f>COUNTIF(Database!$S$4:$S$1256,B88)</f>
        <v>12</v>
      </c>
      <c r="D88" s="126">
        <f>SUMIF(Database!$S$4:$S$1256,B88,Database!$N$4:$N$1256)</f>
        <v>113620</v>
      </c>
      <c r="E88" s="126">
        <f t="shared" si="9"/>
        <v>9468.3333333333339</v>
      </c>
      <c r="F88" s="330">
        <f>IFERROR(C88/COUNTIF(Database!$S$4:$S$1256,"&lt;&gt;"),0)</f>
        <v>1.3745704467353952E-2</v>
      </c>
      <c r="G88" s="124" t="str">
        <f>IFERROR(INDEX(Database!$H$4:$H$1256,MATCH(_xlfn.MAXIFS(Database!$B$4:$B$1256,Database!$S$4:$S$1256,B88),Database!$B$4:$B$1256,0)),"")</f>
        <v>PT. KASMAR MATANO PERSADA</v>
      </c>
    </row>
    <row r="89" spans="2:7" x14ac:dyDescent="0.2">
      <c r="B89" s="215" t="s">
        <v>1736</v>
      </c>
      <c r="C89" s="217">
        <f>COUNTIF(Database!$S$4:$S$1256,B89)</f>
        <v>1</v>
      </c>
      <c r="D89" s="217">
        <f>SUMIF(Database!$S$4:$S$1256,B89,Database!$N$4:$N$1256)</f>
        <v>10090</v>
      </c>
      <c r="E89" s="217">
        <f t="shared" si="9"/>
        <v>10090</v>
      </c>
      <c r="F89" s="334">
        <f>IFERROR(C89/COUNTIF(Database!$S$4:$S$1256,"&lt;&gt;"),0)</f>
        <v>1.145475372279496E-3</v>
      </c>
      <c r="G89" s="215" t="str">
        <f>IFERROR(INDEX(Database!$H$4:$H$1256,MATCH(_xlfn.MAXIFS(Database!$B$4:$B$1256,Database!$S$4:$S$1256,B89),Database!$B$4:$B$1256,0)),"")</f>
        <v>PT. KASMAR MATANO PERSADA</v>
      </c>
    </row>
    <row r="90" spans="2:7" x14ac:dyDescent="0.2">
      <c r="B90" s="124" t="s">
        <v>1470</v>
      </c>
      <c r="C90" s="126">
        <f>COUNTIF(Database!$S$4:$S$1256,B90)</f>
        <v>1</v>
      </c>
      <c r="D90" s="126">
        <f>SUMIF(Database!$S$4:$S$1256,B90,Database!$N$4:$N$1256)</f>
        <v>9140</v>
      </c>
      <c r="E90" s="126">
        <f t="shared" si="9"/>
        <v>9140</v>
      </c>
      <c r="F90" s="330">
        <f>IFERROR(C90/COUNTIF(Database!$S$4:$S$1256,"&lt;&gt;"),0)</f>
        <v>1.145475372279496E-3</v>
      </c>
      <c r="G90" s="124" t="str">
        <f>IFERROR(INDEX(Database!$H$4:$H$1256,MATCH(_xlfn.MAXIFS(Database!$B$4:$B$1256,Database!$S$4:$S$1256,B90),Database!$B$4:$B$1256,0)),"")</f>
        <v>PT. KASMAR MATANO PERSADA</v>
      </c>
    </row>
    <row r="91" spans="2:7" x14ac:dyDescent="0.2">
      <c r="B91" s="215" t="s">
        <v>1478</v>
      </c>
      <c r="C91" s="217">
        <f>COUNTIF(Database!$S$4:$S$1256,B91)</f>
        <v>1</v>
      </c>
      <c r="D91" s="217">
        <f>SUMIF(Database!$S$4:$S$1256,B91,Database!$N$4:$N$1256)</f>
        <v>10390</v>
      </c>
      <c r="E91" s="217">
        <f t="shared" si="9"/>
        <v>10390</v>
      </c>
      <c r="F91" s="334">
        <f>IFERROR(C91/COUNTIF(Database!$S$4:$S$1256,"&lt;&gt;"),0)</f>
        <v>1.145475372279496E-3</v>
      </c>
      <c r="G91" s="215" t="str">
        <f>IFERROR(INDEX(Database!$H$4:$H$1256,MATCH(_xlfn.MAXIFS(Database!$B$4:$B$1256,Database!$S$4:$S$1256,B91),Database!$B$4:$B$1256,0)),"")</f>
        <v>PT. KASMAR MATANO PERSADA</v>
      </c>
    </row>
    <row r="92" spans="2:7" x14ac:dyDescent="0.2">
      <c r="B92" s="124" t="s">
        <v>1395</v>
      </c>
      <c r="C92" s="126">
        <f>COUNTIF(Database!$S$4:$S$1256,B92)</f>
        <v>2</v>
      </c>
      <c r="D92" s="126">
        <f>SUMIF(Database!$S$4:$S$1256,B92,Database!$N$4:$N$1256)</f>
        <v>20250</v>
      </c>
      <c r="E92" s="126">
        <f t="shared" si="9"/>
        <v>10125</v>
      </c>
      <c r="F92" s="330">
        <f>IFERROR(C92/COUNTIF(Database!$S$4:$S$1256,"&lt;&gt;"),0)</f>
        <v>2.2909507445589921E-3</v>
      </c>
      <c r="G92" s="124" t="str">
        <f>IFERROR(INDEX(Database!$H$4:$H$1256,MATCH(_xlfn.MAXIFS(Database!$B$4:$B$1256,Database!$S$4:$S$1256,B92),Database!$B$4:$B$1256,0)),"")</f>
        <v>PT. KASMAR MATANO PERSADA</v>
      </c>
    </row>
    <row r="93" spans="2:7" x14ac:dyDescent="0.2">
      <c r="B93" s="215" t="s">
        <v>1781</v>
      </c>
      <c r="C93" s="217">
        <f>COUNTIF(Database!$S$4:$S$1256,B93)</f>
        <v>124</v>
      </c>
      <c r="D93" s="217">
        <f>SUMIF(Database!$S$4:$S$1256,B93,Database!$N$4:$N$1256)</f>
        <v>1767470</v>
      </c>
      <c r="E93" s="217">
        <f t="shared" si="9"/>
        <v>14253.790322580646</v>
      </c>
      <c r="F93" s="334">
        <f>IFERROR(C93/COUNTIF(Database!$S$4:$S$1256,"&lt;&gt;"),0)</f>
        <v>0.1420389461626575</v>
      </c>
      <c r="G93" s="215" t="str">
        <f>IFERROR(INDEX(Database!$H$4:$H$1256,MATCH(_xlfn.MAXIFS(Database!$B$4:$B$1256,Database!$S$4:$S$1256,B93),Database!$B$4:$B$1256,0)),"")</f>
        <v>PT. KASMAR MATANO PERSADA</v>
      </c>
    </row>
    <row r="94" spans="2:7" x14ac:dyDescent="0.2">
      <c r="B94" s="124" t="s">
        <v>1635</v>
      </c>
      <c r="C94" s="126">
        <f>COUNTIF(Database!$S$4:$S$1256,B94)</f>
        <v>2</v>
      </c>
      <c r="D94" s="126">
        <f>SUMIF(Database!$S$4:$S$1256,B94,Database!$N$4:$N$1256)</f>
        <v>19520</v>
      </c>
      <c r="E94" s="126">
        <f t="shared" si="9"/>
        <v>9760</v>
      </c>
      <c r="F94" s="330">
        <f>IFERROR(C94/COUNTIF(Database!$S$4:$S$1256,"&lt;&gt;"),0)</f>
        <v>2.2909507445589921E-3</v>
      </c>
      <c r="G94" s="124" t="str">
        <f>IFERROR(INDEX(Database!$H$4:$H$1256,MATCH(_xlfn.MAXIFS(Database!$B$4:$B$1256,Database!$S$4:$S$1256,B94),Database!$B$4:$B$1256,0)),"")</f>
        <v>PT. KASMAR MATANO PERSADA</v>
      </c>
    </row>
    <row r="95" spans="2:7" x14ac:dyDescent="0.2">
      <c r="B95" s="215" t="s">
        <v>1616</v>
      </c>
      <c r="C95" s="217">
        <f>COUNTIF(Database!$S$4:$S$1256,B95)</f>
        <v>1</v>
      </c>
      <c r="D95" s="217">
        <f>SUMIF(Database!$S$4:$S$1256,B95,Database!$N$4:$N$1256)</f>
        <v>9630</v>
      </c>
      <c r="E95" s="217">
        <f t="shared" si="9"/>
        <v>9630</v>
      </c>
      <c r="F95" s="334">
        <f>IFERROR(C95/COUNTIF(Database!$S$4:$S$1256,"&lt;&gt;"),0)</f>
        <v>1.145475372279496E-3</v>
      </c>
      <c r="G95" s="215" t="str">
        <f>IFERROR(INDEX(Database!$H$4:$H$1256,MATCH(_xlfn.MAXIFS(Database!$B$4:$B$1256,Database!$S$4:$S$1256,B95),Database!$B$4:$B$1256,0)),"")</f>
        <v>PT. KASMAR MATANO PERSADA</v>
      </c>
    </row>
    <row r="96" spans="2:7" x14ac:dyDescent="0.2">
      <c r="B96" s="124" t="s">
        <v>1479</v>
      </c>
      <c r="C96" s="126">
        <f>COUNTIF(Database!$S$4:$S$1256,B96)</f>
        <v>1</v>
      </c>
      <c r="D96" s="126">
        <f>SUMIF(Database!$S$4:$S$1256,B96,Database!$N$4:$N$1256)</f>
        <v>8510</v>
      </c>
      <c r="E96" s="126">
        <f t="shared" si="9"/>
        <v>8510</v>
      </c>
      <c r="F96" s="330">
        <f>IFERROR(C96/COUNTIF(Database!$S$4:$S$1256,"&lt;&gt;"),0)</f>
        <v>1.145475372279496E-3</v>
      </c>
      <c r="G96" s="124" t="str">
        <f>IFERROR(INDEX(Database!$H$4:$H$1256,MATCH(_xlfn.MAXIFS(Database!$B$4:$B$1256,Database!$S$4:$S$1256,B96),Database!$B$4:$B$1256,0)),"")</f>
        <v>PT. KASMAR MATANO PERSADA</v>
      </c>
    </row>
    <row r="97" spans="2:9" x14ac:dyDescent="0.2">
      <c r="B97" s="215" t="s">
        <v>1633</v>
      </c>
      <c r="C97" s="217">
        <f>COUNTIF(Database!$S$4:$S$1256,B97)</f>
        <v>2</v>
      </c>
      <c r="D97" s="217">
        <f>SUMIF(Database!$S$4:$S$1256,B97,Database!$N$4:$N$1256)</f>
        <v>18720</v>
      </c>
      <c r="E97" s="217">
        <f t="shared" si="9"/>
        <v>9360</v>
      </c>
      <c r="F97" s="334">
        <f>IFERROR(C97/COUNTIF(Database!$S$4:$S$1256,"&lt;&gt;"),0)</f>
        <v>2.2909507445589921E-3</v>
      </c>
      <c r="G97" s="215" t="str">
        <f>IFERROR(INDEX(Database!$H$4:$H$1256,MATCH(_xlfn.MAXIFS(Database!$B$4:$B$1256,Database!$S$4:$S$1256,B97),Database!$B$4:$B$1256,0)),"")</f>
        <v>PT. KASMAR MATANO PERSADA</v>
      </c>
    </row>
    <row r="98" spans="2:9" x14ac:dyDescent="0.2">
      <c r="B98" s="124" t="s">
        <v>1384</v>
      </c>
      <c r="C98" s="126">
        <f>COUNTIF(Database!$S$4:$S$1256,B98)</f>
        <v>16</v>
      </c>
      <c r="D98" s="126">
        <f>SUMIF(Database!$S$4:$S$1256,B98,Database!$N$4:$N$1256)</f>
        <v>151510</v>
      </c>
      <c r="E98" s="126">
        <f t="shared" si="9"/>
        <v>9469.375</v>
      </c>
      <c r="F98" s="330">
        <f>IFERROR(C98/COUNTIF(Database!$S$4:$S$1256,"&lt;&gt;"),0)</f>
        <v>1.8327605956471937E-2</v>
      </c>
      <c r="G98" s="124" t="str">
        <f>IFERROR(INDEX(Database!$H$4:$H$1256,MATCH(_xlfn.MAXIFS(Database!$B$4:$B$1256,Database!$S$4:$S$1256,B98),Database!$B$4:$B$1256,0)),"")</f>
        <v>PT. KASMAR MATANO PERSADA</v>
      </c>
    </row>
    <row r="99" spans="2:9" x14ac:dyDescent="0.2">
      <c r="B99" s="215" t="s">
        <v>1376</v>
      </c>
      <c r="C99" s="217">
        <f>COUNTIF(Database!$S$4:$S$1256,B99)</f>
        <v>11</v>
      </c>
      <c r="D99" s="217">
        <f>SUMIF(Database!$S$4:$S$1256,B99,Database!$N$4:$N$1256)</f>
        <v>105380</v>
      </c>
      <c r="E99" s="217">
        <f t="shared" si="9"/>
        <v>9580</v>
      </c>
      <c r="F99" s="334">
        <f>IFERROR(C99/COUNTIF(Database!$S$4:$S$1256,"&lt;&gt;"),0)</f>
        <v>1.2600229095074456E-2</v>
      </c>
      <c r="G99" s="215" t="str">
        <f>IFERROR(INDEX(Database!$H$4:$H$1256,MATCH(_xlfn.MAXIFS(Database!$B$4:$B$1256,Database!$S$4:$S$1256,B99),Database!$B$4:$B$1256,0)),"")</f>
        <v>PT. KASMAR MATANO PERSADA</v>
      </c>
    </row>
    <row r="100" spans="2:9" x14ac:dyDescent="0.2">
      <c r="B100" s="124" t="s">
        <v>1393</v>
      </c>
      <c r="C100" s="126">
        <f>COUNTIF(Database!$S$4:$S$1256,B100)</f>
        <v>116</v>
      </c>
      <c r="D100" s="126">
        <f>SUMIF(Database!$S$4:$S$1256,B100,Database!$N$4:$N$1256)</f>
        <v>1685620</v>
      </c>
      <c r="E100" s="126">
        <f t="shared" si="9"/>
        <v>14531.206896551725</v>
      </c>
      <c r="F100" s="330">
        <f>IFERROR(C100/COUNTIF(Database!$S$4:$S$1256,"&lt;&gt;"),0)</f>
        <v>0.13287514318442153</v>
      </c>
      <c r="G100" s="124" t="str">
        <f>IFERROR(INDEX(Database!$H$4:$H$1256,MATCH(_xlfn.MAXIFS(Database!$B$4:$B$1256,Database!$S$4:$S$1256,B100),Database!$B$4:$B$1256,0)),"")</f>
        <v>PT. KASMAR MATANO PERSADA</v>
      </c>
    </row>
    <row r="101" spans="2:9" x14ac:dyDescent="0.2">
      <c r="B101" s="215" t="s">
        <v>1392</v>
      </c>
      <c r="C101" s="217">
        <f>COUNTIF(Database!$S$4:$S$1256,B101)</f>
        <v>1</v>
      </c>
      <c r="D101" s="217">
        <f>SUMIF(Database!$S$4:$S$1256,B101,Database!$N$4:$N$1256)</f>
        <v>200</v>
      </c>
      <c r="E101" s="217">
        <f t="shared" si="9"/>
        <v>200</v>
      </c>
      <c r="F101" s="334">
        <f>IFERROR(C101/COUNTIF(Database!$S$4:$S$1256,"&lt;&gt;"),0)</f>
        <v>1.145475372279496E-3</v>
      </c>
      <c r="G101" s="215" t="str">
        <f>IFERROR(INDEX(Database!$H$4:$H$1256,MATCH(_xlfn.MAXIFS(Database!$B$4:$B$1256,Database!$S$4:$S$1256,B101),Database!$B$4:$B$1256,0)),"")</f>
        <v>PT. KASMAR MATANO PERSADA</v>
      </c>
    </row>
    <row r="102" spans="2:9" x14ac:dyDescent="0.2">
      <c r="B102" s="124" t="s">
        <v>1734</v>
      </c>
      <c r="C102" s="126">
        <f>COUNTIF(Database!$S$4:$S$1256,B102)</f>
        <v>1</v>
      </c>
      <c r="D102" s="126">
        <f>SUMIF(Database!$S$4:$S$1256,B102,Database!$N$4:$N$1256)</f>
        <v>10090</v>
      </c>
      <c r="E102" s="126">
        <f t="shared" si="9"/>
        <v>10090</v>
      </c>
      <c r="F102" s="330">
        <f>IFERROR(C102/COUNTIF(Database!$S$4:$S$1256,"&lt;&gt;"),0)</f>
        <v>1.145475372279496E-3</v>
      </c>
      <c r="G102" s="124" t="str">
        <f>IFERROR(INDEX(Database!$H$4:$H$1256,MATCH(_xlfn.MAXIFS(Database!$B$4:$B$1256,Database!$S$4:$S$1256,B102),Database!$B$4:$B$1256,0)),"")</f>
        <v>PT. KASMAR MATANO PERSADA</v>
      </c>
    </row>
    <row r="103" spans="2:9" x14ac:dyDescent="0.2">
      <c r="B103" s="215" t="s">
        <v>1476</v>
      </c>
      <c r="C103" s="217">
        <f>COUNTIF(Database!$S$4:$S$1256,B103)</f>
        <v>2</v>
      </c>
      <c r="D103" s="217">
        <f>SUMIF(Database!$S$4:$S$1256,B103,Database!$N$4:$N$1256)</f>
        <v>18800</v>
      </c>
      <c r="E103" s="217">
        <f t="shared" si="9"/>
        <v>9400</v>
      </c>
      <c r="F103" s="334">
        <f>IFERROR(C103/COUNTIF(Database!$S$4:$S$1256,"&lt;&gt;"),0)</f>
        <v>2.2909507445589921E-3</v>
      </c>
      <c r="G103" s="215" t="str">
        <f>IFERROR(INDEX(Database!$H$4:$H$1256,MATCH(_xlfn.MAXIFS(Database!$B$4:$B$1256,Database!$S$4:$S$1256,B103),Database!$B$4:$B$1256,0)),"")</f>
        <v>PT. KASMAR MATANO PERSADA</v>
      </c>
    </row>
    <row r="104" spans="2:9" x14ac:dyDescent="0.2">
      <c r="B104" s="124" t="s">
        <v>1732</v>
      </c>
      <c r="C104" s="126">
        <f>COUNTIF(Database!$S$4:$S$1256,B104)</f>
        <v>1</v>
      </c>
      <c r="D104" s="126">
        <f>SUMIF(Database!$S$4:$S$1256,B104,Database!$N$4:$N$1256)</f>
        <v>7240</v>
      </c>
      <c r="E104" s="126">
        <f t="shared" si="9"/>
        <v>7240</v>
      </c>
      <c r="F104" s="330">
        <f>IFERROR(C104/COUNTIF(Database!$S$4:$S$1256,"&lt;&gt;"),0)</f>
        <v>1.145475372279496E-3</v>
      </c>
      <c r="G104" s="124" t="str">
        <f>IFERROR(INDEX(Database!$H$4:$H$1256,MATCH(_xlfn.MAXIFS(Database!$B$4:$B$1256,Database!$S$4:$S$1256,B104),Database!$B$4:$B$1256,0)),"")</f>
        <v>PT. KASMAR MATANO PERSADA</v>
      </c>
    </row>
    <row r="105" spans="2:9" x14ac:dyDescent="0.2">
      <c r="B105" s="215" t="s">
        <v>1516</v>
      </c>
      <c r="C105" s="217">
        <f>COUNTIF(Database!$S$4:$S$1256,B105)</f>
        <v>5</v>
      </c>
      <c r="D105" s="217">
        <f>SUMIF(Database!$S$4:$S$1256,B105,Database!$N$4:$N$1256)</f>
        <v>48030</v>
      </c>
      <c r="E105" s="217">
        <f t="shared" si="9"/>
        <v>9606</v>
      </c>
      <c r="F105" s="334">
        <f>IFERROR(C105/COUNTIF(Database!$S$4:$S$1256,"&lt;&gt;"),0)</f>
        <v>5.7273768613974796E-3</v>
      </c>
      <c r="G105" s="215" t="str">
        <f>IFERROR(INDEX(Database!$H$4:$H$1256,MATCH(_xlfn.MAXIFS(Database!$B$4:$B$1256,Database!$S$4:$S$1256,B105),Database!$B$4:$B$1256,0)),"")</f>
        <v>PT. KASMAR MATANO PERSADA</v>
      </c>
    </row>
    <row r="106" spans="2:9" x14ac:dyDescent="0.2">
      <c r="B106" s="124" t="s">
        <v>1473</v>
      </c>
      <c r="C106" s="126">
        <f>COUNTIF(Database!$S$4:$S$1256,B106)</f>
        <v>1</v>
      </c>
      <c r="D106" s="126">
        <f>SUMIF(Database!$S$4:$S$1256,B106,Database!$N$4:$N$1256)</f>
        <v>9040</v>
      </c>
      <c r="E106" s="126">
        <f t="shared" si="9"/>
        <v>9040</v>
      </c>
      <c r="F106" s="330">
        <f>IFERROR(C106/COUNTIF(Database!$S$4:$S$1256,"&lt;&gt;"),0)</f>
        <v>1.145475372279496E-3</v>
      </c>
      <c r="G106" s="124" t="str">
        <f>IFERROR(INDEX(Database!$H$4:$H$1256,MATCH(_xlfn.MAXIFS(Database!$B$4:$B$1256,Database!$S$4:$S$1256,B106),Database!$B$4:$B$1256,0)),"")</f>
        <v>PT. KASMAR MATANO PERSADA</v>
      </c>
    </row>
    <row r="107" spans="2:9" x14ac:dyDescent="0.2">
      <c r="B107" s="211" t="s">
        <v>1763</v>
      </c>
      <c r="C107" s="212">
        <f>SUM(C43:C106)</f>
        <v>863</v>
      </c>
      <c r="D107" s="212">
        <f>SUM(D43:D106)</f>
        <v>14343340</v>
      </c>
      <c r="E107" s="212">
        <f>IFERROR(D107/C107,0)</f>
        <v>16620.324449594438</v>
      </c>
      <c r="F107" s="335">
        <f>SUM(F43:F106)</f>
        <v>0.98854524627720453</v>
      </c>
      <c r="G107" s="211"/>
    </row>
    <row r="109" spans="2:9" x14ac:dyDescent="0.2">
      <c r="B109" s="328" t="s">
        <v>1792</v>
      </c>
    </row>
    <row r="110" spans="2:9" x14ac:dyDescent="0.2">
      <c r="B110" s="208" t="s">
        <v>1746</v>
      </c>
      <c r="C110" s="208" t="s">
        <v>1177</v>
      </c>
      <c r="D110" s="208" t="s">
        <v>1750</v>
      </c>
      <c r="E110" s="208" t="s">
        <v>1742</v>
      </c>
      <c r="F110" s="208" t="s">
        <v>1743</v>
      </c>
      <c r="G110" s="208" t="s">
        <v>1777</v>
      </c>
      <c r="H110" s="208" t="s">
        <v>1769</v>
      </c>
      <c r="I110" s="208" t="s">
        <v>1747</v>
      </c>
    </row>
    <row r="111" spans="2:9" x14ac:dyDescent="0.2">
      <c r="B111" s="124" t="s">
        <v>1131</v>
      </c>
      <c r="C111" s="126">
        <f>COUNTIF(Database!$J$4:$J$1256,B111)</f>
        <v>659</v>
      </c>
      <c r="D111" s="330">
        <f>IFERROR(C111/COUNTA(Database!$C$4:$C$1256),0)</f>
        <v>0.52804487179487181</v>
      </c>
      <c r="E111" s="126">
        <f>SUMIF(Database!$J$4:$J$1256,B111,Database!$N$4:$N$1256)</f>
        <v>6283400</v>
      </c>
      <c r="F111" s="126">
        <f>IFERROR(E111/C111,0)</f>
        <v>9534.7496206373289</v>
      </c>
      <c r="G111" s="213">
        <f>IFERROR(AVERAGEIFS(Database!$T$4:$T$1256,Database!$J$4:$J$1256,B111,Database!$T$4:$T$1256,"&gt;"&amp;0),0)</f>
        <v>422.54946727549469</v>
      </c>
      <c r="H111" s="213">
        <f>IFERROR(E111/SUMIFS(Database!$T$4:$T$1256,Database!$J$4:$J$1256,B111,Database!$T$4:$T$1256,"&gt;"&amp;0),0)</f>
        <v>22.633503232894476</v>
      </c>
      <c r="I111" s="330">
        <f>IFERROR(COUNTIFS(Database!$J$4:$J$1256,B111,Database!$I$4:$I$1256,"RBDPL")/C111,0)</f>
        <v>0.45371775417298937</v>
      </c>
    </row>
    <row r="112" spans="2:9" x14ac:dyDescent="0.2">
      <c r="B112" s="124" t="s">
        <v>1132</v>
      </c>
      <c r="C112" s="126">
        <f>COUNTIF(Database!$J$4:$J$1256,B112)</f>
        <v>340</v>
      </c>
      <c r="D112" s="330">
        <f>IFERROR(C112/COUNTA(Database!$C$4:$C$1256),0)</f>
        <v>0.27243589743589741</v>
      </c>
      <c r="E112" s="126">
        <f>SUMIF(Database!$J$4:$J$1256,B112,Database!$N$4:$N$1256)</f>
        <v>4959630</v>
      </c>
      <c r="F112" s="126">
        <f>IFERROR(E112/C112,0)</f>
        <v>14587.14705882353</v>
      </c>
      <c r="G112" s="213">
        <f>IFERROR(AVERAGEIFS(Database!$T$4:$T$1256,Database!$J$4:$J$1256,B112,Database!$T$4:$T$1256,"&gt;"&amp;0),0)</f>
        <v>94.431137724550894</v>
      </c>
      <c r="H112" s="213">
        <f>IFERROR(E112/SUMIFS(Database!$T$4:$T$1256,Database!$J$4:$J$1256,B112,Database!$T$4:$T$1256,"&gt;"&amp;0),0)</f>
        <v>157.24889029803424</v>
      </c>
      <c r="I112" s="330">
        <f>IFERROR(COUNTIFS(Database!$J$4:$J$1256,B112,Database!$I$4:$I$1256,"RBDPL")/C112,0)</f>
        <v>6.4705882352941183E-2</v>
      </c>
    </row>
    <row r="113" spans="2:13" x14ac:dyDescent="0.2">
      <c r="B113" s="124" t="s">
        <v>1133</v>
      </c>
      <c r="C113" s="126">
        <f>COUNTIF(Database!$J$4:$J$1256,B113)</f>
        <v>249</v>
      </c>
      <c r="D113" s="330">
        <f>IFERROR(C113/COUNTA(Database!$C$4:$C$1256),0)</f>
        <v>0.19951923076923078</v>
      </c>
      <c r="E113" s="126">
        <f>SUMIF(Database!$J$4:$J$1256,B113,Database!$N$4:$N$1256)</f>
        <v>6969570</v>
      </c>
      <c r="F113" s="126">
        <f>IFERROR(E113/C113,0)</f>
        <v>27990.24096385542</v>
      </c>
      <c r="G113" s="213">
        <f>IFERROR(AVERAGEIFS(Database!$T$4:$T$1256,Database!$J$4:$J$1256,B113,Database!$T$4:$T$1256,"&gt;"&amp;0),0)</f>
        <v>96.646586345381522</v>
      </c>
      <c r="H113" s="213">
        <f>IFERROR(E113/SUMIFS(Database!$T$4:$T$1256,Database!$J$4:$J$1256,B113,Database!$T$4:$T$1256,"&gt;"&amp;0),0)</f>
        <v>289.6143777269894</v>
      </c>
      <c r="I113" s="330">
        <f>IFERROR(COUNTIFS(Database!$J$4:$J$1256,B113,Database!$I$4:$I$1256,"RBDPL")/C113,0)</f>
        <v>7.6305220883534142E-2</v>
      </c>
    </row>
    <row r="114" spans="2:13" x14ac:dyDescent="0.2">
      <c r="B114" s="211" t="s">
        <v>1122</v>
      </c>
      <c r="C114" s="212">
        <f>SUM(C111:C113)</f>
        <v>1248</v>
      </c>
      <c r="D114" s="335">
        <f>SUM(D111:D113)</f>
        <v>1</v>
      </c>
      <c r="E114" s="212">
        <f>SUM(E111:E113)</f>
        <v>18212600</v>
      </c>
      <c r="F114" s="212">
        <f>IFERROR(E114/C114,0)</f>
        <v>14593.429487179486</v>
      </c>
      <c r="G114" s="211"/>
      <c r="H114" s="211"/>
      <c r="I114" s="211"/>
    </row>
    <row r="116" spans="2:13" x14ac:dyDescent="0.2">
      <c r="B116" s="328" t="s">
        <v>1793</v>
      </c>
    </row>
    <row r="117" spans="2:13" x14ac:dyDescent="0.2">
      <c r="B117" s="208" t="s">
        <v>1748</v>
      </c>
      <c r="C117" s="208" t="s">
        <v>1749</v>
      </c>
      <c r="D117" s="208" t="s">
        <v>1177</v>
      </c>
      <c r="E117" s="208" t="s">
        <v>1750</v>
      </c>
      <c r="F117" s="208" t="s">
        <v>1742</v>
      </c>
      <c r="G117" s="208" t="s">
        <v>1768</v>
      </c>
      <c r="H117" s="208" t="s">
        <v>1751</v>
      </c>
      <c r="I117" s="208" t="s">
        <v>1752</v>
      </c>
    </row>
    <row r="118" spans="2:13" x14ac:dyDescent="0.2">
      <c r="B118" s="124" t="s">
        <v>1753</v>
      </c>
      <c r="C118" s="124" t="s">
        <v>1794</v>
      </c>
      <c r="D118" s="126">
        <f>COUNTIFS(Database!$P$4:$P$1256,"&gt;="&amp;TIME(6,0,0),Database!$P$4:$P$1256,"&lt;"&amp;TIME(12,0,0))</f>
        <v>317</v>
      </c>
      <c r="E118" s="330">
        <f>IFERROR(D118/$D$122,0)</f>
        <v>0.26394671107410489</v>
      </c>
      <c r="F118" s="126" cm="1">
        <f t="array" ref="F118">SUMPRODUCT((Database!$P$4:$P$1256&gt;=TIME(6,0,0))*(Database!$P$4:$P$1256&lt;TIME(12,0,0))*Database!$N$4:$N$1256)</f>
        <v>4203280</v>
      </c>
      <c r="G118" s="126">
        <f>IFERROR(F118/D118,0)</f>
        <v>13259.558359621451</v>
      </c>
      <c r="H118" s="126" cm="1">
        <f t="array" ref="H118">SUMPRODUCT((Database!$P$4:$P$1256&gt;=TIME(6,0,0))*(Database!$P$4:$P$1256&lt;TIME(12,0,0))*(Database!$I$4:$I$1256="CPO"))</f>
        <v>226</v>
      </c>
      <c r="I118" s="126" cm="1">
        <f t="array" ref="I118">SUMPRODUCT((Database!$P$4:$P$1256&gt;=TIME(6,0,0))*(Database!$P$4:$P$1256&lt;TIME(12,0,0))*(Database!$I$4:$I$1256="RBDPL"))</f>
        <v>88</v>
      </c>
    </row>
    <row r="119" spans="2:13" x14ac:dyDescent="0.2">
      <c r="B119" s="124" t="s">
        <v>1754</v>
      </c>
      <c r="C119" s="124" t="s">
        <v>1795</v>
      </c>
      <c r="D119" s="126">
        <f>COUNTIFS(Database!$P$4:$P$1256,"&gt;="&amp;TIME(12,0,0),Database!$P$4:$P$1256,"&lt;"&amp;TIME(18,0,0))</f>
        <v>482</v>
      </c>
      <c r="E119" s="330">
        <f>IFERROR(D119/$D$122,0)</f>
        <v>0.40133222314737721</v>
      </c>
      <c r="F119" s="126" cm="1">
        <f t="array" ref="F119">SUMPRODUCT((Database!$P$4:$P$1256&gt;=TIME(12,0,0))*(Database!$P$4:$P$1256&lt;TIME(18,0,0))*Database!$N$4:$N$1256)</f>
        <v>7723880</v>
      </c>
      <c r="G119" s="126">
        <f>IFERROR(F119/D119,0)</f>
        <v>16024.647302904565</v>
      </c>
      <c r="H119" s="126" cm="1">
        <f t="array" ref="H119">SUMPRODUCT((Database!$P$4:$P$1256&gt;=TIME(12,0,0))*(Database!$P$4:$P$1256&lt;TIME(18,0,0))*(Database!$I$4:$I$1256="CPO"))</f>
        <v>316</v>
      </c>
      <c r="I119" s="126" cm="1">
        <f t="array" ref="I119">SUMPRODUCT((Database!$P$4:$P$1256&gt;=TIME(12,0,0))*(Database!$P$4:$P$1256&lt;TIME(18,0,0))*(Database!$I$4:$I$1256="RBDPL"))</f>
        <v>164</v>
      </c>
    </row>
    <row r="120" spans="2:13" x14ac:dyDescent="0.2">
      <c r="B120" s="124" t="s">
        <v>1755</v>
      </c>
      <c r="C120" s="124" t="s">
        <v>1796</v>
      </c>
      <c r="D120" s="126">
        <f>COUNTIFS(Database!$P$4:$P$1256,"&gt;="&amp;TIME(18,0,0),Database!$P$4:$P$1256,"&lt;="&amp;0.9999)</f>
        <v>365</v>
      </c>
      <c r="E120" s="330">
        <f>IFERROR(D120/$D$122,0)</f>
        <v>0.30391340549542051</v>
      </c>
      <c r="F120" s="126" cm="1">
        <f t="array" ref="F120">SUMPRODUCT((Database!$P$4:$P$1256&gt;=TIME(18,0,0))*(Database!$P$4:$P$1256&lt;=0.9999)*Database!$N$4:$N$1256)</f>
        <v>5326800</v>
      </c>
      <c r="G120" s="126">
        <f>IFERROR(F120/D120,0)</f>
        <v>14593.972602739726</v>
      </c>
      <c r="H120" s="126" cm="1">
        <f t="array" ref="H120">SUMPRODUCT((Database!$P$4:$P$1256&gt;=TIME(18,0,0))*(Database!$P$4:$P$1256&lt;=0.9999)*(Database!$I$4:$I$1256="CPO"))</f>
        <v>277</v>
      </c>
      <c r="I120" s="126" cm="1">
        <f t="array" ref="I120">SUMPRODUCT((Database!$P$4:$P$1256&gt;=TIME(18,0,0))*(Database!$P$4:$P$1256&lt;=0.9999)*(Database!$I$4:$I$1256="RBDPL"))</f>
        <v>88</v>
      </c>
    </row>
    <row r="121" spans="2:13" x14ac:dyDescent="0.2">
      <c r="B121" s="124" t="s">
        <v>1756</v>
      </c>
      <c r="C121" s="124" t="s">
        <v>1797</v>
      </c>
      <c r="D121" s="126">
        <f>COUNTIFS(Database!$P$4:$P$1256,"&gt;"&amp;0,Database!$P$4:$P$1256,"&lt;"&amp;TIME(6,0,0))</f>
        <v>37</v>
      </c>
      <c r="E121" s="330">
        <f>IFERROR(D121/$D$122,0)</f>
        <v>3.0807660283097418E-2</v>
      </c>
      <c r="F121" s="126" cm="1">
        <f t="array" ref="F121">SUMPRODUCT((Database!$P$4:$P$1256&gt;0)*(Database!$P$4:$P$1256&lt;TIME(6,0,0))*Database!$N$4:$N$1256)</f>
        <v>446870</v>
      </c>
      <c r="G121" s="126">
        <f>IFERROR(F121/D121,0)</f>
        <v>12077.567567567568</v>
      </c>
      <c r="H121" s="126" cm="1">
        <f t="array" ref="H121">SUMPRODUCT((Database!$P$4:$P$1256&gt;0)*(Database!$P$4:$P$1256&lt;TIME(6,0,0))*(Database!$I$4:$I$1256="CPO"))</f>
        <v>37</v>
      </c>
      <c r="I121" s="126" cm="1">
        <f t="array" ref="I121">SUMPRODUCT((Database!$P$4:$P$1256&gt;0)*(Database!$P$4:$P$1256&lt;TIME(6,0,0))*(Database!$I$4:$I$1256="RBDPL"))</f>
        <v>0</v>
      </c>
    </row>
    <row r="122" spans="2:13" x14ac:dyDescent="0.2">
      <c r="B122" s="211" t="s">
        <v>1122</v>
      </c>
      <c r="C122" s="211"/>
      <c r="D122" s="212">
        <f>SUM(D118:D121)</f>
        <v>1201</v>
      </c>
      <c r="E122" s="335">
        <f>SUM(E118:E121)</f>
        <v>1</v>
      </c>
      <c r="F122" s="212">
        <f>SUM(F118:F121)</f>
        <v>17700830</v>
      </c>
      <c r="G122" s="212">
        <f>IFERROR(F122/D122,0)</f>
        <v>14738.409658617818</v>
      </c>
      <c r="H122" s="212">
        <f>SUM(H118:H121)</f>
        <v>856</v>
      </c>
      <c r="I122" s="212">
        <f>SUM(I118:I121)</f>
        <v>340</v>
      </c>
    </row>
    <row r="124" spans="2:13" x14ac:dyDescent="0.2">
      <c r="B124" s="328" t="s">
        <v>1798</v>
      </c>
    </row>
    <row r="125" spans="2:13" x14ac:dyDescent="0.2">
      <c r="B125" s="208" t="s">
        <v>17</v>
      </c>
      <c r="C125" s="208" t="s">
        <v>1177</v>
      </c>
      <c r="D125" s="208" t="s">
        <v>1757</v>
      </c>
      <c r="E125" s="208" t="s">
        <v>1751</v>
      </c>
      <c r="F125" s="208" t="s">
        <v>1752</v>
      </c>
      <c r="G125" s="208" t="s">
        <v>1742</v>
      </c>
      <c r="H125" s="208" t="s">
        <v>1768</v>
      </c>
      <c r="I125" s="208" t="s">
        <v>1770</v>
      </c>
      <c r="J125" s="208" t="s">
        <v>1758</v>
      </c>
      <c r="K125" s="208" t="s">
        <v>1759</v>
      </c>
      <c r="L125" s="208" t="s">
        <v>1760</v>
      </c>
      <c r="M125" s="208" t="s">
        <v>1761</v>
      </c>
    </row>
    <row r="126" spans="2:13" x14ac:dyDescent="0.2">
      <c r="B126" s="214" t="s">
        <v>70</v>
      </c>
      <c r="C126" s="336">
        <v>124</v>
      </c>
      <c r="D126" s="336" t="s">
        <v>41</v>
      </c>
      <c r="E126" s="336">
        <v>119</v>
      </c>
      <c r="F126" s="336">
        <v>5</v>
      </c>
      <c r="G126" s="336">
        <v>3501710</v>
      </c>
      <c r="H126" s="336">
        <v>28240</v>
      </c>
      <c r="I126" s="337">
        <v>19.7</v>
      </c>
      <c r="J126" s="338">
        <v>0.3</v>
      </c>
      <c r="K126" s="214" t="s">
        <v>1799</v>
      </c>
      <c r="L126" s="339">
        <v>45971</v>
      </c>
      <c r="M126" s="339">
        <v>46142</v>
      </c>
    </row>
    <row r="127" spans="2:13" x14ac:dyDescent="0.2">
      <c r="B127" s="214" t="s">
        <v>56</v>
      </c>
      <c r="C127" s="336">
        <v>122</v>
      </c>
      <c r="D127" s="336" t="s">
        <v>41</v>
      </c>
      <c r="E127" s="336">
        <v>113</v>
      </c>
      <c r="F127" s="336">
        <v>9</v>
      </c>
      <c r="G127" s="336">
        <v>1739270</v>
      </c>
      <c r="H127" s="336">
        <v>14256</v>
      </c>
      <c r="I127" s="337">
        <v>22.7</v>
      </c>
      <c r="J127" s="338">
        <v>1.2</v>
      </c>
      <c r="K127" s="214" t="s">
        <v>1800</v>
      </c>
      <c r="L127" s="339">
        <v>45971</v>
      </c>
      <c r="M127" s="339">
        <v>46141</v>
      </c>
    </row>
    <row r="128" spans="2:13" x14ac:dyDescent="0.2">
      <c r="B128" s="214" t="s">
        <v>46</v>
      </c>
      <c r="C128" s="336">
        <v>113</v>
      </c>
      <c r="D128" s="336" t="s">
        <v>41</v>
      </c>
      <c r="E128" s="336">
        <v>104</v>
      </c>
      <c r="F128" s="336">
        <v>9</v>
      </c>
      <c r="G128" s="336">
        <v>1640910</v>
      </c>
      <c r="H128" s="336">
        <v>14521</v>
      </c>
      <c r="I128" s="337">
        <v>21.6</v>
      </c>
      <c r="J128" s="338">
        <v>0.2</v>
      </c>
      <c r="K128" s="214" t="s">
        <v>1393</v>
      </c>
      <c r="L128" s="339">
        <v>45971</v>
      </c>
      <c r="M128" s="339">
        <v>46140</v>
      </c>
    </row>
    <row r="129" spans="2:13" x14ac:dyDescent="0.2">
      <c r="B129" s="214" t="s">
        <v>76</v>
      </c>
      <c r="C129" s="336">
        <v>103</v>
      </c>
      <c r="D129" s="336" t="s">
        <v>41</v>
      </c>
      <c r="E129" s="336">
        <v>95</v>
      </c>
      <c r="F129" s="336">
        <v>8</v>
      </c>
      <c r="G129" s="336">
        <v>2906080</v>
      </c>
      <c r="H129" s="336">
        <v>28214</v>
      </c>
      <c r="I129" s="337">
        <v>20.3</v>
      </c>
      <c r="J129" s="338">
        <v>1.9</v>
      </c>
      <c r="K129" s="214" t="s">
        <v>1372</v>
      </c>
      <c r="L129" s="339">
        <v>45971</v>
      </c>
      <c r="M129" s="339">
        <v>46139</v>
      </c>
    </row>
    <row r="130" spans="2:13" x14ac:dyDescent="0.2">
      <c r="B130" s="214" t="s">
        <v>84</v>
      </c>
      <c r="C130" s="336">
        <v>82</v>
      </c>
      <c r="D130" s="336" t="s">
        <v>41</v>
      </c>
      <c r="E130" s="336">
        <v>79</v>
      </c>
      <c r="F130" s="336">
        <v>3</v>
      </c>
      <c r="G130" s="336">
        <v>1186030</v>
      </c>
      <c r="H130" s="336">
        <v>14464</v>
      </c>
      <c r="I130" s="337">
        <v>18</v>
      </c>
      <c r="J130" s="338">
        <v>0.7</v>
      </c>
      <c r="K130" s="214" t="s">
        <v>1801</v>
      </c>
      <c r="L130" s="339">
        <v>45972</v>
      </c>
      <c r="M130" s="339">
        <v>46120</v>
      </c>
    </row>
    <row r="131" spans="2:13" x14ac:dyDescent="0.2">
      <c r="B131" s="124" t="s">
        <v>174</v>
      </c>
      <c r="C131" s="126">
        <v>29</v>
      </c>
      <c r="D131" s="126" t="s">
        <v>3</v>
      </c>
      <c r="E131" s="126">
        <v>0</v>
      </c>
      <c r="F131" s="126">
        <v>29</v>
      </c>
      <c r="G131" s="126">
        <v>263930</v>
      </c>
      <c r="H131" s="126">
        <v>9101</v>
      </c>
      <c r="I131" s="213">
        <v>50.9</v>
      </c>
      <c r="J131" s="213">
        <v>3.2</v>
      </c>
      <c r="K131" s="124" t="s">
        <v>1465</v>
      </c>
      <c r="L131" s="340">
        <v>46063</v>
      </c>
      <c r="M131" s="340">
        <v>46142</v>
      </c>
    </row>
    <row r="132" spans="2:13" x14ac:dyDescent="0.2">
      <c r="B132" s="215" t="s">
        <v>151</v>
      </c>
      <c r="C132" s="217">
        <v>26</v>
      </c>
      <c r="D132" s="217" t="s">
        <v>41</v>
      </c>
      <c r="E132" s="217">
        <v>14</v>
      </c>
      <c r="F132" s="217">
        <v>12</v>
      </c>
      <c r="G132" s="217">
        <v>245020</v>
      </c>
      <c r="H132" s="217">
        <v>9424</v>
      </c>
      <c r="I132" s="341">
        <v>60.2</v>
      </c>
      <c r="J132" s="341">
        <v>32.700000000000003</v>
      </c>
      <c r="K132" s="215" t="s">
        <v>1388</v>
      </c>
      <c r="L132" s="342">
        <v>45962</v>
      </c>
      <c r="M132" s="342">
        <v>46136</v>
      </c>
    </row>
    <row r="133" spans="2:13" x14ac:dyDescent="0.2">
      <c r="B133" s="124" t="s">
        <v>166</v>
      </c>
      <c r="C133" s="126">
        <v>24</v>
      </c>
      <c r="D133" s="126" t="s">
        <v>41</v>
      </c>
      <c r="E133" s="126">
        <v>15</v>
      </c>
      <c r="F133" s="126">
        <v>9</v>
      </c>
      <c r="G133" s="126">
        <v>224600</v>
      </c>
      <c r="H133" s="126">
        <v>9358</v>
      </c>
      <c r="I133" s="213">
        <v>68.3</v>
      </c>
      <c r="J133" s="213">
        <v>44.7</v>
      </c>
      <c r="K133" s="124" t="s">
        <v>1381</v>
      </c>
      <c r="L133" s="340">
        <v>45962</v>
      </c>
      <c r="M133" s="340">
        <v>46141</v>
      </c>
    </row>
    <row r="134" spans="2:13" x14ac:dyDescent="0.2">
      <c r="B134" s="215" t="s">
        <v>163</v>
      </c>
      <c r="C134" s="217">
        <v>22</v>
      </c>
      <c r="D134" s="217" t="s">
        <v>41</v>
      </c>
      <c r="E134" s="217">
        <v>20</v>
      </c>
      <c r="F134" s="217">
        <v>2</v>
      </c>
      <c r="G134" s="217">
        <v>221020</v>
      </c>
      <c r="H134" s="217">
        <v>10046</v>
      </c>
      <c r="I134" s="341">
        <v>51.9</v>
      </c>
      <c r="J134" s="341">
        <v>5</v>
      </c>
      <c r="K134" s="215" t="s">
        <v>1771</v>
      </c>
      <c r="L134" s="342">
        <v>45962</v>
      </c>
      <c r="M134" s="342">
        <v>46142</v>
      </c>
    </row>
    <row r="135" spans="2:13" x14ac:dyDescent="0.2">
      <c r="B135" s="124" t="s">
        <v>149</v>
      </c>
      <c r="C135" s="126">
        <v>21</v>
      </c>
      <c r="D135" s="126" t="s">
        <v>41</v>
      </c>
      <c r="E135" s="126">
        <v>18</v>
      </c>
      <c r="F135" s="126">
        <v>3</v>
      </c>
      <c r="G135" s="126">
        <v>196960</v>
      </c>
      <c r="H135" s="126">
        <v>9379</v>
      </c>
      <c r="I135" s="213">
        <v>47.8</v>
      </c>
      <c r="J135" s="213">
        <v>0</v>
      </c>
      <c r="K135" s="124" t="s">
        <v>1380</v>
      </c>
      <c r="L135" s="340">
        <v>45962</v>
      </c>
      <c r="M135" s="340">
        <v>46142</v>
      </c>
    </row>
    <row r="136" spans="2:13" x14ac:dyDescent="0.2">
      <c r="B136" s="215" t="s">
        <v>183</v>
      </c>
      <c r="C136" s="217">
        <v>21</v>
      </c>
      <c r="D136" s="217" t="s">
        <v>41</v>
      </c>
      <c r="E136" s="217">
        <v>17</v>
      </c>
      <c r="F136" s="217">
        <v>4</v>
      </c>
      <c r="G136" s="217">
        <v>210030</v>
      </c>
      <c r="H136" s="217">
        <v>10001</v>
      </c>
      <c r="I136" s="341">
        <v>57.9</v>
      </c>
      <c r="J136" s="341">
        <v>24</v>
      </c>
      <c r="K136" s="215" t="s">
        <v>1802</v>
      </c>
      <c r="L136" s="342">
        <v>45963</v>
      </c>
      <c r="M136" s="342">
        <v>46136</v>
      </c>
    </row>
    <row r="137" spans="2:13" x14ac:dyDescent="0.2">
      <c r="B137" s="124" t="s">
        <v>169</v>
      </c>
      <c r="C137" s="126">
        <v>20</v>
      </c>
      <c r="D137" s="126" t="s">
        <v>41</v>
      </c>
      <c r="E137" s="126">
        <v>13</v>
      </c>
      <c r="F137" s="126">
        <v>7</v>
      </c>
      <c r="G137" s="126">
        <v>189380</v>
      </c>
      <c r="H137" s="126">
        <v>9469</v>
      </c>
      <c r="I137" s="213">
        <v>68.400000000000006</v>
      </c>
      <c r="J137" s="213">
        <v>42.1</v>
      </c>
      <c r="K137" s="124" t="s">
        <v>1378</v>
      </c>
      <c r="L137" s="340">
        <v>45962</v>
      </c>
      <c r="M137" s="340">
        <v>46142</v>
      </c>
    </row>
    <row r="138" spans="2:13" x14ac:dyDescent="0.2">
      <c r="B138" s="214" t="s">
        <v>147</v>
      </c>
      <c r="C138" s="336">
        <v>19</v>
      </c>
      <c r="D138" s="336" t="s">
        <v>3</v>
      </c>
      <c r="E138" s="336">
        <v>9</v>
      </c>
      <c r="F138" s="336">
        <v>10</v>
      </c>
      <c r="G138" s="336">
        <v>190520</v>
      </c>
      <c r="H138" s="336">
        <v>10027</v>
      </c>
      <c r="I138" s="337">
        <v>72.7</v>
      </c>
      <c r="J138" s="338">
        <v>0.1</v>
      </c>
      <c r="K138" s="214" t="s">
        <v>1373</v>
      </c>
      <c r="L138" s="339">
        <v>45994</v>
      </c>
      <c r="M138" s="339">
        <v>46137</v>
      </c>
    </row>
    <row r="139" spans="2:13" x14ac:dyDescent="0.2">
      <c r="B139" s="124" t="s">
        <v>181</v>
      </c>
      <c r="C139" s="126">
        <v>18</v>
      </c>
      <c r="D139" s="126" t="s">
        <v>41</v>
      </c>
      <c r="E139" s="126">
        <v>14</v>
      </c>
      <c r="F139" s="126">
        <v>4</v>
      </c>
      <c r="G139" s="126">
        <v>163190</v>
      </c>
      <c r="H139" s="126">
        <v>9066</v>
      </c>
      <c r="I139" s="213">
        <v>71.099999999999994</v>
      </c>
      <c r="J139" s="213">
        <v>56.9</v>
      </c>
      <c r="K139" s="124" t="s">
        <v>1477</v>
      </c>
      <c r="L139" s="340">
        <v>45963</v>
      </c>
      <c r="M139" s="340">
        <v>46142</v>
      </c>
    </row>
    <row r="140" spans="2:13" x14ac:dyDescent="0.2">
      <c r="B140" s="215" t="s">
        <v>39</v>
      </c>
      <c r="C140" s="217">
        <v>17</v>
      </c>
      <c r="D140" s="217" t="s">
        <v>41</v>
      </c>
      <c r="E140" s="217">
        <v>17</v>
      </c>
      <c r="F140" s="217">
        <v>0</v>
      </c>
      <c r="G140" s="217">
        <v>163170</v>
      </c>
      <c r="H140" s="217">
        <v>9598</v>
      </c>
      <c r="I140" s="341">
        <v>58.8</v>
      </c>
      <c r="J140" s="341">
        <v>14</v>
      </c>
      <c r="K140" s="215"/>
      <c r="L140" s="342">
        <v>45962</v>
      </c>
      <c r="M140" s="342">
        <v>46141</v>
      </c>
    </row>
    <row r="141" spans="2:13" x14ac:dyDescent="0.2">
      <c r="B141" s="124" t="s">
        <v>158</v>
      </c>
      <c r="C141" s="126">
        <v>17</v>
      </c>
      <c r="D141" s="126" t="s">
        <v>41</v>
      </c>
      <c r="E141" s="126">
        <v>16</v>
      </c>
      <c r="F141" s="126">
        <v>1</v>
      </c>
      <c r="G141" s="126">
        <v>170600</v>
      </c>
      <c r="H141" s="126">
        <v>10035</v>
      </c>
      <c r="I141" s="213">
        <v>66.8</v>
      </c>
      <c r="J141" s="213">
        <v>17.399999999999999</v>
      </c>
      <c r="K141" s="124" t="s">
        <v>1395</v>
      </c>
      <c r="L141" s="340">
        <v>45962</v>
      </c>
      <c r="M141" s="340">
        <v>46140</v>
      </c>
    </row>
    <row r="142" spans="2:13" x14ac:dyDescent="0.2">
      <c r="B142" s="215" t="s">
        <v>171</v>
      </c>
      <c r="C142" s="217">
        <v>17</v>
      </c>
      <c r="D142" s="217" t="s">
        <v>41</v>
      </c>
      <c r="E142" s="217">
        <v>16</v>
      </c>
      <c r="F142" s="217">
        <v>1</v>
      </c>
      <c r="G142" s="217">
        <v>162580</v>
      </c>
      <c r="H142" s="217">
        <v>9564</v>
      </c>
      <c r="I142" s="341">
        <v>64.900000000000006</v>
      </c>
      <c r="J142" s="341">
        <v>23.3</v>
      </c>
      <c r="K142" s="215" t="s">
        <v>1616</v>
      </c>
      <c r="L142" s="342">
        <v>45962</v>
      </c>
      <c r="M142" s="342">
        <v>46140</v>
      </c>
    </row>
    <row r="143" spans="2:13" x14ac:dyDescent="0.2">
      <c r="B143" s="124" t="s">
        <v>936</v>
      </c>
      <c r="C143" s="126">
        <v>17</v>
      </c>
      <c r="D143" s="126" t="s">
        <v>3</v>
      </c>
      <c r="E143" s="126">
        <v>0</v>
      </c>
      <c r="F143" s="126">
        <v>17</v>
      </c>
      <c r="G143" s="126">
        <v>171390</v>
      </c>
      <c r="H143" s="126">
        <v>10082</v>
      </c>
      <c r="I143" s="213">
        <v>56.2</v>
      </c>
      <c r="J143" s="213">
        <v>10.4</v>
      </c>
      <c r="K143" s="124" t="s">
        <v>1385</v>
      </c>
      <c r="L143" s="340">
        <v>46087</v>
      </c>
      <c r="M143" s="340">
        <v>46142</v>
      </c>
    </row>
    <row r="144" spans="2:13" x14ac:dyDescent="0.2">
      <c r="B144" s="215" t="s">
        <v>53</v>
      </c>
      <c r="C144" s="217">
        <v>16</v>
      </c>
      <c r="D144" s="217" t="s">
        <v>41</v>
      </c>
      <c r="E144" s="217">
        <v>13</v>
      </c>
      <c r="F144" s="217">
        <v>3</v>
      </c>
      <c r="G144" s="217">
        <v>152810</v>
      </c>
      <c r="H144" s="217">
        <v>9551</v>
      </c>
      <c r="I144" s="341">
        <v>63.4</v>
      </c>
      <c r="J144" s="341">
        <v>32.799999999999997</v>
      </c>
      <c r="K144" s="215" t="s">
        <v>1396</v>
      </c>
      <c r="L144" s="342">
        <v>45962</v>
      </c>
      <c r="M144" s="342">
        <v>46136</v>
      </c>
    </row>
    <row r="145" spans="2:13" x14ac:dyDescent="0.2">
      <c r="B145" s="124" t="s">
        <v>236</v>
      </c>
      <c r="C145" s="126">
        <v>16</v>
      </c>
      <c r="D145" s="126" t="s">
        <v>3</v>
      </c>
      <c r="E145" s="126">
        <v>0</v>
      </c>
      <c r="F145" s="126">
        <v>16</v>
      </c>
      <c r="G145" s="126">
        <v>144740</v>
      </c>
      <c r="H145" s="126">
        <v>9046</v>
      </c>
      <c r="I145" s="213">
        <v>42.7</v>
      </c>
      <c r="J145" s="213">
        <v>17.5</v>
      </c>
      <c r="K145" s="124" t="s">
        <v>1466</v>
      </c>
      <c r="L145" s="340">
        <v>46066</v>
      </c>
      <c r="M145" s="340">
        <v>46141</v>
      </c>
    </row>
    <row r="146" spans="2:13" x14ac:dyDescent="0.2">
      <c r="B146" s="215" t="s">
        <v>938</v>
      </c>
      <c r="C146" s="217">
        <v>16</v>
      </c>
      <c r="D146" s="217" t="s">
        <v>3</v>
      </c>
      <c r="E146" s="217">
        <v>0</v>
      </c>
      <c r="F146" s="217">
        <v>16</v>
      </c>
      <c r="G146" s="217">
        <v>151510</v>
      </c>
      <c r="H146" s="217">
        <v>9469</v>
      </c>
      <c r="I146" s="341">
        <v>54</v>
      </c>
      <c r="J146" s="341">
        <v>7.7</v>
      </c>
      <c r="K146" s="215" t="s">
        <v>1384</v>
      </c>
      <c r="L146" s="342">
        <v>46087</v>
      </c>
      <c r="M146" s="342">
        <v>46141</v>
      </c>
    </row>
    <row r="147" spans="2:13" x14ac:dyDescent="0.2">
      <c r="B147" s="124" t="s">
        <v>940</v>
      </c>
      <c r="C147" s="126">
        <v>15</v>
      </c>
      <c r="D147" s="126" t="s">
        <v>3</v>
      </c>
      <c r="E147" s="126">
        <v>0</v>
      </c>
      <c r="F147" s="126">
        <v>15</v>
      </c>
      <c r="G147" s="126">
        <v>143180</v>
      </c>
      <c r="H147" s="126">
        <v>9545</v>
      </c>
      <c r="I147" s="213">
        <v>63.8</v>
      </c>
      <c r="J147" s="213">
        <v>44.9</v>
      </c>
      <c r="K147" s="124" t="s">
        <v>1383</v>
      </c>
      <c r="L147" s="340">
        <v>46087</v>
      </c>
      <c r="M147" s="340">
        <v>46141</v>
      </c>
    </row>
    <row r="148" spans="2:13" x14ac:dyDescent="0.2">
      <c r="B148" s="215" t="s">
        <v>73</v>
      </c>
      <c r="C148" s="217">
        <v>14</v>
      </c>
      <c r="D148" s="217" t="s">
        <v>41</v>
      </c>
      <c r="E148" s="217">
        <v>14</v>
      </c>
      <c r="F148" s="217">
        <v>0</v>
      </c>
      <c r="G148" s="217">
        <v>131930</v>
      </c>
      <c r="H148" s="217">
        <v>9424</v>
      </c>
      <c r="I148" s="341">
        <v>65.099999999999994</v>
      </c>
      <c r="J148" s="341">
        <v>32.799999999999997</v>
      </c>
      <c r="K148" s="215"/>
      <c r="L148" s="342">
        <v>45962</v>
      </c>
      <c r="M148" s="342">
        <v>46066</v>
      </c>
    </row>
    <row r="149" spans="2:13" x14ac:dyDescent="0.2">
      <c r="B149" s="124" t="s">
        <v>983</v>
      </c>
      <c r="C149" s="126">
        <v>14</v>
      </c>
      <c r="D149" s="126" t="s">
        <v>3</v>
      </c>
      <c r="E149" s="126">
        <v>0</v>
      </c>
      <c r="F149" s="126">
        <v>14</v>
      </c>
      <c r="G149" s="126">
        <v>130320</v>
      </c>
      <c r="H149" s="126">
        <v>9309</v>
      </c>
      <c r="I149" s="213">
        <v>60.2</v>
      </c>
      <c r="J149" s="213">
        <v>45</v>
      </c>
      <c r="K149" s="124" t="s">
        <v>1387</v>
      </c>
      <c r="L149" s="340">
        <v>46095</v>
      </c>
      <c r="M149" s="340">
        <v>46141</v>
      </c>
    </row>
    <row r="150" spans="2:13" x14ac:dyDescent="0.2">
      <c r="B150" s="215" t="s">
        <v>153</v>
      </c>
      <c r="C150" s="217">
        <v>13</v>
      </c>
      <c r="D150" s="217" t="s">
        <v>41</v>
      </c>
      <c r="E150" s="217">
        <v>11</v>
      </c>
      <c r="F150" s="217">
        <v>2</v>
      </c>
      <c r="G150" s="217">
        <v>125310</v>
      </c>
      <c r="H150" s="217">
        <v>9639</v>
      </c>
      <c r="I150" s="341">
        <v>58.4</v>
      </c>
      <c r="J150" s="341">
        <v>16.100000000000001</v>
      </c>
      <c r="K150" s="215" t="s">
        <v>1379</v>
      </c>
      <c r="L150" s="342">
        <v>45962</v>
      </c>
      <c r="M150" s="342">
        <v>46140</v>
      </c>
    </row>
    <row r="151" spans="2:13" x14ac:dyDescent="0.2">
      <c r="B151" s="124" t="s">
        <v>186</v>
      </c>
      <c r="C151" s="126">
        <v>13</v>
      </c>
      <c r="D151" s="126" t="s">
        <v>41</v>
      </c>
      <c r="E151" s="126">
        <v>13</v>
      </c>
      <c r="F151" s="126">
        <v>0</v>
      </c>
      <c r="G151" s="126">
        <v>123680</v>
      </c>
      <c r="H151" s="126">
        <v>9514</v>
      </c>
      <c r="I151" s="213">
        <v>61.6</v>
      </c>
      <c r="J151" s="213">
        <v>24</v>
      </c>
      <c r="K151" s="124"/>
      <c r="L151" s="340">
        <v>45963</v>
      </c>
      <c r="M151" s="340">
        <v>46121</v>
      </c>
    </row>
    <row r="152" spans="2:13" x14ac:dyDescent="0.2">
      <c r="B152" s="215" t="s">
        <v>155</v>
      </c>
      <c r="C152" s="217">
        <v>12</v>
      </c>
      <c r="D152" s="217" t="s">
        <v>41</v>
      </c>
      <c r="E152" s="217">
        <v>12</v>
      </c>
      <c r="F152" s="217">
        <v>0</v>
      </c>
      <c r="G152" s="217">
        <v>115580</v>
      </c>
      <c r="H152" s="217">
        <v>9632</v>
      </c>
      <c r="I152" s="341">
        <v>67.2</v>
      </c>
      <c r="J152" s="341">
        <v>41.6</v>
      </c>
      <c r="K152" s="215"/>
      <c r="L152" s="342">
        <v>45962</v>
      </c>
      <c r="M152" s="342">
        <v>46067</v>
      </c>
    </row>
    <row r="153" spans="2:13" x14ac:dyDescent="0.2">
      <c r="B153" s="124" t="s">
        <v>934</v>
      </c>
      <c r="C153" s="126">
        <v>12</v>
      </c>
      <c r="D153" s="126" t="s">
        <v>3</v>
      </c>
      <c r="E153" s="126">
        <v>0</v>
      </c>
      <c r="F153" s="126">
        <v>12</v>
      </c>
      <c r="G153" s="126">
        <v>111800</v>
      </c>
      <c r="H153" s="126">
        <v>9317</v>
      </c>
      <c r="I153" s="213">
        <v>61</v>
      </c>
      <c r="J153" s="213">
        <v>48.6</v>
      </c>
      <c r="K153" s="124" t="s">
        <v>1382</v>
      </c>
      <c r="L153" s="340">
        <v>46087</v>
      </c>
      <c r="M153" s="340">
        <v>46141</v>
      </c>
    </row>
    <row r="154" spans="2:13" x14ac:dyDescent="0.2">
      <c r="B154" s="215" t="s">
        <v>962</v>
      </c>
      <c r="C154" s="217">
        <v>11</v>
      </c>
      <c r="D154" s="217" t="s">
        <v>3</v>
      </c>
      <c r="E154" s="217">
        <v>0</v>
      </c>
      <c r="F154" s="217">
        <v>11</v>
      </c>
      <c r="G154" s="217">
        <v>100690</v>
      </c>
      <c r="H154" s="217">
        <v>9154</v>
      </c>
      <c r="I154" s="341">
        <v>19.100000000000001</v>
      </c>
      <c r="J154" s="341">
        <v>6.2</v>
      </c>
      <c r="K154" s="215" t="s">
        <v>1398</v>
      </c>
      <c r="L154" s="342">
        <v>46093</v>
      </c>
      <c r="M154" s="342">
        <v>46140</v>
      </c>
    </row>
    <row r="155" spans="2:13" x14ac:dyDescent="0.2">
      <c r="B155" s="124" t="s">
        <v>997</v>
      </c>
      <c r="C155" s="126">
        <v>11</v>
      </c>
      <c r="D155" s="126" t="s">
        <v>3</v>
      </c>
      <c r="E155" s="126">
        <v>0</v>
      </c>
      <c r="F155" s="126">
        <v>11</v>
      </c>
      <c r="G155" s="126">
        <v>105380</v>
      </c>
      <c r="H155" s="126">
        <v>9580</v>
      </c>
      <c r="I155" s="213">
        <v>65.400000000000006</v>
      </c>
      <c r="J155" s="213">
        <v>47.5</v>
      </c>
      <c r="K155" s="124" t="s">
        <v>1376</v>
      </c>
      <c r="L155" s="340">
        <v>46106</v>
      </c>
      <c r="M155" s="340">
        <v>46141</v>
      </c>
    </row>
    <row r="156" spans="2:13" x14ac:dyDescent="0.2">
      <c r="B156" s="215" t="s">
        <v>160</v>
      </c>
      <c r="C156" s="217">
        <v>10</v>
      </c>
      <c r="D156" s="217" t="s">
        <v>41</v>
      </c>
      <c r="E156" s="217">
        <v>9</v>
      </c>
      <c r="F156" s="217">
        <v>1</v>
      </c>
      <c r="G156" s="217">
        <v>98560</v>
      </c>
      <c r="H156" s="217">
        <v>9856</v>
      </c>
      <c r="I156" s="341">
        <v>78.400000000000006</v>
      </c>
      <c r="J156" s="341">
        <v>60.5</v>
      </c>
      <c r="K156" s="215" t="s">
        <v>1636</v>
      </c>
      <c r="L156" s="342">
        <v>45963</v>
      </c>
      <c r="M156" s="342">
        <v>46142</v>
      </c>
    </row>
    <row r="157" spans="2:13" x14ac:dyDescent="0.2">
      <c r="B157" s="124" t="s">
        <v>931</v>
      </c>
      <c r="C157" s="126">
        <v>10</v>
      </c>
      <c r="D157" s="126" t="s">
        <v>3</v>
      </c>
      <c r="E157" s="126">
        <v>0</v>
      </c>
      <c r="F157" s="126">
        <v>10</v>
      </c>
      <c r="G157" s="126">
        <v>96200</v>
      </c>
      <c r="H157" s="126">
        <v>9620</v>
      </c>
      <c r="I157" s="213">
        <v>65.7</v>
      </c>
      <c r="J157" s="213">
        <v>25.6</v>
      </c>
      <c r="K157" s="124" t="s">
        <v>1377</v>
      </c>
      <c r="L157" s="340">
        <v>46087</v>
      </c>
      <c r="M157" s="340">
        <v>46126</v>
      </c>
    </row>
    <row r="158" spans="2:13" x14ac:dyDescent="0.2">
      <c r="B158" s="215" t="s">
        <v>156</v>
      </c>
      <c r="C158" s="217">
        <v>9</v>
      </c>
      <c r="D158" s="217" t="s">
        <v>41</v>
      </c>
      <c r="E158" s="217">
        <v>9</v>
      </c>
      <c r="F158" s="217">
        <v>0</v>
      </c>
      <c r="G158" s="217">
        <v>88980</v>
      </c>
      <c r="H158" s="217">
        <v>9887</v>
      </c>
      <c r="I158" s="341">
        <v>53.3</v>
      </c>
      <c r="J158" s="341">
        <v>24</v>
      </c>
      <c r="K158" s="215"/>
      <c r="L158" s="342">
        <v>46001</v>
      </c>
      <c r="M158" s="342">
        <v>46121</v>
      </c>
    </row>
    <row r="159" spans="2:13" x14ac:dyDescent="0.2">
      <c r="B159" s="124" t="s">
        <v>839</v>
      </c>
      <c r="C159" s="126">
        <v>9</v>
      </c>
      <c r="D159" s="126" t="s">
        <v>3</v>
      </c>
      <c r="E159" s="126">
        <v>0</v>
      </c>
      <c r="F159" s="126">
        <v>9</v>
      </c>
      <c r="G159" s="126">
        <v>82990</v>
      </c>
      <c r="H159" s="126">
        <v>9221</v>
      </c>
      <c r="I159" s="213">
        <v>55.2</v>
      </c>
      <c r="J159" s="213">
        <v>29.5</v>
      </c>
      <c r="K159" s="124" t="s">
        <v>1803</v>
      </c>
      <c r="L159" s="340">
        <v>46067</v>
      </c>
      <c r="M159" s="340">
        <v>46137</v>
      </c>
    </row>
    <row r="160" spans="2:13" x14ac:dyDescent="0.2">
      <c r="B160" s="215" t="s">
        <v>177</v>
      </c>
      <c r="C160" s="217">
        <v>8</v>
      </c>
      <c r="D160" s="217" t="s">
        <v>41</v>
      </c>
      <c r="E160" s="217">
        <v>8</v>
      </c>
      <c r="F160" s="217">
        <v>0</v>
      </c>
      <c r="G160" s="217">
        <v>77480</v>
      </c>
      <c r="H160" s="217">
        <v>9685</v>
      </c>
      <c r="I160" s="341">
        <v>48.9</v>
      </c>
      <c r="J160" s="341">
        <v>24</v>
      </c>
      <c r="K160" s="215"/>
      <c r="L160" s="342">
        <v>45962</v>
      </c>
      <c r="M160" s="342">
        <v>46121</v>
      </c>
    </row>
    <row r="161" spans="2:13" x14ac:dyDescent="0.2">
      <c r="B161" s="124" t="s">
        <v>184</v>
      </c>
      <c r="C161" s="126">
        <v>7</v>
      </c>
      <c r="D161" s="126" t="s">
        <v>41</v>
      </c>
      <c r="E161" s="126">
        <v>7</v>
      </c>
      <c r="F161" s="126">
        <v>0</v>
      </c>
      <c r="G161" s="126">
        <v>68970</v>
      </c>
      <c r="H161" s="126">
        <v>9853</v>
      </c>
      <c r="I161" s="213">
        <v>67.599999999999994</v>
      </c>
      <c r="J161" s="213">
        <v>48.6</v>
      </c>
      <c r="K161" s="124"/>
      <c r="L161" s="340">
        <v>45992</v>
      </c>
      <c r="M161" s="340">
        <v>46066</v>
      </c>
    </row>
    <row r="162" spans="2:13" x14ac:dyDescent="0.2">
      <c r="B162" s="215" t="s">
        <v>473</v>
      </c>
      <c r="C162" s="217">
        <v>7</v>
      </c>
      <c r="D162" s="217" t="s">
        <v>41</v>
      </c>
      <c r="E162" s="217">
        <v>4</v>
      </c>
      <c r="F162" s="217">
        <v>3</v>
      </c>
      <c r="G162" s="217">
        <v>71060</v>
      </c>
      <c r="H162" s="217">
        <v>10151</v>
      </c>
      <c r="I162" s="341">
        <v>86.9</v>
      </c>
      <c r="J162" s="341">
        <v>86.3</v>
      </c>
      <c r="K162" s="215" t="s">
        <v>1474</v>
      </c>
      <c r="L162" s="342">
        <v>46004</v>
      </c>
      <c r="M162" s="342">
        <v>46133</v>
      </c>
    </row>
    <row r="163" spans="2:13" x14ac:dyDescent="0.2">
      <c r="B163" s="124" t="s">
        <v>215</v>
      </c>
      <c r="C163" s="126">
        <v>7</v>
      </c>
      <c r="D163" s="126" t="s">
        <v>41</v>
      </c>
      <c r="E163" s="126">
        <v>7</v>
      </c>
      <c r="F163" s="126">
        <v>0</v>
      </c>
      <c r="G163" s="126">
        <v>61590</v>
      </c>
      <c r="H163" s="126">
        <v>8799</v>
      </c>
      <c r="I163" s="213">
        <v>67.900000000000006</v>
      </c>
      <c r="J163" s="213">
        <v>66.7</v>
      </c>
      <c r="K163" s="124"/>
      <c r="L163" s="340">
        <v>46054</v>
      </c>
      <c r="M163" s="340">
        <v>46120</v>
      </c>
    </row>
    <row r="164" spans="2:13" x14ac:dyDescent="0.2">
      <c r="B164" s="215" t="s">
        <v>194</v>
      </c>
      <c r="C164" s="217">
        <v>7</v>
      </c>
      <c r="D164" s="217" t="s">
        <v>41</v>
      </c>
      <c r="E164" s="217">
        <v>5</v>
      </c>
      <c r="F164" s="217">
        <v>2</v>
      </c>
      <c r="G164" s="217">
        <v>64830</v>
      </c>
      <c r="H164" s="217">
        <v>9261</v>
      </c>
      <c r="I164" s="341">
        <v>43.7</v>
      </c>
      <c r="J164" s="341">
        <v>17.399999999999999</v>
      </c>
      <c r="K164" s="215" t="s">
        <v>1476</v>
      </c>
      <c r="L164" s="342">
        <v>46064</v>
      </c>
      <c r="M164" s="342">
        <v>46142</v>
      </c>
    </row>
    <row r="165" spans="2:13" x14ac:dyDescent="0.2">
      <c r="B165" s="124" t="s">
        <v>1276</v>
      </c>
      <c r="C165" s="126">
        <v>7</v>
      </c>
      <c r="D165" s="126" t="s">
        <v>41</v>
      </c>
      <c r="E165" s="126">
        <v>6</v>
      </c>
      <c r="F165" s="126">
        <v>1</v>
      </c>
      <c r="G165" s="126">
        <v>69680</v>
      </c>
      <c r="H165" s="126">
        <v>9954</v>
      </c>
      <c r="I165" s="213">
        <v>24.5</v>
      </c>
      <c r="J165" s="213">
        <v>6</v>
      </c>
      <c r="K165" s="124" t="s">
        <v>1736</v>
      </c>
      <c r="L165" s="340">
        <v>46120</v>
      </c>
      <c r="M165" s="340">
        <v>46142</v>
      </c>
    </row>
    <row r="166" spans="2:13" x14ac:dyDescent="0.2">
      <c r="B166" s="215" t="s">
        <v>106</v>
      </c>
      <c r="C166" s="217">
        <v>6</v>
      </c>
      <c r="D166" s="217" t="s">
        <v>41</v>
      </c>
      <c r="E166" s="217">
        <v>6</v>
      </c>
      <c r="F166" s="217">
        <v>0</v>
      </c>
      <c r="G166" s="217">
        <v>168630</v>
      </c>
      <c r="H166" s="217">
        <v>28105</v>
      </c>
      <c r="I166" s="341">
        <v>11.4</v>
      </c>
      <c r="J166" s="341">
        <v>6.6</v>
      </c>
      <c r="K166" s="215" t="s">
        <v>1372</v>
      </c>
      <c r="L166" s="342">
        <v>45930</v>
      </c>
      <c r="M166" s="342">
        <v>45932</v>
      </c>
    </row>
    <row r="167" spans="2:13" x14ac:dyDescent="0.2">
      <c r="B167" s="124" t="s">
        <v>102</v>
      </c>
      <c r="C167" s="126">
        <v>6</v>
      </c>
      <c r="D167" s="126" t="s">
        <v>41</v>
      </c>
      <c r="E167" s="126">
        <v>6</v>
      </c>
      <c r="F167" s="126">
        <v>0</v>
      </c>
      <c r="G167" s="126">
        <v>167980</v>
      </c>
      <c r="H167" s="126">
        <v>27997</v>
      </c>
      <c r="I167" s="213">
        <v>11.4</v>
      </c>
      <c r="J167" s="213">
        <v>2</v>
      </c>
      <c r="K167" s="124" t="s">
        <v>1499</v>
      </c>
      <c r="L167" s="340">
        <v>45930</v>
      </c>
      <c r="M167" s="340">
        <v>45932</v>
      </c>
    </row>
    <row r="168" spans="2:13" x14ac:dyDescent="0.2">
      <c r="B168" s="214" t="s">
        <v>97</v>
      </c>
      <c r="C168" s="336">
        <v>6</v>
      </c>
      <c r="D168" s="336" t="s">
        <v>41</v>
      </c>
      <c r="E168" s="336">
        <v>6</v>
      </c>
      <c r="F168" s="336">
        <v>0</v>
      </c>
      <c r="G168" s="336">
        <v>87370</v>
      </c>
      <c r="H168" s="336">
        <v>14562</v>
      </c>
      <c r="I168" s="337">
        <v>11.7</v>
      </c>
      <c r="J168" s="338">
        <v>1.3</v>
      </c>
      <c r="K168" s="214" t="s">
        <v>1782</v>
      </c>
      <c r="L168" s="339">
        <v>45930</v>
      </c>
      <c r="M168" s="339">
        <v>45932</v>
      </c>
    </row>
    <row r="169" spans="2:13" x14ac:dyDescent="0.2">
      <c r="B169" s="124" t="s">
        <v>173</v>
      </c>
      <c r="C169" s="126">
        <v>6</v>
      </c>
      <c r="D169" s="126" t="s">
        <v>41</v>
      </c>
      <c r="E169" s="126">
        <v>6</v>
      </c>
      <c r="F169" s="126">
        <v>0</v>
      </c>
      <c r="G169" s="126">
        <v>58090</v>
      </c>
      <c r="H169" s="126">
        <v>9682</v>
      </c>
      <c r="I169" s="213">
        <v>72.3</v>
      </c>
      <c r="J169" s="213">
        <v>59.9</v>
      </c>
      <c r="K169" s="124"/>
      <c r="L169" s="340">
        <v>45962</v>
      </c>
      <c r="M169" s="340">
        <v>46000</v>
      </c>
    </row>
    <row r="170" spans="2:13" x14ac:dyDescent="0.2">
      <c r="B170" s="215" t="s">
        <v>188</v>
      </c>
      <c r="C170" s="217">
        <v>6</v>
      </c>
      <c r="D170" s="217" t="s">
        <v>41</v>
      </c>
      <c r="E170" s="217">
        <v>4</v>
      </c>
      <c r="F170" s="217">
        <v>2</v>
      </c>
      <c r="G170" s="217">
        <v>56680</v>
      </c>
      <c r="H170" s="217">
        <v>9447</v>
      </c>
      <c r="I170" s="341">
        <v>52.4</v>
      </c>
      <c r="J170" s="341">
        <v>52.4</v>
      </c>
      <c r="K170" s="215" t="s">
        <v>1522</v>
      </c>
      <c r="L170" s="342">
        <v>45963</v>
      </c>
      <c r="M170" s="342">
        <v>46097</v>
      </c>
    </row>
    <row r="171" spans="2:13" x14ac:dyDescent="0.2">
      <c r="B171" s="124" t="s">
        <v>635</v>
      </c>
      <c r="C171" s="126">
        <v>6</v>
      </c>
      <c r="D171" s="126" t="s">
        <v>66</v>
      </c>
      <c r="E171" s="126">
        <v>0</v>
      </c>
      <c r="F171" s="126">
        <v>0</v>
      </c>
      <c r="G171" s="126">
        <v>48970</v>
      </c>
      <c r="H171" s="126">
        <v>8162</v>
      </c>
      <c r="I171" s="213">
        <v>82.8</v>
      </c>
      <c r="J171" s="213">
        <v>70.5</v>
      </c>
      <c r="K171" s="124"/>
      <c r="L171" s="340">
        <v>46039</v>
      </c>
      <c r="M171" s="340">
        <v>46077</v>
      </c>
    </row>
    <row r="172" spans="2:13" x14ac:dyDescent="0.2">
      <c r="B172" s="215" t="s">
        <v>738</v>
      </c>
      <c r="C172" s="217">
        <v>6</v>
      </c>
      <c r="D172" s="217" t="s">
        <v>41</v>
      </c>
      <c r="E172" s="217">
        <v>6</v>
      </c>
      <c r="F172" s="217">
        <v>0</v>
      </c>
      <c r="G172" s="217">
        <v>51490</v>
      </c>
      <c r="H172" s="217">
        <v>8582</v>
      </c>
      <c r="I172" s="341">
        <v>52.8</v>
      </c>
      <c r="J172" s="341">
        <v>24</v>
      </c>
      <c r="K172" s="215"/>
      <c r="L172" s="342">
        <v>46054</v>
      </c>
      <c r="M172" s="342">
        <v>46121</v>
      </c>
    </row>
    <row r="173" spans="2:13" x14ac:dyDescent="0.2">
      <c r="B173" s="124" t="s">
        <v>211</v>
      </c>
      <c r="C173" s="126">
        <v>6</v>
      </c>
      <c r="D173" s="126" t="s">
        <v>41</v>
      </c>
      <c r="E173" s="126">
        <v>5</v>
      </c>
      <c r="F173" s="126">
        <v>1</v>
      </c>
      <c r="G173" s="126">
        <v>54030</v>
      </c>
      <c r="H173" s="126">
        <v>9005</v>
      </c>
      <c r="I173" s="213">
        <v>0</v>
      </c>
      <c r="J173" s="213">
        <v>0</v>
      </c>
      <c r="K173" s="124" t="s">
        <v>1473</v>
      </c>
      <c r="L173" s="340">
        <v>46057</v>
      </c>
      <c r="M173" s="340">
        <v>46120</v>
      </c>
    </row>
    <row r="174" spans="2:13" x14ac:dyDescent="0.2">
      <c r="B174" s="215" t="s">
        <v>1047</v>
      </c>
      <c r="C174" s="217">
        <v>6</v>
      </c>
      <c r="D174" s="217" t="s">
        <v>41</v>
      </c>
      <c r="E174" s="217">
        <v>5</v>
      </c>
      <c r="F174" s="217">
        <v>1</v>
      </c>
      <c r="G174" s="217">
        <v>56460</v>
      </c>
      <c r="H174" s="217">
        <v>9410</v>
      </c>
      <c r="I174" s="341">
        <v>9.6999999999999993</v>
      </c>
      <c r="J174" s="341">
        <v>5</v>
      </c>
      <c r="K174" s="215" t="s">
        <v>1479</v>
      </c>
      <c r="L174" s="342">
        <v>46114</v>
      </c>
      <c r="M174" s="342">
        <v>46142</v>
      </c>
    </row>
    <row r="175" spans="2:13" x14ac:dyDescent="0.2">
      <c r="B175" s="124" t="s">
        <v>1274</v>
      </c>
      <c r="C175" s="126">
        <v>6</v>
      </c>
      <c r="D175" s="126" t="s">
        <v>3</v>
      </c>
      <c r="E175" s="126">
        <v>2</v>
      </c>
      <c r="F175" s="126">
        <v>4</v>
      </c>
      <c r="G175" s="126">
        <v>57200</v>
      </c>
      <c r="H175" s="126">
        <v>9533</v>
      </c>
      <c r="I175" s="213">
        <v>24</v>
      </c>
      <c r="J175" s="213">
        <v>24</v>
      </c>
      <c r="K175" s="124" t="s">
        <v>1516</v>
      </c>
      <c r="L175" s="340">
        <v>46120</v>
      </c>
      <c r="M175" s="340">
        <v>46141</v>
      </c>
    </row>
    <row r="176" spans="2:13" x14ac:dyDescent="0.2">
      <c r="B176" s="215" t="s">
        <v>91</v>
      </c>
      <c r="C176" s="217">
        <v>5</v>
      </c>
      <c r="D176" s="217" t="s">
        <v>66</v>
      </c>
      <c r="E176" s="217">
        <v>0</v>
      </c>
      <c r="F176" s="217">
        <v>0</v>
      </c>
      <c r="G176" s="217">
        <v>67120</v>
      </c>
      <c r="H176" s="217">
        <v>13424</v>
      </c>
      <c r="I176" s="341">
        <v>26.4</v>
      </c>
      <c r="J176" s="341">
        <v>5.7</v>
      </c>
      <c r="K176" s="215"/>
      <c r="L176" s="342">
        <v>45913</v>
      </c>
      <c r="M176" s="342">
        <v>46000</v>
      </c>
    </row>
    <row r="177" spans="2:13" x14ac:dyDescent="0.2">
      <c r="B177" s="124" t="s">
        <v>659</v>
      </c>
      <c r="C177" s="126">
        <v>5</v>
      </c>
      <c r="D177" s="126" t="s">
        <v>66</v>
      </c>
      <c r="E177" s="126">
        <v>0</v>
      </c>
      <c r="F177" s="126">
        <v>0</v>
      </c>
      <c r="G177" s="126">
        <v>39640</v>
      </c>
      <c r="H177" s="126">
        <v>7928</v>
      </c>
      <c r="I177" s="213">
        <v>95.2</v>
      </c>
      <c r="J177" s="213">
        <v>95.2</v>
      </c>
      <c r="K177" s="124"/>
      <c r="L177" s="340">
        <v>46039</v>
      </c>
      <c r="M177" s="340">
        <v>46077</v>
      </c>
    </row>
    <row r="178" spans="2:13" x14ac:dyDescent="0.2">
      <c r="B178" s="215" t="s">
        <v>830</v>
      </c>
      <c r="C178" s="217">
        <v>5</v>
      </c>
      <c r="D178" s="217" t="s">
        <v>3</v>
      </c>
      <c r="E178" s="217">
        <v>0</v>
      </c>
      <c r="F178" s="217">
        <v>5</v>
      </c>
      <c r="G178" s="217">
        <v>45870</v>
      </c>
      <c r="H178" s="217">
        <v>9174</v>
      </c>
      <c r="I178" s="341">
        <v>35.6</v>
      </c>
      <c r="J178" s="341">
        <v>25.7</v>
      </c>
      <c r="K178" s="215" t="s">
        <v>1772</v>
      </c>
      <c r="L178" s="342">
        <v>46066</v>
      </c>
      <c r="M178" s="342">
        <v>46142</v>
      </c>
    </row>
    <row r="179" spans="2:13" x14ac:dyDescent="0.2">
      <c r="B179" s="124" t="s">
        <v>1268</v>
      </c>
      <c r="C179" s="126">
        <v>5</v>
      </c>
      <c r="D179" s="126" t="s">
        <v>41</v>
      </c>
      <c r="E179" s="126">
        <v>5</v>
      </c>
      <c r="F179" s="126">
        <v>0</v>
      </c>
      <c r="G179" s="126">
        <v>48030</v>
      </c>
      <c r="H179" s="126">
        <v>9606</v>
      </c>
      <c r="I179" s="213">
        <v>18.100000000000001</v>
      </c>
      <c r="J179" s="213">
        <v>17.100000000000001</v>
      </c>
      <c r="K179" s="124"/>
      <c r="L179" s="340">
        <v>46120</v>
      </c>
      <c r="M179" s="340">
        <v>46141</v>
      </c>
    </row>
    <row r="180" spans="2:13" x14ac:dyDescent="0.2">
      <c r="B180" s="215" t="s">
        <v>596</v>
      </c>
      <c r="C180" s="217">
        <v>4</v>
      </c>
      <c r="D180" s="217" t="s">
        <v>66</v>
      </c>
      <c r="E180" s="217">
        <v>0</v>
      </c>
      <c r="F180" s="217">
        <v>0</v>
      </c>
      <c r="G180" s="217">
        <v>80040</v>
      </c>
      <c r="H180" s="217">
        <v>20010</v>
      </c>
      <c r="I180" s="341">
        <v>71.5</v>
      </c>
      <c r="J180" s="341">
        <v>71.5</v>
      </c>
      <c r="K180" s="215"/>
      <c r="L180" s="342">
        <v>46021</v>
      </c>
      <c r="M180" s="342">
        <v>46050</v>
      </c>
    </row>
    <row r="181" spans="2:13" x14ac:dyDescent="0.2">
      <c r="B181" s="124" t="s">
        <v>966</v>
      </c>
      <c r="C181" s="126">
        <v>4</v>
      </c>
      <c r="D181" s="126" t="s">
        <v>3</v>
      </c>
      <c r="E181" s="126">
        <v>0</v>
      </c>
      <c r="F181" s="126">
        <v>4</v>
      </c>
      <c r="G181" s="126">
        <v>38090</v>
      </c>
      <c r="H181" s="126">
        <v>9523</v>
      </c>
      <c r="I181" s="213">
        <v>73.400000000000006</v>
      </c>
      <c r="J181" s="213">
        <v>73.099999999999994</v>
      </c>
      <c r="K181" s="124" t="s">
        <v>1475</v>
      </c>
      <c r="L181" s="340">
        <v>46094</v>
      </c>
      <c r="M181" s="340">
        <v>46133</v>
      </c>
    </row>
    <row r="182" spans="2:13" x14ac:dyDescent="0.2">
      <c r="B182" s="215" t="s">
        <v>1272</v>
      </c>
      <c r="C182" s="217">
        <v>4</v>
      </c>
      <c r="D182" s="217" t="s">
        <v>41</v>
      </c>
      <c r="E182" s="217">
        <v>4</v>
      </c>
      <c r="F182" s="217">
        <v>0</v>
      </c>
      <c r="G182" s="217">
        <v>81860</v>
      </c>
      <c r="H182" s="217">
        <v>20465</v>
      </c>
      <c r="I182" s="341">
        <v>15</v>
      </c>
      <c r="J182" s="341">
        <v>5.9</v>
      </c>
      <c r="K182" s="215"/>
      <c r="L182" s="342">
        <v>46120</v>
      </c>
      <c r="M182" s="342">
        <v>46141</v>
      </c>
    </row>
    <row r="183" spans="2:13" x14ac:dyDescent="0.2">
      <c r="B183" s="124" t="s">
        <v>1278</v>
      </c>
      <c r="C183" s="126">
        <v>4</v>
      </c>
      <c r="D183" s="126" t="s">
        <v>3</v>
      </c>
      <c r="E183" s="126">
        <v>1</v>
      </c>
      <c r="F183" s="126">
        <v>3</v>
      </c>
      <c r="G183" s="126">
        <v>39770</v>
      </c>
      <c r="H183" s="126">
        <v>9943</v>
      </c>
      <c r="I183" s="213">
        <v>93.8</v>
      </c>
      <c r="J183" s="213">
        <v>93.8</v>
      </c>
      <c r="K183" s="124" t="s">
        <v>1519</v>
      </c>
      <c r="L183" s="340">
        <v>46120</v>
      </c>
      <c r="M183" s="340">
        <v>46141</v>
      </c>
    </row>
    <row r="184" spans="2:13" x14ac:dyDescent="0.2">
      <c r="B184" s="215" t="s">
        <v>1307</v>
      </c>
      <c r="C184" s="217">
        <v>4</v>
      </c>
      <c r="D184" s="217" t="s">
        <v>3</v>
      </c>
      <c r="E184" s="217">
        <v>0</v>
      </c>
      <c r="F184" s="217">
        <v>4</v>
      </c>
      <c r="G184" s="217">
        <v>37560</v>
      </c>
      <c r="H184" s="217">
        <v>9390</v>
      </c>
      <c r="I184" s="341">
        <v>0</v>
      </c>
      <c r="J184" s="341">
        <v>0</v>
      </c>
      <c r="K184" s="215" t="s">
        <v>1517</v>
      </c>
      <c r="L184" s="342">
        <v>46126</v>
      </c>
      <c r="M184" s="342">
        <v>46141</v>
      </c>
    </row>
    <row r="185" spans="2:13" x14ac:dyDescent="0.2">
      <c r="B185" s="124" t="s">
        <v>1308</v>
      </c>
      <c r="C185" s="126">
        <v>4</v>
      </c>
      <c r="D185" s="126" t="s">
        <v>3</v>
      </c>
      <c r="E185" s="126">
        <v>0</v>
      </c>
      <c r="F185" s="126">
        <v>4</v>
      </c>
      <c r="G185" s="126">
        <v>37000</v>
      </c>
      <c r="H185" s="126">
        <v>9250</v>
      </c>
      <c r="I185" s="213">
        <v>0</v>
      </c>
      <c r="J185" s="213">
        <v>0</v>
      </c>
      <c r="K185" s="124" t="s">
        <v>1518</v>
      </c>
      <c r="L185" s="340">
        <v>46126</v>
      </c>
      <c r="M185" s="340">
        <v>46142</v>
      </c>
    </row>
    <row r="186" spans="2:13" x14ac:dyDescent="0.2">
      <c r="B186" s="215" t="s">
        <v>1592</v>
      </c>
      <c r="C186" s="217">
        <v>4</v>
      </c>
      <c r="D186" s="217" t="s">
        <v>41</v>
      </c>
      <c r="E186" s="217">
        <v>4</v>
      </c>
      <c r="F186" s="217">
        <v>0</v>
      </c>
      <c r="G186" s="217">
        <v>37250</v>
      </c>
      <c r="H186" s="217">
        <v>9313</v>
      </c>
      <c r="I186" s="341">
        <v>12.6</v>
      </c>
      <c r="J186" s="341">
        <v>5.3</v>
      </c>
      <c r="K186" s="215"/>
      <c r="L186" s="342">
        <v>46140</v>
      </c>
      <c r="M186" s="342">
        <v>46142</v>
      </c>
    </row>
    <row r="187" spans="2:13" x14ac:dyDescent="0.2">
      <c r="B187" s="124" t="s">
        <v>64</v>
      </c>
      <c r="C187" s="126">
        <v>3</v>
      </c>
      <c r="D187" s="126" t="s">
        <v>66</v>
      </c>
      <c r="E187" s="126">
        <v>0</v>
      </c>
      <c r="F187" s="126">
        <v>0</v>
      </c>
      <c r="G187" s="126">
        <v>40000</v>
      </c>
      <c r="H187" s="126">
        <v>13333</v>
      </c>
      <c r="I187" s="213">
        <v>0</v>
      </c>
      <c r="J187" s="213">
        <v>0</v>
      </c>
      <c r="K187" s="124"/>
      <c r="L187" s="340">
        <v>45878</v>
      </c>
      <c r="M187" s="340">
        <v>46050</v>
      </c>
    </row>
    <row r="188" spans="2:13" x14ac:dyDescent="0.2">
      <c r="B188" s="215" t="s">
        <v>89</v>
      </c>
      <c r="C188" s="217">
        <v>3</v>
      </c>
      <c r="D188" s="217" t="s">
        <v>41</v>
      </c>
      <c r="E188" s="217">
        <v>3</v>
      </c>
      <c r="F188" s="217">
        <v>0</v>
      </c>
      <c r="G188" s="217">
        <v>42720</v>
      </c>
      <c r="H188" s="217">
        <v>14240</v>
      </c>
      <c r="I188" s="341">
        <v>18.2</v>
      </c>
      <c r="J188" s="341">
        <v>18</v>
      </c>
      <c r="K188" s="215" t="s">
        <v>1781</v>
      </c>
      <c r="L188" s="342">
        <v>45930</v>
      </c>
      <c r="M188" s="342">
        <v>45931</v>
      </c>
    </row>
    <row r="189" spans="2:13" x14ac:dyDescent="0.2">
      <c r="B189" s="124" t="s">
        <v>730</v>
      </c>
      <c r="C189" s="126">
        <v>3</v>
      </c>
      <c r="D189" s="126" t="s">
        <v>41</v>
      </c>
      <c r="E189" s="126">
        <v>3</v>
      </c>
      <c r="F189" s="126">
        <v>0</v>
      </c>
      <c r="G189" s="126">
        <v>27930</v>
      </c>
      <c r="H189" s="126">
        <v>9310</v>
      </c>
      <c r="I189" s="213">
        <v>81.2</v>
      </c>
      <c r="J189" s="213">
        <v>66.900000000000006</v>
      </c>
      <c r="K189" s="124"/>
      <c r="L189" s="340">
        <v>46053</v>
      </c>
      <c r="M189" s="340">
        <v>46060</v>
      </c>
    </row>
    <row r="190" spans="2:13" x14ac:dyDescent="0.2">
      <c r="B190" s="215" t="s">
        <v>1092</v>
      </c>
      <c r="C190" s="217">
        <v>3</v>
      </c>
      <c r="D190" s="217" t="s">
        <v>3</v>
      </c>
      <c r="E190" s="217">
        <v>0</v>
      </c>
      <c r="F190" s="217">
        <v>3</v>
      </c>
      <c r="G190" s="217">
        <v>27560</v>
      </c>
      <c r="H190" s="217">
        <v>9187</v>
      </c>
      <c r="I190" s="341">
        <v>91.9</v>
      </c>
      <c r="J190" s="341">
        <v>91.9</v>
      </c>
      <c r="K190" s="215" t="s">
        <v>1773</v>
      </c>
      <c r="L190" s="342">
        <v>46119</v>
      </c>
      <c r="M190" s="342">
        <v>46137</v>
      </c>
    </row>
    <row r="191" spans="2:13" x14ac:dyDescent="0.2">
      <c r="B191" s="124" t="s">
        <v>1239</v>
      </c>
      <c r="C191" s="126">
        <v>3</v>
      </c>
      <c r="D191" s="126" t="s">
        <v>3</v>
      </c>
      <c r="E191" s="126">
        <v>0</v>
      </c>
      <c r="F191" s="126">
        <v>3</v>
      </c>
      <c r="G191" s="126">
        <v>70950</v>
      </c>
      <c r="H191" s="126">
        <v>23650</v>
      </c>
      <c r="I191" s="213">
        <v>48</v>
      </c>
      <c r="J191" s="213">
        <v>48</v>
      </c>
      <c r="K191" s="124" t="s">
        <v>1783</v>
      </c>
      <c r="L191" s="340">
        <v>46120</v>
      </c>
      <c r="M191" s="340">
        <v>46141</v>
      </c>
    </row>
    <row r="192" spans="2:13" x14ac:dyDescent="0.2">
      <c r="B192" s="215" t="s">
        <v>1265</v>
      </c>
      <c r="C192" s="217">
        <v>3</v>
      </c>
      <c r="D192" s="217" t="s">
        <v>41</v>
      </c>
      <c r="E192" s="217">
        <v>3</v>
      </c>
      <c r="F192" s="217">
        <v>0</v>
      </c>
      <c r="G192" s="217">
        <v>55490</v>
      </c>
      <c r="H192" s="217">
        <v>18497</v>
      </c>
      <c r="I192" s="341">
        <v>24</v>
      </c>
      <c r="J192" s="341">
        <v>24</v>
      </c>
      <c r="K192" s="215"/>
      <c r="L192" s="342">
        <v>46120</v>
      </c>
      <c r="M192" s="342">
        <v>46121</v>
      </c>
    </row>
    <row r="193" spans="2:13" x14ac:dyDescent="0.2">
      <c r="B193" s="124" t="s">
        <v>1267</v>
      </c>
      <c r="C193" s="126">
        <v>3</v>
      </c>
      <c r="D193" s="126" t="s">
        <v>41</v>
      </c>
      <c r="E193" s="126">
        <v>3</v>
      </c>
      <c r="F193" s="126">
        <v>0</v>
      </c>
      <c r="G193" s="126">
        <v>26660</v>
      </c>
      <c r="H193" s="126">
        <v>8887</v>
      </c>
      <c r="I193" s="213">
        <v>24</v>
      </c>
      <c r="J193" s="213">
        <v>24</v>
      </c>
      <c r="K193" s="124"/>
      <c r="L193" s="340">
        <v>46120</v>
      </c>
      <c r="M193" s="340">
        <v>46121</v>
      </c>
    </row>
    <row r="194" spans="2:13" x14ac:dyDescent="0.2">
      <c r="B194" s="215" t="s">
        <v>1269</v>
      </c>
      <c r="C194" s="217">
        <v>3</v>
      </c>
      <c r="D194" s="217" t="s">
        <v>41</v>
      </c>
      <c r="E194" s="217">
        <v>3</v>
      </c>
      <c r="F194" s="217">
        <v>0</v>
      </c>
      <c r="G194" s="217">
        <v>26340</v>
      </c>
      <c r="H194" s="217">
        <v>8780</v>
      </c>
      <c r="I194" s="341">
        <v>24</v>
      </c>
      <c r="J194" s="341">
        <v>24</v>
      </c>
      <c r="K194" s="215"/>
      <c r="L194" s="342">
        <v>46120</v>
      </c>
      <c r="M194" s="342">
        <v>46121</v>
      </c>
    </row>
    <row r="195" spans="2:13" x14ac:dyDescent="0.2">
      <c r="B195" s="124" t="s">
        <v>1515</v>
      </c>
      <c r="C195" s="126">
        <v>3</v>
      </c>
      <c r="D195" s="126" t="s">
        <v>3</v>
      </c>
      <c r="E195" s="126">
        <v>0</v>
      </c>
      <c r="F195" s="126">
        <v>3</v>
      </c>
      <c r="G195" s="126">
        <v>29100</v>
      </c>
      <c r="H195" s="126">
        <v>9700</v>
      </c>
      <c r="I195" s="213">
        <v>0</v>
      </c>
      <c r="J195" s="213">
        <v>0</v>
      </c>
      <c r="K195" s="124" t="s">
        <v>1520</v>
      </c>
      <c r="L195" s="340">
        <v>46132</v>
      </c>
      <c r="M195" s="340">
        <v>46141</v>
      </c>
    </row>
    <row r="196" spans="2:13" x14ac:dyDescent="0.2">
      <c r="B196" s="215" t="s">
        <v>93</v>
      </c>
      <c r="C196" s="217">
        <v>2</v>
      </c>
      <c r="D196" s="217" t="s">
        <v>41</v>
      </c>
      <c r="E196" s="217">
        <v>2</v>
      </c>
      <c r="F196" s="217">
        <v>0</v>
      </c>
      <c r="G196" s="217">
        <v>29600</v>
      </c>
      <c r="H196" s="217">
        <v>14800</v>
      </c>
      <c r="I196" s="341">
        <v>6</v>
      </c>
      <c r="J196" s="341">
        <v>6</v>
      </c>
      <c r="K196" s="215" t="s">
        <v>1393</v>
      </c>
      <c r="L196" s="342">
        <v>45932</v>
      </c>
      <c r="M196" s="342">
        <v>45932</v>
      </c>
    </row>
    <row r="197" spans="2:13" x14ac:dyDescent="0.2">
      <c r="B197" s="124" t="s">
        <v>179</v>
      </c>
      <c r="C197" s="126">
        <v>2</v>
      </c>
      <c r="D197" s="126" t="s">
        <v>41</v>
      </c>
      <c r="E197" s="126">
        <v>2</v>
      </c>
      <c r="F197" s="126">
        <v>0</v>
      </c>
      <c r="G197" s="126">
        <v>19670</v>
      </c>
      <c r="H197" s="126">
        <v>9835</v>
      </c>
      <c r="I197" s="213">
        <v>80.7</v>
      </c>
      <c r="J197" s="213">
        <v>80.7</v>
      </c>
      <c r="K197" s="124"/>
      <c r="L197" s="340">
        <v>45963</v>
      </c>
      <c r="M197" s="340">
        <v>45966</v>
      </c>
    </row>
    <row r="198" spans="2:13" x14ac:dyDescent="0.2">
      <c r="B198" s="215" t="s">
        <v>214</v>
      </c>
      <c r="C198" s="217">
        <v>2</v>
      </c>
      <c r="D198" s="217" t="s">
        <v>41</v>
      </c>
      <c r="E198" s="217">
        <v>2</v>
      </c>
      <c r="F198" s="217">
        <v>0</v>
      </c>
      <c r="G198" s="217">
        <v>19520</v>
      </c>
      <c r="H198" s="217">
        <v>9760</v>
      </c>
      <c r="I198" s="341">
        <v>0</v>
      </c>
      <c r="J198" s="341">
        <v>0</v>
      </c>
      <c r="K198" s="215"/>
      <c r="L198" s="342">
        <v>45966</v>
      </c>
      <c r="M198" s="342">
        <v>46051</v>
      </c>
    </row>
    <row r="199" spans="2:13" x14ac:dyDescent="0.2">
      <c r="B199" s="124" t="s">
        <v>224</v>
      </c>
      <c r="C199" s="126">
        <v>2</v>
      </c>
      <c r="D199" s="126" t="s">
        <v>41</v>
      </c>
      <c r="E199" s="126">
        <v>2</v>
      </c>
      <c r="F199" s="126">
        <v>0</v>
      </c>
      <c r="G199" s="126">
        <v>16860</v>
      </c>
      <c r="H199" s="126">
        <v>8430</v>
      </c>
      <c r="I199" s="213">
        <v>0</v>
      </c>
      <c r="J199" s="213">
        <v>0</v>
      </c>
      <c r="K199" s="124"/>
      <c r="L199" s="340">
        <v>45968</v>
      </c>
      <c r="M199" s="340">
        <v>46014</v>
      </c>
    </row>
    <row r="200" spans="2:13" x14ac:dyDescent="0.2">
      <c r="B200" s="215" t="s">
        <v>578</v>
      </c>
      <c r="C200" s="217">
        <v>2</v>
      </c>
      <c r="D200" s="217" t="s">
        <v>66</v>
      </c>
      <c r="E200" s="217">
        <v>0</v>
      </c>
      <c r="F200" s="217">
        <v>0</v>
      </c>
      <c r="G200" s="217">
        <v>40020</v>
      </c>
      <c r="H200" s="217">
        <v>20010</v>
      </c>
      <c r="I200" s="341">
        <v>7.4</v>
      </c>
      <c r="J200" s="341">
        <v>7.4</v>
      </c>
      <c r="K200" s="215"/>
      <c r="L200" s="342">
        <v>46018</v>
      </c>
      <c r="M200" s="342">
        <v>46018</v>
      </c>
    </row>
    <row r="201" spans="2:13" x14ac:dyDescent="0.2">
      <c r="B201" s="124" t="s">
        <v>205</v>
      </c>
      <c r="C201" s="126">
        <v>2</v>
      </c>
      <c r="D201" s="126" t="s">
        <v>41</v>
      </c>
      <c r="E201" s="126">
        <v>2</v>
      </c>
      <c r="F201" s="126">
        <v>0</v>
      </c>
      <c r="G201" s="126">
        <v>19750</v>
      </c>
      <c r="H201" s="126">
        <v>9875</v>
      </c>
      <c r="I201" s="213">
        <v>0</v>
      </c>
      <c r="J201" s="213">
        <v>0</v>
      </c>
      <c r="K201" s="124"/>
      <c r="L201" s="340">
        <v>46059</v>
      </c>
      <c r="M201" s="340">
        <v>46064</v>
      </c>
    </row>
    <row r="202" spans="2:13" x14ac:dyDescent="0.2">
      <c r="B202" s="215" t="s">
        <v>220</v>
      </c>
      <c r="C202" s="217">
        <v>2</v>
      </c>
      <c r="D202" s="217" t="s">
        <v>41</v>
      </c>
      <c r="E202" s="217">
        <v>2</v>
      </c>
      <c r="F202" s="217">
        <v>0</v>
      </c>
      <c r="G202" s="217">
        <v>19130</v>
      </c>
      <c r="H202" s="217">
        <v>9565</v>
      </c>
      <c r="I202" s="341">
        <v>0</v>
      </c>
      <c r="J202" s="341">
        <v>0</v>
      </c>
      <c r="K202" s="215"/>
      <c r="L202" s="342">
        <v>46060</v>
      </c>
      <c r="M202" s="342">
        <v>46065</v>
      </c>
    </row>
    <row r="203" spans="2:13" x14ac:dyDescent="0.2">
      <c r="B203" s="124" t="s">
        <v>1060</v>
      </c>
      <c r="C203" s="126">
        <v>2</v>
      </c>
      <c r="D203" s="126" t="s">
        <v>3</v>
      </c>
      <c r="E203" s="126">
        <v>0</v>
      </c>
      <c r="F203" s="126">
        <v>2</v>
      </c>
      <c r="G203" s="126">
        <v>18030</v>
      </c>
      <c r="H203" s="126">
        <v>9015</v>
      </c>
      <c r="I203" s="213">
        <v>0</v>
      </c>
      <c r="J203" s="213">
        <v>0</v>
      </c>
      <c r="K203" s="124" t="s">
        <v>1391</v>
      </c>
      <c r="L203" s="340">
        <v>46116</v>
      </c>
      <c r="M203" s="340">
        <v>46121</v>
      </c>
    </row>
    <row r="204" spans="2:13" x14ac:dyDescent="0.2">
      <c r="B204" s="215" t="s">
        <v>1073</v>
      </c>
      <c r="C204" s="217">
        <v>2</v>
      </c>
      <c r="D204" s="217" t="s">
        <v>3</v>
      </c>
      <c r="E204" s="217">
        <v>0</v>
      </c>
      <c r="F204" s="217">
        <v>2</v>
      </c>
      <c r="G204" s="217">
        <v>16790</v>
      </c>
      <c r="H204" s="217">
        <v>8395</v>
      </c>
      <c r="I204" s="341">
        <v>0</v>
      </c>
      <c r="J204" s="341">
        <v>0</v>
      </c>
      <c r="K204" s="215" t="s">
        <v>1374</v>
      </c>
      <c r="L204" s="342">
        <v>46118</v>
      </c>
      <c r="M204" s="342">
        <v>46136</v>
      </c>
    </row>
    <row r="205" spans="2:13" x14ac:dyDescent="0.2">
      <c r="B205" s="124" t="s">
        <v>1271</v>
      </c>
      <c r="C205" s="126">
        <v>2</v>
      </c>
      <c r="D205" s="126" t="s">
        <v>41</v>
      </c>
      <c r="E205" s="126">
        <v>2</v>
      </c>
      <c r="F205" s="126">
        <v>0</v>
      </c>
      <c r="G205" s="126">
        <v>18730</v>
      </c>
      <c r="H205" s="126">
        <v>9365</v>
      </c>
      <c r="I205" s="213">
        <v>24</v>
      </c>
      <c r="J205" s="213">
        <v>24</v>
      </c>
      <c r="K205" s="124"/>
      <c r="L205" s="340">
        <v>46120</v>
      </c>
      <c r="M205" s="340">
        <v>46121</v>
      </c>
    </row>
    <row r="206" spans="2:13" x14ac:dyDescent="0.2">
      <c r="B206" s="215" t="s">
        <v>1273</v>
      </c>
      <c r="C206" s="217">
        <v>2</v>
      </c>
      <c r="D206" s="217" t="s">
        <v>41</v>
      </c>
      <c r="E206" s="217">
        <v>2</v>
      </c>
      <c r="F206" s="217">
        <v>0</v>
      </c>
      <c r="G206" s="217">
        <v>19180</v>
      </c>
      <c r="H206" s="217">
        <v>9590</v>
      </c>
      <c r="I206" s="341">
        <v>24</v>
      </c>
      <c r="J206" s="341">
        <v>24</v>
      </c>
      <c r="K206" s="215"/>
      <c r="L206" s="342">
        <v>46120</v>
      </c>
      <c r="M206" s="342">
        <v>46121</v>
      </c>
    </row>
    <row r="207" spans="2:13" x14ac:dyDescent="0.2">
      <c r="B207" s="124" t="s">
        <v>1567</v>
      </c>
      <c r="C207" s="126">
        <v>2</v>
      </c>
      <c r="D207" s="126" t="s">
        <v>3</v>
      </c>
      <c r="E207" s="126">
        <v>0</v>
      </c>
      <c r="F207" s="126">
        <v>2</v>
      </c>
      <c r="G207" s="126">
        <v>18690</v>
      </c>
      <c r="H207" s="126">
        <v>9345</v>
      </c>
      <c r="I207" s="213">
        <v>0</v>
      </c>
      <c r="J207" s="213">
        <v>0</v>
      </c>
      <c r="K207" s="124" t="s">
        <v>1634</v>
      </c>
      <c r="L207" s="340">
        <v>46137</v>
      </c>
      <c r="M207" s="340">
        <v>46142</v>
      </c>
    </row>
    <row r="208" spans="2:13" x14ac:dyDescent="0.2">
      <c r="B208" s="215" t="s">
        <v>1632</v>
      </c>
      <c r="C208" s="217">
        <v>2</v>
      </c>
      <c r="D208" s="217" t="s">
        <v>3</v>
      </c>
      <c r="E208" s="217">
        <v>0</v>
      </c>
      <c r="F208" s="217">
        <v>2</v>
      </c>
      <c r="G208" s="217">
        <v>19520</v>
      </c>
      <c r="H208" s="217">
        <v>9760</v>
      </c>
      <c r="I208" s="341">
        <v>69.400000000000006</v>
      </c>
      <c r="J208" s="341">
        <v>69.400000000000006</v>
      </c>
      <c r="K208" s="215" t="s">
        <v>1635</v>
      </c>
      <c r="L208" s="342">
        <v>46139</v>
      </c>
      <c r="M208" s="342">
        <v>46142</v>
      </c>
    </row>
    <row r="209" spans="2:13" x14ac:dyDescent="0.2">
      <c r="B209" s="124" t="s">
        <v>1593</v>
      </c>
      <c r="C209" s="126">
        <v>2</v>
      </c>
      <c r="D209" s="126" t="s">
        <v>41</v>
      </c>
      <c r="E209" s="126">
        <v>2</v>
      </c>
      <c r="F209" s="126">
        <v>0</v>
      </c>
      <c r="G209" s="126">
        <v>19430</v>
      </c>
      <c r="H209" s="126">
        <v>9715</v>
      </c>
      <c r="I209" s="213">
        <v>14.5</v>
      </c>
      <c r="J209" s="213">
        <v>14.5</v>
      </c>
      <c r="K209" s="124"/>
      <c r="L209" s="340">
        <v>46140</v>
      </c>
      <c r="M209" s="340">
        <v>46141</v>
      </c>
    </row>
    <row r="210" spans="2:13" x14ac:dyDescent="0.2">
      <c r="B210" s="215" t="s">
        <v>1595</v>
      </c>
      <c r="C210" s="217">
        <v>2</v>
      </c>
      <c r="D210" s="217" t="s">
        <v>41</v>
      </c>
      <c r="E210" s="217">
        <v>2</v>
      </c>
      <c r="F210" s="217">
        <v>0</v>
      </c>
      <c r="G210" s="217">
        <v>37100</v>
      </c>
      <c r="H210" s="217">
        <v>18550</v>
      </c>
      <c r="I210" s="341">
        <v>6</v>
      </c>
      <c r="J210" s="341">
        <v>6</v>
      </c>
      <c r="K210" s="215"/>
      <c r="L210" s="342">
        <v>46141</v>
      </c>
      <c r="M210" s="342">
        <v>46141</v>
      </c>
    </row>
    <row r="211" spans="2:13" x14ac:dyDescent="0.2">
      <c r="B211" s="124" t="s">
        <v>513</v>
      </c>
      <c r="C211" s="126">
        <v>1</v>
      </c>
      <c r="D211" s="126" t="s">
        <v>41</v>
      </c>
      <c r="E211" s="126">
        <v>1</v>
      </c>
      <c r="F211" s="126">
        <v>0</v>
      </c>
      <c r="G211" s="126">
        <v>9770</v>
      </c>
      <c r="H211" s="126">
        <v>9770</v>
      </c>
      <c r="I211" s="213">
        <v>0</v>
      </c>
      <c r="J211" s="213">
        <v>0</v>
      </c>
      <c r="K211" s="124"/>
      <c r="L211" s="340">
        <v>46009</v>
      </c>
      <c r="M211" s="340">
        <v>46009</v>
      </c>
    </row>
    <row r="212" spans="2:13" x14ac:dyDescent="0.2">
      <c r="B212" s="215" t="s">
        <v>565</v>
      </c>
      <c r="C212" s="217">
        <v>1</v>
      </c>
      <c r="D212" s="217" t="s">
        <v>41</v>
      </c>
      <c r="E212" s="217">
        <v>1</v>
      </c>
      <c r="F212" s="217">
        <v>0</v>
      </c>
      <c r="G212" s="217">
        <v>10130</v>
      </c>
      <c r="H212" s="217">
        <v>10130</v>
      </c>
      <c r="I212" s="341">
        <v>0</v>
      </c>
      <c r="J212" s="341">
        <v>0</v>
      </c>
      <c r="K212" s="215"/>
      <c r="L212" s="342">
        <v>46014</v>
      </c>
      <c r="M212" s="342">
        <v>46014</v>
      </c>
    </row>
    <row r="213" spans="2:13" x14ac:dyDescent="0.2">
      <c r="B213" s="124" t="s">
        <v>673</v>
      </c>
      <c r="C213" s="126">
        <v>1</v>
      </c>
      <c r="D213" s="126" t="s">
        <v>58</v>
      </c>
      <c r="E213" s="126">
        <v>0</v>
      </c>
      <c r="F213" s="126">
        <v>0</v>
      </c>
      <c r="G213" s="126">
        <v>20410</v>
      </c>
      <c r="H213" s="126">
        <v>20410</v>
      </c>
      <c r="I213" s="213">
        <v>0</v>
      </c>
      <c r="J213" s="213">
        <v>0</v>
      </c>
      <c r="K213" s="124"/>
      <c r="L213" s="340">
        <v>46044</v>
      </c>
      <c r="M213" s="340">
        <v>46044</v>
      </c>
    </row>
    <row r="214" spans="2:13" x14ac:dyDescent="0.2">
      <c r="B214" s="215" t="s">
        <v>675</v>
      </c>
      <c r="C214" s="217">
        <v>1</v>
      </c>
      <c r="D214" s="217" t="s">
        <v>58</v>
      </c>
      <c r="E214" s="217">
        <v>0</v>
      </c>
      <c r="F214" s="217">
        <v>0</v>
      </c>
      <c r="G214" s="217">
        <v>20350</v>
      </c>
      <c r="H214" s="217">
        <v>20350</v>
      </c>
      <c r="I214" s="341">
        <v>0</v>
      </c>
      <c r="J214" s="341">
        <v>0</v>
      </c>
      <c r="K214" s="215"/>
      <c r="L214" s="342">
        <v>46044</v>
      </c>
      <c r="M214" s="342">
        <v>46044</v>
      </c>
    </row>
    <row r="215" spans="2:13" x14ac:dyDescent="0.2">
      <c r="B215" s="124" t="s">
        <v>682</v>
      </c>
      <c r="C215" s="126">
        <v>1</v>
      </c>
      <c r="D215" s="126" t="s">
        <v>58</v>
      </c>
      <c r="E215" s="126">
        <v>0</v>
      </c>
      <c r="F215" s="126">
        <v>0</v>
      </c>
      <c r="G215" s="126">
        <v>20200</v>
      </c>
      <c r="H215" s="126">
        <v>20200</v>
      </c>
      <c r="I215" s="213">
        <v>0</v>
      </c>
      <c r="J215" s="213">
        <v>0</v>
      </c>
      <c r="K215" s="124"/>
      <c r="L215" s="340">
        <v>46045</v>
      </c>
      <c r="M215" s="340">
        <v>46045</v>
      </c>
    </row>
    <row r="216" spans="2:13" x14ac:dyDescent="0.2">
      <c r="B216" s="215" t="s">
        <v>684</v>
      </c>
      <c r="C216" s="217">
        <v>1</v>
      </c>
      <c r="D216" s="217" t="s">
        <v>58</v>
      </c>
      <c r="E216" s="217">
        <v>0</v>
      </c>
      <c r="F216" s="217">
        <v>0</v>
      </c>
      <c r="G216" s="217">
        <v>20200</v>
      </c>
      <c r="H216" s="217">
        <v>20200</v>
      </c>
      <c r="I216" s="341">
        <v>0</v>
      </c>
      <c r="J216" s="341">
        <v>0</v>
      </c>
      <c r="K216" s="215"/>
      <c r="L216" s="342">
        <v>46045</v>
      </c>
      <c r="M216" s="342">
        <v>46045</v>
      </c>
    </row>
    <row r="217" spans="2:13" x14ac:dyDescent="0.2">
      <c r="B217" s="124" t="s">
        <v>1762</v>
      </c>
      <c r="C217" s="126">
        <v>1</v>
      </c>
      <c r="D217" s="126" t="s">
        <v>58</v>
      </c>
      <c r="E217" s="126">
        <v>0</v>
      </c>
      <c r="F217" s="126">
        <v>0</v>
      </c>
      <c r="G217" s="126">
        <v>20340</v>
      </c>
      <c r="H217" s="126">
        <v>20340</v>
      </c>
      <c r="I217" s="213">
        <v>0</v>
      </c>
      <c r="J217" s="213">
        <v>0</v>
      </c>
      <c r="K217" s="124"/>
      <c r="L217" s="340">
        <v>46046</v>
      </c>
      <c r="M217" s="340">
        <v>46046</v>
      </c>
    </row>
    <row r="218" spans="2:13" x14ac:dyDescent="0.2">
      <c r="B218" s="215" t="s">
        <v>763</v>
      </c>
      <c r="C218" s="217">
        <v>1</v>
      </c>
      <c r="D218" s="217" t="s">
        <v>41</v>
      </c>
      <c r="E218" s="217">
        <v>1</v>
      </c>
      <c r="F218" s="217">
        <v>0</v>
      </c>
      <c r="G218" s="217">
        <v>9430</v>
      </c>
      <c r="H218" s="217">
        <v>9430</v>
      </c>
      <c r="I218" s="341">
        <v>0</v>
      </c>
      <c r="J218" s="341">
        <v>0</v>
      </c>
      <c r="K218" s="215"/>
      <c r="L218" s="342">
        <v>46056</v>
      </c>
      <c r="M218" s="342">
        <v>46056</v>
      </c>
    </row>
    <row r="219" spans="2:13" x14ac:dyDescent="0.2">
      <c r="B219" s="124" t="s">
        <v>765</v>
      </c>
      <c r="C219" s="126">
        <v>1</v>
      </c>
      <c r="D219" s="126" t="s">
        <v>41</v>
      </c>
      <c r="E219" s="126">
        <v>1</v>
      </c>
      <c r="F219" s="126">
        <v>0</v>
      </c>
      <c r="G219" s="126">
        <v>9660</v>
      </c>
      <c r="H219" s="126">
        <v>9660</v>
      </c>
      <c r="I219" s="213">
        <v>0</v>
      </c>
      <c r="J219" s="213">
        <v>0</v>
      </c>
      <c r="K219" s="124"/>
      <c r="L219" s="340">
        <v>46056</v>
      </c>
      <c r="M219" s="340">
        <v>46056</v>
      </c>
    </row>
    <row r="220" spans="2:13" x14ac:dyDescent="0.2">
      <c r="B220" s="215" t="s">
        <v>777</v>
      </c>
      <c r="C220" s="217">
        <v>1</v>
      </c>
      <c r="D220" s="217" t="s">
        <v>66</v>
      </c>
      <c r="E220" s="217">
        <v>0</v>
      </c>
      <c r="F220" s="217">
        <v>0</v>
      </c>
      <c r="G220" s="217">
        <v>8170</v>
      </c>
      <c r="H220" s="217">
        <v>8170</v>
      </c>
      <c r="I220" s="341">
        <v>0</v>
      </c>
      <c r="J220" s="341">
        <v>0</v>
      </c>
      <c r="K220" s="215"/>
      <c r="L220" s="342">
        <v>46057</v>
      </c>
      <c r="M220" s="342">
        <v>46057</v>
      </c>
    </row>
    <row r="221" spans="2:13" x14ac:dyDescent="0.2">
      <c r="B221" s="124" t="s">
        <v>191</v>
      </c>
      <c r="C221" s="126">
        <v>1</v>
      </c>
      <c r="D221" s="126" t="s">
        <v>41</v>
      </c>
      <c r="E221" s="126">
        <v>1</v>
      </c>
      <c r="F221" s="126">
        <v>0</v>
      </c>
      <c r="G221" s="126">
        <v>9650</v>
      </c>
      <c r="H221" s="126">
        <v>9650</v>
      </c>
      <c r="I221" s="213">
        <v>0</v>
      </c>
      <c r="J221" s="213">
        <v>0</v>
      </c>
      <c r="K221" s="124"/>
      <c r="L221" s="340">
        <v>46064</v>
      </c>
      <c r="M221" s="340">
        <v>46064</v>
      </c>
    </row>
    <row r="222" spans="2:13" x14ac:dyDescent="0.2">
      <c r="B222" s="215" t="s">
        <v>835</v>
      </c>
      <c r="C222" s="217">
        <v>1</v>
      </c>
      <c r="D222" s="217" t="s">
        <v>3</v>
      </c>
      <c r="E222" s="217">
        <v>0</v>
      </c>
      <c r="F222" s="217">
        <v>1</v>
      </c>
      <c r="G222" s="217">
        <v>9370</v>
      </c>
      <c r="H222" s="217">
        <v>9370</v>
      </c>
      <c r="I222" s="341">
        <v>0</v>
      </c>
      <c r="J222" s="341">
        <v>0</v>
      </c>
      <c r="K222" s="215" t="s">
        <v>1469</v>
      </c>
      <c r="L222" s="342">
        <v>46067</v>
      </c>
      <c r="M222" s="342">
        <v>46067</v>
      </c>
    </row>
    <row r="223" spans="2:13" x14ac:dyDescent="0.2">
      <c r="B223" s="124" t="s">
        <v>854</v>
      </c>
      <c r="C223" s="126">
        <v>1</v>
      </c>
      <c r="D223" s="126" t="s">
        <v>3</v>
      </c>
      <c r="E223" s="126">
        <v>0</v>
      </c>
      <c r="F223" s="126">
        <v>1</v>
      </c>
      <c r="G223" s="126">
        <v>9140</v>
      </c>
      <c r="H223" s="126">
        <v>9140</v>
      </c>
      <c r="I223" s="213">
        <v>0</v>
      </c>
      <c r="J223" s="213">
        <v>0</v>
      </c>
      <c r="K223" s="124" t="s">
        <v>1470</v>
      </c>
      <c r="L223" s="340">
        <v>46069</v>
      </c>
      <c r="M223" s="340">
        <v>46069</v>
      </c>
    </row>
    <row r="224" spans="2:13" x14ac:dyDescent="0.2">
      <c r="B224" s="215" t="s">
        <v>856</v>
      </c>
      <c r="C224" s="217">
        <v>1</v>
      </c>
      <c r="D224" s="217" t="s">
        <v>3</v>
      </c>
      <c r="E224" s="217">
        <v>0</v>
      </c>
      <c r="F224" s="217">
        <v>1</v>
      </c>
      <c r="G224" s="217">
        <v>9220</v>
      </c>
      <c r="H224" s="217">
        <v>9220</v>
      </c>
      <c r="I224" s="341">
        <v>0</v>
      </c>
      <c r="J224" s="341">
        <v>0</v>
      </c>
      <c r="K224" s="215" t="s">
        <v>1471</v>
      </c>
      <c r="L224" s="342">
        <v>46069</v>
      </c>
      <c r="M224" s="342">
        <v>46069</v>
      </c>
    </row>
    <row r="225" spans="2:13" x14ac:dyDescent="0.2">
      <c r="B225" s="124" t="s">
        <v>232</v>
      </c>
      <c r="C225" s="126">
        <v>1</v>
      </c>
      <c r="D225" s="126" t="s">
        <v>3</v>
      </c>
      <c r="E225" s="126">
        <v>0</v>
      </c>
      <c r="F225" s="126">
        <v>1</v>
      </c>
      <c r="G225" s="126">
        <v>9490</v>
      </c>
      <c r="H225" s="126">
        <v>9490</v>
      </c>
      <c r="I225" s="213">
        <v>0</v>
      </c>
      <c r="J225" s="213">
        <v>0</v>
      </c>
      <c r="K225" s="124" t="s">
        <v>1467</v>
      </c>
      <c r="L225" s="340">
        <v>46081</v>
      </c>
      <c r="M225" s="340">
        <v>46081</v>
      </c>
    </row>
    <row r="226" spans="2:13" x14ac:dyDescent="0.2">
      <c r="B226" s="215" t="s">
        <v>960</v>
      </c>
      <c r="C226" s="217">
        <v>1</v>
      </c>
      <c r="D226" s="217" t="s">
        <v>66</v>
      </c>
      <c r="E226" s="217">
        <v>0</v>
      </c>
      <c r="F226" s="217">
        <v>0</v>
      </c>
      <c r="G226" s="217">
        <v>8050</v>
      </c>
      <c r="H226" s="217">
        <v>8050</v>
      </c>
      <c r="I226" s="341">
        <v>0</v>
      </c>
      <c r="J226" s="341">
        <v>0</v>
      </c>
      <c r="K226" s="215"/>
      <c r="L226" s="342">
        <v>46090</v>
      </c>
      <c r="M226" s="342">
        <v>46090</v>
      </c>
    </row>
    <row r="227" spans="2:13" x14ac:dyDescent="0.2">
      <c r="B227" s="124" t="s">
        <v>991</v>
      </c>
      <c r="C227" s="126">
        <v>1</v>
      </c>
      <c r="D227" s="126" t="s">
        <v>3</v>
      </c>
      <c r="E227" s="126">
        <v>0</v>
      </c>
      <c r="F227" s="126">
        <v>1</v>
      </c>
      <c r="G227" s="126">
        <v>10390</v>
      </c>
      <c r="H227" s="126">
        <v>10390</v>
      </c>
      <c r="I227" s="213">
        <v>0</v>
      </c>
      <c r="J227" s="213">
        <v>0</v>
      </c>
      <c r="K227" s="124" t="s">
        <v>1478</v>
      </c>
      <c r="L227" s="340">
        <v>46106</v>
      </c>
      <c r="M227" s="340">
        <v>46106</v>
      </c>
    </row>
    <row r="228" spans="2:13" x14ac:dyDescent="0.2">
      <c r="B228" s="215" t="s">
        <v>1023</v>
      </c>
      <c r="C228" s="217">
        <v>1</v>
      </c>
      <c r="D228" s="217" t="s">
        <v>3</v>
      </c>
      <c r="E228" s="217">
        <v>0</v>
      </c>
      <c r="F228" s="217">
        <v>1</v>
      </c>
      <c r="G228" s="217">
        <v>9550</v>
      </c>
      <c r="H228" s="217">
        <v>9550</v>
      </c>
      <c r="I228" s="341">
        <v>0</v>
      </c>
      <c r="J228" s="341">
        <v>0</v>
      </c>
      <c r="K228" s="215" t="s">
        <v>1467</v>
      </c>
      <c r="L228" s="342">
        <v>46111</v>
      </c>
      <c r="M228" s="342">
        <v>46111</v>
      </c>
    </row>
    <row r="229" spans="2:13" x14ac:dyDescent="0.2">
      <c r="B229" s="124" t="s">
        <v>1052</v>
      </c>
      <c r="C229" s="126">
        <v>1</v>
      </c>
      <c r="D229" s="126" t="s">
        <v>3</v>
      </c>
      <c r="E229" s="126">
        <v>0</v>
      </c>
      <c r="F229" s="126">
        <v>1</v>
      </c>
      <c r="G229" s="126">
        <v>9010</v>
      </c>
      <c r="H229" s="126">
        <v>9010</v>
      </c>
      <c r="I229" s="213">
        <v>0</v>
      </c>
      <c r="J229" s="213">
        <v>0</v>
      </c>
      <c r="K229" s="124" t="s">
        <v>1465</v>
      </c>
      <c r="L229" s="340">
        <v>46115</v>
      </c>
      <c r="M229" s="340">
        <v>46115</v>
      </c>
    </row>
    <row r="230" spans="2:13" x14ac:dyDescent="0.2">
      <c r="B230" s="215" t="s">
        <v>1083</v>
      </c>
      <c r="C230" s="217">
        <v>1</v>
      </c>
      <c r="D230" s="217" t="s">
        <v>3</v>
      </c>
      <c r="E230" s="217">
        <v>0</v>
      </c>
      <c r="F230" s="217">
        <v>1</v>
      </c>
      <c r="G230" s="217">
        <v>9250</v>
      </c>
      <c r="H230" s="217">
        <v>9250</v>
      </c>
      <c r="I230" s="341">
        <v>0</v>
      </c>
      <c r="J230" s="341">
        <v>0</v>
      </c>
      <c r="K230" s="215" t="s">
        <v>1521</v>
      </c>
      <c r="L230" s="342">
        <v>46118</v>
      </c>
      <c r="M230" s="342">
        <v>46118</v>
      </c>
    </row>
    <row r="231" spans="2:13" x14ac:dyDescent="0.2">
      <c r="B231" s="124" t="s">
        <v>1238</v>
      </c>
      <c r="C231" s="126">
        <v>1</v>
      </c>
      <c r="D231" s="126" t="s">
        <v>3</v>
      </c>
      <c r="E231" s="126">
        <v>0</v>
      </c>
      <c r="F231" s="126">
        <v>1</v>
      </c>
      <c r="G231" s="126">
        <v>10140</v>
      </c>
      <c r="H231" s="126">
        <v>10140</v>
      </c>
      <c r="I231" s="213">
        <v>0</v>
      </c>
      <c r="J231" s="213">
        <v>0</v>
      </c>
      <c r="K231" s="124" t="s">
        <v>1480</v>
      </c>
      <c r="L231" s="340">
        <v>46120</v>
      </c>
      <c r="M231" s="340">
        <v>46120</v>
      </c>
    </row>
    <row r="232" spans="2:13" x14ac:dyDescent="0.2">
      <c r="B232" s="215" t="s">
        <v>1266</v>
      </c>
      <c r="C232" s="217">
        <v>1</v>
      </c>
      <c r="D232" s="217" t="s">
        <v>41</v>
      </c>
      <c r="E232" s="217">
        <v>1</v>
      </c>
      <c r="F232" s="217">
        <v>0</v>
      </c>
      <c r="G232" s="217">
        <v>20470</v>
      </c>
      <c r="H232" s="217">
        <v>20470</v>
      </c>
      <c r="I232" s="341">
        <v>0</v>
      </c>
      <c r="J232" s="341">
        <v>0</v>
      </c>
      <c r="K232" s="215"/>
      <c r="L232" s="342">
        <v>46120</v>
      </c>
      <c r="M232" s="342">
        <v>46120</v>
      </c>
    </row>
    <row r="233" spans="2:13" x14ac:dyDescent="0.2">
      <c r="B233" s="124" t="s">
        <v>1270</v>
      </c>
      <c r="C233" s="126">
        <v>1</v>
      </c>
      <c r="D233" s="126" t="s">
        <v>41</v>
      </c>
      <c r="E233" s="126">
        <v>1</v>
      </c>
      <c r="F233" s="126">
        <v>0</v>
      </c>
      <c r="G233" s="126">
        <v>9890</v>
      </c>
      <c r="H233" s="126">
        <v>9890</v>
      </c>
      <c r="I233" s="213">
        <v>0</v>
      </c>
      <c r="J233" s="213">
        <v>0</v>
      </c>
      <c r="K233" s="124"/>
      <c r="L233" s="340">
        <v>46120</v>
      </c>
      <c r="M233" s="340">
        <v>46120</v>
      </c>
    </row>
    <row r="234" spans="2:13" x14ac:dyDescent="0.2">
      <c r="B234" s="215" t="s">
        <v>1275</v>
      </c>
      <c r="C234" s="217">
        <v>1</v>
      </c>
      <c r="D234" s="217" t="s">
        <v>41</v>
      </c>
      <c r="E234" s="217">
        <v>1</v>
      </c>
      <c r="F234" s="217">
        <v>0</v>
      </c>
      <c r="G234" s="217">
        <v>9610</v>
      </c>
      <c r="H234" s="217">
        <v>9610</v>
      </c>
      <c r="I234" s="341">
        <v>0</v>
      </c>
      <c r="J234" s="341">
        <v>0</v>
      </c>
      <c r="K234" s="215"/>
      <c r="L234" s="342">
        <v>46120</v>
      </c>
      <c r="M234" s="342">
        <v>46120</v>
      </c>
    </row>
    <row r="235" spans="2:13" x14ac:dyDescent="0.2">
      <c r="B235" s="124" t="s">
        <v>1240</v>
      </c>
      <c r="C235" s="126">
        <v>1</v>
      </c>
      <c r="D235" s="126" t="s">
        <v>3</v>
      </c>
      <c r="E235" s="126">
        <v>0</v>
      </c>
      <c r="F235" s="126">
        <v>1</v>
      </c>
      <c r="G235" s="126">
        <v>200</v>
      </c>
      <c r="H235" s="126">
        <v>200</v>
      </c>
      <c r="I235" s="213">
        <v>0</v>
      </c>
      <c r="J235" s="213">
        <v>0</v>
      </c>
      <c r="K235" s="124" t="s">
        <v>1392</v>
      </c>
      <c r="L235" s="340">
        <v>46121</v>
      </c>
      <c r="M235" s="340">
        <v>46121</v>
      </c>
    </row>
    <row r="236" spans="2:13" x14ac:dyDescent="0.2">
      <c r="B236" s="215" t="s">
        <v>1277</v>
      </c>
      <c r="C236" s="217">
        <v>1</v>
      </c>
      <c r="D236" s="217" t="s">
        <v>41</v>
      </c>
      <c r="E236" s="217">
        <v>1</v>
      </c>
      <c r="F236" s="217">
        <v>0</v>
      </c>
      <c r="G236" s="217">
        <v>9790</v>
      </c>
      <c r="H236" s="217">
        <v>9790</v>
      </c>
      <c r="I236" s="341">
        <v>0</v>
      </c>
      <c r="J236" s="341">
        <v>0</v>
      </c>
      <c r="K236" s="215"/>
      <c r="L236" s="342">
        <v>46121</v>
      </c>
      <c r="M236" s="342">
        <v>46121</v>
      </c>
    </row>
    <row r="237" spans="2:13" x14ac:dyDescent="0.2">
      <c r="B237" s="124" t="s">
        <v>1300</v>
      </c>
      <c r="C237" s="126">
        <v>1</v>
      </c>
      <c r="D237" s="126" t="s">
        <v>3</v>
      </c>
      <c r="E237" s="126">
        <v>0</v>
      </c>
      <c r="F237" s="126">
        <v>1</v>
      </c>
      <c r="G237" s="126">
        <v>23600</v>
      </c>
      <c r="H237" s="126">
        <v>23600</v>
      </c>
      <c r="I237" s="213">
        <v>0</v>
      </c>
      <c r="J237" s="213">
        <v>0</v>
      </c>
      <c r="K237" s="124" t="s">
        <v>1394</v>
      </c>
      <c r="L237" s="340">
        <v>46123</v>
      </c>
      <c r="M237" s="340">
        <v>46123</v>
      </c>
    </row>
    <row r="238" spans="2:13" x14ac:dyDescent="0.2">
      <c r="B238" s="215" t="s">
        <v>1514</v>
      </c>
      <c r="C238" s="217">
        <v>1</v>
      </c>
      <c r="D238" s="217" t="s">
        <v>3</v>
      </c>
      <c r="E238" s="217">
        <v>0</v>
      </c>
      <c r="F238" s="217">
        <v>1</v>
      </c>
      <c r="G238" s="217">
        <v>9230</v>
      </c>
      <c r="H238" s="217">
        <v>9230</v>
      </c>
      <c r="I238" s="341">
        <v>0</v>
      </c>
      <c r="J238" s="341">
        <v>0</v>
      </c>
      <c r="K238" s="215" t="s">
        <v>1521</v>
      </c>
      <c r="L238" s="342">
        <v>46132</v>
      </c>
      <c r="M238" s="342">
        <v>46132</v>
      </c>
    </row>
    <row r="239" spans="2:13" x14ac:dyDescent="0.2">
      <c r="B239" s="124" t="s">
        <v>1545</v>
      </c>
      <c r="C239" s="126">
        <v>1</v>
      </c>
      <c r="D239" s="126" t="s">
        <v>3</v>
      </c>
      <c r="E239" s="126">
        <v>0</v>
      </c>
      <c r="F239" s="126">
        <v>1</v>
      </c>
      <c r="G239" s="126">
        <v>7240</v>
      </c>
      <c r="H239" s="126">
        <v>7240</v>
      </c>
      <c r="I239" s="213">
        <v>0</v>
      </c>
      <c r="J239" s="213">
        <v>0</v>
      </c>
      <c r="K239" s="124" t="s">
        <v>1732</v>
      </c>
      <c r="L239" s="340">
        <v>46135</v>
      </c>
      <c r="M239" s="340">
        <v>46135</v>
      </c>
    </row>
    <row r="240" spans="2:13" x14ac:dyDescent="0.2">
      <c r="B240" s="215" t="s">
        <v>1552</v>
      </c>
      <c r="C240" s="217">
        <v>1</v>
      </c>
      <c r="D240" s="217" t="s">
        <v>3</v>
      </c>
      <c r="E240" s="217">
        <v>0</v>
      </c>
      <c r="F240" s="217">
        <v>1</v>
      </c>
      <c r="G240" s="217">
        <v>9230</v>
      </c>
      <c r="H240" s="217">
        <v>9230</v>
      </c>
      <c r="I240" s="341">
        <v>0</v>
      </c>
      <c r="J240" s="341">
        <v>0</v>
      </c>
      <c r="K240" s="215" t="s">
        <v>1398</v>
      </c>
      <c r="L240" s="342">
        <v>46136</v>
      </c>
      <c r="M240" s="342">
        <v>46136</v>
      </c>
    </row>
    <row r="241" spans="2:13" x14ac:dyDescent="0.2">
      <c r="B241" s="124" t="s">
        <v>1579</v>
      </c>
      <c r="C241" s="126">
        <v>1</v>
      </c>
      <c r="D241" s="126" t="s">
        <v>3</v>
      </c>
      <c r="E241" s="126">
        <v>0</v>
      </c>
      <c r="F241" s="126">
        <v>1</v>
      </c>
      <c r="G241" s="126">
        <v>9530</v>
      </c>
      <c r="H241" s="126">
        <v>9530</v>
      </c>
      <c r="I241" s="213">
        <v>0</v>
      </c>
      <c r="J241" s="213">
        <v>0</v>
      </c>
      <c r="K241" s="124" t="s">
        <v>1378</v>
      </c>
      <c r="L241" s="340">
        <v>46139</v>
      </c>
      <c r="M241" s="340">
        <v>46139</v>
      </c>
    </row>
    <row r="242" spans="2:13" x14ac:dyDescent="0.2">
      <c r="B242" s="215" t="s">
        <v>1584</v>
      </c>
      <c r="C242" s="217">
        <v>1</v>
      </c>
      <c r="D242" s="217" t="s">
        <v>3</v>
      </c>
      <c r="E242" s="217">
        <v>0</v>
      </c>
      <c r="F242" s="217">
        <v>1</v>
      </c>
      <c r="G242" s="217">
        <v>10080</v>
      </c>
      <c r="H242" s="217">
        <v>10080</v>
      </c>
      <c r="I242" s="341">
        <v>0</v>
      </c>
      <c r="J242" s="341">
        <v>0</v>
      </c>
      <c r="K242" s="215" t="s">
        <v>1738</v>
      </c>
      <c r="L242" s="342">
        <v>46139</v>
      </c>
      <c r="M242" s="342">
        <v>46139</v>
      </c>
    </row>
    <row r="243" spans="2:13" x14ac:dyDescent="0.2">
      <c r="B243" s="124" t="s">
        <v>1615</v>
      </c>
      <c r="C243" s="126">
        <v>1</v>
      </c>
      <c r="D243" s="126" t="s">
        <v>3</v>
      </c>
      <c r="E243" s="126">
        <v>0</v>
      </c>
      <c r="F243" s="126">
        <v>1</v>
      </c>
      <c r="G243" s="126">
        <v>9720</v>
      </c>
      <c r="H243" s="126">
        <v>9720</v>
      </c>
      <c r="I243" s="213">
        <v>0</v>
      </c>
      <c r="J243" s="213">
        <v>0</v>
      </c>
      <c r="K243" s="124" t="s">
        <v>1617</v>
      </c>
      <c r="L243" s="340">
        <v>46140</v>
      </c>
      <c r="M243" s="340">
        <v>46140</v>
      </c>
    </row>
    <row r="244" spans="2:13" x14ac:dyDescent="0.2">
      <c r="B244" s="215" t="s">
        <v>1631</v>
      </c>
      <c r="C244" s="217">
        <v>1</v>
      </c>
      <c r="D244" s="217" t="s">
        <v>3</v>
      </c>
      <c r="E244" s="217">
        <v>0</v>
      </c>
      <c r="F244" s="217">
        <v>1</v>
      </c>
      <c r="G244" s="217">
        <v>9370</v>
      </c>
      <c r="H244" s="217">
        <v>9370</v>
      </c>
      <c r="I244" s="341">
        <v>0</v>
      </c>
      <c r="J244" s="341">
        <v>0</v>
      </c>
      <c r="K244" s="215" t="s">
        <v>1633</v>
      </c>
      <c r="L244" s="342">
        <v>46142</v>
      </c>
      <c r="M244" s="342">
        <v>46142</v>
      </c>
    </row>
    <row r="245" spans="2:13" x14ac:dyDescent="0.2">
      <c r="B245" s="211" t="s">
        <v>1763</v>
      </c>
      <c r="C245" s="343">
        <f>SUM(C126:C244)</f>
        <v>1255</v>
      </c>
      <c r="D245" s="343"/>
      <c r="E245" s="343">
        <f>SUM(E126:E244)</f>
        <v>901</v>
      </c>
      <c r="F245" s="343">
        <f>SUM(F126:F244)</f>
        <v>322</v>
      </c>
      <c r="G245" s="343">
        <f>SUM(G126:G244)</f>
        <v>18291440</v>
      </c>
      <c r="H245" s="343">
        <f>IFERROR(G245/C245,0)</f>
        <v>14574.852589641434</v>
      </c>
      <c r="I245" s="344">
        <f>AVERAGE(I126:I244)</f>
        <v>29.290756302521007</v>
      </c>
      <c r="J245" s="345"/>
      <c r="K245" s="345"/>
      <c r="L245" s="345"/>
      <c r="M245" s="34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63B26-7F24-5A47-9C69-63CE50681A54}">
  <sheetPr codeName="Sheet6"/>
  <dimension ref="B4:AF381"/>
  <sheetViews>
    <sheetView showGridLines="0" zoomScale="98" zoomScaleNormal="116" workbookViewId="0">
      <pane xSplit="5" ySplit="5" topLeftCell="G43" activePane="bottomRight" state="frozen"/>
      <selection pane="topRight" activeCell="F1" sqref="F1"/>
      <selection pane="bottomLeft" activeCell="A3" sqref="A3"/>
      <selection pane="bottomRight" activeCell="B48" sqref="B48"/>
    </sheetView>
  </sheetViews>
  <sheetFormatPr baseColWidth="10" defaultColWidth="10.6640625" defaultRowHeight="15" x14ac:dyDescent="0.2"/>
  <cols>
    <col min="1" max="1" width="3.33203125" customWidth="1"/>
    <col min="2" max="2" width="35.1640625" customWidth="1"/>
    <col min="3" max="3" width="20.83203125" customWidth="1"/>
    <col min="4" max="4" width="25.5" customWidth="1"/>
    <col min="6" max="6" width="13.1640625" customWidth="1"/>
    <col min="7" max="7" width="13.33203125" customWidth="1"/>
    <col min="8" max="9" width="11" customWidth="1"/>
    <col min="10" max="10" width="20" customWidth="1"/>
    <col min="11" max="11" width="11.83203125" customWidth="1"/>
    <col min="12" max="12" width="11.83203125" style="77" customWidth="1"/>
    <col min="13" max="13" width="11.83203125" style="78" customWidth="1"/>
    <col min="14" max="14" width="16.5" customWidth="1"/>
    <col min="15" max="15" width="11.83203125" customWidth="1"/>
    <col min="16" max="16" width="11.83203125" style="78" customWidth="1"/>
    <col min="17" max="17" width="26.33203125" customWidth="1"/>
    <col min="18" max="19" width="16.6640625" customWidth="1"/>
    <col min="20" max="20" width="13.33203125" customWidth="1"/>
    <col min="21" max="22" width="21.6640625" customWidth="1"/>
    <col min="23" max="23" width="21.6640625" hidden="1" customWidth="1"/>
    <col min="24" max="24" width="8.33203125" hidden="1" customWidth="1"/>
    <col min="25" max="25" width="20" customWidth="1"/>
    <col min="27" max="27" width="26.6640625" customWidth="1"/>
    <col min="28" max="28" width="16.6640625" customWidth="1"/>
    <col min="29" max="30" width="18.33203125" customWidth="1"/>
    <col min="31" max="31" width="16.6640625" customWidth="1"/>
    <col min="32" max="32" width="13.33203125" customWidth="1"/>
  </cols>
  <sheetData>
    <row r="4" spans="2:32" ht="15" customHeight="1" x14ac:dyDescent="0.2">
      <c r="H4" s="190">
        <v>0.11</v>
      </c>
    </row>
    <row r="5" spans="2:32" s="79" customFormat="1" ht="45" customHeight="1" x14ac:dyDescent="0.2">
      <c r="B5" s="157" t="s">
        <v>19</v>
      </c>
      <c r="C5" s="158" t="s">
        <v>1730</v>
      </c>
      <c r="D5" s="158" t="s">
        <v>34</v>
      </c>
      <c r="E5" s="158" t="s">
        <v>20</v>
      </c>
      <c r="F5" s="159" t="s">
        <v>1399</v>
      </c>
      <c r="G5" s="158" t="s">
        <v>1400</v>
      </c>
      <c r="H5" s="158" t="s">
        <v>1401</v>
      </c>
      <c r="I5" s="158" t="s">
        <v>1402</v>
      </c>
      <c r="J5" s="158" t="s">
        <v>1403</v>
      </c>
      <c r="K5" s="159" t="s">
        <v>1404</v>
      </c>
      <c r="L5" s="159" t="s">
        <v>1406</v>
      </c>
      <c r="M5" s="158" t="s">
        <v>1715</v>
      </c>
      <c r="N5" s="159" t="s">
        <v>1695</v>
      </c>
      <c r="O5" s="158" t="s">
        <v>1407</v>
      </c>
      <c r="P5" s="160" t="s">
        <v>1408</v>
      </c>
      <c r="Q5" s="158" t="s">
        <v>1409</v>
      </c>
      <c r="R5" s="186" t="s">
        <v>1716</v>
      </c>
      <c r="S5" s="161" t="s">
        <v>1410</v>
      </c>
      <c r="T5" s="161" t="s">
        <v>1411</v>
      </c>
      <c r="U5" s="161" t="s">
        <v>1718</v>
      </c>
      <c r="V5" s="161" t="s">
        <v>1412</v>
      </c>
      <c r="W5" s="161" t="s">
        <v>1413</v>
      </c>
      <c r="X5" s="161" t="s">
        <v>1694</v>
      </c>
      <c r="Y5" s="162" t="s">
        <v>1717</v>
      </c>
      <c r="AA5" s="441" t="s">
        <v>1696</v>
      </c>
      <c r="AB5" s="441"/>
      <c r="AC5" s="441"/>
      <c r="AD5" s="441"/>
      <c r="AE5" s="441"/>
      <c r="AF5" s="441"/>
    </row>
    <row r="6" spans="2:32" ht="20" customHeight="1" x14ac:dyDescent="0.2">
      <c r="B6" s="138" t="s">
        <v>1333</v>
      </c>
      <c r="C6" s="139"/>
      <c r="D6" s="139" t="s">
        <v>1462</v>
      </c>
      <c r="E6" s="139" t="s">
        <v>41</v>
      </c>
      <c r="F6" s="177">
        <v>100000</v>
      </c>
      <c r="G6" s="178">
        <v>13500</v>
      </c>
      <c r="H6" s="141">
        <f t="shared" ref="H6:H37" si="0">G6*$H$4</f>
        <v>1485</v>
      </c>
      <c r="I6" s="141">
        <f t="shared" ref="I6:I49" si="1">G6+H6</f>
        <v>14985</v>
      </c>
      <c r="J6" s="140">
        <f t="shared" ref="J6:J49" si="2">I6*F6</f>
        <v>1498500000</v>
      </c>
      <c r="K6" s="139" t="s">
        <v>952</v>
      </c>
      <c r="L6" s="142">
        <v>45973</v>
      </c>
      <c r="M6" s="142">
        <v>45968</v>
      </c>
      <c r="N6" s="143" t="s">
        <v>1421</v>
      </c>
      <c r="O6" s="143"/>
      <c r="P6" s="176"/>
      <c r="Q6" s="143"/>
      <c r="R6" s="187">
        <f>IFERROR(SUMIFS(Database!$N:$N,Database!$F:$F,B6),0)</f>
        <v>98770</v>
      </c>
      <c r="S6" s="167">
        <f t="shared" ref="S6:S37" si="3">F6-R6</f>
        <v>1230</v>
      </c>
      <c r="T6" s="171">
        <f t="shared" ref="T6:T37" si="4">IFERROR(R6/F6,0)</f>
        <v>0.98770000000000002</v>
      </c>
      <c r="U6" s="167">
        <f t="shared" ref="U6:U37" si="5">R6*I6</f>
        <v>1480068450</v>
      </c>
      <c r="V6" s="167">
        <f t="shared" ref="V6:V37" si="6">IF(O6="",U6,U6*O6)</f>
        <v>1480068450</v>
      </c>
      <c r="W6" s="163" t="str">
        <f t="shared" ref="W6:W37" ca="1" si="7">IF(M6="","",IF(TODAY()&gt;M6,"Lewat Jatuh Tempo",IF(TODAY()=M6,"Jatuh Tempo Hari Ini","Belum Jatuh Tempo")))</f>
        <v>Lewat Jatuh Tempo</v>
      </c>
      <c r="X6" s="163" t="str">
        <f t="shared" ref="X6:X37" si="8">IF(E6="","",IF(OR(E6="CPO",E6="PFAD"),"IN","OUT"))</f>
        <v>IN</v>
      </c>
      <c r="Y6" s="164" t="str">
        <f t="shared" ref="Y6:Y37" si="9">IF(E6="","",IF(T6=0,"Belum Kirim",IF(T6&lt;0.95,"Proses",IF(T6&lt;=1,"Selesai","Over"))))</f>
        <v>Selesai</v>
      </c>
    </row>
    <row r="7" spans="2:32" ht="20" customHeight="1" x14ac:dyDescent="0.2">
      <c r="B7" s="138" t="s">
        <v>1340</v>
      </c>
      <c r="C7" s="139"/>
      <c r="D7" s="139" t="s">
        <v>1462</v>
      </c>
      <c r="E7" s="139" t="s">
        <v>41</v>
      </c>
      <c r="F7" s="177">
        <v>500000</v>
      </c>
      <c r="G7" s="178">
        <v>13540</v>
      </c>
      <c r="H7" s="141">
        <f t="shared" si="0"/>
        <v>1489.4</v>
      </c>
      <c r="I7" s="141">
        <f t="shared" si="1"/>
        <v>15029.4</v>
      </c>
      <c r="J7" s="140">
        <f t="shared" si="2"/>
        <v>7514700000</v>
      </c>
      <c r="K7" s="139" t="s">
        <v>952</v>
      </c>
      <c r="L7" s="142">
        <v>45983</v>
      </c>
      <c r="M7" s="142">
        <v>45995</v>
      </c>
      <c r="N7" s="143" t="s">
        <v>1422</v>
      </c>
      <c r="O7" s="143"/>
      <c r="P7" s="176"/>
      <c r="Q7" s="143"/>
      <c r="R7" s="187">
        <f>IFERROR(SUMIFS(Database!$N:$N,Database!$F:$F,B7),0)</f>
        <v>699340</v>
      </c>
      <c r="S7" s="167">
        <f t="shared" si="3"/>
        <v>-199340</v>
      </c>
      <c r="T7" s="171">
        <f t="shared" si="4"/>
        <v>1.3986799999999999</v>
      </c>
      <c r="U7" s="167">
        <f t="shared" si="5"/>
        <v>10510660596</v>
      </c>
      <c r="V7" s="167">
        <f t="shared" si="6"/>
        <v>10510660596</v>
      </c>
      <c r="W7" s="163" t="str">
        <f t="shared" ca="1" si="7"/>
        <v>Lewat Jatuh Tempo</v>
      </c>
      <c r="X7" s="163" t="str">
        <f t="shared" si="8"/>
        <v>IN</v>
      </c>
      <c r="Y7" s="164" t="str">
        <f t="shared" si="9"/>
        <v>Over</v>
      </c>
      <c r="AA7" s="198" t="s">
        <v>1697</v>
      </c>
      <c r="AB7" s="199" t="s">
        <v>1698</v>
      </c>
      <c r="AC7" s="199" t="s">
        <v>1638</v>
      </c>
      <c r="AD7" s="199" t="s">
        <v>1699</v>
      </c>
      <c r="AE7" s="199" t="s">
        <v>1700</v>
      </c>
      <c r="AF7" s="200" t="s">
        <v>1701</v>
      </c>
    </row>
    <row r="8" spans="2:32" ht="20" customHeight="1" x14ac:dyDescent="0.2">
      <c r="B8" s="138" t="s">
        <v>1330</v>
      </c>
      <c r="C8" s="139"/>
      <c r="D8" s="139" t="s">
        <v>1423</v>
      </c>
      <c r="E8" s="139" t="s">
        <v>41</v>
      </c>
      <c r="F8" s="177">
        <v>500000</v>
      </c>
      <c r="G8" s="178">
        <v>14500</v>
      </c>
      <c r="H8" s="141">
        <f t="shared" si="0"/>
        <v>1595</v>
      </c>
      <c r="I8" s="141">
        <f t="shared" si="1"/>
        <v>16095</v>
      </c>
      <c r="J8" s="140">
        <f t="shared" si="2"/>
        <v>8047500000</v>
      </c>
      <c r="K8" s="139" t="s">
        <v>952</v>
      </c>
      <c r="L8" s="142">
        <v>45960</v>
      </c>
      <c r="M8" s="142">
        <v>45957</v>
      </c>
      <c r="N8" s="143" t="s">
        <v>1422</v>
      </c>
      <c r="O8" s="144">
        <v>0.9</v>
      </c>
      <c r="P8" s="176">
        <v>45940</v>
      </c>
      <c r="Q8" s="143"/>
      <c r="R8" s="187">
        <f>IFERROR(SUMIFS(Database!$N:$N,Database!$F:$F,B8),0)</f>
        <v>499760</v>
      </c>
      <c r="S8" s="167">
        <f t="shared" si="3"/>
        <v>240</v>
      </c>
      <c r="T8" s="171">
        <f t="shared" si="4"/>
        <v>0.99951999999999996</v>
      </c>
      <c r="U8" s="167">
        <f t="shared" si="5"/>
        <v>8043637200</v>
      </c>
      <c r="V8" s="167">
        <f t="shared" si="6"/>
        <v>7239273480</v>
      </c>
      <c r="W8" s="163" t="str">
        <f t="shared" ca="1" si="7"/>
        <v>Lewat Jatuh Tempo</v>
      </c>
      <c r="X8" s="163" t="str">
        <f t="shared" si="8"/>
        <v>IN</v>
      </c>
      <c r="Y8" s="164" t="str">
        <f t="shared" si="9"/>
        <v>Selesai</v>
      </c>
      <c r="AA8" s="127" t="s">
        <v>1702</v>
      </c>
      <c r="AB8" s="128">
        <f>COUNTIF(E6:E87,"CPO")</f>
        <v>30</v>
      </c>
      <c r="AC8" s="129">
        <f>SUMIF(E6:E87,"CPO",F6:F87)</f>
        <v>15262000</v>
      </c>
      <c r="AD8" s="129">
        <f>SUMIF(E6:E87,"CPO",R6:R87)</f>
        <v>14432720</v>
      </c>
      <c r="AE8" s="129">
        <f>AC8-AD8</f>
        <v>829280</v>
      </c>
      <c r="AF8" s="130">
        <f>IFERROR(AD8/AC8,0)</f>
        <v>0.94566374000786269</v>
      </c>
    </row>
    <row r="9" spans="2:32" ht="20" customHeight="1" x14ac:dyDescent="0.2">
      <c r="B9" s="138" t="s">
        <v>1345</v>
      </c>
      <c r="C9" s="139"/>
      <c r="D9" s="139" t="s">
        <v>1423</v>
      </c>
      <c r="E9" s="139" t="s">
        <v>41</v>
      </c>
      <c r="F9" s="177">
        <v>600000</v>
      </c>
      <c r="G9" s="179">
        <v>14075</v>
      </c>
      <c r="H9" s="141">
        <f t="shared" si="0"/>
        <v>1548.25</v>
      </c>
      <c r="I9" s="141">
        <f t="shared" si="1"/>
        <v>15623.25</v>
      </c>
      <c r="J9" s="140">
        <f t="shared" si="2"/>
        <v>9373950000</v>
      </c>
      <c r="K9" s="139" t="s">
        <v>952</v>
      </c>
      <c r="L9" s="142">
        <v>45986</v>
      </c>
      <c r="M9" s="142">
        <v>45985</v>
      </c>
      <c r="N9" s="143" t="s">
        <v>1422</v>
      </c>
      <c r="O9" s="144">
        <v>0.9</v>
      </c>
      <c r="P9" s="176">
        <v>45997</v>
      </c>
      <c r="Q9" s="145"/>
      <c r="R9" s="187">
        <f>IFERROR(SUMIFS(Database!$N:$N,Database!$F:$F,B9),0)</f>
        <v>601250</v>
      </c>
      <c r="S9" s="167">
        <f t="shared" si="3"/>
        <v>-1250</v>
      </c>
      <c r="T9" s="171">
        <f t="shared" si="4"/>
        <v>1.0020833333333334</v>
      </c>
      <c r="U9" s="167">
        <f t="shared" si="5"/>
        <v>9393479062.5</v>
      </c>
      <c r="V9" s="167">
        <f t="shared" si="6"/>
        <v>8454131156.25</v>
      </c>
      <c r="W9" s="163" t="str">
        <f t="shared" ca="1" si="7"/>
        <v>Lewat Jatuh Tempo</v>
      </c>
      <c r="X9" s="163" t="str">
        <f t="shared" si="8"/>
        <v>IN</v>
      </c>
      <c r="Y9" s="164" t="str">
        <f t="shared" si="9"/>
        <v>Over</v>
      </c>
      <c r="AA9" s="127" t="s">
        <v>1703</v>
      </c>
      <c r="AB9" s="128">
        <f>COUNTIF(E6:E87,"RBDPL")</f>
        <v>30</v>
      </c>
      <c r="AC9" s="129">
        <f>SUMIF(E6:E87,"RBDPL",F6:F87)</f>
        <v>4376570</v>
      </c>
      <c r="AD9" s="129">
        <f>SUMIF(E6:E87,"RBDPL",R6:R87)</f>
        <v>3459220</v>
      </c>
      <c r="AE9" s="129">
        <f>AC9-AD9</f>
        <v>917350</v>
      </c>
      <c r="AF9" s="130">
        <f>IFERROR(AD9/AC9,0)</f>
        <v>0.79039521817313563</v>
      </c>
    </row>
    <row r="10" spans="2:32" ht="20" customHeight="1" x14ac:dyDescent="0.2">
      <c r="B10" s="138" t="s">
        <v>1335</v>
      </c>
      <c r="C10" s="139"/>
      <c r="D10" s="139" t="s">
        <v>1423</v>
      </c>
      <c r="E10" s="139" t="s">
        <v>41</v>
      </c>
      <c r="F10" s="177">
        <v>600000</v>
      </c>
      <c r="G10" s="179">
        <v>14300</v>
      </c>
      <c r="H10" s="141">
        <f t="shared" si="0"/>
        <v>1573</v>
      </c>
      <c r="I10" s="141">
        <f t="shared" si="1"/>
        <v>15873</v>
      </c>
      <c r="J10" s="140">
        <f t="shared" si="2"/>
        <v>9523800000</v>
      </c>
      <c r="K10" s="139" t="s">
        <v>952</v>
      </c>
      <c r="L10" s="146">
        <v>46000</v>
      </c>
      <c r="M10" s="146">
        <v>46000</v>
      </c>
      <c r="N10" s="143" t="s">
        <v>1422</v>
      </c>
      <c r="O10" s="144">
        <v>0.9</v>
      </c>
      <c r="P10" s="176">
        <v>46011</v>
      </c>
      <c r="Q10" s="145"/>
      <c r="R10" s="187">
        <f>IFERROR(SUMIFS(Database!$N:$N,Database!$F:$F,B10),0)</f>
        <v>600270</v>
      </c>
      <c r="S10" s="167">
        <f t="shared" si="3"/>
        <v>-270</v>
      </c>
      <c r="T10" s="171">
        <f t="shared" si="4"/>
        <v>1.0004500000000001</v>
      </c>
      <c r="U10" s="167">
        <f t="shared" si="5"/>
        <v>9528085710</v>
      </c>
      <c r="V10" s="167">
        <f t="shared" si="6"/>
        <v>8575277139</v>
      </c>
      <c r="W10" s="163" t="str">
        <f t="shared" ca="1" si="7"/>
        <v>Lewat Jatuh Tempo</v>
      </c>
      <c r="X10" s="163" t="str">
        <f t="shared" si="8"/>
        <v>IN</v>
      </c>
      <c r="Y10" s="164" t="str">
        <f t="shared" si="9"/>
        <v>Over</v>
      </c>
      <c r="AA10" s="127" t="s">
        <v>1457</v>
      </c>
      <c r="AB10" s="128">
        <f>COUNTIF(E6:E87,"PFAD")</f>
        <v>1</v>
      </c>
      <c r="AC10" s="129">
        <f>SUMIF(E6:E87,"PFAD",F6:F87)</f>
        <v>240000</v>
      </c>
      <c r="AD10" s="129">
        <f>SUMIF(E6:E87,"PFAD",R6:R87)</f>
        <v>0</v>
      </c>
      <c r="AE10" s="129">
        <f>AC10-AD10</f>
        <v>240000</v>
      </c>
      <c r="AF10" s="130">
        <f>IFERROR(AD10/AC10,0)</f>
        <v>0</v>
      </c>
    </row>
    <row r="11" spans="2:32" ht="20" customHeight="1" x14ac:dyDescent="0.2">
      <c r="B11" s="147" t="s">
        <v>1424</v>
      </c>
      <c r="C11" s="145"/>
      <c r="D11" s="139" t="s">
        <v>1462</v>
      </c>
      <c r="E11" s="139" t="s">
        <v>41</v>
      </c>
      <c r="F11" s="177">
        <v>500000</v>
      </c>
      <c r="G11" s="179">
        <v>14723</v>
      </c>
      <c r="H11" s="141">
        <f t="shared" si="0"/>
        <v>1619.53</v>
      </c>
      <c r="I11" s="141">
        <f t="shared" si="1"/>
        <v>16342.53</v>
      </c>
      <c r="J11" s="140">
        <f t="shared" si="2"/>
        <v>8171265000</v>
      </c>
      <c r="K11" s="139" t="s">
        <v>952</v>
      </c>
      <c r="L11" s="146"/>
      <c r="M11" s="146">
        <v>46076</v>
      </c>
      <c r="N11" s="143" t="s">
        <v>1425</v>
      </c>
      <c r="O11" s="145"/>
      <c r="P11" s="175"/>
      <c r="Q11" s="145" t="s">
        <v>1426</v>
      </c>
      <c r="R11" s="187">
        <f>IFERROR(SUMIFS(Database!$N:$N,Database!$F:$F,B11),0)</f>
        <v>0</v>
      </c>
      <c r="S11" s="167">
        <f t="shared" si="3"/>
        <v>500000</v>
      </c>
      <c r="T11" s="171">
        <f t="shared" si="4"/>
        <v>0</v>
      </c>
      <c r="U11" s="167">
        <f t="shared" si="5"/>
        <v>0</v>
      </c>
      <c r="V11" s="167">
        <f t="shared" si="6"/>
        <v>0</v>
      </c>
      <c r="W11" s="163" t="str">
        <f t="shared" ca="1" si="7"/>
        <v>Lewat Jatuh Tempo</v>
      </c>
      <c r="X11" s="163" t="str">
        <f t="shared" si="8"/>
        <v>IN</v>
      </c>
      <c r="Y11" s="164" t="str">
        <f t="shared" si="9"/>
        <v>Belum Kirim</v>
      </c>
      <c r="AA11" s="131" t="s">
        <v>1122</v>
      </c>
      <c r="AB11" s="132">
        <f>SUM(AB8:AB10)</f>
        <v>61</v>
      </c>
      <c r="AC11" s="133">
        <f>SUM(AC8:AC10)</f>
        <v>19878570</v>
      </c>
      <c r="AD11" s="133">
        <f>SUM(AD8:AD10)</f>
        <v>17891940</v>
      </c>
      <c r="AE11" s="133">
        <f>SUM(AE8:AE10)</f>
        <v>1986630</v>
      </c>
      <c r="AF11" s="134">
        <f>IFERROR(AD11/AC11,0)</f>
        <v>0.90006172476189183</v>
      </c>
    </row>
    <row r="12" spans="2:32" ht="20" customHeight="1" x14ac:dyDescent="0.2">
      <c r="B12" s="138" t="s">
        <v>1356</v>
      </c>
      <c r="C12" s="139"/>
      <c r="D12" s="139" t="s">
        <v>1423</v>
      </c>
      <c r="E12" s="139" t="s">
        <v>41</v>
      </c>
      <c r="F12" s="177">
        <v>500000</v>
      </c>
      <c r="G12" s="179">
        <v>14350</v>
      </c>
      <c r="H12" s="141">
        <f t="shared" si="0"/>
        <v>1578.5</v>
      </c>
      <c r="I12" s="141">
        <f t="shared" si="1"/>
        <v>15928.5</v>
      </c>
      <c r="J12" s="140">
        <f t="shared" si="2"/>
        <v>7964250000</v>
      </c>
      <c r="K12" s="139" t="s">
        <v>952</v>
      </c>
      <c r="L12" s="146">
        <v>46049</v>
      </c>
      <c r="M12" s="146">
        <v>46042</v>
      </c>
      <c r="N12" s="143" t="s">
        <v>1422</v>
      </c>
      <c r="O12" s="144">
        <v>0.9</v>
      </c>
      <c r="P12" s="175">
        <v>46059</v>
      </c>
      <c r="Q12" s="145"/>
      <c r="R12" s="187">
        <f>IFERROR(SUMIFS(Database!$N:$N,Database!$F:$F,B12),0)</f>
        <v>500820</v>
      </c>
      <c r="S12" s="167">
        <f t="shared" si="3"/>
        <v>-820</v>
      </c>
      <c r="T12" s="171">
        <f t="shared" si="4"/>
        <v>1.0016400000000001</v>
      </c>
      <c r="U12" s="167">
        <f t="shared" si="5"/>
        <v>7977311370</v>
      </c>
      <c r="V12" s="167">
        <f t="shared" si="6"/>
        <v>7179580233</v>
      </c>
      <c r="W12" s="163" t="str">
        <f t="shared" ca="1" si="7"/>
        <v>Lewat Jatuh Tempo</v>
      </c>
      <c r="X12" s="163" t="str">
        <f t="shared" si="8"/>
        <v>IN</v>
      </c>
      <c r="Y12" s="164" t="str">
        <f t="shared" si="9"/>
        <v>Over</v>
      </c>
    </row>
    <row r="13" spans="2:32" ht="20" customHeight="1" x14ac:dyDescent="0.2">
      <c r="B13" s="147" t="s">
        <v>1358</v>
      </c>
      <c r="C13" s="145"/>
      <c r="D13" s="139" t="s">
        <v>1462</v>
      </c>
      <c r="E13" s="139" t="s">
        <v>41</v>
      </c>
      <c r="F13" s="177">
        <v>1000000</v>
      </c>
      <c r="G13" s="179">
        <v>13971</v>
      </c>
      <c r="H13" s="141">
        <f t="shared" si="0"/>
        <v>1536.81</v>
      </c>
      <c r="I13" s="141">
        <f t="shared" si="1"/>
        <v>15507.81</v>
      </c>
      <c r="J13" s="140">
        <f t="shared" si="2"/>
        <v>15507810000</v>
      </c>
      <c r="K13" s="139" t="s">
        <v>952</v>
      </c>
      <c r="L13" s="146"/>
      <c r="M13" s="146">
        <v>46058</v>
      </c>
      <c r="N13" s="143" t="s">
        <v>1425</v>
      </c>
      <c r="O13" s="145"/>
      <c r="P13" s="175"/>
      <c r="Q13" s="145"/>
      <c r="R13" s="187">
        <f>IFERROR(SUMIFS(Database!$N:$N,Database!$F:$F,B13),0)</f>
        <v>1000700</v>
      </c>
      <c r="S13" s="167">
        <f t="shared" si="3"/>
        <v>-700</v>
      </c>
      <c r="T13" s="171">
        <f t="shared" si="4"/>
        <v>1.0006999999999999</v>
      </c>
      <c r="U13" s="167">
        <f t="shared" si="5"/>
        <v>15518665467</v>
      </c>
      <c r="V13" s="167">
        <f t="shared" si="6"/>
        <v>15518665467</v>
      </c>
      <c r="W13" s="163" t="str">
        <f t="shared" ca="1" si="7"/>
        <v>Lewat Jatuh Tempo</v>
      </c>
      <c r="X13" s="163" t="str">
        <f t="shared" si="8"/>
        <v>IN</v>
      </c>
      <c r="Y13" s="164" t="str">
        <f t="shared" si="9"/>
        <v>Over</v>
      </c>
      <c r="AA13" s="198" t="s">
        <v>1704</v>
      </c>
      <c r="AB13" s="199" t="s">
        <v>1403</v>
      </c>
      <c r="AC13" s="199" t="s">
        <v>1705</v>
      </c>
      <c r="AD13" s="199" t="s">
        <v>1706</v>
      </c>
      <c r="AE13" s="202"/>
      <c r="AF13" s="202"/>
    </row>
    <row r="14" spans="2:32" ht="20" customHeight="1" x14ac:dyDescent="0.2">
      <c r="B14" s="147" t="s">
        <v>1427</v>
      </c>
      <c r="C14" s="145"/>
      <c r="D14" s="139" t="s">
        <v>1462</v>
      </c>
      <c r="E14" s="139" t="s">
        <v>41</v>
      </c>
      <c r="F14" s="177">
        <v>500000</v>
      </c>
      <c r="G14" s="179">
        <v>14187</v>
      </c>
      <c r="H14" s="141">
        <f t="shared" si="0"/>
        <v>1560.57</v>
      </c>
      <c r="I14" s="141">
        <f t="shared" si="1"/>
        <v>15747.57</v>
      </c>
      <c r="J14" s="140">
        <f t="shared" si="2"/>
        <v>7873785000</v>
      </c>
      <c r="K14" s="139" t="s">
        <v>952</v>
      </c>
      <c r="L14" s="146"/>
      <c r="M14" s="146">
        <v>46065</v>
      </c>
      <c r="N14" s="143" t="s">
        <v>1425</v>
      </c>
      <c r="O14" s="145"/>
      <c r="P14" s="175"/>
      <c r="Q14" s="145" t="s">
        <v>1426</v>
      </c>
      <c r="R14" s="187">
        <f>IFERROR(SUMIFS(Database!$N:$N,Database!$F:$F,B14),0)</f>
        <v>0</v>
      </c>
      <c r="S14" s="167">
        <f t="shared" si="3"/>
        <v>500000</v>
      </c>
      <c r="T14" s="171">
        <f t="shared" si="4"/>
        <v>0</v>
      </c>
      <c r="U14" s="167">
        <f t="shared" si="5"/>
        <v>0</v>
      </c>
      <c r="V14" s="167">
        <f t="shared" si="6"/>
        <v>0</v>
      </c>
      <c r="W14" s="163" t="str">
        <f t="shared" ca="1" si="7"/>
        <v>Lewat Jatuh Tempo</v>
      </c>
      <c r="X14" s="163" t="str">
        <f t="shared" si="8"/>
        <v>IN</v>
      </c>
      <c r="Y14" s="164" t="str">
        <f t="shared" si="9"/>
        <v>Belum Kirim</v>
      </c>
      <c r="AA14" s="127" t="s">
        <v>1702</v>
      </c>
      <c r="AB14" s="129">
        <f>SUMIF(E6:E87,"CPO",J6:J87)</f>
        <v>226854311940</v>
      </c>
      <c r="AC14" s="129">
        <f>SUMIF(E6:E87,"CPO",U6:U87)</f>
        <v>214379921028.90005</v>
      </c>
      <c r="AD14" s="135">
        <f>AB14-AC14</f>
        <v>12474390911.099945</v>
      </c>
    </row>
    <row r="15" spans="2:32" ht="20" customHeight="1" x14ac:dyDescent="0.2">
      <c r="B15" s="138" t="s">
        <v>1361</v>
      </c>
      <c r="C15" s="139"/>
      <c r="D15" s="139" t="s">
        <v>1423</v>
      </c>
      <c r="E15" s="139" t="s">
        <v>41</v>
      </c>
      <c r="F15" s="177">
        <v>500000</v>
      </c>
      <c r="G15" s="179">
        <v>14750</v>
      </c>
      <c r="H15" s="141">
        <f t="shared" si="0"/>
        <v>1622.5</v>
      </c>
      <c r="I15" s="141">
        <f t="shared" si="1"/>
        <v>16372.5</v>
      </c>
      <c r="J15" s="140">
        <f t="shared" si="2"/>
        <v>8186250000</v>
      </c>
      <c r="K15" s="139" t="s">
        <v>952</v>
      </c>
      <c r="L15" s="146">
        <v>46060</v>
      </c>
      <c r="M15" s="146">
        <v>46052</v>
      </c>
      <c r="N15" s="143" t="s">
        <v>1422</v>
      </c>
      <c r="O15" s="144">
        <v>0.9</v>
      </c>
      <c r="P15" s="175">
        <v>46072</v>
      </c>
      <c r="Q15" s="145"/>
      <c r="R15" s="187">
        <f>IFERROR(SUMIFS(Database!$N:$N,Database!$F:$F,B15),0)</f>
        <v>495300</v>
      </c>
      <c r="S15" s="167">
        <f t="shared" si="3"/>
        <v>4700</v>
      </c>
      <c r="T15" s="171">
        <f t="shared" si="4"/>
        <v>0.99060000000000004</v>
      </c>
      <c r="U15" s="167">
        <f t="shared" si="5"/>
        <v>8109299250</v>
      </c>
      <c r="V15" s="167">
        <f t="shared" si="6"/>
        <v>7298369325</v>
      </c>
      <c r="W15" s="163" t="str">
        <f t="shared" ca="1" si="7"/>
        <v>Lewat Jatuh Tempo</v>
      </c>
      <c r="X15" s="163" t="str">
        <f t="shared" si="8"/>
        <v>IN</v>
      </c>
      <c r="Y15" s="164" t="str">
        <f t="shared" si="9"/>
        <v>Selesai</v>
      </c>
      <c r="AA15" s="127" t="s">
        <v>1703</v>
      </c>
      <c r="AB15" s="129">
        <f>SUMIF(E6:E87,"RBDPL",J6:J87)</f>
        <v>81084724877.23204</v>
      </c>
      <c r="AC15" s="129">
        <f>SUMIF(E6:E87,"RBDPL",U6:U87)</f>
        <v>63974107225.517982</v>
      </c>
      <c r="AD15" s="135">
        <f>AB15-AC15</f>
        <v>17110617651.714058</v>
      </c>
    </row>
    <row r="16" spans="2:32" ht="20" customHeight="1" x14ac:dyDescent="0.2">
      <c r="B16" s="147" t="s">
        <v>1331</v>
      </c>
      <c r="C16" s="145" t="s">
        <v>1731</v>
      </c>
      <c r="D16" s="145" t="s">
        <v>1463</v>
      </c>
      <c r="E16" s="145" t="s">
        <v>41</v>
      </c>
      <c r="F16" s="180">
        <v>512000</v>
      </c>
      <c r="G16" s="179">
        <v>18817</v>
      </c>
      <c r="H16" s="141">
        <f t="shared" si="0"/>
        <v>2069.87</v>
      </c>
      <c r="I16" s="141">
        <f t="shared" si="1"/>
        <v>20886.87</v>
      </c>
      <c r="J16" s="140">
        <f t="shared" si="2"/>
        <v>10694077440</v>
      </c>
      <c r="K16" s="145" t="s">
        <v>952</v>
      </c>
      <c r="L16" s="146">
        <v>45974</v>
      </c>
      <c r="M16" s="146">
        <v>45971</v>
      </c>
      <c r="N16" s="148" t="s">
        <v>1422</v>
      </c>
      <c r="O16" s="149">
        <v>0.9</v>
      </c>
      <c r="P16" s="175"/>
      <c r="Q16" s="145" t="s">
        <v>1428</v>
      </c>
      <c r="R16" s="187">
        <f>IFERROR(SUMIFS(Database!$N:$N,Database!$F:$F,B16),0)</f>
        <v>513480</v>
      </c>
      <c r="S16" s="167">
        <f t="shared" si="3"/>
        <v>-1480</v>
      </c>
      <c r="T16" s="171">
        <f t="shared" si="4"/>
        <v>1.002890625</v>
      </c>
      <c r="U16" s="167">
        <f t="shared" si="5"/>
        <v>10724990007.6</v>
      </c>
      <c r="V16" s="167">
        <f t="shared" si="6"/>
        <v>9652491006.8400002</v>
      </c>
      <c r="W16" s="163" t="str">
        <f t="shared" ca="1" si="7"/>
        <v>Lewat Jatuh Tempo</v>
      </c>
      <c r="X16" s="163" t="str">
        <f t="shared" si="8"/>
        <v>IN</v>
      </c>
      <c r="Y16" s="164" t="str">
        <f t="shared" si="9"/>
        <v>Over</v>
      </c>
      <c r="AA16" s="127" t="s">
        <v>1457</v>
      </c>
      <c r="AB16" s="129">
        <f>SUMIF(E6:E87,"PFAD",J6:J87)</f>
        <v>3050280000</v>
      </c>
      <c r="AC16" s="129">
        <f>SUMIF(E6:E87,"PFAD",U6:U87)</f>
        <v>0</v>
      </c>
      <c r="AD16" s="135">
        <f>AB16-AC16</f>
        <v>3050280000</v>
      </c>
    </row>
    <row r="17" spans="2:30" ht="20" customHeight="1" x14ac:dyDescent="0.2">
      <c r="B17" s="147" t="s">
        <v>1429</v>
      </c>
      <c r="C17" s="145" t="s">
        <v>1341</v>
      </c>
      <c r="D17" s="145" t="s">
        <v>1463</v>
      </c>
      <c r="E17" s="145" t="s">
        <v>41</v>
      </c>
      <c r="F17" s="180">
        <v>500000</v>
      </c>
      <c r="G17" s="179">
        <v>13821</v>
      </c>
      <c r="H17" s="141">
        <f t="shared" si="0"/>
        <v>1520.31</v>
      </c>
      <c r="I17" s="141">
        <f t="shared" si="1"/>
        <v>15341.31</v>
      </c>
      <c r="J17" s="140">
        <f t="shared" si="2"/>
        <v>7670655000</v>
      </c>
      <c r="K17" s="145" t="s">
        <v>952</v>
      </c>
      <c r="L17" s="146">
        <v>45991</v>
      </c>
      <c r="M17" s="146">
        <v>45989</v>
      </c>
      <c r="N17" s="148" t="s">
        <v>1422</v>
      </c>
      <c r="O17" s="149">
        <v>0.5</v>
      </c>
      <c r="P17" s="175"/>
      <c r="Q17" s="145" t="s">
        <v>1430</v>
      </c>
      <c r="R17" s="187">
        <f>IFERROR(SUMIFS(Database!$N:$N,Database!$F:$F,B17),0)</f>
        <v>505060</v>
      </c>
      <c r="S17" s="167">
        <f t="shared" si="3"/>
        <v>-5060</v>
      </c>
      <c r="T17" s="171">
        <f t="shared" si="4"/>
        <v>1.0101199999999999</v>
      </c>
      <c r="U17" s="167">
        <f t="shared" si="5"/>
        <v>7748282028.5999994</v>
      </c>
      <c r="V17" s="167">
        <f t="shared" si="6"/>
        <v>3874141014.2999997</v>
      </c>
      <c r="W17" s="163" t="str">
        <f t="shared" ca="1" si="7"/>
        <v>Lewat Jatuh Tempo</v>
      </c>
      <c r="X17" s="163" t="str">
        <f t="shared" si="8"/>
        <v>IN</v>
      </c>
      <c r="Y17" s="164" t="str">
        <f t="shared" si="9"/>
        <v>Over</v>
      </c>
      <c r="AA17" s="131" t="s">
        <v>1122</v>
      </c>
      <c r="AB17" s="133">
        <f>SUM(AB14:AB16)</f>
        <v>310989316817.23206</v>
      </c>
      <c r="AC17" s="133">
        <f>SUM(AC14:AC16)</f>
        <v>278354028254.41803</v>
      </c>
      <c r="AD17" s="136">
        <f>SUM(AD14:AD16)</f>
        <v>32635288562.814003</v>
      </c>
    </row>
    <row r="18" spans="2:30" ht="20" customHeight="1" x14ac:dyDescent="0.2">
      <c r="B18" s="147" t="s">
        <v>1431</v>
      </c>
      <c r="C18" s="145" t="s">
        <v>1346</v>
      </c>
      <c r="D18" s="145" t="s">
        <v>1463</v>
      </c>
      <c r="E18" s="145" t="s">
        <v>41</v>
      </c>
      <c r="F18" s="180">
        <v>500000</v>
      </c>
      <c r="G18" s="179">
        <v>13886</v>
      </c>
      <c r="H18" s="141">
        <f t="shared" si="0"/>
        <v>1527.46</v>
      </c>
      <c r="I18" s="141">
        <f t="shared" si="1"/>
        <v>15413.46</v>
      </c>
      <c r="J18" s="140">
        <f t="shared" si="2"/>
        <v>7706730000</v>
      </c>
      <c r="K18" s="145" t="s">
        <v>952</v>
      </c>
      <c r="L18" s="146">
        <v>45996</v>
      </c>
      <c r="M18" s="146">
        <v>45996</v>
      </c>
      <c r="N18" s="148" t="s">
        <v>1422</v>
      </c>
      <c r="O18" s="149">
        <v>0.9</v>
      </c>
      <c r="P18" s="175"/>
      <c r="Q18" s="145" t="s">
        <v>1432</v>
      </c>
      <c r="R18" s="187">
        <f>IFERROR(SUMIFS(Database!$N:$N,Database!$F:$F,B18),0)</f>
        <v>499560</v>
      </c>
      <c r="S18" s="167">
        <f t="shared" si="3"/>
        <v>440</v>
      </c>
      <c r="T18" s="171">
        <f t="shared" si="4"/>
        <v>0.99912000000000001</v>
      </c>
      <c r="U18" s="167">
        <f t="shared" si="5"/>
        <v>7699948077.5999994</v>
      </c>
      <c r="V18" s="167">
        <f t="shared" si="6"/>
        <v>6929953269.8399992</v>
      </c>
      <c r="W18" s="163" t="str">
        <f t="shared" ca="1" si="7"/>
        <v>Lewat Jatuh Tempo</v>
      </c>
      <c r="X18" s="163" t="str">
        <f t="shared" si="8"/>
        <v>IN</v>
      </c>
      <c r="Y18" s="164" t="str">
        <f t="shared" si="9"/>
        <v>Selesai</v>
      </c>
    </row>
    <row r="19" spans="2:30" ht="20" customHeight="1" x14ac:dyDescent="0.2">
      <c r="B19" s="147" t="s">
        <v>1433</v>
      </c>
      <c r="C19" s="201" t="s">
        <v>1337</v>
      </c>
      <c r="D19" s="145" t="s">
        <v>1463</v>
      </c>
      <c r="E19" s="145" t="s">
        <v>41</v>
      </c>
      <c r="F19" s="180">
        <v>500000</v>
      </c>
      <c r="G19" s="179">
        <v>14146</v>
      </c>
      <c r="H19" s="141">
        <f t="shared" si="0"/>
        <v>1556.06</v>
      </c>
      <c r="I19" s="141">
        <f t="shared" si="1"/>
        <v>15702.06</v>
      </c>
      <c r="J19" s="140">
        <f t="shared" si="2"/>
        <v>7851030000</v>
      </c>
      <c r="K19" s="145" t="s">
        <v>952</v>
      </c>
      <c r="L19" s="146">
        <v>46009</v>
      </c>
      <c r="M19" s="146">
        <v>46006</v>
      </c>
      <c r="N19" s="148" t="s">
        <v>1422</v>
      </c>
      <c r="O19" s="149">
        <v>0.9</v>
      </c>
      <c r="P19" s="175"/>
      <c r="Q19" s="145" t="s">
        <v>1434</v>
      </c>
      <c r="R19" s="187">
        <f>IFERROR(SUMIFS(Database!$N:$N,Database!$F:$F,B19),0)</f>
        <v>517610</v>
      </c>
      <c r="S19" s="167">
        <f t="shared" si="3"/>
        <v>-17610</v>
      </c>
      <c r="T19" s="171">
        <f t="shared" si="4"/>
        <v>1.03522</v>
      </c>
      <c r="U19" s="167">
        <f t="shared" si="5"/>
        <v>8127543276.5999994</v>
      </c>
      <c r="V19" s="167">
        <f t="shared" si="6"/>
        <v>7314788948.9399996</v>
      </c>
      <c r="W19" s="163" t="str">
        <f t="shared" ca="1" si="7"/>
        <v>Lewat Jatuh Tempo</v>
      </c>
      <c r="X19" s="163" t="str">
        <f t="shared" si="8"/>
        <v>IN</v>
      </c>
      <c r="Y19" s="164" t="str">
        <f t="shared" si="9"/>
        <v>Over</v>
      </c>
      <c r="AA19" s="198" t="s">
        <v>1695</v>
      </c>
      <c r="AB19" s="199" t="s">
        <v>14</v>
      </c>
      <c r="AC19" s="199" t="s">
        <v>1707</v>
      </c>
    </row>
    <row r="20" spans="2:30" ht="20" customHeight="1" x14ac:dyDescent="0.2">
      <c r="B20" s="147" t="s">
        <v>1435</v>
      </c>
      <c r="C20" s="145" t="s">
        <v>1349</v>
      </c>
      <c r="D20" s="145" t="s">
        <v>1463</v>
      </c>
      <c r="E20" s="145" t="s">
        <v>41</v>
      </c>
      <c r="F20" s="180">
        <v>500000</v>
      </c>
      <c r="G20" s="179">
        <v>14000</v>
      </c>
      <c r="H20" s="141">
        <f t="shared" si="0"/>
        <v>1540</v>
      </c>
      <c r="I20" s="141">
        <f t="shared" si="1"/>
        <v>15540</v>
      </c>
      <c r="J20" s="140">
        <f t="shared" si="2"/>
        <v>7770000000</v>
      </c>
      <c r="K20" s="145" t="s">
        <v>952</v>
      </c>
      <c r="L20" s="146">
        <v>46014</v>
      </c>
      <c r="M20" s="146">
        <v>46374</v>
      </c>
      <c r="N20" s="148" t="s">
        <v>1422</v>
      </c>
      <c r="O20" s="149">
        <v>0.9</v>
      </c>
      <c r="P20" s="175"/>
      <c r="Q20" s="145" t="s">
        <v>1436</v>
      </c>
      <c r="R20" s="187">
        <f>IFERROR(SUMIFS(Database!$N:$N,Database!$F:$F,B20),0)</f>
        <v>497410</v>
      </c>
      <c r="S20" s="167">
        <f t="shared" si="3"/>
        <v>2590</v>
      </c>
      <c r="T20" s="171">
        <f t="shared" si="4"/>
        <v>0.99482000000000004</v>
      </c>
      <c r="U20" s="167">
        <f t="shared" si="5"/>
        <v>7729751400</v>
      </c>
      <c r="V20" s="167">
        <f t="shared" si="6"/>
        <v>6956776260</v>
      </c>
      <c r="W20" s="163" t="str">
        <f t="shared" ca="1" si="7"/>
        <v>Belum Jatuh Tempo</v>
      </c>
      <c r="X20" s="163" t="str">
        <f t="shared" si="8"/>
        <v>IN</v>
      </c>
      <c r="Y20" s="164" t="str">
        <f t="shared" si="9"/>
        <v>Selesai</v>
      </c>
      <c r="AA20" s="137" t="s">
        <v>1708</v>
      </c>
      <c r="AB20" s="128">
        <f>COUNTIF(Y6:Y87,"Belum Kirim")</f>
        <v>4</v>
      </c>
      <c r="AC20" s="130">
        <f>IFERROR(AB20/AB24,0)</f>
        <v>6.5573770491803282E-2</v>
      </c>
    </row>
    <row r="21" spans="2:30" ht="20" customHeight="1" x14ac:dyDescent="0.2">
      <c r="B21" s="147" t="s">
        <v>1437</v>
      </c>
      <c r="C21" s="145" t="s">
        <v>1350</v>
      </c>
      <c r="D21" s="145" t="s">
        <v>1463</v>
      </c>
      <c r="E21" s="145" t="s">
        <v>41</v>
      </c>
      <c r="F21" s="180">
        <v>500000</v>
      </c>
      <c r="G21" s="179">
        <v>13888</v>
      </c>
      <c r="H21" s="141">
        <f t="shared" si="0"/>
        <v>1527.68</v>
      </c>
      <c r="I21" s="141">
        <f t="shared" si="1"/>
        <v>15415.68</v>
      </c>
      <c r="J21" s="140">
        <f t="shared" si="2"/>
        <v>7707840000</v>
      </c>
      <c r="K21" s="145" t="s">
        <v>952</v>
      </c>
      <c r="L21" s="146">
        <v>46028</v>
      </c>
      <c r="M21" s="146">
        <v>46020</v>
      </c>
      <c r="N21" s="148" t="s">
        <v>1422</v>
      </c>
      <c r="O21" s="149">
        <v>0.9</v>
      </c>
      <c r="P21" s="175"/>
      <c r="Q21" s="145" t="s">
        <v>1438</v>
      </c>
      <c r="R21" s="187">
        <f>IFERROR(SUMIFS(Database!$N:$N,Database!$F:$F,B21),0)</f>
        <v>510220</v>
      </c>
      <c r="S21" s="167">
        <f t="shared" si="3"/>
        <v>-10220</v>
      </c>
      <c r="T21" s="171">
        <f t="shared" si="4"/>
        <v>1.02044</v>
      </c>
      <c r="U21" s="167">
        <f t="shared" si="5"/>
        <v>7865388249.6000004</v>
      </c>
      <c r="V21" s="167">
        <f t="shared" si="6"/>
        <v>7078849424.6400003</v>
      </c>
      <c r="W21" s="163" t="str">
        <f t="shared" ca="1" si="7"/>
        <v>Lewat Jatuh Tempo</v>
      </c>
      <c r="X21" s="163" t="str">
        <f t="shared" si="8"/>
        <v>IN</v>
      </c>
      <c r="Y21" s="164" t="str">
        <f t="shared" si="9"/>
        <v>Over</v>
      </c>
      <c r="AA21" s="137" t="s">
        <v>1709</v>
      </c>
      <c r="AB21" s="128">
        <f>COUNTIF(Y6:Y87,"Proses")</f>
        <v>4</v>
      </c>
      <c r="AC21" s="130">
        <f>IFERROR(AB21/AB24,0)</f>
        <v>6.5573770491803282E-2</v>
      </c>
    </row>
    <row r="22" spans="2:30" ht="20" customHeight="1" x14ac:dyDescent="0.2">
      <c r="B22" s="147" t="s">
        <v>1439</v>
      </c>
      <c r="C22" s="145" t="s">
        <v>1351</v>
      </c>
      <c r="D22" s="145" t="s">
        <v>1463</v>
      </c>
      <c r="E22" s="145" t="s">
        <v>41</v>
      </c>
      <c r="F22" s="180">
        <v>500000</v>
      </c>
      <c r="G22" s="179">
        <v>14111</v>
      </c>
      <c r="H22" s="141">
        <f t="shared" si="0"/>
        <v>1552.21</v>
      </c>
      <c r="I22" s="141">
        <f t="shared" si="1"/>
        <v>15663.21</v>
      </c>
      <c r="J22" s="140">
        <f t="shared" si="2"/>
        <v>7831605000</v>
      </c>
      <c r="K22" s="145" t="s">
        <v>952</v>
      </c>
      <c r="L22" s="146">
        <v>46037</v>
      </c>
      <c r="M22" s="146">
        <v>46034</v>
      </c>
      <c r="N22" s="148" t="s">
        <v>1422</v>
      </c>
      <c r="O22" s="149">
        <v>0.9</v>
      </c>
      <c r="P22" s="175"/>
      <c r="Q22" s="145" t="s">
        <v>1440</v>
      </c>
      <c r="R22" s="187">
        <f>IFERROR(SUMIFS(Database!$N:$N,Database!$F:$F,B22),0)</f>
        <v>511380</v>
      </c>
      <c r="S22" s="167">
        <f t="shared" si="3"/>
        <v>-11380</v>
      </c>
      <c r="T22" s="171">
        <f t="shared" si="4"/>
        <v>1.0227599999999999</v>
      </c>
      <c r="U22" s="167">
        <f t="shared" si="5"/>
        <v>8009852329.7999992</v>
      </c>
      <c r="V22" s="167">
        <f t="shared" si="6"/>
        <v>7208867096.8199997</v>
      </c>
      <c r="W22" s="163" t="str">
        <f t="shared" ca="1" si="7"/>
        <v>Lewat Jatuh Tempo</v>
      </c>
      <c r="X22" s="163" t="str">
        <f t="shared" si="8"/>
        <v>IN</v>
      </c>
      <c r="Y22" s="164" t="str">
        <f t="shared" si="9"/>
        <v>Over</v>
      </c>
      <c r="AA22" s="137" t="s">
        <v>1710</v>
      </c>
      <c r="AB22" s="128">
        <f>COUNTIF(Y6:Y87,"Selesai")</f>
        <v>32</v>
      </c>
      <c r="AC22" s="130">
        <f>IFERROR(AB22/AB24,0)</f>
        <v>0.52459016393442626</v>
      </c>
    </row>
    <row r="23" spans="2:30" ht="20" customHeight="1" x14ac:dyDescent="0.2">
      <c r="B23" s="147" t="s">
        <v>1441</v>
      </c>
      <c r="C23" s="145" t="s">
        <v>1354</v>
      </c>
      <c r="D23" s="145" t="s">
        <v>1463</v>
      </c>
      <c r="E23" s="145" t="s">
        <v>41</v>
      </c>
      <c r="F23" s="180">
        <v>500000</v>
      </c>
      <c r="G23" s="179">
        <v>14242</v>
      </c>
      <c r="H23" s="141">
        <f t="shared" si="0"/>
        <v>1566.6200000000001</v>
      </c>
      <c r="I23" s="141">
        <f t="shared" si="1"/>
        <v>15808.62</v>
      </c>
      <c r="J23" s="140">
        <f t="shared" si="2"/>
        <v>7904310000</v>
      </c>
      <c r="K23" s="145" t="s">
        <v>952</v>
      </c>
      <c r="L23" s="146">
        <v>46052</v>
      </c>
      <c r="M23" s="146" t="s">
        <v>1729</v>
      </c>
      <c r="N23" s="148" t="s">
        <v>1422</v>
      </c>
      <c r="O23" s="149">
        <v>0.9</v>
      </c>
      <c r="P23" s="175"/>
      <c r="Q23" s="145" t="s">
        <v>1442</v>
      </c>
      <c r="R23" s="187">
        <f>IFERROR(SUMIFS(Database!$N:$N,Database!$F:$F,B23),0)</f>
        <v>500900</v>
      </c>
      <c r="S23" s="167">
        <f t="shared" si="3"/>
        <v>-900</v>
      </c>
      <c r="T23" s="171">
        <f t="shared" si="4"/>
        <v>1.0018</v>
      </c>
      <c r="U23" s="167">
        <f t="shared" si="5"/>
        <v>7918537758</v>
      </c>
      <c r="V23" s="167">
        <f t="shared" si="6"/>
        <v>7126683982.1999998</v>
      </c>
      <c r="W23" s="163" t="str">
        <f t="shared" ca="1" si="7"/>
        <v>Belum Jatuh Tempo</v>
      </c>
      <c r="X23" s="163" t="str">
        <f t="shared" si="8"/>
        <v>IN</v>
      </c>
      <c r="Y23" s="164" t="str">
        <f t="shared" si="9"/>
        <v>Over</v>
      </c>
      <c r="AA23" s="137" t="s">
        <v>1711</v>
      </c>
      <c r="AB23" s="128">
        <f>COUNTIF(Y6:Y87,"Over")</f>
        <v>21</v>
      </c>
      <c r="AC23" s="130">
        <f>IFERROR(AB23/AB24,0)</f>
        <v>0.34426229508196721</v>
      </c>
    </row>
    <row r="24" spans="2:30" ht="20" customHeight="1" x14ac:dyDescent="0.2">
      <c r="B24" s="147" t="s">
        <v>1443</v>
      </c>
      <c r="C24" s="145" t="s">
        <v>1364</v>
      </c>
      <c r="D24" s="145" t="s">
        <v>1463</v>
      </c>
      <c r="E24" s="145" t="s">
        <v>41</v>
      </c>
      <c r="F24" s="180">
        <v>500000</v>
      </c>
      <c r="G24" s="179">
        <v>14353</v>
      </c>
      <c r="H24" s="141">
        <f t="shared" si="0"/>
        <v>1578.83</v>
      </c>
      <c r="I24" s="141">
        <f t="shared" si="1"/>
        <v>15931.83</v>
      </c>
      <c r="J24" s="140">
        <f t="shared" si="2"/>
        <v>7965915000</v>
      </c>
      <c r="K24" s="145" t="s">
        <v>952</v>
      </c>
      <c r="L24" s="146">
        <v>46079</v>
      </c>
      <c r="M24" s="146">
        <v>46048</v>
      </c>
      <c r="N24" s="148" t="s">
        <v>1422</v>
      </c>
      <c r="O24" s="149">
        <v>0.9</v>
      </c>
      <c r="P24" s="175"/>
      <c r="Q24" s="145" t="s">
        <v>1444</v>
      </c>
      <c r="R24" s="187">
        <f>IFERROR(SUMIFS(Database!$N:$N,Database!$F:$F,B24),0)</f>
        <v>502250</v>
      </c>
      <c r="S24" s="167">
        <f t="shared" si="3"/>
        <v>-2250</v>
      </c>
      <c r="T24" s="172">
        <f t="shared" si="4"/>
        <v>1.0044999999999999</v>
      </c>
      <c r="U24" s="167">
        <f t="shared" si="5"/>
        <v>8001761617.5</v>
      </c>
      <c r="V24" s="167">
        <f t="shared" si="6"/>
        <v>7201585455.75</v>
      </c>
      <c r="W24" s="163" t="str">
        <f t="shared" ca="1" si="7"/>
        <v>Lewat Jatuh Tempo</v>
      </c>
      <c r="X24" s="163" t="str">
        <f t="shared" si="8"/>
        <v>IN</v>
      </c>
      <c r="Y24" s="164" t="str">
        <f t="shared" si="9"/>
        <v>Over</v>
      </c>
      <c r="AA24" s="131" t="s">
        <v>1122</v>
      </c>
      <c r="AB24" s="132">
        <f>SUM(AB20:AB23)</f>
        <v>61</v>
      </c>
      <c r="AC24" s="134">
        <f>SUM(AC20:AC23)</f>
        <v>1</v>
      </c>
    </row>
    <row r="25" spans="2:30" ht="20" customHeight="1" x14ac:dyDescent="0.2">
      <c r="B25" s="147" t="s">
        <v>1445</v>
      </c>
      <c r="C25" s="145" t="s">
        <v>1727</v>
      </c>
      <c r="D25" s="145" t="s">
        <v>1463</v>
      </c>
      <c r="E25" s="145" t="s">
        <v>41</v>
      </c>
      <c r="F25" s="180">
        <v>500000</v>
      </c>
      <c r="G25" s="179">
        <v>14889</v>
      </c>
      <c r="H25" s="141">
        <f t="shared" si="0"/>
        <v>1637.79</v>
      </c>
      <c r="I25" s="141">
        <f t="shared" si="1"/>
        <v>16526.79</v>
      </c>
      <c r="J25" s="140">
        <f t="shared" si="2"/>
        <v>8263395000</v>
      </c>
      <c r="K25" s="145" t="s">
        <v>952</v>
      </c>
      <c r="L25" s="146">
        <v>46120</v>
      </c>
      <c r="M25" s="146">
        <v>46057</v>
      </c>
      <c r="N25" s="148" t="s">
        <v>1422</v>
      </c>
      <c r="O25" s="149">
        <v>0.9</v>
      </c>
      <c r="P25" s="175"/>
      <c r="Q25" s="145" t="s">
        <v>1446</v>
      </c>
      <c r="R25" s="187">
        <f>IFERROR(SUMIFS(Database!$N:$N,Database!$F:$F,B25),0)</f>
        <v>500980</v>
      </c>
      <c r="S25" s="167">
        <f t="shared" si="3"/>
        <v>-980</v>
      </c>
      <c r="T25" s="172">
        <f t="shared" si="4"/>
        <v>1.00196</v>
      </c>
      <c r="U25" s="167">
        <f t="shared" si="5"/>
        <v>8279591254.2000008</v>
      </c>
      <c r="V25" s="167">
        <f t="shared" si="6"/>
        <v>7451632128.7800007</v>
      </c>
      <c r="W25" s="163" t="str">
        <f t="shared" ca="1" si="7"/>
        <v>Lewat Jatuh Tempo</v>
      </c>
      <c r="X25" s="163" t="str">
        <f t="shared" si="8"/>
        <v>IN</v>
      </c>
      <c r="Y25" s="164" t="str">
        <f t="shared" si="9"/>
        <v>Over</v>
      </c>
    </row>
    <row r="26" spans="2:30" ht="20" customHeight="1" x14ac:dyDescent="0.2">
      <c r="B26" s="147" t="s">
        <v>1447</v>
      </c>
      <c r="C26" s="145" t="s">
        <v>1728</v>
      </c>
      <c r="D26" s="145" t="s">
        <v>1463</v>
      </c>
      <c r="E26" s="145" t="s">
        <v>41</v>
      </c>
      <c r="F26" s="180">
        <v>500000</v>
      </c>
      <c r="G26" s="179">
        <v>13935</v>
      </c>
      <c r="H26" s="141">
        <f t="shared" si="0"/>
        <v>1532.85</v>
      </c>
      <c r="I26" s="141">
        <f t="shared" si="1"/>
        <v>15467.85</v>
      </c>
      <c r="J26" s="140">
        <f t="shared" si="2"/>
        <v>7733925000</v>
      </c>
      <c r="K26" s="145" t="s">
        <v>952</v>
      </c>
      <c r="L26" s="146">
        <v>46121</v>
      </c>
      <c r="M26" s="146">
        <v>46055</v>
      </c>
      <c r="N26" s="148" t="s">
        <v>1422</v>
      </c>
      <c r="O26" s="149">
        <v>0.9</v>
      </c>
      <c r="P26" s="175"/>
      <c r="Q26" s="145" t="s">
        <v>1448</v>
      </c>
      <c r="R26" s="187">
        <f>IFERROR(SUMIFS(Database!$N:$N,Database!$F:$F,B26),0)</f>
        <v>501730</v>
      </c>
      <c r="S26" s="167">
        <f t="shared" si="3"/>
        <v>-1730</v>
      </c>
      <c r="T26" s="172">
        <f t="shared" si="4"/>
        <v>1.00346</v>
      </c>
      <c r="U26" s="167">
        <f t="shared" si="5"/>
        <v>7760684380.5</v>
      </c>
      <c r="V26" s="167">
        <f t="shared" si="6"/>
        <v>6984615942.4499998</v>
      </c>
      <c r="W26" s="163" t="str">
        <f t="shared" ca="1" si="7"/>
        <v>Lewat Jatuh Tempo</v>
      </c>
      <c r="X26" s="163" t="str">
        <f t="shared" si="8"/>
        <v>IN</v>
      </c>
      <c r="Y26" s="164" t="str">
        <f t="shared" si="9"/>
        <v>Over</v>
      </c>
      <c r="AA26" s="198" t="s">
        <v>1405</v>
      </c>
      <c r="AB26" s="199" t="s">
        <v>14</v>
      </c>
      <c r="AC26" s="199" t="s">
        <v>1707</v>
      </c>
    </row>
    <row r="27" spans="2:30" ht="20" customHeight="1" x14ac:dyDescent="0.2">
      <c r="B27" s="147" t="s">
        <v>1328</v>
      </c>
      <c r="C27" s="145" t="s">
        <v>1327</v>
      </c>
      <c r="D27" s="145" t="s">
        <v>1458</v>
      </c>
      <c r="E27" s="145" t="s">
        <v>41</v>
      </c>
      <c r="F27" s="180">
        <v>500000</v>
      </c>
      <c r="G27" s="179">
        <v>14227</v>
      </c>
      <c r="H27" s="141">
        <f t="shared" si="0"/>
        <v>1564.97</v>
      </c>
      <c r="I27" s="141">
        <f t="shared" si="1"/>
        <v>15791.97</v>
      </c>
      <c r="J27" s="140">
        <f t="shared" si="2"/>
        <v>7895985000</v>
      </c>
      <c r="K27" s="145" t="s">
        <v>952</v>
      </c>
      <c r="L27" s="146"/>
      <c r="M27" s="148">
        <v>45909</v>
      </c>
      <c r="N27" s="148" t="s">
        <v>1422</v>
      </c>
      <c r="O27" s="149">
        <v>0.9</v>
      </c>
      <c r="P27" s="175"/>
      <c r="Q27" s="145"/>
      <c r="R27" s="187">
        <f>IFERROR(SUMIFS(Database!$N:$N,Database!$F:$F,B27),0)</f>
        <v>496300</v>
      </c>
      <c r="S27" s="167">
        <f t="shared" si="3"/>
        <v>3700</v>
      </c>
      <c r="T27" s="172">
        <f t="shared" si="4"/>
        <v>0.99260000000000004</v>
      </c>
      <c r="U27" s="167">
        <f t="shared" si="5"/>
        <v>7837554711</v>
      </c>
      <c r="V27" s="167">
        <f t="shared" si="6"/>
        <v>7053799239.9000006</v>
      </c>
      <c r="W27" s="163" t="str">
        <f t="shared" ca="1" si="7"/>
        <v>Lewat Jatuh Tempo</v>
      </c>
      <c r="X27" s="163" t="str">
        <f t="shared" si="8"/>
        <v>IN</v>
      </c>
      <c r="Y27" s="164" t="str">
        <f t="shared" si="9"/>
        <v>Selesai</v>
      </c>
      <c r="AA27" s="137" t="s">
        <v>1712</v>
      </c>
      <c r="AB27" s="128">
        <f ca="1">COUNTIF(W6:W87,"Lewat Jatuh Tempo")</f>
        <v>57</v>
      </c>
      <c r="AC27" s="130">
        <f ca="1">IFERROR(AB27/AB30,0)</f>
        <v>0.96610169491525422</v>
      </c>
    </row>
    <row r="28" spans="2:30" ht="20" customHeight="1" x14ac:dyDescent="0.2">
      <c r="B28" s="147" t="s">
        <v>1449</v>
      </c>
      <c r="C28" s="145" t="s">
        <v>1338</v>
      </c>
      <c r="D28" s="145" t="s">
        <v>1458</v>
      </c>
      <c r="E28" s="145" t="s">
        <v>41</v>
      </c>
      <c r="F28" s="180">
        <v>500000</v>
      </c>
      <c r="G28" s="179">
        <v>13817</v>
      </c>
      <c r="H28" s="141">
        <f t="shared" si="0"/>
        <v>1519.8700000000001</v>
      </c>
      <c r="I28" s="141">
        <f t="shared" si="1"/>
        <v>15336.87</v>
      </c>
      <c r="J28" s="140">
        <f t="shared" si="2"/>
        <v>7668435000</v>
      </c>
      <c r="K28" s="145" t="s">
        <v>952</v>
      </c>
      <c r="L28" s="146"/>
      <c r="M28" s="148">
        <v>45972</v>
      </c>
      <c r="N28" s="148" t="s">
        <v>1422</v>
      </c>
      <c r="O28" s="149">
        <v>0.9</v>
      </c>
      <c r="P28" s="175"/>
      <c r="Q28" s="145"/>
      <c r="R28" s="187">
        <f>IFERROR(SUMIFS(Database!$N:$N,Database!$F:$F,B28),0)</f>
        <v>499130</v>
      </c>
      <c r="S28" s="167">
        <f t="shared" si="3"/>
        <v>870</v>
      </c>
      <c r="T28" s="172">
        <f t="shared" si="4"/>
        <v>0.99826000000000004</v>
      </c>
      <c r="U28" s="167">
        <f t="shared" si="5"/>
        <v>7655091923.1000004</v>
      </c>
      <c r="V28" s="167">
        <f t="shared" si="6"/>
        <v>6889582730.7900009</v>
      </c>
      <c r="W28" s="163" t="str">
        <f t="shared" ca="1" si="7"/>
        <v>Lewat Jatuh Tempo</v>
      </c>
      <c r="X28" s="163" t="str">
        <f t="shared" si="8"/>
        <v>IN</v>
      </c>
      <c r="Y28" s="164" t="str">
        <f t="shared" si="9"/>
        <v>Selesai</v>
      </c>
      <c r="AA28" s="137" t="s">
        <v>1713</v>
      </c>
      <c r="AB28" s="128">
        <f ca="1">COUNTIF(W6:W87,"Jatuh Tempo Hari Ini")</f>
        <v>0</v>
      </c>
      <c r="AC28" s="130">
        <f ca="1">IFERROR(AB28/AB30,0)</f>
        <v>0</v>
      </c>
    </row>
    <row r="29" spans="2:30" ht="20" customHeight="1" x14ac:dyDescent="0.2">
      <c r="B29" s="147" t="s">
        <v>1450</v>
      </c>
      <c r="C29" s="145" t="s">
        <v>1342</v>
      </c>
      <c r="D29" s="145" t="s">
        <v>1458</v>
      </c>
      <c r="E29" s="145" t="s">
        <v>41</v>
      </c>
      <c r="F29" s="180">
        <v>500000</v>
      </c>
      <c r="G29" s="179">
        <v>13821</v>
      </c>
      <c r="H29" s="141">
        <f t="shared" si="0"/>
        <v>1520.31</v>
      </c>
      <c r="I29" s="141">
        <f t="shared" si="1"/>
        <v>15341.31</v>
      </c>
      <c r="J29" s="140">
        <f t="shared" si="2"/>
        <v>7670655000</v>
      </c>
      <c r="K29" s="145" t="s">
        <v>952</v>
      </c>
      <c r="L29" s="146"/>
      <c r="M29" s="148">
        <v>45985</v>
      </c>
      <c r="N29" s="148" t="s">
        <v>1422</v>
      </c>
      <c r="O29" s="149">
        <v>0.9</v>
      </c>
      <c r="P29" s="175"/>
      <c r="Q29" s="145" t="s">
        <v>1451</v>
      </c>
      <c r="R29" s="187">
        <f>IFERROR(SUMIFS(Database!$N:$N,Database!$F:$F,B29),0)</f>
        <v>499730</v>
      </c>
      <c r="S29" s="167">
        <f t="shared" si="3"/>
        <v>270</v>
      </c>
      <c r="T29" s="172">
        <f t="shared" si="4"/>
        <v>0.99946000000000002</v>
      </c>
      <c r="U29" s="167">
        <f t="shared" si="5"/>
        <v>7666512846.3000002</v>
      </c>
      <c r="V29" s="167">
        <f t="shared" si="6"/>
        <v>6899861561.6700001</v>
      </c>
      <c r="W29" s="163" t="str">
        <f t="shared" ca="1" si="7"/>
        <v>Lewat Jatuh Tempo</v>
      </c>
      <c r="X29" s="163" t="str">
        <f t="shared" si="8"/>
        <v>IN</v>
      </c>
      <c r="Y29" s="164" t="str">
        <f t="shared" si="9"/>
        <v>Selesai</v>
      </c>
      <c r="AA29" s="137" t="s">
        <v>1714</v>
      </c>
      <c r="AB29" s="128">
        <f ca="1">COUNTIF(W6:W87,"Belum Jatuh Tempo")</f>
        <v>2</v>
      </c>
      <c r="AC29" s="130">
        <f ca="1">IFERROR(AB29/AB30,0)</f>
        <v>3.3898305084745763E-2</v>
      </c>
    </row>
    <row r="30" spans="2:30" ht="20" customHeight="1" x14ac:dyDescent="0.2">
      <c r="B30" s="147" t="s">
        <v>1452</v>
      </c>
      <c r="C30" s="145" t="s">
        <v>1336</v>
      </c>
      <c r="D30" s="145" t="s">
        <v>1458</v>
      </c>
      <c r="E30" s="145" t="s">
        <v>41</v>
      </c>
      <c r="F30" s="180">
        <v>500000</v>
      </c>
      <c r="G30" s="179">
        <v>13886</v>
      </c>
      <c r="H30" s="141">
        <f t="shared" si="0"/>
        <v>1527.46</v>
      </c>
      <c r="I30" s="141">
        <f t="shared" si="1"/>
        <v>15413.46</v>
      </c>
      <c r="J30" s="140">
        <f t="shared" si="2"/>
        <v>7706730000</v>
      </c>
      <c r="K30" s="145" t="s">
        <v>952</v>
      </c>
      <c r="L30" s="146"/>
      <c r="M30" s="148">
        <v>45992</v>
      </c>
      <c r="N30" s="148" t="s">
        <v>1422</v>
      </c>
      <c r="O30" s="149">
        <v>0.9</v>
      </c>
      <c r="P30" s="175"/>
      <c r="Q30" s="145"/>
      <c r="R30" s="187">
        <f>IFERROR(SUMIFS(Database!$N:$N,Database!$F:$F,B30),0)</f>
        <v>505120</v>
      </c>
      <c r="S30" s="167">
        <f t="shared" si="3"/>
        <v>-5120</v>
      </c>
      <c r="T30" s="172">
        <f t="shared" si="4"/>
        <v>1.01024</v>
      </c>
      <c r="U30" s="167">
        <f t="shared" si="5"/>
        <v>7785646915.1999998</v>
      </c>
      <c r="V30" s="167">
        <f t="shared" si="6"/>
        <v>7007082223.6800003</v>
      </c>
      <c r="W30" s="163" t="str">
        <f t="shared" ca="1" si="7"/>
        <v>Lewat Jatuh Tempo</v>
      </c>
      <c r="X30" s="163" t="str">
        <f t="shared" si="8"/>
        <v>IN</v>
      </c>
      <c r="Y30" s="164" t="str">
        <f t="shared" si="9"/>
        <v>Over</v>
      </c>
      <c r="AA30" s="131" t="s">
        <v>1122</v>
      </c>
      <c r="AB30" s="132">
        <f ca="1">SUM(AB27:AB29)</f>
        <v>59</v>
      </c>
      <c r="AC30" s="134">
        <f ca="1">SUM(AC27:AC29)</f>
        <v>1</v>
      </c>
    </row>
    <row r="31" spans="2:30" ht="20" customHeight="1" x14ac:dyDescent="0.2">
      <c r="B31" s="147" t="s">
        <v>1453</v>
      </c>
      <c r="C31" s="145" t="s">
        <v>1348</v>
      </c>
      <c r="D31" s="145" t="s">
        <v>1458</v>
      </c>
      <c r="E31" s="145" t="s">
        <v>41</v>
      </c>
      <c r="F31" s="180">
        <v>200000</v>
      </c>
      <c r="G31" s="179">
        <v>14146</v>
      </c>
      <c r="H31" s="141">
        <f t="shared" si="0"/>
        <v>1556.06</v>
      </c>
      <c r="I31" s="141">
        <f t="shared" si="1"/>
        <v>15702.06</v>
      </c>
      <c r="J31" s="140">
        <f t="shared" si="2"/>
        <v>3140412000</v>
      </c>
      <c r="K31" s="145" t="s">
        <v>952</v>
      </c>
      <c r="L31" s="146"/>
      <c r="M31" s="148">
        <v>46006</v>
      </c>
      <c r="N31" s="148" t="s">
        <v>1422</v>
      </c>
      <c r="O31" s="149">
        <v>0.9</v>
      </c>
      <c r="P31" s="175"/>
      <c r="Q31" s="145"/>
      <c r="R31" s="187">
        <f>IFERROR(SUMIFS(Database!$N:$N,Database!$F:$F,B31),0)</f>
        <v>197930</v>
      </c>
      <c r="S31" s="167">
        <f t="shared" si="3"/>
        <v>2070</v>
      </c>
      <c r="T31" s="172">
        <f t="shared" si="4"/>
        <v>0.98965000000000003</v>
      </c>
      <c r="U31" s="167">
        <f t="shared" si="5"/>
        <v>3107908735.7999997</v>
      </c>
      <c r="V31" s="167">
        <f t="shared" si="6"/>
        <v>2797117862.2199998</v>
      </c>
      <c r="W31" s="163" t="str">
        <f t="shared" ca="1" si="7"/>
        <v>Lewat Jatuh Tempo</v>
      </c>
      <c r="X31" s="163" t="str">
        <f t="shared" si="8"/>
        <v>IN</v>
      </c>
      <c r="Y31" s="164" t="str">
        <f t="shared" si="9"/>
        <v>Selesai</v>
      </c>
    </row>
    <row r="32" spans="2:30" ht="20" customHeight="1" x14ac:dyDescent="0.2">
      <c r="B32" s="147" t="s">
        <v>1454</v>
      </c>
      <c r="C32" s="145" t="s">
        <v>1725</v>
      </c>
      <c r="D32" s="145" t="s">
        <v>1458</v>
      </c>
      <c r="E32" s="145" t="s">
        <v>41</v>
      </c>
      <c r="F32" s="180">
        <v>750000</v>
      </c>
      <c r="G32" s="179">
        <v>14111</v>
      </c>
      <c r="H32" s="141">
        <f t="shared" si="0"/>
        <v>1552.21</v>
      </c>
      <c r="I32" s="141">
        <f t="shared" si="1"/>
        <v>15663.21</v>
      </c>
      <c r="J32" s="140">
        <f t="shared" si="2"/>
        <v>11747407500</v>
      </c>
      <c r="K32" s="145" t="s">
        <v>952</v>
      </c>
      <c r="L32" s="146"/>
      <c r="M32" s="148">
        <v>46034</v>
      </c>
      <c r="N32" s="148" t="s">
        <v>1422</v>
      </c>
      <c r="O32" s="149">
        <v>0.9</v>
      </c>
      <c r="P32" s="175"/>
      <c r="Q32" s="145"/>
      <c r="R32" s="187">
        <f>IFERROR(SUMIFS(Database!$N:$N,Database!$F:$F,B32),0)</f>
        <v>745110</v>
      </c>
      <c r="S32" s="167">
        <f t="shared" si="3"/>
        <v>4890</v>
      </c>
      <c r="T32" s="172">
        <f t="shared" si="4"/>
        <v>0.99348000000000003</v>
      </c>
      <c r="U32" s="167">
        <f t="shared" si="5"/>
        <v>11670814403.099998</v>
      </c>
      <c r="V32" s="167">
        <f t="shared" si="6"/>
        <v>10503732962.789999</v>
      </c>
      <c r="W32" s="163" t="str">
        <f t="shared" ca="1" si="7"/>
        <v>Lewat Jatuh Tempo</v>
      </c>
      <c r="X32" s="163" t="str">
        <f t="shared" si="8"/>
        <v>IN</v>
      </c>
      <c r="Y32" s="164" t="str">
        <f t="shared" si="9"/>
        <v>Selesai</v>
      </c>
    </row>
    <row r="33" spans="2:25" ht="20" customHeight="1" x14ac:dyDescent="0.2">
      <c r="B33" s="147" t="s">
        <v>1455</v>
      </c>
      <c r="C33" s="145" t="s">
        <v>1359</v>
      </c>
      <c r="D33" s="145" t="s">
        <v>1458</v>
      </c>
      <c r="E33" s="145" t="s">
        <v>41</v>
      </c>
      <c r="F33" s="180">
        <v>500000</v>
      </c>
      <c r="G33" s="179">
        <v>14889</v>
      </c>
      <c r="H33" s="141">
        <f t="shared" si="0"/>
        <v>1637.79</v>
      </c>
      <c r="I33" s="141">
        <f t="shared" si="1"/>
        <v>16526.79</v>
      </c>
      <c r="J33" s="140">
        <f t="shared" si="2"/>
        <v>8263395000</v>
      </c>
      <c r="K33" s="145" t="s">
        <v>952</v>
      </c>
      <c r="L33" s="146"/>
      <c r="M33" s="148">
        <v>46058</v>
      </c>
      <c r="N33" s="148" t="s">
        <v>1422</v>
      </c>
      <c r="O33" s="149">
        <v>0.9</v>
      </c>
      <c r="P33" s="175"/>
      <c r="Q33" s="145"/>
      <c r="R33" s="187">
        <f>IFERROR(SUMIFS(Database!$N:$N,Database!$F:$F,B33),0)</f>
        <v>497910</v>
      </c>
      <c r="S33" s="167">
        <f t="shared" si="3"/>
        <v>2090</v>
      </c>
      <c r="T33" s="172">
        <f t="shared" si="4"/>
        <v>0.99582000000000004</v>
      </c>
      <c r="U33" s="167">
        <f t="shared" si="5"/>
        <v>8228854008.9000006</v>
      </c>
      <c r="V33" s="167">
        <f t="shared" si="6"/>
        <v>7405968608.0100002</v>
      </c>
      <c r="W33" s="163" t="str">
        <f t="shared" ca="1" si="7"/>
        <v>Lewat Jatuh Tempo</v>
      </c>
      <c r="X33" s="163" t="str">
        <f t="shared" si="8"/>
        <v>IN</v>
      </c>
      <c r="Y33" s="164" t="str">
        <f t="shared" si="9"/>
        <v>Selesai</v>
      </c>
    </row>
    <row r="34" spans="2:25" ht="20" customHeight="1" x14ac:dyDescent="0.2">
      <c r="B34" s="138" t="s">
        <v>1363</v>
      </c>
      <c r="C34" s="139" t="s">
        <v>1657</v>
      </c>
      <c r="D34" s="139" t="s">
        <v>1464</v>
      </c>
      <c r="E34" s="139" t="s">
        <v>3</v>
      </c>
      <c r="F34" s="181">
        <v>1000000</v>
      </c>
      <c r="G34" s="178">
        <v>16155</v>
      </c>
      <c r="H34" s="141">
        <f t="shared" si="0"/>
        <v>1777.05</v>
      </c>
      <c r="I34" s="141">
        <f t="shared" si="1"/>
        <v>17932.05</v>
      </c>
      <c r="J34" s="140">
        <f t="shared" si="2"/>
        <v>17932050000</v>
      </c>
      <c r="K34" s="139" t="s">
        <v>55</v>
      </c>
      <c r="L34" s="142"/>
      <c r="M34" s="142">
        <v>46062</v>
      </c>
      <c r="N34" s="143" t="s">
        <v>1416</v>
      </c>
      <c r="O34" s="143"/>
      <c r="P34" s="176"/>
      <c r="Q34" s="143"/>
      <c r="R34" s="187">
        <f>IFERROR(SUMIFS(Database!$N:$N,Database!$F:$F,B34),0)</f>
        <v>999240</v>
      </c>
      <c r="S34" s="167">
        <f t="shared" si="3"/>
        <v>760</v>
      </c>
      <c r="T34" s="171">
        <f t="shared" si="4"/>
        <v>0.99924000000000002</v>
      </c>
      <c r="U34" s="167">
        <f t="shared" si="5"/>
        <v>17918421642</v>
      </c>
      <c r="V34" s="167">
        <f t="shared" si="6"/>
        <v>17918421642</v>
      </c>
      <c r="W34" s="163" t="str">
        <f t="shared" ca="1" si="7"/>
        <v>Lewat Jatuh Tempo</v>
      </c>
      <c r="X34" s="163" t="str">
        <f t="shared" si="8"/>
        <v>OUT</v>
      </c>
      <c r="Y34" s="164" t="str">
        <f t="shared" si="9"/>
        <v>Selesai</v>
      </c>
    </row>
    <row r="35" spans="2:25" ht="20" customHeight="1" x14ac:dyDescent="0.2">
      <c r="B35" s="147" t="s">
        <v>1456</v>
      </c>
      <c r="C35" s="145" t="s">
        <v>1645</v>
      </c>
      <c r="D35" s="145" t="s">
        <v>1459</v>
      </c>
      <c r="E35" s="145" t="s">
        <v>3</v>
      </c>
      <c r="F35" s="180">
        <v>50000</v>
      </c>
      <c r="G35" s="179">
        <v>16666.669999999998</v>
      </c>
      <c r="H35" s="141">
        <f t="shared" si="0"/>
        <v>1833.3336999999999</v>
      </c>
      <c r="I35" s="141">
        <f t="shared" si="1"/>
        <v>18500.003699999997</v>
      </c>
      <c r="J35" s="140">
        <f t="shared" si="2"/>
        <v>925000184.99999988</v>
      </c>
      <c r="K35" s="145" t="s">
        <v>44</v>
      </c>
      <c r="L35" s="150"/>
      <c r="M35" s="150">
        <v>46087</v>
      </c>
      <c r="N35" s="148" t="s">
        <v>1417</v>
      </c>
      <c r="O35" s="149">
        <v>0.5</v>
      </c>
      <c r="P35" s="175"/>
      <c r="Q35" s="145"/>
      <c r="R35" s="187">
        <f>IFERROR(SUMIFS(Database!$N:$N,Database!$F:$F,B35),0)</f>
        <v>48150</v>
      </c>
      <c r="S35" s="167">
        <f t="shared" si="3"/>
        <v>1850</v>
      </c>
      <c r="T35" s="171">
        <f t="shared" si="4"/>
        <v>0.96299999999999997</v>
      </c>
      <c r="U35" s="167">
        <f t="shared" si="5"/>
        <v>890775178.15499985</v>
      </c>
      <c r="V35" s="167">
        <f t="shared" si="6"/>
        <v>445387589.07749993</v>
      </c>
      <c r="W35" s="163" t="str">
        <f t="shared" ca="1" si="7"/>
        <v>Lewat Jatuh Tempo</v>
      </c>
      <c r="X35" s="163" t="str">
        <f t="shared" si="8"/>
        <v>OUT</v>
      </c>
      <c r="Y35" s="164" t="str">
        <f t="shared" si="9"/>
        <v>Selesai</v>
      </c>
    </row>
    <row r="36" spans="2:25" ht="20" customHeight="1" x14ac:dyDescent="0.2">
      <c r="B36" s="138" t="s">
        <v>1365</v>
      </c>
      <c r="C36" s="139" t="s">
        <v>1650</v>
      </c>
      <c r="D36" s="139" t="s">
        <v>1459</v>
      </c>
      <c r="E36" s="139" t="s">
        <v>3</v>
      </c>
      <c r="F36" s="181">
        <v>200000</v>
      </c>
      <c r="G36" s="178">
        <v>16666.669999999998</v>
      </c>
      <c r="H36" s="141">
        <f t="shared" si="0"/>
        <v>1833.3336999999999</v>
      </c>
      <c r="I36" s="141">
        <f t="shared" si="1"/>
        <v>18500.003699999997</v>
      </c>
      <c r="J36" s="140">
        <f t="shared" si="2"/>
        <v>3700000739.9999995</v>
      </c>
      <c r="K36" s="139" t="s">
        <v>44</v>
      </c>
      <c r="L36" s="142">
        <v>46087</v>
      </c>
      <c r="M36" s="142">
        <v>46112</v>
      </c>
      <c r="N36" s="143" t="s">
        <v>1417</v>
      </c>
      <c r="O36" s="144">
        <v>0.5</v>
      </c>
      <c r="P36" s="176"/>
      <c r="Q36" s="143"/>
      <c r="R36" s="187">
        <f>IFERROR(SUMIFS(Database!$N:$N,Database!$F:$F,B36),0)</f>
        <v>194630</v>
      </c>
      <c r="S36" s="167">
        <f t="shared" si="3"/>
        <v>5370</v>
      </c>
      <c r="T36" s="171">
        <f t="shared" si="4"/>
        <v>0.97314999999999996</v>
      </c>
      <c r="U36" s="167">
        <f t="shared" si="5"/>
        <v>3600655720.1309996</v>
      </c>
      <c r="V36" s="167">
        <f t="shared" si="6"/>
        <v>1800327860.0654998</v>
      </c>
      <c r="W36" s="163" t="str">
        <f t="shared" ca="1" si="7"/>
        <v>Lewat Jatuh Tempo</v>
      </c>
      <c r="X36" s="163" t="str">
        <f t="shared" si="8"/>
        <v>OUT</v>
      </c>
      <c r="Y36" s="164" t="str">
        <f t="shared" si="9"/>
        <v>Selesai</v>
      </c>
    </row>
    <row r="37" spans="2:25" ht="20" customHeight="1" x14ac:dyDescent="0.2">
      <c r="B37" s="138" t="s">
        <v>1366</v>
      </c>
      <c r="C37" s="139" t="s">
        <v>1651</v>
      </c>
      <c r="D37" s="139" t="s">
        <v>1460</v>
      </c>
      <c r="E37" s="139" t="s">
        <v>3</v>
      </c>
      <c r="F37" s="181">
        <v>500000</v>
      </c>
      <c r="G37" s="178">
        <v>16180</v>
      </c>
      <c r="H37" s="141">
        <f t="shared" si="0"/>
        <v>1779.8</v>
      </c>
      <c r="I37" s="141">
        <f t="shared" si="1"/>
        <v>17959.8</v>
      </c>
      <c r="J37" s="140">
        <f t="shared" si="2"/>
        <v>8979900000</v>
      </c>
      <c r="K37" s="139" t="s">
        <v>44</v>
      </c>
      <c r="L37" s="142">
        <v>46093</v>
      </c>
      <c r="M37" s="142">
        <v>46093</v>
      </c>
      <c r="N37" s="143" t="s">
        <v>1416</v>
      </c>
      <c r="O37" s="144">
        <v>0.25</v>
      </c>
      <c r="P37" s="176">
        <v>46121</v>
      </c>
      <c r="Q37" s="143"/>
      <c r="R37" s="187">
        <f>IFERROR(SUMIFS(Database!$N:$N,Database!$F:$F,B37),0)</f>
        <v>500070</v>
      </c>
      <c r="S37" s="167">
        <f t="shared" si="3"/>
        <v>-70</v>
      </c>
      <c r="T37" s="171">
        <f t="shared" si="4"/>
        <v>1.00014</v>
      </c>
      <c r="U37" s="167">
        <f t="shared" si="5"/>
        <v>8981157186</v>
      </c>
      <c r="V37" s="167">
        <f t="shared" si="6"/>
        <v>2245289296.5</v>
      </c>
      <c r="W37" s="163" t="str">
        <f t="shared" ca="1" si="7"/>
        <v>Lewat Jatuh Tempo</v>
      </c>
      <c r="X37" s="163" t="str">
        <f t="shared" si="8"/>
        <v>OUT</v>
      </c>
      <c r="Y37" s="164" t="str">
        <f t="shared" si="9"/>
        <v>Over</v>
      </c>
    </row>
    <row r="38" spans="2:25" ht="20" customHeight="1" x14ac:dyDescent="0.2">
      <c r="B38" s="138" t="s">
        <v>1367</v>
      </c>
      <c r="C38" s="139" t="s">
        <v>1653</v>
      </c>
      <c r="D38" s="139" t="s">
        <v>1461</v>
      </c>
      <c r="E38" s="139" t="s">
        <v>3</v>
      </c>
      <c r="F38" s="181">
        <v>200000</v>
      </c>
      <c r="G38" s="178">
        <v>16200</v>
      </c>
      <c r="H38" s="141">
        <f t="shared" ref="H38:H69" si="10">G38*$H$4</f>
        <v>1782</v>
      </c>
      <c r="I38" s="141">
        <f t="shared" si="1"/>
        <v>17982</v>
      </c>
      <c r="J38" s="140">
        <f t="shared" si="2"/>
        <v>3596400000</v>
      </c>
      <c r="K38" s="139" t="s">
        <v>44</v>
      </c>
      <c r="L38" s="142">
        <v>46093</v>
      </c>
      <c r="M38" s="142">
        <v>46093</v>
      </c>
      <c r="N38" s="143" t="s">
        <v>1416</v>
      </c>
      <c r="O38" s="144">
        <v>0.3</v>
      </c>
      <c r="P38" s="176">
        <v>46121</v>
      </c>
      <c r="Q38" s="143"/>
      <c r="R38" s="187">
        <f>IFERROR(SUMIFS(Database!$N:$N,Database!$F:$F,B38),0)</f>
        <v>200130</v>
      </c>
      <c r="S38" s="167">
        <f t="shared" ref="S38:S69" si="11">F38-R38</f>
        <v>-130</v>
      </c>
      <c r="T38" s="171">
        <f t="shared" ref="T38:T69" si="12">IFERROR(R38/F38,0)</f>
        <v>1.00065</v>
      </c>
      <c r="U38" s="167">
        <f t="shared" ref="U38:U69" si="13">R38*I38</f>
        <v>3598737660</v>
      </c>
      <c r="V38" s="167">
        <f t="shared" ref="V38:V69" si="14">IF(O38="",U38,U38*O38)</f>
        <v>1079621298</v>
      </c>
      <c r="W38" s="163" t="str">
        <f t="shared" ref="W38:W69" ca="1" si="15">IF(M38="","",IF(TODAY()&gt;M38,"Lewat Jatuh Tempo",IF(TODAY()=M38,"Jatuh Tempo Hari Ini","Belum Jatuh Tempo")))</f>
        <v>Lewat Jatuh Tempo</v>
      </c>
      <c r="X38" s="163" t="str">
        <f t="shared" ref="X38:X69" si="16">IF(E38="","",IF(OR(E38="CPO",E38="PFAD"),"IN","OUT"))</f>
        <v>OUT</v>
      </c>
      <c r="Y38" s="164" t="str">
        <f t="shared" ref="Y38:Y69" si="17">IF(E38="","",IF(T38=0,"Belum Kirim",IF(T38&lt;0.95,"Proses",IF(T38&lt;=1,"Selesai","Over"))))</f>
        <v>Over</v>
      </c>
    </row>
    <row r="39" spans="2:25" ht="20" customHeight="1" x14ac:dyDescent="0.2">
      <c r="B39" s="138" t="s">
        <v>1369</v>
      </c>
      <c r="C39" s="139" t="s">
        <v>1654</v>
      </c>
      <c r="D39" s="139" t="s">
        <v>1461</v>
      </c>
      <c r="E39" s="139" t="s">
        <v>3</v>
      </c>
      <c r="F39" s="181">
        <v>300000</v>
      </c>
      <c r="G39" s="178">
        <v>16260</v>
      </c>
      <c r="H39" s="141">
        <f t="shared" si="10"/>
        <v>1788.6</v>
      </c>
      <c r="I39" s="141">
        <f t="shared" si="1"/>
        <v>18048.599999999999</v>
      </c>
      <c r="J39" s="140">
        <f t="shared" si="2"/>
        <v>5414580000</v>
      </c>
      <c r="K39" s="139" t="s">
        <v>44</v>
      </c>
      <c r="L39" s="142">
        <v>46106</v>
      </c>
      <c r="M39" s="142">
        <v>46099</v>
      </c>
      <c r="N39" s="143" t="s">
        <v>1416</v>
      </c>
      <c r="O39" s="144">
        <v>0.25</v>
      </c>
      <c r="P39" s="176">
        <v>46132</v>
      </c>
      <c r="Q39" s="143"/>
      <c r="R39" s="187">
        <f>IFERROR(SUMIFS(Database!$N:$N,Database!$F:$F,B39),0)</f>
        <v>302230</v>
      </c>
      <c r="S39" s="167">
        <f t="shared" si="11"/>
        <v>-2230</v>
      </c>
      <c r="T39" s="171">
        <f t="shared" si="12"/>
        <v>1.0074333333333334</v>
      </c>
      <c r="U39" s="167">
        <f t="shared" si="13"/>
        <v>5454828378</v>
      </c>
      <c r="V39" s="167">
        <f t="shared" si="14"/>
        <v>1363707094.5</v>
      </c>
      <c r="W39" s="163" t="str">
        <f t="shared" ca="1" si="15"/>
        <v>Lewat Jatuh Tempo</v>
      </c>
      <c r="X39" s="163" t="str">
        <f t="shared" si="16"/>
        <v>OUT</v>
      </c>
      <c r="Y39" s="164" t="str">
        <f t="shared" si="17"/>
        <v>Over</v>
      </c>
    </row>
    <row r="40" spans="2:25" ht="20" customHeight="1" x14ac:dyDescent="0.2">
      <c r="B40" s="138" t="s">
        <v>1418</v>
      </c>
      <c r="C40" s="139" t="s">
        <v>1652</v>
      </c>
      <c r="D40" s="139" t="s">
        <v>1460</v>
      </c>
      <c r="E40" s="139" t="s">
        <v>3</v>
      </c>
      <c r="F40" s="181">
        <v>300000</v>
      </c>
      <c r="G40" s="178">
        <v>16250</v>
      </c>
      <c r="H40" s="141">
        <f t="shared" si="10"/>
        <v>1787.5</v>
      </c>
      <c r="I40" s="141">
        <f t="shared" si="1"/>
        <v>18037.5</v>
      </c>
      <c r="J40" s="140">
        <f t="shared" si="2"/>
        <v>5411250000</v>
      </c>
      <c r="K40" s="139" t="s">
        <v>44</v>
      </c>
      <c r="L40" s="142">
        <v>46106</v>
      </c>
      <c r="M40" s="142">
        <v>46099</v>
      </c>
      <c r="N40" s="143" t="s">
        <v>1416</v>
      </c>
      <c r="O40" s="144">
        <v>0.2</v>
      </c>
      <c r="P40" s="176">
        <v>46132</v>
      </c>
      <c r="Q40" s="143"/>
      <c r="R40" s="187">
        <f>IFERROR(SUMIFS(Database!$N:$N,Database!$F:$F,B40),0)</f>
        <v>132550</v>
      </c>
      <c r="S40" s="167">
        <f t="shared" si="11"/>
        <v>167450</v>
      </c>
      <c r="T40" s="171">
        <f t="shared" si="12"/>
        <v>0.44183333333333336</v>
      </c>
      <c r="U40" s="167">
        <f t="shared" si="13"/>
        <v>2390870625</v>
      </c>
      <c r="V40" s="167">
        <f t="shared" si="14"/>
        <v>478174125</v>
      </c>
      <c r="W40" s="163" t="str">
        <f t="shared" ca="1" si="15"/>
        <v>Lewat Jatuh Tempo</v>
      </c>
      <c r="X40" s="163" t="str">
        <f t="shared" si="16"/>
        <v>OUT</v>
      </c>
      <c r="Y40" s="164" t="str">
        <f t="shared" si="17"/>
        <v>Proses</v>
      </c>
    </row>
    <row r="41" spans="2:25" ht="20" customHeight="1" x14ac:dyDescent="0.2">
      <c r="B41" s="138" t="s">
        <v>1370</v>
      </c>
      <c r="C41" s="139" t="s">
        <v>1649</v>
      </c>
      <c r="D41" s="139" t="s">
        <v>1459</v>
      </c>
      <c r="E41" s="139" t="s">
        <v>3</v>
      </c>
      <c r="F41" s="181">
        <v>50000</v>
      </c>
      <c r="G41" s="178">
        <v>16840</v>
      </c>
      <c r="H41" s="141">
        <f t="shared" si="10"/>
        <v>1852.4</v>
      </c>
      <c r="I41" s="141">
        <f t="shared" si="1"/>
        <v>18692.400000000001</v>
      </c>
      <c r="J41" s="140">
        <f t="shared" si="2"/>
        <v>934620000.00000012</v>
      </c>
      <c r="K41" s="139" t="s">
        <v>44</v>
      </c>
      <c r="L41" s="142">
        <v>46109</v>
      </c>
      <c r="M41" s="142">
        <v>46109</v>
      </c>
      <c r="N41" s="143" t="s">
        <v>1417</v>
      </c>
      <c r="O41" s="144">
        <v>0.5</v>
      </c>
      <c r="P41" s="176">
        <v>46112</v>
      </c>
      <c r="Q41" s="143"/>
      <c r="R41" s="187">
        <f>IFERROR(SUMIFS(Database!$N:$N,Database!$F:$F,B41),0)</f>
        <v>57310</v>
      </c>
      <c r="S41" s="167">
        <f t="shared" si="11"/>
        <v>-7310</v>
      </c>
      <c r="T41" s="171">
        <f t="shared" si="12"/>
        <v>1.1462000000000001</v>
      </c>
      <c r="U41" s="167">
        <f t="shared" si="13"/>
        <v>1071261444.0000001</v>
      </c>
      <c r="V41" s="167">
        <f t="shared" si="14"/>
        <v>535630722.00000006</v>
      </c>
      <c r="W41" s="163" t="str">
        <f t="shared" ca="1" si="15"/>
        <v>Lewat Jatuh Tempo</v>
      </c>
      <c r="X41" s="163" t="str">
        <f t="shared" si="16"/>
        <v>OUT</v>
      </c>
      <c r="Y41" s="164" t="str">
        <f t="shared" si="17"/>
        <v>Over</v>
      </c>
    </row>
    <row r="42" spans="2:25" ht="20" customHeight="1" x14ac:dyDescent="0.2">
      <c r="B42" s="138" t="s">
        <v>1419</v>
      </c>
      <c r="C42" s="139" t="s">
        <v>1655</v>
      </c>
      <c r="D42" s="139" t="s">
        <v>1461</v>
      </c>
      <c r="E42" s="139" t="s">
        <v>3</v>
      </c>
      <c r="F42" s="182">
        <v>500000</v>
      </c>
      <c r="G42" s="183">
        <v>16260</v>
      </c>
      <c r="H42" s="141">
        <f t="shared" si="10"/>
        <v>1788.6</v>
      </c>
      <c r="I42" s="141">
        <f t="shared" si="1"/>
        <v>18048.599999999999</v>
      </c>
      <c r="J42" s="140">
        <f t="shared" si="2"/>
        <v>9024300000</v>
      </c>
      <c r="K42" s="139" t="s">
        <v>44</v>
      </c>
      <c r="L42" s="142">
        <v>46109</v>
      </c>
      <c r="M42" s="142">
        <v>46112</v>
      </c>
      <c r="N42" s="143" t="s">
        <v>1416</v>
      </c>
      <c r="O42" s="143"/>
      <c r="P42" s="176">
        <v>46138</v>
      </c>
      <c r="Q42" s="143"/>
      <c r="R42" s="187">
        <f>IFERROR(SUMIFS(Database!$N:$N,Database!$F:$F,B42),0)</f>
        <v>362970</v>
      </c>
      <c r="S42" s="167">
        <f t="shared" si="11"/>
        <v>137030</v>
      </c>
      <c r="T42" s="171">
        <f t="shared" si="12"/>
        <v>0.72594000000000003</v>
      </c>
      <c r="U42" s="167">
        <f t="shared" si="13"/>
        <v>6551100341.999999</v>
      </c>
      <c r="V42" s="167">
        <f t="shared" si="14"/>
        <v>6551100341.999999</v>
      </c>
      <c r="W42" s="163" t="str">
        <f t="shared" ca="1" si="15"/>
        <v>Lewat Jatuh Tempo</v>
      </c>
      <c r="X42" s="163" t="str">
        <f t="shared" si="16"/>
        <v>OUT</v>
      </c>
      <c r="Y42" s="164" t="str">
        <f t="shared" si="17"/>
        <v>Proses</v>
      </c>
    </row>
    <row r="43" spans="2:25" ht="20" customHeight="1" x14ac:dyDescent="0.2">
      <c r="B43" s="138" t="s">
        <v>1368</v>
      </c>
      <c r="C43" s="139" t="s">
        <v>1658</v>
      </c>
      <c r="D43" s="139" t="s">
        <v>1663</v>
      </c>
      <c r="E43" s="139" t="s">
        <v>3</v>
      </c>
      <c r="F43" s="181">
        <v>15050</v>
      </c>
      <c r="G43" s="178">
        <v>16260</v>
      </c>
      <c r="H43" s="141">
        <f t="shared" si="10"/>
        <v>1788.6</v>
      </c>
      <c r="I43" s="141">
        <f t="shared" si="1"/>
        <v>18048.599999999999</v>
      </c>
      <c r="J43" s="140">
        <f t="shared" si="2"/>
        <v>271631430</v>
      </c>
      <c r="K43" s="139" t="s">
        <v>1095</v>
      </c>
      <c r="L43" s="142">
        <v>46108</v>
      </c>
      <c r="M43" s="142">
        <v>46108</v>
      </c>
      <c r="N43" s="143" t="s">
        <v>1416</v>
      </c>
      <c r="O43" s="144"/>
      <c r="P43" s="176"/>
      <c r="Q43" s="143"/>
      <c r="R43" s="187">
        <f>IFERROR(SUMIFS(Database!$N:$N,Database!$F:$F,B43),0)</f>
        <v>15050</v>
      </c>
      <c r="S43" s="167">
        <f t="shared" si="11"/>
        <v>0</v>
      </c>
      <c r="T43" s="171">
        <f t="shared" si="12"/>
        <v>1</v>
      </c>
      <c r="U43" s="167">
        <f t="shared" si="13"/>
        <v>271631430</v>
      </c>
      <c r="V43" s="167">
        <f t="shared" si="14"/>
        <v>271631430</v>
      </c>
      <c r="W43" s="163" t="str">
        <f t="shared" ca="1" si="15"/>
        <v>Lewat Jatuh Tempo</v>
      </c>
      <c r="X43" s="163" t="str">
        <f t="shared" si="16"/>
        <v>OUT</v>
      </c>
      <c r="Y43" s="164" t="str">
        <f t="shared" si="17"/>
        <v>Selesai</v>
      </c>
    </row>
    <row r="44" spans="2:25" ht="20" customHeight="1" x14ac:dyDescent="0.2">
      <c r="B44" s="138" t="s">
        <v>1371</v>
      </c>
      <c r="C44" s="139" t="s">
        <v>1648</v>
      </c>
      <c r="D44" s="139" t="s">
        <v>1459</v>
      </c>
      <c r="E44" s="139" t="s">
        <v>3</v>
      </c>
      <c r="F44" s="181">
        <v>200000</v>
      </c>
      <c r="G44" s="178">
        <v>17000</v>
      </c>
      <c r="H44" s="141">
        <f t="shared" si="10"/>
        <v>1870</v>
      </c>
      <c r="I44" s="141">
        <f t="shared" si="1"/>
        <v>18870</v>
      </c>
      <c r="J44" s="140">
        <f t="shared" si="2"/>
        <v>3774000000</v>
      </c>
      <c r="K44" s="139" t="s">
        <v>44</v>
      </c>
      <c r="L44" s="142">
        <v>46118</v>
      </c>
      <c r="M44" s="142">
        <v>46118</v>
      </c>
      <c r="N44" s="143" t="s">
        <v>1417</v>
      </c>
      <c r="O44" s="143"/>
      <c r="P44" s="176"/>
      <c r="Q44" s="143"/>
      <c r="R44" s="187">
        <f>IFERROR(SUMIFS(Database!$N:$N,Database!$F:$F,B44),0)</f>
        <v>209260</v>
      </c>
      <c r="S44" s="167">
        <f t="shared" si="11"/>
        <v>-9260</v>
      </c>
      <c r="T44" s="171">
        <f t="shared" si="12"/>
        <v>1.0463</v>
      </c>
      <c r="U44" s="167">
        <f t="shared" si="13"/>
        <v>3948736200</v>
      </c>
      <c r="V44" s="167">
        <f t="shared" si="14"/>
        <v>3948736200</v>
      </c>
      <c r="W44" s="163" t="str">
        <f t="shared" ca="1" si="15"/>
        <v>Lewat Jatuh Tempo</v>
      </c>
      <c r="X44" s="163" t="str">
        <f t="shared" si="16"/>
        <v>OUT</v>
      </c>
      <c r="Y44" s="164" t="str">
        <f t="shared" si="17"/>
        <v>Over</v>
      </c>
    </row>
    <row r="45" spans="2:25" ht="20" customHeight="1" x14ac:dyDescent="0.2">
      <c r="B45" s="138" t="s">
        <v>1420</v>
      </c>
      <c r="C45" s="139" t="s">
        <v>1656</v>
      </c>
      <c r="D45" s="139" t="s">
        <v>1461</v>
      </c>
      <c r="E45" s="139" t="s">
        <v>3</v>
      </c>
      <c r="F45" s="181">
        <v>500000</v>
      </c>
      <c r="G45" s="178">
        <v>17000</v>
      </c>
      <c r="H45" s="141">
        <f t="shared" si="10"/>
        <v>1870</v>
      </c>
      <c r="I45" s="141">
        <f t="shared" si="1"/>
        <v>18870</v>
      </c>
      <c r="J45" s="140">
        <f t="shared" si="2"/>
        <v>9435000000</v>
      </c>
      <c r="K45" s="139" t="s">
        <v>44</v>
      </c>
      <c r="L45" s="142">
        <v>46118</v>
      </c>
      <c r="M45" s="142">
        <v>46118</v>
      </c>
      <c r="N45" s="143" t="s">
        <v>1416</v>
      </c>
      <c r="O45" s="144">
        <v>0.2</v>
      </c>
      <c r="P45" s="176"/>
      <c r="Q45" s="143"/>
      <c r="R45" s="187">
        <f>IFERROR(SUMIFS(Database!$N:$N,Database!$F:$F,B45),0)</f>
        <v>0</v>
      </c>
      <c r="S45" s="167">
        <f t="shared" si="11"/>
        <v>500000</v>
      </c>
      <c r="T45" s="172">
        <f t="shared" si="12"/>
        <v>0</v>
      </c>
      <c r="U45" s="167">
        <f t="shared" si="13"/>
        <v>0</v>
      </c>
      <c r="V45" s="167">
        <f t="shared" si="14"/>
        <v>0</v>
      </c>
      <c r="W45" s="163" t="str">
        <f t="shared" ca="1" si="15"/>
        <v>Lewat Jatuh Tempo</v>
      </c>
      <c r="X45" s="163" t="str">
        <f t="shared" si="16"/>
        <v>OUT</v>
      </c>
      <c r="Y45" s="164" t="str">
        <f t="shared" si="17"/>
        <v>Belum Kirim</v>
      </c>
    </row>
    <row r="46" spans="2:25" ht="20" customHeight="1" x14ac:dyDescent="0.2">
      <c r="B46" s="147" t="s">
        <v>1481</v>
      </c>
      <c r="C46" s="145" t="s">
        <v>1647</v>
      </c>
      <c r="D46" s="145" t="s">
        <v>1459</v>
      </c>
      <c r="E46" s="145" t="s">
        <v>3</v>
      </c>
      <c r="F46" s="180">
        <v>200000</v>
      </c>
      <c r="G46" s="179">
        <v>17380</v>
      </c>
      <c r="H46" s="151">
        <f t="shared" si="10"/>
        <v>1911.8</v>
      </c>
      <c r="I46" s="141">
        <f t="shared" si="1"/>
        <v>19291.8</v>
      </c>
      <c r="J46" s="140">
        <f t="shared" si="2"/>
        <v>3858360000</v>
      </c>
      <c r="K46" s="145" t="s">
        <v>44</v>
      </c>
      <c r="L46" s="146">
        <v>46129</v>
      </c>
      <c r="M46" s="150">
        <v>46128</v>
      </c>
      <c r="N46" s="148" t="s">
        <v>1417</v>
      </c>
      <c r="O46" s="149">
        <v>0.75</v>
      </c>
      <c r="P46" s="175"/>
      <c r="Q46" s="145"/>
      <c r="R46" s="188">
        <f>IFERROR(SUMIFS(Database!$N:$N,Database!$F:$F,B46),0)</f>
        <v>76110</v>
      </c>
      <c r="S46" s="168">
        <f t="shared" si="11"/>
        <v>123890</v>
      </c>
      <c r="T46" s="173">
        <f t="shared" si="12"/>
        <v>0.38055</v>
      </c>
      <c r="U46" s="168">
        <f t="shared" si="13"/>
        <v>1468298898</v>
      </c>
      <c r="V46" s="168">
        <f t="shared" si="14"/>
        <v>1101224173.5</v>
      </c>
      <c r="W46" s="163" t="str">
        <f t="shared" ca="1" si="15"/>
        <v>Lewat Jatuh Tempo</v>
      </c>
      <c r="X46" s="163" t="str">
        <f t="shared" si="16"/>
        <v>OUT</v>
      </c>
      <c r="Y46" s="164" t="str">
        <f t="shared" si="17"/>
        <v>Proses</v>
      </c>
    </row>
    <row r="47" spans="2:25" ht="20" customHeight="1" x14ac:dyDescent="0.2">
      <c r="B47" s="138" t="s">
        <v>3168</v>
      </c>
      <c r="C47" s="139"/>
      <c r="D47" s="139" t="s">
        <v>1414</v>
      </c>
      <c r="E47" s="139" t="s">
        <v>1457</v>
      </c>
      <c r="F47" s="181">
        <v>240000</v>
      </c>
      <c r="G47" s="178">
        <v>11450</v>
      </c>
      <c r="H47" s="141">
        <f t="shared" si="10"/>
        <v>1259.5</v>
      </c>
      <c r="I47" s="141">
        <f t="shared" si="1"/>
        <v>12709.5</v>
      </c>
      <c r="J47" s="140">
        <f t="shared" si="2"/>
        <v>3050280000</v>
      </c>
      <c r="K47" s="139" t="s">
        <v>1415</v>
      </c>
      <c r="L47" s="142">
        <v>46083</v>
      </c>
      <c r="M47" s="142">
        <v>46080</v>
      </c>
      <c r="N47" s="143" t="s">
        <v>1416</v>
      </c>
      <c r="O47" s="144">
        <v>0.25</v>
      </c>
      <c r="P47" s="176"/>
      <c r="Q47" s="143"/>
      <c r="R47" s="187">
        <f>IFERROR(SUMIFS(Database!$N:$N,Database!$F:$F,B47),0)</f>
        <v>0</v>
      </c>
      <c r="S47" s="167">
        <f t="shared" si="11"/>
        <v>240000</v>
      </c>
      <c r="T47" s="171">
        <f t="shared" si="12"/>
        <v>0</v>
      </c>
      <c r="U47" s="167">
        <f t="shared" si="13"/>
        <v>0</v>
      </c>
      <c r="V47" s="167">
        <f t="shared" si="14"/>
        <v>0</v>
      </c>
      <c r="W47" s="163" t="str">
        <f t="shared" ca="1" si="15"/>
        <v>Lewat Jatuh Tempo</v>
      </c>
      <c r="X47" s="163" t="str">
        <f t="shared" si="16"/>
        <v>IN</v>
      </c>
      <c r="Y47" s="164" t="str">
        <f t="shared" si="17"/>
        <v>Belum Kirim</v>
      </c>
    </row>
    <row r="48" spans="2:25" ht="20" customHeight="1" x14ac:dyDescent="0.2">
      <c r="B48" s="147" t="s">
        <v>1659</v>
      </c>
      <c r="C48" s="145" t="s">
        <v>1660</v>
      </c>
      <c r="D48" s="145" t="s">
        <v>1639</v>
      </c>
      <c r="E48" s="139" t="s">
        <v>3</v>
      </c>
      <c r="F48" s="181">
        <v>28860</v>
      </c>
      <c r="G48" s="179">
        <v>19506.310000000001</v>
      </c>
      <c r="H48" s="151">
        <f t="shared" si="10"/>
        <v>2145.6941000000002</v>
      </c>
      <c r="I48" s="141">
        <f t="shared" si="1"/>
        <v>21652.004100000002</v>
      </c>
      <c r="J48" s="140">
        <f t="shared" si="2"/>
        <v>624876838.32600009</v>
      </c>
      <c r="K48" s="145" t="s">
        <v>1661</v>
      </c>
      <c r="L48" s="146">
        <v>46118</v>
      </c>
      <c r="M48" s="146">
        <v>46118</v>
      </c>
      <c r="N48" s="148" t="s">
        <v>1417</v>
      </c>
      <c r="O48" s="145"/>
      <c r="P48" s="175">
        <v>46118</v>
      </c>
      <c r="Q48" s="145"/>
      <c r="R48" s="188">
        <f>IFERROR(SUMIFS(Database!$N:$N,Database!$F:$F,B48),0)</f>
        <v>28860</v>
      </c>
      <c r="S48" s="168">
        <f t="shared" si="11"/>
        <v>0</v>
      </c>
      <c r="T48" s="173">
        <f t="shared" si="12"/>
        <v>1</v>
      </c>
      <c r="U48" s="168">
        <f t="shared" si="13"/>
        <v>624876838.32600009</v>
      </c>
      <c r="V48" s="168">
        <f t="shared" si="14"/>
        <v>624876838.32600009</v>
      </c>
      <c r="W48" s="163" t="str">
        <f t="shared" ca="1" si="15"/>
        <v>Lewat Jatuh Tempo</v>
      </c>
      <c r="X48" s="163" t="str">
        <f t="shared" si="16"/>
        <v>OUT</v>
      </c>
      <c r="Y48" s="164" t="str">
        <f t="shared" si="17"/>
        <v>Selesai</v>
      </c>
    </row>
    <row r="49" spans="2:25" ht="20" customHeight="1" x14ac:dyDescent="0.2">
      <c r="B49" s="147" t="s">
        <v>1662</v>
      </c>
      <c r="C49" s="145" t="s">
        <v>1664</v>
      </c>
      <c r="D49" s="139" t="s">
        <v>1663</v>
      </c>
      <c r="E49" s="139" t="s">
        <v>3</v>
      </c>
      <c r="F49" s="182">
        <v>200</v>
      </c>
      <c r="G49" s="179">
        <v>19506.310000000001</v>
      </c>
      <c r="H49" s="151">
        <f t="shared" si="10"/>
        <v>2145.6941000000002</v>
      </c>
      <c r="I49" s="141">
        <f t="shared" si="1"/>
        <v>21652.004100000002</v>
      </c>
      <c r="J49" s="140">
        <f t="shared" si="2"/>
        <v>4330400.82</v>
      </c>
      <c r="K49" s="145" t="s">
        <v>1095</v>
      </c>
      <c r="L49" s="146">
        <v>46121</v>
      </c>
      <c r="M49" s="146">
        <v>46121</v>
      </c>
      <c r="N49" s="148" t="s">
        <v>1417</v>
      </c>
      <c r="O49" s="145"/>
      <c r="P49" s="175">
        <v>46121</v>
      </c>
      <c r="Q49" s="145"/>
      <c r="R49" s="188">
        <f>IFERROR(SUMIFS(Database!$N:$N,Database!$F:$F,B49),0)</f>
        <v>200</v>
      </c>
      <c r="S49" s="168">
        <f t="shared" si="11"/>
        <v>0</v>
      </c>
      <c r="T49" s="173">
        <f t="shared" si="12"/>
        <v>1</v>
      </c>
      <c r="U49" s="168">
        <f t="shared" si="13"/>
        <v>4330400.82</v>
      </c>
      <c r="V49" s="168">
        <f t="shared" si="14"/>
        <v>4330400.82</v>
      </c>
      <c r="W49" s="163" t="str">
        <f t="shared" ca="1" si="15"/>
        <v>Lewat Jatuh Tempo</v>
      </c>
      <c r="X49" s="163" t="str">
        <f t="shared" si="16"/>
        <v>OUT</v>
      </c>
      <c r="Y49" s="164" t="str">
        <f t="shared" si="17"/>
        <v>Selesai</v>
      </c>
    </row>
    <row r="50" spans="2:25" ht="20" customHeight="1" x14ac:dyDescent="0.2">
      <c r="B50" s="147" t="s">
        <v>1666</v>
      </c>
      <c r="C50" s="145" t="s">
        <v>1665</v>
      </c>
      <c r="D50" s="139" t="s">
        <v>1663</v>
      </c>
      <c r="E50" s="139" t="s">
        <v>3</v>
      </c>
      <c r="F50" s="182">
        <v>15090</v>
      </c>
      <c r="G50" s="179">
        <v>19506.310000000001</v>
      </c>
      <c r="H50" s="151">
        <f t="shared" si="10"/>
        <v>2145.6941000000002</v>
      </c>
      <c r="I50" s="141">
        <f t="shared" ref="I50:I79" si="18">G50+H50</f>
        <v>21652.004100000002</v>
      </c>
      <c r="J50" s="140">
        <f t="shared" ref="J50:J87" si="19">I50*F50</f>
        <v>326728741.86900002</v>
      </c>
      <c r="K50" s="145" t="s">
        <v>1095</v>
      </c>
      <c r="L50" s="146">
        <v>46121</v>
      </c>
      <c r="M50" s="146">
        <v>46121</v>
      </c>
      <c r="N50" s="148" t="s">
        <v>1417</v>
      </c>
      <c r="O50" s="145"/>
      <c r="P50" s="175">
        <v>46121</v>
      </c>
      <c r="Q50" s="145"/>
      <c r="R50" s="188">
        <f>IFERROR(SUMIFS(Database!$N:$N,Database!$F:$F,B50),0)</f>
        <v>15090</v>
      </c>
      <c r="S50" s="168">
        <f t="shared" si="11"/>
        <v>0</v>
      </c>
      <c r="T50" s="173">
        <f t="shared" si="12"/>
        <v>1</v>
      </c>
      <c r="U50" s="168">
        <f t="shared" si="13"/>
        <v>326728741.86900002</v>
      </c>
      <c r="V50" s="168">
        <f t="shared" si="14"/>
        <v>326728741.86900002</v>
      </c>
      <c r="W50" s="163" t="str">
        <f t="shared" ca="1" si="15"/>
        <v>Lewat Jatuh Tempo</v>
      </c>
      <c r="X50" s="163" t="str">
        <f t="shared" si="16"/>
        <v>OUT</v>
      </c>
      <c r="Y50" s="164" t="str">
        <f t="shared" si="17"/>
        <v>Selesai</v>
      </c>
    </row>
    <row r="51" spans="2:25" ht="20" customHeight="1" x14ac:dyDescent="0.2">
      <c r="B51" s="147" t="s">
        <v>1667</v>
      </c>
      <c r="C51" s="145" t="s">
        <v>1668</v>
      </c>
      <c r="D51" s="139" t="s">
        <v>1663</v>
      </c>
      <c r="E51" s="139" t="s">
        <v>3</v>
      </c>
      <c r="F51" s="182">
        <v>28890</v>
      </c>
      <c r="G51" s="179">
        <v>19506.310000000001</v>
      </c>
      <c r="H51" s="151">
        <f t="shared" si="10"/>
        <v>2145.6941000000002</v>
      </c>
      <c r="I51" s="141">
        <f t="shared" si="18"/>
        <v>21652.004100000002</v>
      </c>
      <c r="J51" s="140">
        <f t="shared" si="19"/>
        <v>625526398.449</v>
      </c>
      <c r="K51" s="145" t="s">
        <v>1095</v>
      </c>
      <c r="L51" s="146">
        <v>46125</v>
      </c>
      <c r="M51" s="146">
        <v>46125</v>
      </c>
      <c r="N51" s="148" t="s">
        <v>1417</v>
      </c>
      <c r="O51" s="145"/>
      <c r="P51" s="175">
        <v>46125</v>
      </c>
      <c r="Q51" s="145"/>
      <c r="R51" s="188">
        <f>IFERROR(SUMIFS(Database!$N:$N,Database!$F:$F,B51),0)</f>
        <v>28890</v>
      </c>
      <c r="S51" s="168">
        <f t="shared" si="11"/>
        <v>0</v>
      </c>
      <c r="T51" s="173">
        <f t="shared" si="12"/>
        <v>1</v>
      </c>
      <c r="U51" s="168">
        <f t="shared" si="13"/>
        <v>625526398.449</v>
      </c>
      <c r="V51" s="168">
        <f t="shared" si="14"/>
        <v>625526398.449</v>
      </c>
      <c r="W51" s="163" t="str">
        <f t="shared" ca="1" si="15"/>
        <v>Lewat Jatuh Tempo</v>
      </c>
      <c r="X51" s="163" t="str">
        <f t="shared" si="16"/>
        <v>OUT</v>
      </c>
      <c r="Y51" s="164" t="str">
        <f t="shared" si="17"/>
        <v>Selesai</v>
      </c>
    </row>
    <row r="52" spans="2:25" ht="20" customHeight="1" x14ac:dyDescent="0.2">
      <c r="B52" s="147" t="s">
        <v>1669</v>
      </c>
      <c r="C52" s="145" t="s">
        <v>1670</v>
      </c>
      <c r="D52" s="145" t="s">
        <v>1639</v>
      </c>
      <c r="E52" s="139" t="s">
        <v>3</v>
      </c>
      <c r="F52" s="182">
        <v>28960</v>
      </c>
      <c r="G52" s="179">
        <v>19506.310000000001</v>
      </c>
      <c r="H52" s="151">
        <f t="shared" si="10"/>
        <v>2145.6941000000002</v>
      </c>
      <c r="I52" s="141">
        <f t="shared" si="18"/>
        <v>21652.004100000002</v>
      </c>
      <c r="J52" s="140">
        <f t="shared" si="19"/>
        <v>627042038.73600006</v>
      </c>
      <c r="K52" s="145" t="s">
        <v>1661</v>
      </c>
      <c r="L52" s="146">
        <v>46127</v>
      </c>
      <c r="M52" s="146">
        <v>46127</v>
      </c>
      <c r="N52" s="148" t="s">
        <v>1417</v>
      </c>
      <c r="O52" s="145"/>
      <c r="P52" s="175">
        <v>46127</v>
      </c>
      <c r="Q52" s="145"/>
      <c r="R52" s="188">
        <f>IFERROR(SUMIFS(Database!$N:$N,Database!$F:$F,B52),0)</f>
        <v>28960</v>
      </c>
      <c r="S52" s="168">
        <f t="shared" si="11"/>
        <v>0</v>
      </c>
      <c r="T52" s="173">
        <f t="shared" si="12"/>
        <v>1</v>
      </c>
      <c r="U52" s="168">
        <f t="shared" si="13"/>
        <v>627042038.73600006</v>
      </c>
      <c r="V52" s="168">
        <f t="shared" si="14"/>
        <v>627042038.73600006</v>
      </c>
      <c r="W52" s="163" t="str">
        <f t="shared" ca="1" si="15"/>
        <v>Lewat Jatuh Tempo</v>
      </c>
      <c r="X52" s="163" t="str">
        <f t="shared" si="16"/>
        <v>OUT</v>
      </c>
      <c r="Y52" s="164" t="str">
        <f t="shared" si="17"/>
        <v>Selesai</v>
      </c>
    </row>
    <row r="53" spans="2:25" ht="20" customHeight="1" x14ac:dyDescent="0.2">
      <c r="B53" s="147" t="s">
        <v>1671</v>
      </c>
      <c r="C53" s="145" t="s">
        <v>1677</v>
      </c>
      <c r="D53" s="139" t="s">
        <v>1663</v>
      </c>
      <c r="E53" s="139" t="s">
        <v>3</v>
      </c>
      <c r="F53" s="182">
        <v>28960</v>
      </c>
      <c r="G53" s="179">
        <v>19506.310000000001</v>
      </c>
      <c r="H53" s="151">
        <f t="shared" si="10"/>
        <v>2145.6941000000002</v>
      </c>
      <c r="I53" s="141">
        <f t="shared" si="18"/>
        <v>21652.004100000002</v>
      </c>
      <c r="J53" s="140">
        <f t="shared" si="19"/>
        <v>627042038.73600006</v>
      </c>
      <c r="K53" s="145" t="s">
        <v>1095</v>
      </c>
      <c r="L53" s="146">
        <v>46129</v>
      </c>
      <c r="M53" s="146">
        <v>46129</v>
      </c>
      <c r="N53" s="148" t="s">
        <v>1417</v>
      </c>
      <c r="O53" s="145"/>
      <c r="P53" s="175">
        <v>46129</v>
      </c>
      <c r="Q53" s="145"/>
      <c r="R53" s="188">
        <f>IFERROR(SUMIFS(Database!$N:$N,Database!$F:$F,B53),0)</f>
        <v>28960</v>
      </c>
      <c r="S53" s="168">
        <f t="shared" si="11"/>
        <v>0</v>
      </c>
      <c r="T53" s="173">
        <f t="shared" si="12"/>
        <v>1</v>
      </c>
      <c r="U53" s="168">
        <f t="shared" si="13"/>
        <v>627042038.73600006</v>
      </c>
      <c r="V53" s="168">
        <f t="shared" si="14"/>
        <v>627042038.73600006</v>
      </c>
      <c r="W53" s="163" t="str">
        <f t="shared" ca="1" si="15"/>
        <v>Lewat Jatuh Tempo</v>
      </c>
      <c r="X53" s="163" t="str">
        <f t="shared" si="16"/>
        <v>OUT</v>
      </c>
      <c r="Y53" s="164" t="str">
        <f t="shared" si="17"/>
        <v>Selesai</v>
      </c>
    </row>
    <row r="54" spans="2:25" ht="20" customHeight="1" x14ac:dyDescent="0.2">
      <c r="B54" s="147" t="s">
        <v>1672</v>
      </c>
      <c r="C54" s="145" t="s">
        <v>1673</v>
      </c>
      <c r="D54" s="145" t="s">
        <v>1639</v>
      </c>
      <c r="E54" s="139" t="s">
        <v>3</v>
      </c>
      <c r="F54" s="182">
        <v>28870</v>
      </c>
      <c r="G54" s="179">
        <v>19506.310000000001</v>
      </c>
      <c r="H54" s="151">
        <f t="shared" si="10"/>
        <v>2145.6941000000002</v>
      </c>
      <c r="I54" s="141">
        <f t="shared" si="18"/>
        <v>21652.004100000002</v>
      </c>
      <c r="J54" s="140">
        <f t="shared" si="19"/>
        <v>625093358.3670001</v>
      </c>
      <c r="K54" s="145" t="s">
        <v>1661</v>
      </c>
      <c r="L54" s="146">
        <v>46130</v>
      </c>
      <c r="M54" s="146">
        <v>46130</v>
      </c>
      <c r="N54" s="148" t="s">
        <v>1417</v>
      </c>
      <c r="O54" s="145"/>
      <c r="P54" s="175">
        <v>46130</v>
      </c>
      <c r="Q54" s="145"/>
      <c r="R54" s="188">
        <f>IFERROR(SUMIFS(Database!$N:$N,Database!$F:$F,B54),0)</f>
        <v>28870</v>
      </c>
      <c r="S54" s="168">
        <f t="shared" si="11"/>
        <v>0</v>
      </c>
      <c r="T54" s="173">
        <f t="shared" si="12"/>
        <v>1</v>
      </c>
      <c r="U54" s="168">
        <f t="shared" si="13"/>
        <v>625093358.3670001</v>
      </c>
      <c r="V54" s="168">
        <f t="shared" si="14"/>
        <v>625093358.3670001</v>
      </c>
      <c r="W54" s="163" t="str">
        <f t="shared" ca="1" si="15"/>
        <v>Lewat Jatuh Tempo</v>
      </c>
      <c r="X54" s="163" t="str">
        <f t="shared" si="16"/>
        <v>OUT</v>
      </c>
      <c r="Y54" s="164" t="str">
        <f t="shared" si="17"/>
        <v>Selesai</v>
      </c>
    </row>
    <row r="55" spans="2:25" ht="20" customHeight="1" x14ac:dyDescent="0.2">
      <c r="B55" s="147" t="s">
        <v>1675</v>
      </c>
      <c r="C55" s="145" t="s">
        <v>1674</v>
      </c>
      <c r="D55" s="145" t="s">
        <v>1640</v>
      </c>
      <c r="E55" s="139" t="s">
        <v>3</v>
      </c>
      <c r="F55" s="182">
        <v>15090</v>
      </c>
      <c r="G55" s="179">
        <v>19506.310000000001</v>
      </c>
      <c r="H55" s="151">
        <f t="shared" si="10"/>
        <v>2145.6941000000002</v>
      </c>
      <c r="I55" s="141">
        <f t="shared" si="18"/>
        <v>21652.004100000002</v>
      </c>
      <c r="J55" s="140">
        <f t="shared" si="19"/>
        <v>326728741.86900002</v>
      </c>
      <c r="K55" s="145" t="s">
        <v>1661</v>
      </c>
      <c r="L55" s="146">
        <v>46130</v>
      </c>
      <c r="M55" s="146">
        <v>46130</v>
      </c>
      <c r="N55" s="148" t="s">
        <v>1417</v>
      </c>
      <c r="O55" s="145"/>
      <c r="P55" s="175">
        <v>46130</v>
      </c>
      <c r="Q55" s="145"/>
      <c r="R55" s="188">
        <f>IFERROR(SUMIFS(Database!$N:$N,Database!$F:$F,B55),0)</f>
        <v>15090</v>
      </c>
      <c r="S55" s="168">
        <f t="shared" si="11"/>
        <v>0</v>
      </c>
      <c r="T55" s="173">
        <f t="shared" si="12"/>
        <v>1</v>
      </c>
      <c r="U55" s="168">
        <f t="shared" si="13"/>
        <v>326728741.86900002</v>
      </c>
      <c r="V55" s="168">
        <f t="shared" si="14"/>
        <v>326728741.86900002</v>
      </c>
      <c r="W55" s="163" t="str">
        <f t="shared" ca="1" si="15"/>
        <v>Lewat Jatuh Tempo</v>
      </c>
      <c r="X55" s="163" t="str">
        <f t="shared" si="16"/>
        <v>OUT</v>
      </c>
      <c r="Y55" s="164" t="str">
        <f t="shared" si="17"/>
        <v>Selesai</v>
      </c>
    </row>
    <row r="56" spans="2:25" ht="20" customHeight="1" x14ac:dyDescent="0.2">
      <c r="B56" s="147" t="s">
        <v>1676</v>
      </c>
      <c r="C56" s="145" t="s">
        <v>1678</v>
      </c>
      <c r="D56" s="139" t="s">
        <v>1663</v>
      </c>
      <c r="E56" s="139" t="s">
        <v>3</v>
      </c>
      <c r="F56" s="182">
        <v>14470</v>
      </c>
      <c r="G56" s="179">
        <v>19506.310000000001</v>
      </c>
      <c r="H56" s="151">
        <f t="shared" si="10"/>
        <v>2145.6941000000002</v>
      </c>
      <c r="I56" s="141">
        <f t="shared" si="18"/>
        <v>21652.004100000002</v>
      </c>
      <c r="J56" s="140">
        <f t="shared" si="19"/>
        <v>313304499.32700002</v>
      </c>
      <c r="K56" s="145" t="s">
        <v>1095</v>
      </c>
      <c r="L56" s="146">
        <v>46132</v>
      </c>
      <c r="M56" s="146">
        <v>46132</v>
      </c>
      <c r="N56" s="148" t="s">
        <v>1417</v>
      </c>
      <c r="O56" s="145"/>
      <c r="P56" s="175">
        <v>46132</v>
      </c>
      <c r="Q56" s="145"/>
      <c r="R56" s="188">
        <f>IFERROR(SUMIFS(Database!$N:$N,Database!$F:$F,B56),0)</f>
        <v>14470</v>
      </c>
      <c r="S56" s="168">
        <f t="shared" si="11"/>
        <v>0</v>
      </c>
      <c r="T56" s="173">
        <f t="shared" si="12"/>
        <v>1</v>
      </c>
      <c r="U56" s="168">
        <f t="shared" si="13"/>
        <v>313304499.32700002</v>
      </c>
      <c r="V56" s="168">
        <f t="shared" si="14"/>
        <v>313304499.32700002</v>
      </c>
      <c r="W56" s="163" t="str">
        <f t="shared" ca="1" si="15"/>
        <v>Lewat Jatuh Tempo</v>
      </c>
      <c r="X56" s="163" t="str">
        <f t="shared" si="16"/>
        <v>OUT</v>
      </c>
      <c r="Y56" s="164" t="str">
        <f t="shared" si="17"/>
        <v>Selesai</v>
      </c>
    </row>
    <row r="57" spans="2:25" ht="20" customHeight="1" x14ac:dyDescent="0.2">
      <c r="B57" s="147" t="s">
        <v>1679</v>
      </c>
      <c r="C57" s="145" t="s">
        <v>1686</v>
      </c>
      <c r="D57" s="139" t="s">
        <v>1663</v>
      </c>
      <c r="E57" s="139" t="s">
        <v>3</v>
      </c>
      <c r="F57" s="182">
        <v>28930</v>
      </c>
      <c r="G57" s="179">
        <v>19506.310000000001</v>
      </c>
      <c r="H57" s="151">
        <f t="shared" si="10"/>
        <v>2145.6941000000002</v>
      </c>
      <c r="I57" s="141">
        <f t="shared" si="18"/>
        <v>21652.004100000002</v>
      </c>
      <c r="J57" s="140">
        <f t="shared" si="19"/>
        <v>626392478.61300004</v>
      </c>
      <c r="K57" s="145" t="s">
        <v>1095</v>
      </c>
      <c r="L57" s="146">
        <v>46133</v>
      </c>
      <c r="M57" s="146">
        <v>46133</v>
      </c>
      <c r="N57" s="148" t="s">
        <v>1417</v>
      </c>
      <c r="O57" s="145"/>
      <c r="P57" s="175">
        <v>46133</v>
      </c>
      <c r="Q57" s="145"/>
      <c r="R57" s="188">
        <f>IFERROR(SUMIFS(Database!$N:$N,Database!$F:$F,B57),0)</f>
        <v>28930</v>
      </c>
      <c r="S57" s="168">
        <f t="shared" si="11"/>
        <v>0</v>
      </c>
      <c r="T57" s="173">
        <f t="shared" si="12"/>
        <v>1</v>
      </c>
      <c r="U57" s="168">
        <f t="shared" si="13"/>
        <v>626392478.61300004</v>
      </c>
      <c r="V57" s="168">
        <f t="shared" si="14"/>
        <v>626392478.61300004</v>
      </c>
      <c r="W57" s="163" t="str">
        <f t="shared" ca="1" si="15"/>
        <v>Lewat Jatuh Tempo</v>
      </c>
      <c r="X57" s="163" t="str">
        <f t="shared" si="16"/>
        <v>OUT</v>
      </c>
      <c r="Y57" s="164" t="str">
        <f t="shared" si="17"/>
        <v>Selesai</v>
      </c>
    </row>
    <row r="58" spans="2:25" ht="20" customHeight="1" x14ac:dyDescent="0.2">
      <c r="B58" s="147" t="s">
        <v>1680</v>
      </c>
      <c r="C58" s="145" t="s">
        <v>1687</v>
      </c>
      <c r="D58" s="145" t="s">
        <v>1639</v>
      </c>
      <c r="E58" s="139" t="s">
        <v>3</v>
      </c>
      <c r="F58" s="182">
        <v>7240</v>
      </c>
      <c r="G58" s="179">
        <v>19506.310000000001</v>
      </c>
      <c r="H58" s="151">
        <f t="shared" si="10"/>
        <v>2145.6941000000002</v>
      </c>
      <c r="I58" s="141">
        <f t="shared" si="18"/>
        <v>21652.004100000002</v>
      </c>
      <c r="J58" s="140">
        <f t="shared" si="19"/>
        <v>156760509.68400002</v>
      </c>
      <c r="K58" s="145" t="s">
        <v>1661</v>
      </c>
      <c r="L58" s="146">
        <v>46135</v>
      </c>
      <c r="M58" s="146">
        <v>46135</v>
      </c>
      <c r="N58" s="148" t="s">
        <v>1417</v>
      </c>
      <c r="O58" s="145"/>
      <c r="P58" s="175">
        <v>46135</v>
      </c>
      <c r="Q58" s="145"/>
      <c r="R58" s="188">
        <f>IFERROR(SUMIFS(Database!$N:$N,Database!$F:$F,B58),0)</f>
        <v>7240</v>
      </c>
      <c r="S58" s="168">
        <f t="shared" si="11"/>
        <v>0</v>
      </c>
      <c r="T58" s="173">
        <f t="shared" si="12"/>
        <v>1</v>
      </c>
      <c r="U58" s="168">
        <f t="shared" si="13"/>
        <v>156760509.68400002</v>
      </c>
      <c r="V58" s="168">
        <f t="shared" si="14"/>
        <v>156760509.68400002</v>
      </c>
      <c r="W58" s="163" t="str">
        <f t="shared" ca="1" si="15"/>
        <v>Lewat Jatuh Tempo</v>
      </c>
      <c r="X58" s="163" t="str">
        <f t="shared" si="16"/>
        <v>OUT</v>
      </c>
      <c r="Y58" s="164" t="str">
        <f t="shared" si="17"/>
        <v>Selesai</v>
      </c>
    </row>
    <row r="59" spans="2:25" ht="20" customHeight="1" x14ac:dyDescent="0.2">
      <c r="B59" s="147" t="s">
        <v>1681</v>
      </c>
      <c r="C59" s="145" t="s">
        <v>1688</v>
      </c>
      <c r="D59" s="145" t="s">
        <v>1639</v>
      </c>
      <c r="E59" s="139" t="s">
        <v>3</v>
      </c>
      <c r="F59" s="182">
        <v>19710</v>
      </c>
      <c r="G59" s="179">
        <v>19506.310000000001</v>
      </c>
      <c r="H59" s="151">
        <f t="shared" si="10"/>
        <v>2145.6941000000002</v>
      </c>
      <c r="I59" s="141">
        <f t="shared" si="18"/>
        <v>21652.004100000002</v>
      </c>
      <c r="J59" s="140">
        <f t="shared" si="19"/>
        <v>426761000.81100005</v>
      </c>
      <c r="K59" s="145" t="s">
        <v>1661</v>
      </c>
      <c r="L59" s="146">
        <v>46136</v>
      </c>
      <c r="M59" s="146">
        <v>46136</v>
      </c>
      <c r="N59" s="148" t="s">
        <v>1417</v>
      </c>
      <c r="O59" s="145"/>
      <c r="P59" s="175">
        <v>46136</v>
      </c>
      <c r="Q59" s="145"/>
      <c r="R59" s="188">
        <f>IFERROR(SUMIFS(Database!$N:$N,Database!$F:$F,B59),0)</f>
        <v>19710</v>
      </c>
      <c r="S59" s="168">
        <f t="shared" si="11"/>
        <v>0</v>
      </c>
      <c r="T59" s="173">
        <f t="shared" si="12"/>
        <v>1</v>
      </c>
      <c r="U59" s="168">
        <f t="shared" si="13"/>
        <v>426761000.81100005</v>
      </c>
      <c r="V59" s="168">
        <f t="shared" si="14"/>
        <v>426761000.81100005</v>
      </c>
      <c r="W59" s="163" t="str">
        <f t="shared" ca="1" si="15"/>
        <v>Lewat Jatuh Tempo</v>
      </c>
      <c r="X59" s="163" t="str">
        <f t="shared" si="16"/>
        <v>OUT</v>
      </c>
      <c r="Y59" s="164" t="str">
        <f t="shared" si="17"/>
        <v>Selesai</v>
      </c>
    </row>
    <row r="60" spans="2:25" ht="20" customHeight="1" x14ac:dyDescent="0.2">
      <c r="B60" s="147" t="s">
        <v>1682</v>
      </c>
      <c r="C60" s="145" t="s">
        <v>1689</v>
      </c>
      <c r="D60" s="145" t="s">
        <v>1641</v>
      </c>
      <c r="E60" s="139" t="s">
        <v>3</v>
      </c>
      <c r="F60" s="182">
        <v>28910</v>
      </c>
      <c r="G60" s="179">
        <v>19506.310000000001</v>
      </c>
      <c r="H60" s="151">
        <f t="shared" si="10"/>
        <v>2145.6941000000002</v>
      </c>
      <c r="I60" s="141">
        <f t="shared" si="18"/>
        <v>21652.004100000002</v>
      </c>
      <c r="J60" s="140">
        <f t="shared" si="19"/>
        <v>625959438.53100002</v>
      </c>
      <c r="K60" s="145" t="s">
        <v>1661</v>
      </c>
      <c r="L60" s="146">
        <v>46139</v>
      </c>
      <c r="M60" s="146">
        <v>46139</v>
      </c>
      <c r="N60" s="148" t="s">
        <v>1417</v>
      </c>
      <c r="O60" s="145"/>
      <c r="P60" s="175">
        <v>46139</v>
      </c>
      <c r="Q60" s="145"/>
      <c r="R60" s="188">
        <f>IFERROR(SUMIFS(Database!$N:$N,Database!$F:$F,B60),0)</f>
        <v>28910</v>
      </c>
      <c r="S60" s="168">
        <f t="shared" si="11"/>
        <v>0</v>
      </c>
      <c r="T60" s="173">
        <f t="shared" si="12"/>
        <v>1</v>
      </c>
      <c r="U60" s="168">
        <f t="shared" si="13"/>
        <v>625959438.53100002</v>
      </c>
      <c r="V60" s="168">
        <f t="shared" si="14"/>
        <v>625959438.53100002</v>
      </c>
      <c r="W60" s="163" t="str">
        <f t="shared" ca="1" si="15"/>
        <v>Lewat Jatuh Tempo</v>
      </c>
      <c r="X60" s="163" t="str">
        <f t="shared" si="16"/>
        <v>OUT</v>
      </c>
      <c r="Y60" s="164" t="str">
        <f t="shared" si="17"/>
        <v>Selesai</v>
      </c>
    </row>
    <row r="61" spans="2:25" ht="20" customHeight="1" x14ac:dyDescent="0.2">
      <c r="B61" s="147" t="s">
        <v>1683</v>
      </c>
      <c r="C61" s="145" t="s">
        <v>1690</v>
      </c>
      <c r="D61" s="139" t="s">
        <v>1663</v>
      </c>
      <c r="E61" s="139" t="s">
        <v>3</v>
      </c>
      <c r="F61" s="182">
        <v>28860</v>
      </c>
      <c r="G61" s="179">
        <v>19506.310000000001</v>
      </c>
      <c r="H61" s="151">
        <f t="shared" si="10"/>
        <v>2145.6941000000002</v>
      </c>
      <c r="I61" s="141">
        <f t="shared" si="18"/>
        <v>21652.004100000002</v>
      </c>
      <c r="J61" s="140">
        <f t="shared" si="19"/>
        <v>624876838.32600009</v>
      </c>
      <c r="K61" s="145" t="s">
        <v>1095</v>
      </c>
      <c r="L61" s="146">
        <v>46139</v>
      </c>
      <c r="M61" s="146">
        <v>46139</v>
      </c>
      <c r="N61" s="148" t="s">
        <v>1417</v>
      </c>
      <c r="O61" s="145"/>
      <c r="P61" s="175">
        <v>46139</v>
      </c>
      <c r="Q61" s="145"/>
      <c r="R61" s="188">
        <f>IFERROR(SUMIFS(Database!$N:$N,Database!$F:$F,B61),0)</f>
        <v>28860</v>
      </c>
      <c r="S61" s="168">
        <f t="shared" si="11"/>
        <v>0</v>
      </c>
      <c r="T61" s="173">
        <f t="shared" si="12"/>
        <v>1</v>
      </c>
      <c r="U61" s="168">
        <f t="shared" si="13"/>
        <v>624876838.32600009</v>
      </c>
      <c r="V61" s="168">
        <f t="shared" si="14"/>
        <v>624876838.32600009</v>
      </c>
      <c r="W61" s="163" t="str">
        <f t="shared" ca="1" si="15"/>
        <v>Lewat Jatuh Tempo</v>
      </c>
      <c r="X61" s="163" t="str">
        <f t="shared" si="16"/>
        <v>OUT</v>
      </c>
      <c r="Y61" s="164" t="str">
        <f t="shared" si="17"/>
        <v>Selesai</v>
      </c>
    </row>
    <row r="62" spans="2:25" ht="20" customHeight="1" x14ac:dyDescent="0.2">
      <c r="B62" s="147" t="s">
        <v>1642</v>
      </c>
      <c r="C62" s="145" t="s">
        <v>1691</v>
      </c>
      <c r="D62" s="145" t="s">
        <v>1639</v>
      </c>
      <c r="E62" s="139" t="s">
        <v>3</v>
      </c>
      <c r="F62" s="182">
        <v>15110</v>
      </c>
      <c r="G62" s="179">
        <v>19506.310000000001</v>
      </c>
      <c r="H62" s="151">
        <f t="shared" si="10"/>
        <v>2145.6941000000002</v>
      </c>
      <c r="I62" s="141">
        <f t="shared" si="18"/>
        <v>21652.004100000002</v>
      </c>
      <c r="J62" s="140">
        <f t="shared" si="19"/>
        <v>327161781.95100003</v>
      </c>
      <c r="K62" s="145" t="s">
        <v>1661</v>
      </c>
      <c r="L62" s="146">
        <v>46140</v>
      </c>
      <c r="M62" s="146">
        <v>46140</v>
      </c>
      <c r="N62" s="148" t="s">
        <v>1417</v>
      </c>
      <c r="O62" s="145"/>
      <c r="P62" s="175">
        <v>46140</v>
      </c>
      <c r="Q62" s="145"/>
      <c r="R62" s="188">
        <f>IFERROR(SUMIFS(Database!$N:$N,Database!$F:$F,B62),0)</f>
        <v>15110</v>
      </c>
      <c r="S62" s="168">
        <f t="shared" si="11"/>
        <v>0</v>
      </c>
      <c r="T62" s="173">
        <f t="shared" si="12"/>
        <v>1</v>
      </c>
      <c r="U62" s="168">
        <f t="shared" si="13"/>
        <v>327161781.95100003</v>
      </c>
      <c r="V62" s="168">
        <f t="shared" si="14"/>
        <v>327161781.95100003</v>
      </c>
      <c r="W62" s="163" t="str">
        <f t="shared" ca="1" si="15"/>
        <v>Lewat Jatuh Tempo</v>
      </c>
      <c r="X62" s="163" t="str">
        <f t="shared" si="16"/>
        <v>OUT</v>
      </c>
      <c r="Y62" s="164" t="str">
        <f t="shared" si="17"/>
        <v>Selesai</v>
      </c>
    </row>
    <row r="63" spans="2:25" ht="20" customHeight="1" x14ac:dyDescent="0.2">
      <c r="B63" s="147" t="s">
        <v>1643</v>
      </c>
      <c r="C63" s="145" t="s">
        <v>1692</v>
      </c>
      <c r="D63" s="139" t="s">
        <v>1663</v>
      </c>
      <c r="E63" s="139" t="s">
        <v>3</v>
      </c>
      <c r="F63" s="182">
        <v>14480</v>
      </c>
      <c r="G63" s="179">
        <v>19506.310000000001</v>
      </c>
      <c r="H63" s="151">
        <f t="shared" si="10"/>
        <v>2145.6941000000002</v>
      </c>
      <c r="I63" s="141">
        <f t="shared" si="18"/>
        <v>21652.004100000002</v>
      </c>
      <c r="J63" s="140">
        <f t="shared" si="19"/>
        <v>313521019.36800003</v>
      </c>
      <c r="K63" s="145" t="s">
        <v>1095</v>
      </c>
      <c r="L63" s="146">
        <v>46141</v>
      </c>
      <c r="M63" s="146">
        <v>46141</v>
      </c>
      <c r="N63" s="148" t="s">
        <v>1417</v>
      </c>
      <c r="O63" s="145"/>
      <c r="P63" s="175">
        <v>46141</v>
      </c>
      <c r="Q63" s="145"/>
      <c r="R63" s="188">
        <f>IFERROR(SUMIFS(Database!$N:$N,Database!$F:$F,B63),0)</f>
        <v>14480</v>
      </c>
      <c r="S63" s="168">
        <f t="shared" si="11"/>
        <v>0</v>
      </c>
      <c r="T63" s="173">
        <f t="shared" si="12"/>
        <v>1</v>
      </c>
      <c r="U63" s="168">
        <f t="shared" si="13"/>
        <v>313521019.36800003</v>
      </c>
      <c r="V63" s="168">
        <f t="shared" si="14"/>
        <v>313521019.36800003</v>
      </c>
      <c r="W63" s="163" t="str">
        <f t="shared" ca="1" si="15"/>
        <v>Lewat Jatuh Tempo</v>
      </c>
      <c r="X63" s="163" t="str">
        <f t="shared" si="16"/>
        <v>OUT</v>
      </c>
      <c r="Y63" s="164" t="str">
        <f t="shared" si="17"/>
        <v>Selesai</v>
      </c>
    </row>
    <row r="64" spans="2:25" ht="20" customHeight="1" x14ac:dyDescent="0.2">
      <c r="B64" s="147" t="s">
        <v>1644</v>
      </c>
      <c r="C64" s="145" t="s">
        <v>1693</v>
      </c>
      <c r="D64" s="145" t="s">
        <v>1639</v>
      </c>
      <c r="E64" s="139" t="s">
        <v>3</v>
      </c>
      <c r="F64" s="182">
        <v>28890</v>
      </c>
      <c r="G64" s="179">
        <v>19506.310000000001</v>
      </c>
      <c r="H64" s="151">
        <f t="shared" si="10"/>
        <v>2145.6941000000002</v>
      </c>
      <c r="I64" s="141">
        <f t="shared" si="18"/>
        <v>21652.004100000002</v>
      </c>
      <c r="J64" s="140">
        <f t="shared" si="19"/>
        <v>625526398.449</v>
      </c>
      <c r="K64" s="145" t="s">
        <v>1661</v>
      </c>
      <c r="L64" s="146">
        <v>46142</v>
      </c>
      <c r="M64" s="146">
        <v>46142</v>
      </c>
      <c r="N64" s="148" t="s">
        <v>1417</v>
      </c>
      <c r="O64" s="145"/>
      <c r="P64" s="175">
        <v>46142</v>
      </c>
      <c r="Q64" s="145"/>
      <c r="R64" s="188">
        <f>IFERROR(SUMIFS(Database!$N:$N,Database!$F:$F,B64),0)</f>
        <v>28890</v>
      </c>
      <c r="S64" s="168">
        <f t="shared" si="11"/>
        <v>0</v>
      </c>
      <c r="T64" s="173">
        <f t="shared" si="12"/>
        <v>1</v>
      </c>
      <c r="U64" s="168">
        <f t="shared" si="13"/>
        <v>625526398.449</v>
      </c>
      <c r="V64" s="168">
        <f t="shared" si="14"/>
        <v>625526398.449</v>
      </c>
      <c r="W64" s="163" t="str">
        <f t="shared" ca="1" si="15"/>
        <v>Lewat Jatuh Tempo</v>
      </c>
      <c r="X64" s="163" t="str">
        <f t="shared" si="16"/>
        <v>OUT</v>
      </c>
      <c r="Y64" s="164" t="str">
        <f t="shared" si="17"/>
        <v>Selesai</v>
      </c>
    </row>
    <row r="65" spans="2:25" ht="20" customHeight="1" x14ac:dyDescent="0.2">
      <c r="B65" s="147" t="s">
        <v>1726</v>
      </c>
      <c r="C65" s="145" t="s">
        <v>1594</v>
      </c>
      <c r="D65" s="145" t="s">
        <v>1463</v>
      </c>
      <c r="E65" s="145" t="s">
        <v>41</v>
      </c>
      <c r="F65" s="180">
        <v>500000</v>
      </c>
      <c r="G65" s="179"/>
      <c r="H65" s="151">
        <f t="shared" si="10"/>
        <v>0</v>
      </c>
      <c r="I65" s="141">
        <f t="shared" si="18"/>
        <v>0</v>
      </c>
      <c r="J65" s="140">
        <f t="shared" si="19"/>
        <v>0</v>
      </c>
      <c r="K65" s="145"/>
      <c r="L65" s="146"/>
      <c r="M65" s="148"/>
      <c r="N65" s="148" t="s">
        <v>1417</v>
      </c>
      <c r="O65" s="145"/>
      <c r="P65" s="175"/>
      <c r="Q65" s="145"/>
      <c r="R65" s="188">
        <f>IFERROR(SUMIFS(Database!$N:$N,Database!$F:$F,B65),0)</f>
        <v>505190</v>
      </c>
      <c r="S65" s="168">
        <f t="shared" si="11"/>
        <v>-5190</v>
      </c>
      <c r="T65" s="173">
        <f t="shared" si="12"/>
        <v>1.0103800000000001</v>
      </c>
      <c r="U65" s="168">
        <f t="shared" si="13"/>
        <v>0</v>
      </c>
      <c r="V65" s="168">
        <f t="shared" si="14"/>
        <v>0</v>
      </c>
      <c r="W65" s="163" t="str">
        <f t="shared" ca="1" si="15"/>
        <v/>
      </c>
      <c r="X65" s="163" t="str">
        <f t="shared" si="16"/>
        <v>IN</v>
      </c>
      <c r="Y65" s="164" t="str">
        <f t="shared" si="17"/>
        <v>Over</v>
      </c>
    </row>
    <row r="66" spans="2:25" ht="20" customHeight="1" x14ac:dyDescent="0.2">
      <c r="B66" s="147" t="s">
        <v>2106</v>
      </c>
      <c r="C66" s="145" t="s">
        <v>2105</v>
      </c>
      <c r="D66" s="145" t="s">
        <v>1463</v>
      </c>
      <c r="E66" s="145" t="s">
        <v>41</v>
      </c>
      <c r="F66" s="182">
        <v>500000</v>
      </c>
      <c r="G66" s="179"/>
      <c r="H66" s="151">
        <f t="shared" si="10"/>
        <v>0</v>
      </c>
      <c r="I66" s="141">
        <f t="shared" si="18"/>
        <v>0</v>
      </c>
      <c r="J66" s="140">
        <f t="shared" si="19"/>
        <v>0</v>
      </c>
      <c r="K66" s="145"/>
      <c r="L66" s="146"/>
      <c r="M66" s="148"/>
      <c r="N66" s="148"/>
      <c r="O66" s="145"/>
      <c r="P66" s="175"/>
      <c r="Q66" s="145"/>
      <c r="R66" s="188">
        <f>IFERROR(SUMIFS(Database!$N:$N,Database!$F:$F,B66),0)</f>
        <v>429510</v>
      </c>
      <c r="S66" s="168">
        <f t="shared" si="11"/>
        <v>70490</v>
      </c>
      <c r="T66" s="173">
        <f t="shared" si="12"/>
        <v>0.85902000000000001</v>
      </c>
      <c r="U66" s="168">
        <f t="shared" si="13"/>
        <v>0</v>
      </c>
      <c r="V66" s="168">
        <f t="shared" si="14"/>
        <v>0</v>
      </c>
      <c r="W66" s="163" t="str">
        <f t="shared" ca="1" si="15"/>
        <v/>
      </c>
      <c r="X66" s="163" t="str">
        <f t="shared" si="16"/>
        <v>IN</v>
      </c>
      <c r="Y66" s="164" t="str">
        <f t="shared" si="17"/>
        <v>Proses</v>
      </c>
    </row>
    <row r="67" spans="2:25" ht="20" customHeight="1" x14ac:dyDescent="0.2">
      <c r="B67" s="147"/>
      <c r="C67" s="145"/>
      <c r="D67" s="145"/>
      <c r="E67" s="145"/>
      <c r="F67" s="182"/>
      <c r="G67" s="179"/>
      <c r="H67" s="151">
        <f t="shared" si="10"/>
        <v>0</v>
      </c>
      <c r="I67" s="141">
        <f t="shared" si="18"/>
        <v>0</v>
      </c>
      <c r="J67" s="140">
        <f t="shared" si="19"/>
        <v>0</v>
      </c>
      <c r="K67" s="145"/>
      <c r="L67" s="146"/>
      <c r="M67" s="148"/>
      <c r="N67" s="148"/>
      <c r="O67" s="145"/>
      <c r="P67" s="175"/>
      <c r="Q67" s="145"/>
      <c r="R67" s="188">
        <f>IFERROR(SUMIFS(Database!$N:$N,Database!$F:$F,B67),0)</f>
        <v>0</v>
      </c>
      <c r="S67" s="168">
        <f t="shared" si="11"/>
        <v>0</v>
      </c>
      <c r="T67" s="173">
        <f t="shared" si="12"/>
        <v>0</v>
      </c>
      <c r="U67" s="168">
        <f t="shared" si="13"/>
        <v>0</v>
      </c>
      <c r="V67" s="168">
        <f t="shared" si="14"/>
        <v>0</v>
      </c>
      <c r="W67" s="163" t="str">
        <f t="shared" ca="1" si="15"/>
        <v/>
      </c>
      <c r="X67" s="163" t="str">
        <f t="shared" si="16"/>
        <v/>
      </c>
      <c r="Y67" s="164" t="str">
        <f t="shared" si="17"/>
        <v/>
      </c>
    </row>
    <row r="68" spans="2:25" ht="20" customHeight="1" x14ac:dyDescent="0.2">
      <c r="B68" s="147"/>
      <c r="C68" s="145"/>
      <c r="D68" s="145"/>
      <c r="E68" s="145"/>
      <c r="F68" s="182"/>
      <c r="G68" s="179"/>
      <c r="H68" s="151">
        <f t="shared" si="10"/>
        <v>0</v>
      </c>
      <c r="I68" s="141">
        <f t="shared" si="18"/>
        <v>0</v>
      </c>
      <c r="J68" s="140">
        <f t="shared" si="19"/>
        <v>0</v>
      </c>
      <c r="K68" s="145"/>
      <c r="L68" s="146"/>
      <c r="M68" s="148"/>
      <c r="N68" s="148"/>
      <c r="O68" s="145"/>
      <c r="P68" s="175"/>
      <c r="Q68" s="145"/>
      <c r="R68" s="188">
        <f>IFERROR(SUMIFS(Database!$N:$N,Database!$F:$F,B68),0)</f>
        <v>0</v>
      </c>
      <c r="S68" s="168">
        <f t="shared" si="11"/>
        <v>0</v>
      </c>
      <c r="T68" s="173">
        <f t="shared" si="12"/>
        <v>0</v>
      </c>
      <c r="U68" s="168">
        <f t="shared" si="13"/>
        <v>0</v>
      </c>
      <c r="V68" s="168">
        <f t="shared" si="14"/>
        <v>0</v>
      </c>
      <c r="W68" s="163" t="str">
        <f t="shared" ca="1" si="15"/>
        <v/>
      </c>
      <c r="X68" s="163" t="str">
        <f t="shared" si="16"/>
        <v/>
      </c>
      <c r="Y68" s="164" t="str">
        <f t="shared" si="17"/>
        <v/>
      </c>
    </row>
    <row r="69" spans="2:25" ht="20" customHeight="1" x14ac:dyDescent="0.2">
      <c r="B69" s="147"/>
      <c r="C69" s="145"/>
      <c r="D69" s="145"/>
      <c r="E69" s="145"/>
      <c r="F69" s="182"/>
      <c r="G69" s="179"/>
      <c r="H69" s="151">
        <f t="shared" si="10"/>
        <v>0</v>
      </c>
      <c r="I69" s="141">
        <f t="shared" si="18"/>
        <v>0</v>
      </c>
      <c r="J69" s="140">
        <f t="shared" si="19"/>
        <v>0</v>
      </c>
      <c r="K69" s="145"/>
      <c r="L69" s="146"/>
      <c r="M69" s="148"/>
      <c r="N69" s="148"/>
      <c r="O69" s="145"/>
      <c r="P69" s="175"/>
      <c r="Q69" s="145"/>
      <c r="R69" s="188">
        <f>IFERROR(SUMIFS(Database!$N:$N,Database!$F:$F,B69),0)</f>
        <v>0</v>
      </c>
      <c r="S69" s="168">
        <f t="shared" si="11"/>
        <v>0</v>
      </c>
      <c r="T69" s="173">
        <f t="shared" si="12"/>
        <v>0</v>
      </c>
      <c r="U69" s="168">
        <f t="shared" si="13"/>
        <v>0</v>
      </c>
      <c r="V69" s="168">
        <f t="shared" si="14"/>
        <v>0</v>
      </c>
      <c r="W69" s="163" t="str">
        <f t="shared" ca="1" si="15"/>
        <v/>
      </c>
      <c r="X69" s="163" t="str">
        <f t="shared" si="16"/>
        <v/>
      </c>
      <c r="Y69" s="164" t="str">
        <f t="shared" si="17"/>
        <v/>
      </c>
    </row>
    <row r="70" spans="2:25" ht="20" customHeight="1" x14ac:dyDescent="0.2">
      <c r="B70" s="147"/>
      <c r="C70" s="145"/>
      <c r="D70" s="145"/>
      <c r="E70" s="145"/>
      <c r="F70" s="182"/>
      <c r="G70" s="179"/>
      <c r="H70" s="151">
        <f t="shared" ref="H70:H87" si="20">G70*$H$4</f>
        <v>0</v>
      </c>
      <c r="I70" s="141">
        <f t="shared" si="18"/>
        <v>0</v>
      </c>
      <c r="J70" s="140">
        <f t="shared" si="19"/>
        <v>0</v>
      </c>
      <c r="K70" s="145"/>
      <c r="L70" s="146"/>
      <c r="M70" s="148"/>
      <c r="N70" s="148"/>
      <c r="O70" s="145"/>
      <c r="P70" s="175"/>
      <c r="Q70" s="145"/>
      <c r="R70" s="188">
        <f>IFERROR(SUMIFS(Database!$N:$N,Database!$F:$F,B70),0)</f>
        <v>0</v>
      </c>
      <c r="S70" s="168">
        <f t="shared" ref="S70:S84" si="21">F70-R70</f>
        <v>0</v>
      </c>
      <c r="T70" s="173">
        <f t="shared" ref="T70:T84" si="22">IFERROR(R70/F70,0)</f>
        <v>0</v>
      </c>
      <c r="U70" s="168">
        <f t="shared" ref="U70:U84" si="23">R70*I70</f>
        <v>0</v>
      </c>
      <c r="V70" s="168">
        <f t="shared" ref="V70:V84" si="24">IF(O70="",U70,U70*O70)</f>
        <v>0</v>
      </c>
      <c r="W70" s="163" t="str">
        <f t="shared" ref="W70:W87" ca="1" si="25">IF(M70="","",IF(TODAY()&gt;M70,"Lewat Jatuh Tempo",IF(TODAY()=M70,"Jatuh Tempo Hari Ini","Belum Jatuh Tempo")))</f>
        <v/>
      </c>
      <c r="X70" s="163" t="str">
        <f t="shared" ref="X70:X87" si="26">IF(E70="","",IF(OR(E70="CPO",E70="PFAD"),"IN","OUT"))</f>
        <v/>
      </c>
      <c r="Y70" s="164" t="str">
        <f t="shared" ref="Y70:Y87" si="27">IF(E70="","",IF(T70=0,"Belum Kirim",IF(T70&lt;0.95,"Proses",IF(T70&lt;=1,"Selesai","Over"))))</f>
        <v/>
      </c>
    </row>
    <row r="71" spans="2:25" ht="20" customHeight="1" x14ac:dyDescent="0.2">
      <c r="B71" s="147"/>
      <c r="C71" s="145"/>
      <c r="D71" s="145"/>
      <c r="E71" s="145"/>
      <c r="F71" s="182"/>
      <c r="G71" s="179"/>
      <c r="H71" s="151">
        <f t="shared" si="20"/>
        <v>0</v>
      </c>
      <c r="I71" s="141">
        <f t="shared" si="18"/>
        <v>0</v>
      </c>
      <c r="J71" s="140">
        <f t="shared" si="19"/>
        <v>0</v>
      </c>
      <c r="K71" s="145"/>
      <c r="L71" s="146"/>
      <c r="M71" s="148"/>
      <c r="N71" s="148"/>
      <c r="O71" s="145"/>
      <c r="P71" s="175"/>
      <c r="Q71" s="145"/>
      <c r="R71" s="188">
        <f>IFERROR(SUMIFS(Database!$N:$N,Database!$F:$F,B71),0)</f>
        <v>0</v>
      </c>
      <c r="S71" s="168">
        <f t="shared" si="21"/>
        <v>0</v>
      </c>
      <c r="T71" s="173">
        <f t="shared" si="22"/>
        <v>0</v>
      </c>
      <c r="U71" s="168">
        <f t="shared" si="23"/>
        <v>0</v>
      </c>
      <c r="V71" s="168">
        <f t="shared" si="24"/>
        <v>0</v>
      </c>
      <c r="W71" s="163" t="str">
        <f t="shared" ca="1" si="25"/>
        <v/>
      </c>
      <c r="X71" s="163" t="str">
        <f t="shared" si="26"/>
        <v/>
      </c>
      <c r="Y71" s="164" t="str">
        <f t="shared" si="27"/>
        <v/>
      </c>
    </row>
    <row r="72" spans="2:25" ht="20" customHeight="1" x14ac:dyDescent="0.2">
      <c r="B72" s="147"/>
      <c r="C72" s="145"/>
      <c r="D72" s="145"/>
      <c r="E72" s="145"/>
      <c r="F72" s="182"/>
      <c r="G72" s="179"/>
      <c r="H72" s="151">
        <f t="shared" si="20"/>
        <v>0</v>
      </c>
      <c r="I72" s="141">
        <f t="shared" si="18"/>
        <v>0</v>
      </c>
      <c r="J72" s="140">
        <f t="shared" si="19"/>
        <v>0</v>
      </c>
      <c r="K72" s="145"/>
      <c r="L72" s="146"/>
      <c r="M72" s="148"/>
      <c r="N72" s="148"/>
      <c r="O72" s="145"/>
      <c r="P72" s="175"/>
      <c r="Q72" s="145"/>
      <c r="R72" s="188">
        <f>IFERROR(SUMIFS(Database!$N:$N,Database!$F:$F,B72),0)</f>
        <v>0</v>
      </c>
      <c r="S72" s="168">
        <f t="shared" si="21"/>
        <v>0</v>
      </c>
      <c r="T72" s="173">
        <f t="shared" si="22"/>
        <v>0</v>
      </c>
      <c r="U72" s="168">
        <f t="shared" si="23"/>
        <v>0</v>
      </c>
      <c r="V72" s="168">
        <f t="shared" si="24"/>
        <v>0</v>
      </c>
      <c r="W72" s="163" t="str">
        <f t="shared" ca="1" si="25"/>
        <v/>
      </c>
      <c r="X72" s="163" t="str">
        <f t="shared" si="26"/>
        <v/>
      </c>
      <c r="Y72" s="164" t="str">
        <f t="shared" si="27"/>
        <v/>
      </c>
    </row>
    <row r="73" spans="2:25" ht="20" customHeight="1" x14ac:dyDescent="0.2">
      <c r="B73" s="147"/>
      <c r="C73" s="145"/>
      <c r="D73" s="145"/>
      <c r="E73" s="145"/>
      <c r="F73" s="182"/>
      <c r="G73" s="179"/>
      <c r="H73" s="151">
        <f t="shared" si="20"/>
        <v>0</v>
      </c>
      <c r="I73" s="141">
        <f t="shared" si="18"/>
        <v>0</v>
      </c>
      <c r="J73" s="140">
        <f t="shared" si="19"/>
        <v>0</v>
      </c>
      <c r="K73" s="145"/>
      <c r="L73" s="146"/>
      <c r="M73" s="148"/>
      <c r="N73" s="148"/>
      <c r="O73" s="145"/>
      <c r="P73" s="175"/>
      <c r="Q73" s="145"/>
      <c r="R73" s="188">
        <f>IFERROR(SUMIFS(Database!$N:$N,Database!$F:$F,B73),0)</f>
        <v>0</v>
      </c>
      <c r="S73" s="168">
        <f t="shared" si="21"/>
        <v>0</v>
      </c>
      <c r="T73" s="173">
        <f t="shared" si="22"/>
        <v>0</v>
      </c>
      <c r="U73" s="168">
        <f t="shared" si="23"/>
        <v>0</v>
      </c>
      <c r="V73" s="168">
        <f t="shared" si="24"/>
        <v>0</v>
      </c>
      <c r="W73" s="163" t="str">
        <f t="shared" ca="1" si="25"/>
        <v/>
      </c>
      <c r="X73" s="163" t="str">
        <f t="shared" si="26"/>
        <v/>
      </c>
      <c r="Y73" s="164" t="str">
        <f t="shared" si="27"/>
        <v/>
      </c>
    </row>
    <row r="74" spans="2:25" ht="20" customHeight="1" x14ac:dyDescent="0.2">
      <c r="B74" s="147"/>
      <c r="C74" s="145"/>
      <c r="D74" s="145"/>
      <c r="E74" s="145"/>
      <c r="F74" s="182"/>
      <c r="G74" s="179"/>
      <c r="H74" s="151">
        <f t="shared" si="20"/>
        <v>0</v>
      </c>
      <c r="I74" s="141">
        <f t="shared" si="18"/>
        <v>0</v>
      </c>
      <c r="J74" s="140">
        <f t="shared" si="19"/>
        <v>0</v>
      </c>
      <c r="K74" s="145"/>
      <c r="L74" s="146"/>
      <c r="M74" s="148"/>
      <c r="N74" s="148"/>
      <c r="O74" s="145"/>
      <c r="P74" s="175"/>
      <c r="Q74" s="145"/>
      <c r="R74" s="188">
        <f>IFERROR(SUMIFS(Database!$N:$N,Database!$F:$F,B74),0)</f>
        <v>0</v>
      </c>
      <c r="S74" s="168">
        <f t="shared" si="21"/>
        <v>0</v>
      </c>
      <c r="T74" s="173">
        <f t="shared" si="22"/>
        <v>0</v>
      </c>
      <c r="U74" s="168">
        <f t="shared" si="23"/>
        <v>0</v>
      </c>
      <c r="V74" s="168">
        <f t="shared" si="24"/>
        <v>0</v>
      </c>
      <c r="W74" s="163" t="str">
        <f t="shared" ca="1" si="25"/>
        <v/>
      </c>
      <c r="X74" s="163" t="str">
        <f t="shared" si="26"/>
        <v/>
      </c>
      <c r="Y74" s="164" t="str">
        <f t="shared" si="27"/>
        <v/>
      </c>
    </row>
    <row r="75" spans="2:25" ht="20" customHeight="1" x14ac:dyDescent="0.2">
      <c r="B75" s="147"/>
      <c r="C75" s="145"/>
      <c r="D75" s="145"/>
      <c r="E75" s="145"/>
      <c r="F75" s="182"/>
      <c r="G75" s="179"/>
      <c r="H75" s="151">
        <f t="shared" si="20"/>
        <v>0</v>
      </c>
      <c r="I75" s="141">
        <f t="shared" si="18"/>
        <v>0</v>
      </c>
      <c r="J75" s="140">
        <f t="shared" si="19"/>
        <v>0</v>
      </c>
      <c r="K75" s="145"/>
      <c r="L75" s="146"/>
      <c r="M75" s="148"/>
      <c r="N75" s="148"/>
      <c r="O75" s="145"/>
      <c r="P75" s="175"/>
      <c r="Q75" s="145"/>
      <c r="R75" s="188">
        <f>IFERROR(SUMIFS(Database!$N:$N,Database!$F:$F,B75),0)</f>
        <v>0</v>
      </c>
      <c r="S75" s="168">
        <f t="shared" si="21"/>
        <v>0</v>
      </c>
      <c r="T75" s="173">
        <f t="shared" si="22"/>
        <v>0</v>
      </c>
      <c r="U75" s="168">
        <f t="shared" si="23"/>
        <v>0</v>
      </c>
      <c r="V75" s="168">
        <f t="shared" si="24"/>
        <v>0</v>
      </c>
      <c r="W75" s="163" t="str">
        <f t="shared" ca="1" si="25"/>
        <v/>
      </c>
      <c r="X75" s="163" t="str">
        <f t="shared" si="26"/>
        <v/>
      </c>
      <c r="Y75" s="164" t="str">
        <f t="shared" si="27"/>
        <v/>
      </c>
    </row>
    <row r="76" spans="2:25" ht="20" customHeight="1" x14ac:dyDescent="0.2">
      <c r="B76" s="147"/>
      <c r="C76" s="145"/>
      <c r="D76" s="145"/>
      <c r="E76" s="145"/>
      <c r="F76" s="182"/>
      <c r="G76" s="179"/>
      <c r="H76" s="151">
        <f t="shared" si="20"/>
        <v>0</v>
      </c>
      <c r="I76" s="141">
        <f t="shared" si="18"/>
        <v>0</v>
      </c>
      <c r="J76" s="140">
        <f t="shared" si="19"/>
        <v>0</v>
      </c>
      <c r="K76" s="145"/>
      <c r="L76" s="146"/>
      <c r="M76" s="148"/>
      <c r="N76" s="148"/>
      <c r="O76" s="145"/>
      <c r="P76" s="175"/>
      <c r="Q76" s="145"/>
      <c r="R76" s="188">
        <f>IFERROR(SUMIFS(Database!$N:$N,Database!$F:$F,B76),0)</f>
        <v>0</v>
      </c>
      <c r="S76" s="168">
        <f t="shared" si="21"/>
        <v>0</v>
      </c>
      <c r="T76" s="173">
        <f t="shared" si="22"/>
        <v>0</v>
      </c>
      <c r="U76" s="168">
        <f t="shared" si="23"/>
        <v>0</v>
      </c>
      <c r="V76" s="168">
        <f t="shared" si="24"/>
        <v>0</v>
      </c>
      <c r="W76" s="163" t="str">
        <f t="shared" ca="1" si="25"/>
        <v/>
      </c>
      <c r="X76" s="163" t="str">
        <f t="shared" si="26"/>
        <v/>
      </c>
      <c r="Y76" s="164" t="str">
        <f t="shared" si="27"/>
        <v/>
      </c>
    </row>
    <row r="77" spans="2:25" ht="20" customHeight="1" x14ac:dyDescent="0.2">
      <c r="B77" s="147"/>
      <c r="C77" s="145"/>
      <c r="D77" s="145"/>
      <c r="E77" s="145"/>
      <c r="F77" s="182"/>
      <c r="G77" s="179"/>
      <c r="H77" s="151">
        <f t="shared" si="20"/>
        <v>0</v>
      </c>
      <c r="I77" s="141">
        <f t="shared" si="18"/>
        <v>0</v>
      </c>
      <c r="J77" s="140">
        <f t="shared" si="19"/>
        <v>0</v>
      </c>
      <c r="K77" s="145"/>
      <c r="L77" s="146"/>
      <c r="M77" s="148"/>
      <c r="N77" s="148"/>
      <c r="O77" s="145"/>
      <c r="P77" s="175"/>
      <c r="Q77" s="145"/>
      <c r="R77" s="188">
        <f>IFERROR(SUMIFS(Database!$N:$N,Database!$F:$F,B77),0)</f>
        <v>0</v>
      </c>
      <c r="S77" s="168">
        <f t="shared" si="21"/>
        <v>0</v>
      </c>
      <c r="T77" s="173">
        <f t="shared" si="22"/>
        <v>0</v>
      </c>
      <c r="U77" s="168">
        <f t="shared" si="23"/>
        <v>0</v>
      </c>
      <c r="V77" s="168">
        <f t="shared" si="24"/>
        <v>0</v>
      </c>
      <c r="W77" s="163" t="str">
        <f t="shared" ca="1" si="25"/>
        <v/>
      </c>
      <c r="X77" s="163" t="str">
        <f t="shared" si="26"/>
        <v/>
      </c>
      <c r="Y77" s="164" t="str">
        <f t="shared" si="27"/>
        <v/>
      </c>
    </row>
    <row r="78" spans="2:25" ht="20" customHeight="1" x14ac:dyDescent="0.2">
      <c r="B78" s="147"/>
      <c r="C78" s="145"/>
      <c r="D78" s="145"/>
      <c r="E78" s="145"/>
      <c r="F78" s="182"/>
      <c r="G78" s="179"/>
      <c r="H78" s="151">
        <f t="shared" si="20"/>
        <v>0</v>
      </c>
      <c r="I78" s="141">
        <f t="shared" si="18"/>
        <v>0</v>
      </c>
      <c r="J78" s="140">
        <f t="shared" si="19"/>
        <v>0</v>
      </c>
      <c r="K78" s="145"/>
      <c r="L78" s="146"/>
      <c r="M78" s="148"/>
      <c r="N78" s="148"/>
      <c r="O78" s="145"/>
      <c r="P78" s="175"/>
      <c r="Q78" s="145"/>
      <c r="R78" s="188">
        <f>IFERROR(SUMIFS(Database!$N:$N,Database!$F:$F,B78),0)</f>
        <v>0</v>
      </c>
      <c r="S78" s="168">
        <f t="shared" si="21"/>
        <v>0</v>
      </c>
      <c r="T78" s="173">
        <f t="shared" si="22"/>
        <v>0</v>
      </c>
      <c r="U78" s="168">
        <f t="shared" si="23"/>
        <v>0</v>
      </c>
      <c r="V78" s="168">
        <f t="shared" si="24"/>
        <v>0</v>
      </c>
      <c r="W78" s="163" t="str">
        <f t="shared" ca="1" si="25"/>
        <v/>
      </c>
      <c r="X78" s="163" t="str">
        <f t="shared" si="26"/>
        <v/>
      </c>
      <c r="Y78" s="164" t="str">
        <f t="shared" si="27"/>
        <v/>
      </c>
    </row>
    <row r="79" spans="2:25" ht="20" customHeight="1" x14ac:dyDescent="0.2">
      <c r="B79" s="147"/>
      <c r="C79" s="145"/>
      <c r="D79" s="145"/>
      <c r="E79" s="145"/>
      <c r="F79" s="182"/>
      <c r="G79" s="179"/>
      <c r="H79" s="151">
        <f t="shared" si="20"/>
        <v>0</v>
      </c>
      <c r="I79" s="141">
        <f t="shared" si="18"/>
        <v>0</v>
      </c>
      <c r="J79" s="140">
        <f t="shared" si="19"/>
        <v>0</v>
      </c>
      <c r="K79" s="145"/>
      <c r="L79" s="146"/>
      <c r="M79" s="148"/>
      <c r="N79" s="148"/>
      <c r="O79" s="145"/>
      <c r="P79" s="175"/>
      <c r="Q79" s="145"/>
      <c r="R79" s="188">
        <f>IFERROR(SUMIFS(Database!$N:$N,Database!$F:$F,B79),0)</f>
        <v>0</v>
      </c>
      <c r="S79" s="168">
        <f t="shared" si="21"/>
        <v>0</v>
      </c>
      <c r="T79" s="173">
        <f t="shared" si="22"/>
        <v>0</v>
      </c>
      <c r="U79" s="168">
        <f t="shared" si="23"/>
        <v>0</v>
      </c>
      <c r="V79" s="168">
        <f t="shared" si="24"/>
        <v>0</v>
      </c>
      <c r="W79" s="163" t="str">
        <f t="shared" ca="1" si="25"/>
        <v/>
      </c>
      <c r="X79" s="163" t="str">
        <f t="shared" si="26"/>
        <v/>
      </c>
      <c r="Y79" s="164" t="str">
        <f t="shared" si="27"/>
        <v/>
      </c>
    </row>
    <row r="80" spans="2:25" ht="20" customHeight="1" x14ac:dyDescent="0.2">
      <c r="B80" s="147"/>
      <c r="C80" s="145"/>
      <c r="D80" s="145"/>
      <c r="E80" s="145"/>
      <c r="F80" s="182"/>
      <c r="G80" s="179"/>
      <c r="H80" s="151">
        <f t="shared" si="20"/>
        <v>0</v>
      </c>
      <c r="I80" s="151"/>
      <c r="J80" s="140">
        <f t="shared" si="19"/>
        <v>0</v>
      </c>
      <c r="K80" s="145"/>
      <c r="L80" s="146"/>
      <c r="M80" s="148"/>
      <c r="N80" s="148"/>
      <c r="O80" s="145"/>
      <c r="P80" s="175"/>
      <c r="Q80" s="145"/>
      <c r="R80" s="188">
        <f>IFERROR(SUMIFS(Database!$N:$N,Database!$F:$F,B80),0)</f>
        <v>0</v>
      </c>
      <c r="S80" s="168">
        <f t="shared" si="21"/>
        <v>0</v>
      </c>
      <c r="T80" s="173">
        <f t="shared" si="22"/>
        <v>0</v>
      </c>
      <c r="U80" s="168">
        <f t="shared" si="23"/>
        <v>0</v>
      </c>
      <c r="V80" s="168">
        <f t="shared" si="24"/>
        <v>0</v>
      </c>
      <c r="W80" s="163" t="str">
        <f t="shared" ca="1" si="25"/>
        <v/>
      </c>
      <c r="X80" s="163" t="str">
        <f t="shared" si="26"/>
        <v/>
      </c>
      <c r="Y80" s="164" t="str">
        <f t="shared" si="27"/>
        <v/>
      </c>
    </row>
    <row r="81" spans="2:25" ht="20" customHeight="1" x14ac:dyDescent="0.2">
      <c r="B81" s="147"/>
      <c r="C81" s="145"/>
      <c r="D81" s="145"/>
      <c r="E81" s="145"/>
      <c r="F81" s="182"/>
      <c r="G81" s="179"/>
      <c r="H81" s="151">
        <f t="shared" si="20"/>
        <v>0</v>
      </c>
      <c r="I81" s="151"/>
      <c r="J81" s="140">
        <f t="shared" si="19"/>
        <v>0</v>
      </c>
      <c r="K81" s="145"/>
      <c r="L81" s="146"/>
      <c r="M81" s="148"/>
      <c r="N81" s="148"/>
      <c r="O81" s="145"/>
      <c r="P81" s="175"/>
      <c r="Q81" s="145"/>
      <c r="R81" s="188">
        <f>IFERROR(SUMIFS(Database!$N:$N,Database!$F:$F,B81),0)</f>
        <v>0</v>
      </c>
      <c r="S81" s="168">
        <f t="shared" si="21"/>
        <v>0</v>
      </c>
      <c r="T81" s="173">
        <f t="shared" si="22"/>
        <v>0</v>
      </c>
      <c r="U81" s="168">
        <f t="shared" si="23"/>
        <v>0</v>
      </c>
      <c r="V81" s="168">
        <f t="shared" si="24"/>
        <v>0</v>
      </c>
      <c r="W81" s="163" t="str">
        <f t="shared" ca="1" si="25"/>
        <v/>
      </c>
      <c r="X81" s="163" t="str">
        <f t="shared" si="26"/>
        <v/>
      </c>
      <c r="Y81" s="164" t="str">
        <f t="shared" si="27"/>
        <v/>
      </c>
    </row>
    <row r="82" spans="2:25" ht="20" customHeight="1" x14ac:dyDescent="0.2">
      <c r="B82" s="147"/>
      <c r="C82" s="145"/>
      <c r="D82" s="145"/>
      <c r="E82" s="145"/>
      <c r="F82" s="182"/>
      <c r="G82" s="179"/>
      <c r="H82" s="151">
        <f t="shared" si="20"/>
        <v>0</v>
      </c>
      <c r="I82" s="151"/>
      <c r="J82" s="140">
        <f t="shared" si="19"/>
        <v>0</v>
      </c>
      <c r="K82" s="145"/>
      <c r="L82" s="146"/>
      <c r="M82" s="148"/>
      <c r="N82" s="148"/>
      <c r="O82" s="145"/>
      <c r="P82" s="175"/>
      <c r="Q82" s="145"/>
      <c r="R82" s="188">
        <f>IFERROR(SUMIFS(Database!$N:$N,Database!$F:$F,B82),0)</f>
        <v>0</v>
      </c>
      <c r="S82" s="168">
        <f t="shared" si="21"/>
        <v>0</v>
      </c>
      <c r="T82" s="173">
        <f t="shared" si="22"/>
        <v>0</v>
      </c>
      <c r="U82" s="168">
        <f t="shared" si="23"/>
        <v>0</v>
      </c>
      <c r="V82" s="168">
        <f t="shared" si="24"/>
        <v>0</v>
      </c>
      <c r="W82" s="163" t="str">
        <f t="shared" ca="1" si="25"/>
        <v/>
      </c>
      <c r="X82" s="163" t="str">
        <f t="shared" si="26"/>
        <v/>
      </c>
      <c r="Y82" s="164" t="str">
        <f t="shared" si="27"/>
        <v/>
      </c>
    </row>
    <row r="83" spans="2:25" ht="20" customHeight="1" x14ac:dyDescent="0.2">
      <c r="B83" s="147"/>
      <c r="C83" s="145"/>
      <c r="D83" s="145"/>
      <c r="E83" s="145"/>
      <c r="F83" s="182"/>
      <c r="G83" s="179"/>
      <c r="H83" s="151">
        <f t="shared" si="20"/>
        <v>0</v>
      </c>
      <c r="I83" s="151"/>
      <c r="J83" s="140">
        <f t="shared" si="19"/>
        <v>0</v>
      </c>
      <c r="K83" s="145"/>
      <c r="L83" s="146"/>
      <c r="M83" s="148"/>
      <c r="N83" s="148"/>
      <c r="O83" s="145"/>
      <c r="P83" s="175"/>
      <c r="Q83" s="145"/>
      <c r="R83" s="188">
        <f>IFERROR(SUMIFS(Database!$N:$N,Database!$F:$F,B83),0)</f>
        <v>0</v>
      </c>
      <c r="S83" s="168">
        <f t="shared" si="21"/>
        <v>0</v>
      </c>
      <c r="T83" s="173">
        <f t="shared" si="22"/>
        <v>0</v>
      </c>
      <c r="U83" s="168">
        <f t="shared" si="23"/>
        <v>0</v>
      </c>
      <c r="V83" s="168">
        <f t="shared" si="24"/>
        <v>0</v>
      </c>
      <c r="W83" s="163" t="str">
        <f t="shared" ca="1" si="25"/>
        <v/>
      </c>
      <c r="X83" s="163" t="str">
        <f t="shared" si="26"/>
        <v/>
      </c>
      <c r="Y83" s="164" t="str">
        <f t="shared" si="27"/>
        <v/>
      </c>
    </row>
    <row r="84" spans="2:25" ht="20" customHeight="1" x14ac:dyDescent="0.2">
      <c r="B84" s="147"/>
      <c r="C84" s="145"/>
      <c r="D84" s="145"/>
      <c r="E84" s="145"/>
      <c r="F84" s="182"/>
      <c r="G84" s="179"/>
      <c r="H84" s="151">
        <f t="shared" si="20"/>
        <v>0</v>
      </c>
      <c r="I84" s="151"/>
      <c r="J84" s="140">
        <f t="shared" si="19"/>
        <v>0</v>
      </c>
      <c r="K84" s="145"/>
      <c r="L84" s="146"/>
      <c r="M84" s="148"/>
      <c r="N84" s="148"/>
      <c r="O84" s="145"/>
      <c r="P84" s="175"/>
      <c r="Q84" s="145"/>
      <c r="R84" s="188">
        <f>IFERROR(SUMIFS(Database!$N:$N,Database!$F:$F,B84),0)</f>
        <v>0</v>
      </c>
      <c r="S84" s="168">
        <f t="shared" si="21"/>
        <v>0</v>
      </c>
      <c r="T84" s="173">
        <f t="shared" si="22"/>
        <v>0</v>
      </c>
      <c r="U84" s="168">
        <f t="shared" si="23"/>
        <v>0</v>
      </c>
      <c r="V84" s="168">
        <f t="shared" si="24"/>
        <v>0</v>
      </c>
      <c r="W84" s="163" t="str">
        <f t="shared" ca="1" si="25"/>
        <v/>
      </c>
      <c r="X84" s="163" t="str">
        <f t="shared" si="26"/>
        <v/>
      </c>
      <c r="Y84" s="164" t="str">
        <f t="shared" si="27"/>
        <v/>
      </c>
    </row>
    <row r="85" spans="2:25" ht="20" customHeight="1" x14ac:dyDescent="0.2">
      <c r="B85" s="147"/>
      <c r="C85" s="145"/>
      <c r="D85" s="145"/>
      <c r="E85" s="145"/>
      <c r="F85" s="182"/>
      <c r="G85" s="179"/>
      <c r="H85" s="151">
        <f t="shared" si="20"/>
        <v>0</v>
      </c>
      <c r="I85" s="151"/>
      <c r="J85" s="140">
        <f t="shared" si="19"/>
        <v>0</v>
      </c>
      <c r="K85" s="145"/>
      <c r="L85" s="146"/>
      <c r="M85" s="148"/>
      <c r="N85" s="148"/>
      <c r="O85" s="145"/>
      <c r="P85" s="175"/>
      <c r="Q85" s="145"/>
      <c r="R85" s="188"/>
      <c r="S85" s="169"/>
      <c r="T85" s="172"/>
      <c r="U85" s="169"/>
      <c r="V85" s="169"/>
      <c r="W85" s="163" t="str">
        <f t="shared" ca="1" si="25"/>
        <v/>
      </c>
      <c r="X85" s="163" t="str">
        <f t="shared" si="26"/>
        <v/>
      </c>
      <c r="Y85" s="164" t="str">
        <f t="shared" si="27"/>
        <v/>
      </c>
    </row>
    <row r="86" spans="2:25" ht="20" customHeight="1" x14ac:dyDescent="0.2">
      <c r="B86" s="147"/>
      <c r="C86" s="145"/>
      <c r="D86" s="145"/>
      <c r="E86" s="145"/>
      <c r="F86" s="182"/>
      <c r="G86" s="179"/>
      <c r="H86" s="151">
        <f t="shared" si="20"/>
        <v>0</v>
      </c>
      <c r="I86" s="151"/>
      <c r="J86" s="140">
        <f t="shared" si="19"/>
        <v>0</v>
      </c>
      <c r="K86" s="145"/>
      <c r="L86" s="146"/>
      <c r="M86" s="148"/>
      <c r="N86" s="148"/>
      <c r="O86" s="145"/>
      <c r="P86" s="175"/>
      <c r="Q86" s="145"/>
      <c r="R86" s="188"/>
      <c r="S86" s="169"/>
      <c r="T86" s="172"/>
      <c r="U86" s="169"/>
      <c r="V86" s="169"/>
      <c r="W86" s="163" t="str">
        <f t="shared" ca="1" si="25"/>
        <v/>
      </c>
      <c r="X86" s="163" t="str">
        <f t="shared" si="26"/>
        <v/>
      </c>
      <c r="Y86" s="164" t="str">
        <f t="shared" si="27"/>
        <v/>
      </c>
    </row>
    <row r="87" spans="2:25" ht="20" customHeight="1" x14ac:dyDescent="0.2">
      <c r="B87" s="152"/>
      <c r="C87" s="153"/>
      <c r="D87" s="153"/>
      <c r="E87" s="153"/>
      <c r="F87" s="184"/>
      <c r="G87" s="185"/>
      <c r="H87" s="154">
        <f t="shared" si="20"/>
        <v>0</v>
      </c>
      <c r="I87" s="153"/>
      <c r="J87" s="140">
        <f t="shared" si="19"/>
        <v>0</v>
      </c>
      <c r="K87" s="153"/>
      <c r="L87" s="155"/>
      <c r="M87" s="156"/>
      <c r="N87" s="156"/>
      <c r="O87" s="153"/>
      <c r="P87" s="165"/>
      <c r="Q87" s="153"/>
      <c r="R87" s="189"/>
      <c r="S87" s="170"/>
      <c r="T87" s="174"/>
      <c r="U87" s="170"/>
      <c r="V87" s="170"/>
      <c r="W87" s="165" t="str">
        <f t="shared" ca="1" si="25"/>
        <v/>
      </c>
      <c r="X87" s="165" t="str">
        <f t="shared" si="26"/>
        <v/>
      </c>
      <c r="Y87" s="166" t="str">
        <f t="shared" si="27"/>
        <v/>
      </c>
    </row>
    <row r="88" spans="2:25" ht="20" customHeight="1" x14ac:dyDescent="0.2"/>
    <row r="89" spans="2:25" ht="20" customHeight="1" x14ac:dyDescent="0.2">
      <c r="B89" t="s">
        <v>1719</v>
      </c>
    </row>
    <row r="90" spans="2:25" ht="20" customHeight="1" x14ac:dyDescent="0.2">
      <c r="B90" t="s">
        <v>1720</v>
      </c>
      <c r="F90" s="19"/>
    </row>
    <row r="91" spans="2:25" ht="20" customHeight="1" x14ac:dyDescent="0.2">
      <c r="B91" t="s">
        <v>1721</v>
      </c>
    </row>
    <row r="92" spans="2:25" ht="20" customHeight="1" x14ac:dyDescent="0.2">
      <c r="B92" t="s">
        <v>1722</v>
      </c>
    </row>
    <row r="93" spans="2:25" ht="20" customHeight="1" x14ac:dyDescent="0.2">
      <c r="B93" t="s">
        <v>1723</v>
      </c>
    </row>
    <row r="94" spans="2:25" ht="20" customHeight="1" x14ac:dyDescent="0.2">
      <c r="B94" t="s">
        <v>1724</v>
      </c>
    </row>
    <row r="95" spans="2:25" ht="20" customHeight="1" x14ac:dyDescent="0.2"/>
    <row r="96" spans="2:25" ht="20" customHeight="1" x14ac:dyDescent="0.2"/>
    <row r="97" spans="19:19" ht="20" customHeight="1" x14ac:dyDescent="0.2"/>
    <row r="98" spans="19:19" ht="20" customHeight="1" x14ac:dyDescent="0.2">
      <c r="S98" s="86"/>
    </row>
    <row r="99" spans="19:19" ht="20" customHeight="1" x14ac:dyDescent="0.2"/>
    <row r="100" spans="19:19" ht="20" customHeight="1" x14ac:dyDescent="0.2"/>
    <row r="101" spans="19:19" ht="20" customHeight="1" x14ac:dyDescent="0.2"/>
    <row r="102" spans="19:19" ht="20" customHeight="1" x14ac:dyDescent="0.2"/>
    <row r="103" spans="19:19" ht="20" customHeight="1" x14ac:dyDescent="0.2"/>
    <row r="104" spans="19:19" ht="20" customHeight="1" x14ac:dyDescent="0.2"/>
    <row r="105" spans="19:19" ht="20" customHeight="1" x14ac:dyDescent="0.2"/>
    <row r="106" spans="19:19" ht="20" customHeight="1" x14ac:dyDescent="0.2"/>
    <row r="107" spans="19:19" ht="20" customHeight="1" x14ac:dyDescent="0.2"/>
    <row r="108" spans="19:19" ht="20" customHeight="1" x14ac:dyDescent="0.2"/>
    <row r="109" spans="19:19" ht="20" customHeight="1" x14ac:dyDescent="0.2"/>
    <row r="110" spans="19:19" ht="20" customHeight="1" x14ac:dyDescent="0.2"/>
    <row r="111" spans="19:19" ht="20" customHeight="1" x14ac:dyDescent="0.2"/>
    <row r="112" spans="19:19" ht="20" customHeight="1" x14ac:dyDescent="0.2"/>
    <row r="113" ht="20" customHeight="1" x14ac:dyDescent="0.2"/>
    <row r="114" ht="20" customHeight="1" x14ac:dyDescent="0.2"/>
    <row r="115" ht="20" customHeight="1" x14ac:dyDescent="0.2"/>
    <row r="116" ht="20" customHeight="1" x14ac:dyDescent="0.2"/>
    <row r="117" ht="20" customHeight="1" x14ac:dyDescent="0.2"/>
    <row r="118" ht="20" customHeight="1" x14ac:dyDescent="0.2"/>
    <row r="119" ht="20" customHeight="1" x14ac:dyDescent="0.2"/>
    <row r="120" ht="20" customHeight="1" x14ac:dyDescent="0.2"/>
    <row r="121" ht="20" customHeight="1" x14ac:dyDescent="0.2"/>
    <row r="122" ht="20" customHeight="1" x14ac:dyDescent="0.2"/>
    <row r="123" ht="20" customHeight="1" x14ac:dyDescent="0.2"/>
    <row r="124" ht="20" customHeight="1" x14ac:dyDescent="0.2"/>
    <row r="125" ht="20" customHeight="1" x14ac:dyDescent="0.2"/>
    <row r="126" ht="20" customHeight="1" x14ac:dyDescent="0.2"/>
    <row r="127" ht="20" customHeight="1" x14ac:dyDescent="0.2"/>
    <row r="128" ht="20" customHeight="1" x14ac:dyDescent="0.2"/>
    <row r="129" ht="20" customHeight="1" x14ac:dyDescent="0.2"/>
    <row r="130" ht="20" customHeight="1" x14ac:dyDescent="0.2"/>
    <row r="131" ht="20" customHeight="1" x14ac:dyDescent="0.2"/>
    <row r="132" ht="20" customHeight="1" x14ac:dyDescent="0.2"/>
    <row r="133" ht="20" customHeight="1" x14ac:dyDescent="0.2"/>
    <row r="134" ht="20" customHeight="1" x14ac:dyDescent="0.2"/>
    <row r="135" ht="20" customHeight="1" x14ac:dyDescent="0.2"/>
    <row r="136" ht="20" customHeight="1" x14ac:dyDescent="0.2"/>
    <row r="137" ht="20" customHeight="1" x14ac:dyDescent="0.2"/>
    <row r="138" ht="20" customHeight="1" x14ac:dyDescent="0.2"/>
    <row r="139" ht="20" customHeight="1" x14ac:dyDescent="0.2"/>
    <row r="140" ht="20" customHeight="1" x14ac:dyDescent="0.2"/>
    <row r="141" ht="20" customHeight="1" x14ac:dyDescent="0.2"/>
    <row r="142" ht="20" customHeight="1" x14ac:dyDescent="0.2"/>
    <row r="143" ht="20" customHeight="1" x14ac:dyDescent="0.2"/>
    <row r="144" ht="20" customHeight="1" x14ac:dyDescent="0.2"/>
    <row r="145" ht="20" customHeight="1" x14ac:dyDescent="0.2"/>
    <row r="146" ht="20" customHeight="1" x14ac:dyDescent="0.2"/>
    <row r="147" ht="20" customHeight="1" x14ac:dyDescent="0.2"/>
    <row r="148" ht="20" customHeight="1" x14ac:dyDescent="0.2"/>
    <row r="149" ht="20" customHeight="1" x14ac:dyDescent="0.2"/>
    <row r="150" ht="20" customHeight="1" x14ac:dyDescent="0.2"/>
    <row r="151" ht="20" customHeight="1" x14ac:dyDescent="0.2"/>
    <row r="152" ht="20" customHeight="1" x14ac:dyDescent="0.2"/>
    <row r="153" ht="20" customHeight="1" x14ac:dyDescent="0.2"/>
    <row r="154" ht="20" customHeight="1" x14ac:dyDescent="0.2"/>
    <row r="155" ht="20" customHeight="1" x14ac:dyDescent="0.2"/>
    <row r="156" ht="20" customHeight="1" x14ac:dyDescent="0.2"/>
    <row r="157" ht="20" customHeight="1" x14ac:dyDescent="0.2"/>
    <row r="158" ht="20" customHeight="1" x14ac:dyDescent="0.2"/>
    <row r="159" ht="20" customHeight="1" x14ac:dyDescent="0.2"/>
    <row r="160" ht="20" customHeight="1" x14ac:dyDescent="0.2"/>
    <row r="161" ht="20" customHeight="1" x14ac:dyDescent="0.2"/>
    <row r="162" ht="20" customHeight="1" x14ac:dyDescent="0.2"/>
    <row r="163" ht="20" customHeight="1" x14ac:dyDescent="0.2"/>
    <row r="164" ht="20" customHeight="1" x14ac:dyDescent="0.2"/>
    <row r="165" ht="20" customHeight="1" x14ac:dyDescent="0.2"/>
    <row r="166" ht="20" customHeight="1" x14ac:dyDescent="0.2"/>
    <row r="167" ht="20" customHeight="1" x14ac:dyDescent="0.2"/>
    <row r="168" ht="20" customHeight="1" x14ac:dyDescent="0.2"/>
    <row r="169" ht="20" customHeight="1" x14ac:dyDescent="0.2"/>
    <row r="170" ht="20" customHeight="1" x14ac:dyDescent="0.2"/>
    <row r="171" ht="20" customHeight="1" x14ac:dyDescent="0.2"/>
    <row r="172" ht="20" customHeight="1" x14ac:dyDescent="0.2"/>
    <row r="173" ht="20" customHeight="1" x14ac:dyDescent="0.2"/>
    <row r="174" ht="20" customHeight="1" x14ac:dyDescent="0.2"/>
    <row r="175" ht="20" customHeight="1" x14ac:dyDescent="0.2"/>
    <row r="176" ht="20" customHeight="1" x14ac:dyDescent="0.2"/>
    <row r="177" ht="20" customHeight="1" x14ac:dyDescent="0.2"/>
    <row r="178" ht="20" customHeight="1" x14ac:dyDescent="0.2"/>
    <row r="179" ht="20" customHeight="1" x14ac:dyDescent="0.2"/>
    <row r="180" ht="20" customHeight="1" x14ac:dyDescent="0.2"/>
    <row r="181" ht="20" customHeight="1" x14ac:dyDescent="0.2"/>
    <row r="182" ht="20" customHeight="1" x14ac:dyDescent="0.2"/>
    <row r="183" ht="20" customHeight="1" x14ac:dyDescent="0.2"/>
    <row r="184" ht="20" customHeight="1" x14ac:dyDescent="0.2"/>
    <row r="185" ht="20" customHeight="1" x14ac:dyDescent="0.2"/>
    <row r="186" ht="20" customHeight="1" x14ac:dyDescent="0.2"/>
    <row r="187" ht="20" customHeight="1" x14ac:dyDescent="0.2"/>
    <row r="188" ht="20" customHeight="1" x14ac:dyDescent="0.2"/>
    <row r="189" ht="20" customHeight="1" x14ac:dyDescent="0.2"/>
    <row r="190" ht="20" customHeight="1" x14ac:dyDescent="0.2"/>
    <row r="191" ht="20" customHeight="1" x14ac:dyDescent="0.2"/>
    <row r="192" ht="20" customHeight="1" x14ac:dyDescent="0.2"/>
    <row r="193" ht="20" customHeight="1" x14ac:dyDescent="0.2"/>
    <row r="194" ht="20" customHeight="1" x14ac:dyDescent="0.2"/>
    <row r="195" ht="20" customHeight="1" x14ac:dyDescent="0.2"/>
    <row r="196" ht="20" customHeight="1" x14ac:dyDescent="0.2"/>
    <row r="197" ht="20" customHeight="1" x14ac:dyDescent="0.2"/>
    <row r="198" ht="20" customHeight="1" x14ac:dyDescent="0.2"/>
    <row r="199" ht="20" customHeight="1" x14ac:dyDescent="0.2"/>
    <row r="200" ht="20" customHeight="1" x14ac:dyDescent="0.2"/>
    <row r="201" ht="20" customHeight="1" x14ac:dyDescent="0.2"/>
    <row r="202" ht="20" customHeight="1" x14ac:dyDescent="0.2"/>
    <row r="203" ht="20" customHeight="1" x14ac:dyDescent="0.2"/>
    <row r="204" ht="20" customHeight="1" x14ac:dyDescent="0.2"/>
    <row r="205" ht="20" customHeight="1" x14ac:dyDescent="0.2"/>
    <row r="206" ht="20" customHeight="1" x14ac:dyDescent="0.2"/>
    <row r="207" ht="20" customHeight="1" x14ac:dyDescent="0.2"/>
    <row r="208" ht="20" customHeight="1" x14ac:dyDescent="0.2"/>
    <row r="209" ht="20" customHeight="1" x14ac:dyDescent="0.2"/>
    <row r="210" ht="20" customHeight="1" x14ac:dyDescent="0.2"/>
    <row r="211" ht="20" customHeight="1" x14ac:dyDescent="0.2"/>
    <row r="212" ht="20" customHeight="1" x14ac:dyDescent="0.2"/>
    <row r="213" ht="20" customHeight="1" x14ac:dyDescent="0.2"/>
    <row r="214" ht="20" customHeight="1" x14ac:dyDescent="0.2"/>
    <row r="215" ht="20" customHeight="1" x14ac:dyDescent="0.2"/>
    <row r="216" ht="20" customHeight="1" x14ac:dyDescent="0.2"/>
    <row r="217" ht="20" customHeight="1" x14ac:dyDescent="0.2"/>
    <row r="218" ht="20" customHeight="1" x14ac:dyDescent="0.2"/>
    <row r="219" ht="20" customHeight="1" x14ac:dyDescent="0.2"/>
    <row r="220" ht="20" customHeight="1" x14ac:dyDescent="0.2"/>
    <row r="221" ht="20" customHeight="1" x14ac:dyDescent="0.2"/>
    <row r="222" ht="20" customHeight="1" x14ac:dyDescent="0.2"/>
    <row r="223" ht="20" customHeight="1" x14ac:dyDescent="0.2"/>
    <row r="224" ht="20" customHeight="1" x14ac:dyDescent="0.2"/>
    <row r="225" ht="20" customHeight="1" x14ac:dyDescent="0.2"/>
    <row r="226" ht="20" customHeight="1" x14ac:dyDescent="0.2"/>
    <row r="227" ht="20" customHeight="1" x14ac:dyDescent="0.2"/>
    <row r="228" ht="20" customHeight="1" x14ac:dyDescent="0.2"/>
    <row r="229" ht="20" customHeight="1" x14ac:dyDescent="0.2"/>
    <row r="230" ht="20" customHeight="1" x14ac:dyDescent="0.2"/>
    <row r="231" ht="20" customHeight="1" x14ac:dyDescent="0.2"/>
    <row r="232" ht="20" customHeight="1" x14ac:dyDescent="0.2"/>
    <row r="233" ht="20" customHeight="1" x14ac:dyDescent="0.2"/>
    <row r="234" ht="20" customHeight="1" x14ac:dyDescent="0.2"/>
    <row r="235" ht="20" customHeight="1" x14ac:dyDescent="0.2"/>
    <row r="236" ht="20" customHeight="1" x14ac:dyDescent="0.2"/>
    <row r="237" ht="20" customHeight="1" x14ac:dyDescent="0.2"/>
    <row r="238" ht="20" customHeight="1" x14ac:dyDescent="0.2"/>
    <row r="239" ht="20" customHeight="1" x14ac:dyDescent="0.2"/>
    <row r="240" ht="20" customHeight="1" x14ac:dyDescent="0.2"/>
    <row r="241" ht="20" customHeight="1" x14ac:dyDescent="0.2"/>
    <row r="242" ht="20" customHeight="1" x14ac:dyDescent="0.2"/>
    <row r="243" ht="20" customHeight="1" x14ac:dyDescent="0.2"/>
    <row r="244" ht="20" customHeight="1" x14ac:dyDescent="0.2"/>
    <row r="245" ht="20" customHeight="1" x14ac:dyDescent="0.2"/>
    <row r="246" ht="20" customHeight="1" x14ac:dyDescent="0.2"/>
    <row r="247" ht="20" customHeight="1" x14ac:dyDescent="0.2"/>
    <row r="248" ht="20" customHeight="1" x14ac:dyDescent="0.2"/>
    <row r="249" ht="20" customHeight="1" x14ac:dyDescent="0.2"/>
    <row r="250" ht="20" customHeight="1" x14ac:dyDescent="0.2"/>
    <row r="251" ht="20" customHeight="1" x14ac:dyDescent="0.2"/>
    <row r="252" ht="20" customHeight="1" x14ac:dyDescent="0.2"/>
    <row r="253" ht="20" customHeight="1" x14ac:dyDescent="0.2"/>
    <row r="254" ht="20" customHeight="1" x14ac:dyDescent="0.2"/>
    <row r="255" ht="20" customHeight="1" x14ac:dyDescent="0.2"/>
    <row r="256" ht="20" customHeight="1" x14ac:dyDescent="0.2"/>
    <row r="257" ht="20" customHeight="1" x14ac:dyDescent="0.2"/>
    <row r="258" ht="20" customHeight="1" x14ac:dyDescent="0.2"/>
    <row r="259" ht="20" customHeight="1" x14ac:dyDescent="0.2"/>
    <row r="260" ht="20" customHeight="1" x14ac:dyDescent="0.2"/>
    <row r="261" ht="20" customHeight="1" x14ac:dyDescent="0.2"/>
    <row r="262" ht="20" customHeight="1" x14ac:dyDescent="0.2"/>
    <row r="263" ht="20" customHeight="1" x14ac:dyDescent="0.2"/>
    <row r="264" ht="20" customHeight="1" x14ac:dyDescent="0.2"/>
    <row r="265" ht="20" customHeight="1" x14ac:dyDescent="0.2"/>
    <row r="266" ht="20" customHeight="1" x14ac:dyDescent="0.2"/>
    <row r="267" ht="20" customHeight="1" x14ac:dyDescent="0.2"/>
    <row r="268" ht="20" customHeight="1" x14ac:dyDescent="0.2"/>
    <row r="269" ht="20" customHeight="1" x14ac:dyDescent="0.2"/>
    <row r="270" ht="20" customHeight="1" x14ac:dyDescent="0.2"/>
    <row r="271" ht="20" customHeight="1" x14ac:dyDescent="0.2"/>
    <row r="272" ht="20" customHeight="1" x14ac:dyDescent="0.2"/>
    <row r="273" ht="20" customHeight="1" x14ac:dyDescent="0.2"/>
    <row r="274" ht="20" customHeight="1" x14ac:dyDescent="0.2"/>
    <row r="275" ht="20" customHeight="1" x14ac:dyDescent="0.2"/>
    <row r="276" ht="20" customHeight="1" x14ac:dyDescent="0.2"/>
    <row r="277" ht="20" customHeight="1" x14ac:dyDescent="0.2"/>
    <row r="278" ht="20" customHeight="1" x14ac:dyDescent="0.2"/>
    <row r="279" ht="20" customHeight="1" x14ac:dyDescent="0.2"/>
    <row r="280" ht="20" customHeight="1" x14ac:dyDescent="0.2"/>
    <row r="281" ht="20" customHeight="1" x14ac:dyDescent="0.2"/>
    <row r="282" ht="20" customHeight="1" x14ac:dyDescent="0.2"/>
    <row r="283" ht="20" customHeight="1" x14ac:dyDescent="0.2"/>
    <row r="284" ht="20" customHeight="1" x14ac:dyDescent="0.2"/>
    <row r="285" ht="20" customHeight="1" x14ac:dyDescent="0.2"/>
    <row r="286" ht="20" customHeight="1" x14ac:dyDescent="0.2"/>
    <row r="287" ht="20" customHeight="1" x14ac:dyDescent="0.2"/>
    <row r="288" ht="20" customHeight="1" x14ac:dyDescent="0.2"/>
    <row r="289" ht="20" customHeight="1" x14ac:dyDescent="0.2"/>
    <row r="290" ht="20" customHeight="1" x14ac:dyDescent="0.2"/>
    <row r="291" ht="20" customHeight="1" x14ac:dyDescent="0.2"/>
    <row r="292" ht="20" customHeight="1" x14ac:dyDescent="0.2"/>
    <row r="293" ht="20" customHeight="1" x14ac:dyDescent="0.2"/>
    <row r="294" ht="20" customHeight="1" x14ac:dyDescent="0.2"/>
    <row r="295" ht="20" customHeight="1" x14ac:dyDescent="0.2"/>
    <row r="296" ht="20" customHeight="1" x14ac:dyDescent="0.2"/>
    <row r="297" ht="20" customHeight="1" x14ac:dyDescent="0.2"/>
    <row r="298" ht="20" customHeight="1" x14ac:dyDescent="0.2"/>
    <row r="299" ht="20" customHeight="1" x14ac:dyDescent="0.2"/>
    <row r="300" ht="20" customHeight="1" x14ac:dyDescent="0.2"/>
    <row r="301" ht="20" customHeight="1" x14ac:dyDescent="0.2"/>
    <row r="302" ht="20" customHeight="1" x14ac:dyDescent="0.2"/>
    <row r="303" ht="20" customHeight="1" x14ac:dyDescent="0.2"/>
    <row r="304" ht="20" customHeight="1" x14ac:dyDescent="0.2"/>
    <row r="305" ht="20" customHeight="1" x14ac:dyDescent="0.2"/>
    <row r="306" ht="20" customHeight="1" x14ac:dyDescent="0.2"/>
    <row r="307" ht="20" customHeight="1" x14ac:dyDescent="0.2"/>
    <row r="308" ht="20" customHeight="1" x14ac:dyDescent="0.2"/>
    <row r="309" ht="20" customHeight="1" x14ac:dyDescent="0.2"/>
    <row r="310" ht="20" customHeight="1" x14ac:dyDescent="0.2"/>
    <row r="311" ht="20" customHeight="1" x14ac:dyDescent="0.2"/>
    <row r="312" ht="20" customHeight="1" x14ac:dyDescent="0.2"/>
    <row r="313" ht="20" customHeight="1" x14ac:dyDescent="0.2"/>
    <row r="314" ht="20" customHeight="1" x14ac:dyDescent="0.2"/>
    <row r="315" ht="20" customHeight="1" x14ac:dyDescent="0.2"/>
    <row r="316" ht="20" customHeight="1" x14ac:dyDescent="0.2"/>
    <row r="317" ht="20" customHeight="1" x14ac:dyDescent="0.2"/>
    <row r="318" ht="20" customHeight="1" x14ac:dyDescent="0.2"/>
    <row r="319" ht="20" customHeight="1" x14ac:dyDescent="0.2"/>
    <row r="320" ht="20" customHeight="1" x14ac:dyDescent="0.2"/>
    <row r="321" ht="20" customHeight="1" x14ac:dyDescent="0.2"/>
    <row r="322" ht="20" customHeight="1" x14ac:dyDescent="0.2"/>
    <row r="323" ht="20" customHeight="1" x14ac:dyDescent="0.2"/>
    <row r="324" ht="20" customHeight="1" x14ac:dyDescent="0.2"/>
    <row r="325" ht="20" customHeight="1" x14ac:dyDescent="0.2"/>
    <row r="326" ht="20" customHeight="1" x14ac:dyDescent="0.2"/>
    <row r="327" ht="20" customHeight="1" x14ac:dyDescent="0.2"/>
    <row r="328" ht="20" customHeight="1" x14ac:dyDescent="0.2"/>
    <row r="329" ht="20" customHeight="1" x14ac:dyDescent="0.2"/>
    <row r="330" ht="20" customHeight="1" x14ac:dyDescent="0.2"/>
    <row r="331" ht="20" customHeight="1" x14ac:dyDescent="0.2"/>
    <row r="332" ht="20" customHeight="1" x14ac:dyDescent="0.2"/>
    <row r="333" ht="20" customHeight="1" x14ac:dyDescent="0.2"/>
    <row r="334" ht="20" customHeight="1" x14ac:dyDescent="0.2"/>
    <row r="335" ht="20" customHeight="1" x14ac:dyDescent="0.2"/>
    <row r="336" ht="20" customHeight="1" x14ac:dyDescent="0.2"/>
    <row r="337" ht="20" customHeight="1" x14ac:dyDescent="0.2"/>
    <row r="338" ht="20" customHeight="1" x14ac:dyDescent="0.2"/>
    <row r="339" ht="20" customHeight="1" x14ac:dyDescent="0.2"/>
    <row r="340" ht="20" customHeight="1" x14ac:dyDescent="0.2"/>
    <row r="341" ht="20" customHeight="1" x14ac:dyDescent="0.2"/>
    <row r="342" ht="20" customHeight="1" x14ac:dyDescent="0.2"/>
    <row r="343" ht="20" customHeight="1" x14ac:dyDescent="0.2"/>
    <row r="344" ht="20" customHeight="1" x14ac:dyDescent="0.2"/>
    <row r="345" ht="20" customHeight="1" x14ac:dyDescent="0.2"/>
    <row r="346" ht="20" customHeight="1" x14ac:dyDescent="0.2"/>
    <row r="347" ht="20" customHeight="1" x14ac:dyDescent="0.2"/>
    <row r="348" ht="20" customHeight="1" x14ac:dyDescent="0.2"/>
    <row r="349" ht="20" customHeight="1" x14ac:dyDescent="0.2"/>
    <row r="350" ht="20" customHeight="1" x14ac:dyDescent="0.2"/>
    <row r="351" ht="20" customHeight="1" x14ac:dyDescent="0.2"/>
    <row r="352" ht="20" customHeight="1" x14ac:dyDescent="0.2"/>
    <row r="353" ht="20" customHeight="1" x14ac:dyDescent="0.2"/>
    <row r="354" ht="20" customHeight="1" x14ac:dyDescent="0.2"/>
    <row r="355" ht="20" customHeight="1" x14ac:dyDescent="0.2"/>
    <row r="356" ht="20" customHeight="1" x14ac:dyDescent="0.2"/>
    <row r="357" ht="20" customHeight="1" x14ac:dyDescent="0.2"/>
    <row r="358" ht="20" customHeight="1" x14ac:dyDescent="0.2"/>
    <row r="359" ht="20" customHeight="1" x14ac:dyDescent="0.2"/>
    <row r="360" ht="20" customHeight="1" x14ac:dyDescent="0.2"/>
    <row r="361" ht="20" customHeight="1" x14ac:dyDescent="0.2"/>
    <row r="362" ht="20" customHeight="1" x14ac:dyDescent="0.2"/>
    <row r="363" ht="20" customHeight="1" x14ac:dyDescent="0.2"/>
    <row r="364" ht="20" customHeight="1" x14ac:dyDescent="0.2"/>
    <row r="365" ht="20" customHeight="1" x14ac:dyDescent="0.2"/>
    <row r="366" ht="20" customHeight="1" x14ac:dyDescent="0.2"/>
    <row r="367" ht="20" customHeight="1" x14ac:dyDescent="0.2"/>
    <row r="368" ht="20" customHeight="1" x14ac:dyDescent="0.2"/>
    <row r="369" ht="20" customHeight="1" x14ac:dyDescent="0.2"/>
    <row r="370" ht="20" customHeight="1" x14ac:dyDescent="0.2"/>
    <row r="371" ht="20" customHeight="1" x14ac:dyDescent="0.2"/>
    <row r="372" ht="20" customHeight="1" x14ac:dyDescent="0.2"/>
    <row r="373" ht="20" customHeight="1" x14ac:dyDescent="0.2"/>
    <row r="374" ht="20" customHeight="1" x14ac:dyDescent="0.2"/>
    <row r="375" ht="20" customHeight="1" x14ac:dyDescent="0.2"/>
    <row r="376" ht="20" customHeight="1" x14ac:dyDescent="0.2"/>
    <row r="377" ht="20" customHeight="1" x14ac:dyDescent="0.2"/>
    <row r="378" ht="20" customHeight="1" x14ac:dyDescent="0.2"/>
    <row r="379" ht="20" customHeight="1" x14ac:dyDescent="0.2"/>
    <row r="380" ht="20" customHeight="1" x14ac:dyDescent="0.2"/>
    <row r="381" ht="20" customHeight="1" x14ac:dyDescent="0.2"/>
  </sheetData>
  <mergeCells count="1">
    <mergeCell ref="AA5:AF5"/>
  </mergeCells>
  <conditionalFormatting sqref="S6:S87">
    <cfRule type="expression" dxfId="15" priority="16">
      <formula>S6&lt;0</formula>
    </cfRule>
  </conditionalFormatting>
  <conditionalFormatting sqref="T6:T87">
    <cfRule type="cellIs" dxfId="14" priority="1" operator="greaterThan">
      <formula>1</formula>
    </cfRule>
    <cfRule type="cellIs" dxfId="13" priority="2" operator="between">
      <formula>0.95</formula>
      <formula>1</formula>
    </cfRule>
    <cfRule type="cellIs" dxfId="12" priority="3" operator="between">
      <formula>0.0001</formula>
      <formula>0.9499</formula>
    </cfRule>
    <cfRule type="cellIs" dxfId="11" priority="4" operator="between"/>
    <cfRule type="expression" dxfId="10" priority="5">
      <formula>AND(T6&gt;1,T6&lt;&gt;"")</formula>
    </cfRule>
    <cfRule type="expression" dxfId="9" priority="6">
      <formula>AND(T6&gt;=0.95,T6&lt;=1)</formula>
    </cfRule>
    <cfRule type="expression" dxfId="8" priority="7">
      <formula>AND(T6&gt;0,T6&lt;0.95)</formula>
    </cfRule>
    <cfRule type="expression" dxfId="7" priority="8">
      <formula>AND(T6=0,E6&lt;&gt;"")</formula>
    </cfRule>
  </conditionalFormatting>
  <conditionalFormatting sqref="W6:W87">
    <cfRule type="containsText" dxfId="6" priority="9" operator="containsText" text="Lewat Jatuh Tempo">
      <formula>NOT(ISERROR(SEARCH("Lewat Jatuh Tempo",W6)))</formula>
    </cfRule>
    <cfRule type="containsText" dxfId="5" priority="10" operator="containsText" text="Jatuh Tempo Hari Ini">
      <formula>NOT(ISERROR(SEARCH("Jatuh Tempo Hari Ini",W6)))</formula>
    </cfRule>
    <cfRule type="containsText" dxfId="4" priority="11" operator="containsText" text="Belum Jatuh Tempo">
      <formula>NOT(ISERROR(SEARCH("Belum Jatuh Tempo",W6)))</formula>
    </cfRule>
  </conditionalFormatting>
  <conditionalFormatting sqref="Y6:Y87">
    <cfRule type="containsText" dxfId="3" priority="12" operator="containsText" text="Belum Kirim">
      <formula>NOT(ISERROR(SEARCH("Belum Kirim",Y6)))</formula>
    </cfRule>
    <cfRule type="containsText" dxfId="2" priority="13" operator="containsText" text="Proses">
      <formula>NOT(ISERROR(SEARCH("Proses",Y6)))</formula>
    </cfRule>
    <cfRule type="containsText" dxfId="1" priority="14" operator="containsText" text="Selesai">
      <formula>NOT(ISERROR(SEARCH("Selesai",Y6)))</formula>
    </cfRule>
    <cfRule type="containsText" dxfId="0" priority="15" operator="containsText" text="Over">
      <formula>NOT(ISERROR(SEARCH("Over",Y6)))</formula>
    </cfRule>
  </conditionalFormatting>
  <dataValidations count="1">
    <dataValidation type="list" allowBlank="1" showInputMessage="1" showErrorMessage="1" sqref="N6:N87" xr:uid="{B0DA5B03-1E76-A949-8FC2-0D997429C1CE}">
      <formula1>"Franco,Loco PKS Luwu,Loco Tanki Timbun,Loco PKS,Loco Pabrik"</formula1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D7332-7B56-7E4A-8F60-B6B51A433EFE}">
  <sheetPr codeName="Sheet3"/>
  <dimension ref="A1:M13"/>
  <sheetViews>
    <sheetView showGridLines="0" zoomScale="99" workbookViewId="0">
      <selection activeCell="O14" sqref="O14"/>
    </sheetView>
  </sheetViews>
  <sheetFormatPr baseColWidth="10" defaultRowHeight="15" x14ac:dyDescent="0.2"/>
  <sheetData>
    <row r="1" spans="1:13" ht="21" x14ac:dyDescent="0.25">
      <c r="A1" s="76" t="s">
        <v>1309</v>
      </c>
    </row>
    <row r="3" spans="1:13" x14ac:dyDescent="0.2">
      <c r="A3" s="73" t="s">
        <v>1310</v>
      </c>
      <c r="B3" s="73" t="s">
        <v>34</v>
      </c>
      <c r="C3" s="73" t="s">
        <v>1311</v>
      </c>
      <c r="D3" s="73" t="s">
        <v>1312</v>
      </c>
      <c r="E3" s="73" t="s">
        <v>1159</v>
      </c>
      <c r="F3" s="73" t="s">
        <v>1313</v>
      </c>
      <c r="G3" t="s">
        <v>1310</v>
      </c>
      <c r="H3" t="s">
        <v>1315</v>
      </c>
      <c r="I3" t="s">
        <v>1316</v>
      </c>
      <c r="J3" t="s">
        <v>1317</v>
      </c>
    </row>
    <row r="4" spans="1:13" x14ac:dyDescent="0.2">
      <c r="A4" t="s">
        <v>44</v>
      </c>
      <c r="B4" t="s">
        <v>1314</v>
      </c>
      <c r="C4">
        <v>119.4221</v>
      </c>
      <c r="D4">
        <v>-5.1477000000000004</v>
      </c>
      <c r="E4">
        <f>SUMIF(Database!$F$4:$F$1966,"PT JAS MULIA",Database!$N$4:$N$1966)+SUMIF(Database!$F$4:$F$1966,"PT. WISAN PETRO ENERGI",Database!$N$4:$N$1966)</f>
        <v>0</v>
      </c>
      <c r="F4">
        <f t="shared" ref="F4:F9" si="0">IF(E4=0,1,E4/1000)</f>
        <v>1</v>
      </c>
      <c r="G4" t="s">
        <v>44</v>
      </c>
      <c r="H4">
        <v>119.4221</v>
      </c>
      <c r="I4">
        <v>-5.1477000000000004</v>
      </c>
      <c r="J4">
        <v>2.46</v>
      </c>
    </row>
    <row r="5" spans="1:13" x14ac:dyDescent="0.2">
      <c r="A5" t="s">
        <v>55</v>
      </c>
      <c r="B5" t="s">
        <v>54</v>
      </c>
      <c r="C5">
        <v>119.8707</v>
      </c>
      <c r="D5">
        <v>-0.90029999999999999</v>
      </c>
      <c r="E5">
        <f>SUMIF(Database!$F$4:$F$1966,"PT. KASMAR MATANO PERSADA",Database!$N$4:$N$1966)</f>
        <v>0</v>
      </c>
      <c r="F5">
        <f t="shared" si="0"/>
        <v>1</v>
      </c>
      <c r="G5" t="s">
        <v>55</v>
      </c>
      <c r="H5">
        <v>119.8707</v>
      </c>
      <c r="I5">
        <v>-0.90029999999999999</v>
      </c>
      <c r="J5">
        <v>100</v>
      </c>
    </row>
    <row r="6" spans="1:13" x14ac:dyDescent="0.2">
      <c r="A6" t="s">
        <v>68</v>
      </c>
      <c r="B6" t="s">
        <v>67</v>
      </c>
      <c r="C6">
        <v>120.42</v>
      </c>
      <c r="D6">
        <v>-2.52</v>
      </c>
      <c r="E6">
        <f>SUMIF(Database!$F$4:$F$1966,"PT. MADINRA INTI SAWIT",Database!$N$4:$N$1966)</f>
        <v>0</v>
      </c>
      <c r="F6">
        <f t="shared" si="0"/>
        <v>1</v>
      </c>
      <c r="G6" t="s">
        <v>68</v>
      </c>
      <c r="H6">
        <v>120.42</v>
      </c>
      <c r="I6">
        <v>-2.52</v>
      </c>
      <c r="J6">
        <v>68.47</v>
      </c>
    </row>
    <row r="7" spans="1:13" x14ac:dyDescent="0.2">
      <c r="A7" t="s">
        <v>75</v>
      </c>
      <c r="B7" t="s">
        <v>74</v>
      </c>
      <c r="C7">
        <v>120.331</v>
      </c>
      <c r="D7">
        <v>-2.5529999999999999</v>
      </c>
      <c r="E7">
        <f>SUMIF(Database!$F$4:$F$1966,"PT. PERKEBUNAN NUSANTARA",Database!$N$4:$N$1966)</f>
        <v>0</v>
      </c>
      <c r="F7">
        <f t="shared" si="0"/>
        <v>1</v>
      </c>
      <c r="G7" t="s">
        <v>75</v>
      </c>
      <c r="H7">
        <v>120.331</v>
      </c>
      <c r="I7">
        <v>-2.5529999999999999</v>
      </c>
      <c r="J7">
        <v>45.66</v>
      </c>
    </row>
    <row r="8" spans="1:13" x14ac:dyDescent="0.2">
      <c r="A8" t="s">
        <v>82</v>
      </c>
      <c r="B8" t="s">
        <v>81</v>
      </c>
      <c r="C8">
        <v>121.54</v>
      </c>
      <c r="D8">
        <v>-4.17</v>
      </c>
      <c r="E8">
        <f>SUMIF(Database!$F$4:$F$1966,"PT. BUKIT JEJER LESTARI",Database!$N$4:$N$1966)</f>
        <v>0</v>
      </c>
      <c r="F8">
        <f t="shared" si="0"/>
        <v>1</v>
      </c>
      <c r="G8" t="s">
        <v>82</v>
      </c>
      <c r="H8">
        <v>121.54</v>
      </c>
      <c r="I8">
        <v>-4.17</v>
      </c>
      <c r="J8">
        <v>15.17</v>
      </c>
    </row>
    <row r="9" spans="1:13" x14ac:dyDescent="0.2">
      <c r="A9" t="s">
        <v>88</v>
      </c>
      <c r="B9" t="s">
        <v>65</v>
      </c>
      <c r="C9">
        <v>120.79</v>
      </c>
      <c r="D9">
        <v>-3.05</v>
      </c>
      <c r="E9">
        <f>SUMIF(Database!$F$4:$F$1966,"PT. WIJAYA NUSANTARA ENERGI",Database!$N$4:$N$1966)</f>
        <v>0</v>
      </c>
      <c r="F9">
        <f t="shared" si="0"/>
        <v>1</v>
      </c>
      <c r="G9" t="s">
        <v>88</v>
      </c>
      <c r="H9">
        <v>120.79</v>
      </c>
      <c r="I9">
        <v>-3.05</v>
      </c>
      <c r="J9">
        <v>5.97</v>
      </c>
    </row>
    <row r="10" spans="1:13" x14ac:dyDescent="0.2">
      <c r="H10" t="s">
        <v>44</v>
      </c>
      <c r="I10" t="s">
        <v>55</v>
      </c>
      <c r="J10" t="s">
        <v>68</v>
      </c>
      <c r="K10" t="s">
        <v>75</v>
      </c>
      <c r="L10" t="s">
        <v>82</v>
      </c>
      <c r="M10" t="s">
        <v>88</v>
      </c>
    </row>
    <row r="11" spans="1:13" x14ac:dyDescent="0.2">
      <c r="G11" t="s">
        <v>1318</v>
      </c>
      <c r="H11">
        <v>119.4221</v>
      </c>
      <c r="I11">
        <v>119.8707</v>
      </c>
      <c r="J11">
        <v>120.42</v>
      </c>
      <c r="K11">
        <v>120.331</v>
      </c>
      <c r="L11">
        <v>121.54</v>
      </c>
      <c r="M11">
        <v>120.79</v>
      </c>
    </row>
    <row r="12" spans="1:13" x14ac:dyDescent="0.2">
      <c r="G12" t="s">
        <v>1319</v>
      </c>
      <c r="H12">
        <v>-5.1477000000000004</v>
      </c>
      <c r="I12">
        <v>-0.90029999999999999</v>
      </c>
      <c r="J12">
        <v>-2.52</v>
      </c>
      <c r="K12">
        <v>-2.5529999999999999</v>
      </c>
      <c r="L12">
        <v>-4.17</v>
      </c>
      <c r="M12">
        <v>-3.05</v>
      </c>
    </row>
    <row r="13" spans="1:13" x14ac:dyDescent="0.2">
      <c r="G13" t="s">
        <v>1320</v>
      </c>
      <c r="H13">
        <v>2.46</v>
      </c>
      <c r="I13">
        <v>100</v>
      </c>
      <c r="J13">
        <v>68.47</v>
      </c>
      <c r="K13">
        <v>45.66</v>
      </c>
      <c r="L13">
        <v>15.17</v>
      </c>
      <c r="M13">
        <v>5.97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A1:P54"/>
  <sheetViews>
    <sheetView showGridLines="0" zoomScaleNormal="100" workbookViewId="0">
      <selection activeCell="B8" sqref="B8:I8"/>
    </sheetView>
  </sheetViews>
  <sheetFormatPr baseColWidth="10" defaultColWidth="0" defaultRowHeight="17" x14ac:dyDescent="0.25"/>
  <cols>
    <col min="1" max="1" width="2.83203125" style="20" customWidth="1"/>
    <col min="2" max="2" width="9.5" style="20" customWidth="1"/>
    <col min="3" max="3" width="28.5" style="20" customWidth="1"/>
    <col min="4" max="4" width="9.83203125" style="20" customWidth="1"/>
    <col min="5" max="5" width="12.33203125" style="20" customWidth="1"/>
    <col min="6" max="8" width="9.83203125" style="20" customWidth="1"/>
    <col min="9" max="9" width="11.83203125" style="20" customWidth="1"/>
    <col min="10" max="11" width="9.83203125" style="20" customWidth="1"/>
    <col min="12" max="12" width="11.33203125" style="20" customWidth="1"/>
    <col min="13" max="13" width="9.83203125" style="20" customWidth="1"/>
    <col min="14" max="14" width="12.5" style="20" customWidth="1"/>
    <col min="15" max="15" width="13.83203125" style="20" customWidth="1"/>
    <col min="16" max="16" width="2.83203125" style="20" customWidth="1"/>
    <col min="17" max="16384" width="10.83203125" style="20" hidden="1"/>
  </cols>
  <sheetData>
    <row r="1" spans="2:15" ht="39.75" customHeight="1" x14ac:dyDescent="0.25">
      <c r="B1" s="446" t="s">
        <v>1126</v>
      </c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</row>
    <row r="2" spans="2:15" ht="30" customHeight="1" x14ac:dyDescent="0.25">
      <c r="B2" s="87" t="s">
        <v>1127</v>
      </c>
      <c r="C2" s="88"/>
      <c r="D2" s="89"/>
      <c r="E2" s="90" t="s">
        <v>1128</v>
      </c>
      <c r="F2" s="447" t="str">
        <f>TEXT(_xlfn.MINIFS(Database!$K$4:$K$4826,Database!$K$4:$K$4826,"&gt;"&amp;0),"DD MMM YYYY")&amp;"  –  "&amp;TEXT(MAX(Database!$K$4:$K$4826),"DD MMM YYYY")</f>
        <v>08 Sep 2025  –  30 May 2026</v>
      </c>
      <c r="G2" s="447"/>
      <c r="H2" s="447"/>
      <c r="I2" s="447"/>
      <c r="J2" s="90"/>
      <c r="K2" s="90" t="s">
        <v>1129</v>
      </c>
      <c r="L2" s="448" t="str">
        <f ca="1">TEXT(NOW(),"DD MMM YYYY")</f>
        <v>03 Jun 2026</v>
      </c>
      <c r="M2" s="448"/>
      <c r="N2" s="448"/>
      <c r="O2" s="90"/>
    </row>
    <row r="3" spans="2:15" s="27" customFormat="1" ht="7.5" customHeight="1" x14ac:dyDescent="0.25"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</row>
    <row r="4" spans="2:15" s="27" customFormat="1" ht="16.5" customHeight="1" x14ac:dyDescent="0.25"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</row>
    <row r="5" spans="2:15" ht="24.75" customHeight="1" x14ac:dyDescent="0.25">
      <c r="B5" s="449" t="s">
        <v>1130</v>
      </c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</row>
    <row r="6" spans="2:15" ht="24.75" customHeight="1" x14ac:dyDescent="0.25">
      <c r="B6" s="450" t="s">
        <v>1131</v>
      </c>
      <c r="C6" s="450"/>
      <c r="D6" s="450"/>
      <c r="E6" s="450"/>
      <c r="F6" s="92"/>
      <c r="G6" s="450" t="s">
        <v>1132</v>
      </c>
      <c r="H6" s="450"/>
      <c r="I6" s="450"/>
      <c r="J6" s="450"/>
      <c r="K6" s="92"/>
      <c r="L6" s="450" t="s">
        <v>1133</v>
      </c>
      <c r="M6" s="450"/>
      <c r="N6" s="450"/>
      <c r="O6" s="450"/>
    </row>
    <row r="7" spans="2:15" s="96" customFormat="1" ht="31.5" customHeight="1" x14ac:dyDescent="0.2">
      <c r="B7" s="93" t="s">
        <v>1104</v>
      </c>
      <c r="C7" s="93" t="s">
        <v>1106</v>
      </c>
      <c r="D7" s="93" t="s">
        <v>1134</v>
      </c>
      <c r="E7" s="94" t="s">
        <v>1135</v>
      </c>
      <c r="F7" s="95"/>
      <c r="G7" s="93" t="s">
        <v>1104</v>
      </c>
      <c r="H7" s="93" t="s">
        <v>1106</v>
      </c>
      <c r="I7" s="93" t="s">
        <v>1134</v>
      </c>
      <c r="J7" s="94" t="s">
        <v>1135</v>
      </c>
      <c r="K7" s="95"/>
      <c r="L7" s="93" t="s">
        <v>1104</v>
      </c>
      <c r="M7" s="93" t="s">
        <v>1106</v>
      </c>
      <c r="N7" s="93" t="s">
        <v>1134</v>
      </c>
      <c r="O7" s="94" t="s">
        <v>1135</v>
      </c>
    </row>
    <row r="8" spans="2:15" s="100" customFormat="1" ht="24.75" customHeight="1" x14ac:dyDescent="0.3">
      <c r="B8" s="97" cm="1">
        <f t="array" ref="B8">SUMPRODUCT((IF(OR($C$2="",$C$2=0),Database!$I$4:$I$1980&lt;&gt;"",Database!$I$4:$I$1980=$C$2))*(Database!$J$4:$J$1980="6 Roda"))</f>
        <v>846</v>
      </c>
      <c r="C8" s="97" cm="1">
        <f t="array" ref="C8">SUMPRODUCT((IF(OR($C$2="",$C$2=0),Database!$I$4:$I$1980&lt;&gt;"",Database!$N$4:$N$1980=$C$2))*(Database!$J$4:$J$1980="6 Roda")*Database!$N$4:$N$1980)/1000</f>
        <v>8053.43</v>
      </c>
      <c r="D8" s="97" cm="1">
        <f t="array" ref="D8">IFERROR(SUMPRODUCT((IF(OR($C$2="",$C$2=0),Database!$H$4:$H$1980&lt;&gt;"",Database!$H$4:$H$1980=$C$2))*(Database!$J$4:$J$1980="6 Roda")*Database!$N$4:$N$1980)/SUMPRODUCT((IF(OR($C$2="",$C$2=0),Database!$H$4:$H$1980&lt;&gt;"",Database!$H$4:$H$1980=$C$2))*(Database!$J$4:$J$1980="6 Roda")*1),0)</f>
        <v>9519.4208037825065</v>
      </c>
      <c r="E8" s="98" cm="1">
        <f t="array" ref="E8">IFERROR(SUMPRODUCT((IF(OR($C$2="",$C$2=0),Database!$H$4:$H$1980&lt;&gt;"",Database!$H$4:$H$1980=$C$2))*(Database!$J$4:$J$1980="6 Roda"))/SUMPRODUCT((IF(OR($C$2="",$C$2=0),Database!$H$4:$H$1980&lt;&gt;"",Database!$H$4:$H$1980=$C$2))*1),0)</f>
        <v>0.54092071611253201</v>
      </c>
      <c r="F8" s="99"/>
      <c r="G8" s="97" cm="1">
        <f t="array" ref="G8">SUMPRODUCT((IF(OR($C$2="",$C$2=0),Database!$H$4:$H$1980&lt;&gt;"",Database!$H$4:$H$1980=$C$2))*(Database!$J$4:$J$1980="10 Roda"))</f>
        <v>454</v>
      </c>
      <c r="H8" s="97" cm="1">
        <f t="array" ref="H8">SUMPRODUCT((IF(OR($C$2="",$C$2=0),Database!$H$4:$H$1980&lt;&gt;"",Database!$H$4:$H$1980=$C$2))*(Database!$J$4:$J$1980="10 Roda")*Database!$N$4:$N$1980)/1000</f>
        <v>6370.33</v>
      </c>
      <c r="I8" s="97" cm="1">
        <f t="array" ref="I8">IFERROR(SUMPRODUCT((IF(OR($C$2="",$C$2=0),Database!$H$4:$H$1980&lt;&gt;"",Database!$H$4:$H$1980=$C$2))*(Database!$J$4:$J$1980="10 Roda")*Database!$N$4:$N$1980)/SUMPRODUCT((IF(OR($C$2="",$C$2=0),Database!$H$4:$H$1980&lt;&gt;"",Database!$H$4:$H$1980=$C$2))*(Database!$J$4:$J$1980="10 Roda")*1),0)</f>
        <v>14031.563876651982</v>
      </c>
      <c r="J8" s="98" cm="1">
        <f t="array" ref="J8">IFERROR(SUMPRODUCT((IF(OR($C$2="",$C$2=0),Database!$H$4:$H$1980&lt;&gt;"",Database!$H$4:$H$1980=$C$2))*(Database!$J$4:$J$1980="10 Roda"))/SUMPRODUCT((IF(OR($C$2="",$C$2=0),Database!$H$4:$H$1980&lt;&gt;"",Database!$H$4:$H$1980=$C$2))*1),0)</f>
        <v>0.29028132992327366</v>
      </c>
      <c r="K8" s="99"/>
      <c r="L8" s="97" cm="1">
        <f t="array" ref="L8">SUMPRODUCT((IF(OR($C$2="",$C$2=0),Database!$H$4:$H$1980&lt;&gt;"",Database!$H$4:$H$1980=$C$2))*(Database!$J$4:$J$1980="12 Roda"))</f>
        <v>264</v>
      </c>
      <c r="M8" s="97" cm="1">
        <f t="array" ref="M8">SUMPRODUCT((IF(OR($C$2="",$C$2=0),Database!$H$4:$H$1980&lt;&gt;"",Database!$H$4:$H$1980=$C$2))*(Database!$J$4:$J$1980="12 Roda")*Database!$N$4:$N$1980)/1000</f>
        <v>7340.52</v>
      </c>
      <c r="N8" s="97" cm="1">
        <f t="array" ref="N8">IFERROR(SUMPRODUCT((IF(OR($C$2="",$C$2=0),Database!$H$4:$H$1980&lt;&gt;"",Database!$H$4:$H$1980=$C$2))*(Database!$J$4:$J$1980="12 Roda")*Database!$N$4:$N$1980)/SUMPRODUCT((IF(OR($C$2="",$C$2=0),Database!$H$4:$H$1980&lt;&gt;"",Database!$H$4:$H$1980=$C$2))*(Database!$J$4:$J$1980="12 Roda")*1),0)</f>
        <v>27805</v>
      </c>
      <c r="O8" s="98">
        <f>IFERROR(COUNTIFS(#REF!,$C$2,#REF!,"12 Roda")/COUNTIFS(#REF!,$C$2),0)</f>
        <v>0</v>
      </c>
    </row>
    <row r="9" spans="2:15" ht="3.75" customHeight="1" x14ac:dyDescent="0.25"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</row>
    <row r="10" spans="2:15" ht="13.5" customHeight="1" x14ac:dyDescent="0.25"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</row>
    <row r="11" spans="2:15" ht="24.75" customHeight="1" x14ac:dyDescent="0.25">
      <c r="B11" s="443" t="s">
        <v>1136</v>
      </c>
      <c r="C11" s="443"/>
      <c r="D11" s="443"/>
      <c r="E11" s="443"/>
      <c r="F11" s="443"/>
      <c r="G11" s="443"/>
      <c r="H11" s="103"/>
      <c r="I11" s="443" t="s">
        <v>1137</v>
      </c>
      <c r="J11" s="443"/>
      <c r="K11" s="443"/>
      <c r="L11" s="443"/>
      <c r="M11" s="443"/>
      <c r="N11" s="443"/>
      <c r="O11" s="443"/>
    </row>
    <row r="12" spans="2:15" s="106" customFormat="1" ht="24.75" customHeight="1" x14ac:dyDescent="0.2">
      <c r="B12" s="104" t="s">
        <v>1102</v>
      </c>
      <c r="C12" s="104" t="s">
        <v>1138</v>
      </c>
      <c r="D12" s="104" t="s">
        <v>1104</v>
      </c>
      <c r="E12" s="104" t="s">
        <v>1106</v>
      </c>
      <c r="F12" s="104" t="s">
        <v>1107</v>
      </c>
      <c r="G12" s="104" t="s">
        <v>1108</v>
      </c>
      <c r="H12" s="105"/>
      <c r="I12" s="104" t="s">
        <v>1138</v>
      </c>
      <c r="J12" s="104" t="s">
        <v>1139</v>
      </c>
      <c r="K12" s="104" t="s">
        <v>1140</v>
      </c>
      <c r="L12" s="104" t="s">
        <v>1141</v>
      </c>
      <c r="M12" s="104" t="s">
        <v>1142</v>
      </c>
      <c r="N12" s="104" t="s">
        <v>1143</v>
      </c>
      <c r="O12" s="104"/>
    </row>
    <row r="13" spans="2:15" s="108" customFormat="1" ht="19.5" customHeight="1" x14ac:dyDescent="0.2">
      <c r="B13" s="43">
        <v>1</v>
      </c>
      <c r="C13" s="44" t="s">
        <v>1131</v>
      </c>
      <c r="D13" s="45" cm="1">
        <f t="array" ref="D13">SUMPRODUCT((IF(OR($C$2="",$C$2=0),Database!$I$4:$I$1980&lt;&gt;"",Database!$I$4:$I$1980=$C$2))*(Database!$J$4:$J$1980="6 Roda"))</f>
        <v>846</v>
      </c>
      <c r="E13" s="46" cm="1">
        <f t="array" ref="E13">SUMPRODUCT((IF(OR($C$2="",$C$2=0),Database!$I$4:$I$1980&lt;&gt;"",Database!$I$4:$I$1980=$C$2))*(Database!$J$4:$J$1980="6 Roda")*Database!$N$4:$N$1980)/1000</f>
        <v>8053.43</v>
      </c>
      <c r="F13" s="107">
        <f>IFERROR(D13/D16,0)</f>
        <v>0.54092071611253201</v>
      </c>
      <c r="G13" s="107">
        <f>IFERROR(E13/E16,0)</f>
        <v>0.37002970004061703</v>
      </c>
      <c r="H13" s="44"/>
      <c r="I13" s="44" t="s">
        <v>1131</v>
      </c>
      <c r="J13" s="46" cm="1">
        <f t="array" ref="J13">IFERROR(SUMPRODUCT((IF(OR($C$2="",$C$2=0),Database!$H$4:$H$1980&lt;&gt;"",Database!$H$4:$H$1980=$C$2))*(Database!$J$4:$J$1980="6 Roda")*Database!$N$4:$N$1980)/SUMPRODUCT((IF(OR($C$2="",$C$2=0),Database!$H$4:$H$1980&lt;&gt;"",Database!$H$4:$H$1980=$C$2))*(Database!$J$4:$J$1980="6 Roda")*1),0)</f>
        <v>9519.4208037825065</v>
      </c>
      <c r="K13" s="46">
        <f>IFERROR(IF(OR($C$2="",$C$2=0),_xlfn.MAXIFS(Database!$N$4:$N$1980,Database!$J$4:$J$1980,"6 Roda",Database!$H$4:$H$1980,"*"),_xlfn.MAXIFS(Database!$N$4:$N$1980,Database!$H$4:$H$1980,$C$2,Database!$J$4:$J$1980,"6 Roda")),0)</f>
        <v>28440</v>
      </c>
      <c r="L13" s="46">
        <f>IFERROR(IF(OR($C$2="",$C$2=0),_xlfn.MINIFS(Database!$N$4:$N$1980,Database!$J$4:$J$1980,"6 Roda",Database!$H$4:$H$1980,"*",Database!$N$4:$N$1980,"&gt;"&amp;0),_xlfn.MINIFS(Database!$N$4:$N$1980,Database!$H$4:$H$1980,$C$2,Database!$J$4:$J$1980,"6 Roda",Database!$N$4:$N$1980,"&gt;"&amp;0)),0)</f>
        <v>190</v>
      </c>
      <c r="M13" s="46">
        <f>K13-L13</f>
        <v>28250</v>
      </c>
      <c r="N13" s="107">
        <f>IFERROR(J13/10000,0)</f>
        <v>0.95194208037825068</v>
      </c>
      <c r="O13" s="44"/>
    </row>
    <row r="14" spans="2:15" s="108" customFormat="1" ht="19.5" customHeight="1" x14ac:dyDescent="0.2">
      <c r="B14" s="1">
        <v>2</v>
      </c>
      <c r="C14" s="31" t="s">
        <v>1132</v>
      </c>
      <c r="D14" s="49" cm="1">
        <f t="array" ref="D14">SUMPRODUCT((IF(OR($C$2="",$C$2=0),Database!$I$4:$I$1980&lt;&gt;"",Database!$I$4:$I$1980=$C$2))*(Database!$J$4:$J$1980="10 Roda"))</f>
        <v>454</v>
      </c>
      <c r="E14" s="109" cm="1">
        <f t="array" ref="E14">SUMPRODUCT((IF(OR($C$2="",$C$2=0),Database!$I$4:$I$1980&lt;&gt;"",Database!$I$4:$I$1980=$C$2))*(Database!$J$4:$J$1980="10 Roda")*Database!$N$4:$N$1980)/1000</f>
        <v>6370.33</v>
      </c>
      <c r="F14" s="110">
        <f>IFERROR(D14/D16,0)</f>
        <v>0.29028132992327366</v>
      </c>
      <c r="G14" s="110">
        <f>IFERROR(E14/E16,0)</f>
        <v>0.29269656519765413</v>
      </c>
      <c r="H14" s="31"/>
      <c r="I14" s="31" t="s">
        <v>1132</v>
      </c>
      <c r="J14" s="50" cm="1">
        <f t="array" ref="J14">IFERROR(SUMPRODUCT((IF(OR($C$2="",$C$2=0),Database!$H$4:$H$1980&lt;&gt;"",Database!$H$4:$H$1980=$C$2))*(Database!$J$4:$J$1980="10 Roda")*Database!$N$4:$N$1980)/SUMPRODUCT((IF(OR($C$2="",$C$2=0),Database!$H$4:$H$1980&lt;&gt;"",Database!$H$4:$H$1980=$C$2))*(Database!$J$4:$J$1980="10 Roda")*1),0)</f>
        <v>14031.563876651982</v>
      </c>
      <c r="K14" s="50">
        <f>IFERROR(IF(OR($C$2="",$C$2=0),_xlfn.MAXIFS(Database!$N$4:$N$1980,Database!$J$4:$J$1980,"10 Roda",Database!$H$4:$H$1980,"*"),_xlfn.MAXIFS(Database!$N$4:$N$1980,Database!$H$4:$H$1980,$C$2,Database!$J$4:$J$1980,"10 Roda")),0)</f>
        <v>29000</v>
      </c>
      <c r="L14" s="50">
        <f>IFERROR(IF(OR($C$2="",$C$2=0),_xlfn.MINIFS(Database!$N$4:$N$1980,Database!$J$4:$J$1980,"10 Roda",Database!$H$4:$H$1980,"*",Database!$N$4:$N$1980,"&gt;"&amp;0),_xlfn.MINIFS(Database!$N$4:$N$1980,Database!$H$4:$H$1980,$C$2,Database!$J$4:$J$1980,"10 Roda",Database!$N$4:$N$1980,"&gt;"&amp;0)),0)</f>
        <v>1080</v>
      </c>
      <c r="M14" s="50">
        <f>K14-L14</f>
        <v>27920</v>
      </c>
      <c r="N14" s="110">
        <f>IFERROR(J14/15000,0)</f>
        <v>0.93543759177679886</v>
      </c>
      <c r="O14" s="31"/>
    </row>
    <row r="15" spans="2:15" s="108" customFormat="1" ht="19.5" customHeight="1" x14ac:dyDescent="0.2">
      <c r="B15" s="43">
        <v>3</v>
      </c>
      <c r="C15" s="44" t="s">
        <v>1133</v>
      </c>
      <c r="D15" s="45" cm="1">
        <f t="array" ref="D15">SUMPRODUCT((IF(OR($C$2="",$C$2=0),Database!$I$4:$I$1980&lt;&gt;"",Database!$I$4:$I$1980=$C$2))*(Database!$J$4:$J$1980="12 Roda"))</f>
        <v>264</v>
      </c>
      <c r="E15" s="111" cm="1">
        <f t="array" ref="E15">SUMPRODUCT((IF(OR($C$2="",$C$2=0),Database!$I$4:$I$1980&lt;&gt;"",Database!$I$4:$I$1980=$C$2))*(Database!$J$4:$J$1980="12 Roda")*Database!$N$4:$N$1980)/1000</f>
        <v>7340.52</v>
      </c>
      <c r="F15" s="107">
        <f>IFERROR(D15/D16,0)</f>
        <v>0.16879795396419436</v>
      </c>
      <c r="G15" s="107">
        <f>IFERROR(E15/E16,0)</f>
        <v>0.33727373476172889</v>
      </c>
      <c r="H15" s="44"/>
      <c r="I15" s="44" t="s">
        <v>1133</v>
      </c>
      <c r="J15" s="46" cm="1">
        <f t="array" ref="J15">IFERROR(SUMPRODUCT((IF(OR($C$2="",$C$2=0),Database!$H$4:$H$1980&lt;&gt;"",Database!$H$4:$H$1980=$C$2))*(Database!$J$4:$J$1980="12 Roda")*Database!$N$4:$N$1980)/SUMPRODUCT((IF(OR($C$2="",$C$2=0),Database!$H$4:$H$1980&lt;&gt;"",Database!$H$4:$H$1980=$C$2))*(Database!$J$4:$J$1980="12 Roda")*1),0)</f>
        <v>27805</v>
      </c>
      <c r="K15" s="46">
        <f>IFERROR(IF(OR($C$2="",$C$2=0),_xlfn.MAXIFS(Database!$N$4:$N$1980,Database!$J$4:$J$1980,"12 Roda",Database!$H$4:$H$1980,"*"),_xlfn.MAXIFS(Database!$N$4:$N$1980,Database!$H$4:$H$1980,$C$2,Database!$J$4:$J$1980,"12 Roda")),0)</f>
        <v>28960</v>
      </c>
      <c r="L15" s="46">
        <f>IFERROR(IF(OR($C$2="",$C$2=0),_xlfn.MINIFS(Database!$N$4:$N$1980,Database!$J$4:$J$1980,"12 Roda",Database!$H$4:$H$1980,"*",Database!$N$4:$N$1980,"&gt;"&amp;0),_xlfn.MINIFS(Database!$N$4:$N$1980,Database!$H$4:$H$1980,$C$2,Database!$J$4:$J$1980,"12 Roda",Database!$N$4:$N$1980,"&gt;"&amp;0)),0)</f>
        <v>18530</v>
      </c>
      <c r="M15" s="46">
        <f>K15-L15</f>
        <v>10430</v>
      </c>
      <c r="N15" s="107">
        <f>IFERROR(J15/28000,0)</f>
        <v>0.99303571428571424</v>
      </c>
      <c r="O15" s="44"/>
    </row>
    <row r="16" spans="2:15" s="115" customFormat="1" ht="24.75" customHeight="1" x14ac:dyDescent="0.25">
      <c r="B16" s="444" t="s">
        <v>1122</v>
      </c>
      <c r="C16" s="444"/>
      <c r="D16" s="113">
        <f>SUM(D13:D15)</f>
        <v>1564</v>
      </c>
      <c r="E16" s="113">
        <f>SUM(E13:E15)</f>
        <v>21764.28</v>
      </c>
      <c r="F16" s="114">
        <f>SUM(F13:F15)</f>
        <v>1</v>
      </c>
      <c r="G16" s="114">
        <f>SUM(G13:G15)</f>
        <v>1</v>
      </c>
      <c r="H16" s="54"/>
      <c r="I16" s="445"/>
      <c r="J16" s="445"/>
      <c r="K16" s="445"/>
      <c r="L16" s="445"/>
      <c r="M16" s="445"/>
      <c r="N16" s="445"/>
      <c r="O16" s="445"/>
    </row>
    <row r="17" spans="2:15" ht="15.75" customHeight="1" x14ac:dyDescent="0.25"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</row>
    <row r="18" spans="2:15" ht="24" customHeight="1" x14ac:dyDescent="0.25">
      <c r="B18" s="444" t="s">
        <v>1144</v>
      </c>
      <c r="C18" s="444"/>
      <c r="D18" s="444"/>
      <c r="E18" s="444"/>
      <c r="F18" s="444"/>
      <c r="G18" s="444"/>
      <c r="H18" s="444"/>
      <c r="I18" s="444"/>
      <c r="J18" s="444"/>
      <c r="K18" s="444"/>
      <c r="L18" s="444"/>
      <c r="M18" s="444"/>
      <c r="N18" s="444"/>
      <c r="O18" s="444"/>
    </row>
    <row r="19" spans="2:15" s="116" customFormat="1" ht="18" customHeight="1" x14ac:dyDescent="0.2">
      <c r="B19" s="443" t="s">
        <v>1145</v>
      </c>
      <c r="C19" s="443"/>
      <c r="D19" s="443"/>
      <c r="E19" s="443"/>
      <c r="F19" s="443"/>
      <c r="G19" s="103"/>
      <c r="H19" s="443" t="s">
        <v>1146</v>
      </c>
      <c r="I19" s="443"/>
      <c r="J19" s="443"/>
      <c r="K19" s="443"/>
      <c r="L19" s="103"/>
      <c r="M19" s="443" t="s">
        <v>1147</v>
      </c>
      <c r="N19" s="443"/>
      <c r="O19" s="443"/>
    </row>
    <row r="20" spans="2:15" s="116" customFormat="1" ht="19.5" customHeight="1" x14ac:dyDescent="0.2">
      <c r="B20" s="112" t="s">
        <v>1110</v>
      </c>
      <c r="C20" s="112" t="s">
        <v>1131</v>
      </c>
      <c r="D20" s="112" t="s">
        <v>1132</v>
      </c>
      <c r="E20" s="112" t="s">
        <v>1133</v>
      </c>
      <c r="F20" s="112" t="s">
        <v>1122</v>
      </c>
      <c r="G20" s="112"/>
      <c r="H20" s="112" t="s">
        <v>1131</v>
      </c>
      <c r="I20" s="112" t="s">
        <v>1132</v>
      </c>
      <c r="J20" s="112" t="s">
        <v>1133</v>
      </c>
      <c r="K20" s="112" t="s">
        <v>1122</v>
      </c>
      <c r="L20" s="112"/>
      <c r="M20" s="112" t="s">
        <v>1148</v>
      </c>
      <c r="N20" s="112" t="s">
        <v>1149</v>
      </c>
      <c r="O20" s="112" t="s">
        <v>1150</v>
      </c>
    </row>
    <row r="21" spans="2:15" s="108" customFormat="1" ht="19.5" customHeight="1" x14ac:dyDescent="0.2">
      <c r="B21" s="48" t="s">
        <v>1112</v>
      </c>
      <c r="C21" s="45" cm="1">
        <f t="array" ref="C21">SUMPRODUCT((IF(OR($C$2="",$C$2=0),Database!$H$4:$H$1980&lt;&gt;"",Database!$H$4:$H$1980=$C$2))*(Database!$J$4:$J$1980="6 Roda")*(TEXT(Database!$K$4:$K$1980,"YYYY-MM")="2025-08"))</f>
        <v>0</v>
      </c>
      <c r="D21" s="45" cm="1">
        <f t="array" ref="D21">SUMPRODUCT((IF(OR($C$2="",$C$2=0),Database!$H$4:$H$1980&lt;&gt;"",Database!$H$4:$H$1980=$C$2))*(Database!$J$4:$J$1980="10 Roda")*(TEXT(Database!$K$4:$K$1980,"YYYY-MM")="2025-08"))</f>
        <v>0</v>
      </c>
      <c r="E21" s="45" cm="1">
        <f t="array" ref="E21">SUMPRODUCT((IF(OR($C$2="",$C$2=0),Database!$H$4:$H$1980&lt;&gt;"",Database!$H$4:$H$1980=$C$2))*(Database!$J$4:$J$1980="12 Roda")*(TEXT(Database!$K$4:$K$1980,"YYYY-MM")="2025-08"))</f>
        <v>0</v>
      </c>
      <c r="F21" s="45">
        <f t="shared" ref="F21:F31" si="0">SUM(C21:E21)</f>
        <v>0</v>
      </c>
      <c r="G21" s="46"/>
      <c r="H21" s="46" cm="1">
        <f t="array" ref="H21">IFERROR(SUMPRODUCT((IF(OR($C$2="",$C$2=0),Database!$H$4:$H$1980&lt;&gt;"",Database!$H$4:$H$1980=$C$2))*(Database!$J$4:$J$1980="6 Roda")*(TEXT(Database!$K$4:$K$1980,"YYYY-MM")="2025-08")*Database!$N$4:$N$1980)/1000,0)</f>
        <v>0</v>
      </c>
      <c r="I21" s="46" cm="1">
        <f t="array" ref="I21">IFERROR(SUMPRODUCT((IF(OR($C$2="",$C$2=0),Database!$H$4:$H$1980&lt;&gt;"",Database!$H$4:$H$1980=$C$2))*(Database!$J$4:$J$1980="10 Roda")*(TEXT(Database!$K$4:$K$1980,"YYYY-MM")="2025-08")*Database!$N$4:$N$1980)/1000,0)</f>
        <v>0</v>
      </c>
      <c r="J21" s="46" cm="1">
        <f t="array" ref="J21">IFERROR(SUMPRODUCT((IF(OR($C$2="",$C$2=0),Database!$H$4:$H$1980&lt;&gt;"",Database!$H$4:$H$1980=$C$2))*(Database!$J$4:$J$1980="12 Roda")*(TEXT(Database!$K$4:$K$1980,"YYYY-MM")="2025-08")*Database!$N$4:$N$1980)/1000,0)</f>
        <v>0</v>
      </c>
      <c r="K21" s="46">
        <f t="shared" ref="K21:K31" si="1">SUM(H21:J21)</f>
        <v>0</v>
      </c>
      <c r="L21" s="46"/>
      <c r="M21" s="107">
        <f t="shared" ref="M21:M32" si="2">IFERROR(C21/F21,0)</f>
        <v>0</v>
      </c>
      <c r="N21" s="107">
        <f t="shared" ref="N21:N32" si="3">IFERROR(D21/F21,0)</f>
        <v>0</v>
      </c>
      <c r="O21" s="107">
        <f t="shared" ref="O21:O32" si="4">IFERROR(E21/F21,0)</f>
        <v>0</v>
      </c>
    </row>
    <row r="22" spans="2:15" s="108" customFormat="1" ht="19.5" customHeight="1" x14ac:dyDescent="0.2">
      <c r="B22" s="52" t="s">
        <v>1113</v>
      </c>
      <c r="C22" s="49" cm="1">
        <f t="array" ref="C22">SUMPRODUCT((IF(OR($C$2="",$C$2=0),Database!$H$4:$H$1980&lt;&gt;"",Database!$H$4:$H$1980=$C$2))*(Database!$J$4:$J$1980="6 Roda")*(TEXT(Database!$K$4:$K$1980,"YYYY-MM")="2025-09"))</f>
        <v>0</v>
      </c>
      <c r="D22" s="49" cm="1">
        <f t="array" ref="D22">SUMPRODUCT((IF(OR($C$2="",$C$2=0),Database!$H$4:$H$1980&lt;&gt;"",Database!$H$4:$H$1980=$C$2))*(Database!$J$4:$J$1980="10 Roda")*(TEXT(Database!$K$4:$K$1980,"YYYY-MM")="2025-09"))</f>
        <v>10</v>
      </c>
      <c r="E22" s="49" cm="1">
        <f t="array" ref="E22">SUMPRODUCT((IF(OR($C$2="",$C$2=0),Database!$H$4:$H$1980&lt;&gt;"",Database!$H$4:$H$1980=$C$2))*(Database!$J$4:$J$1980="12 Roda")*(TEXT(Database!$K$4:$K$1980,"YYYY-MM")="2025-09"))</f>
        <v>3</v>
      </c>
      <c r="F22" s="49">
        <f t="shared" si="0"/>
        <v>13</v>
      </c>
      <c r="G22" s="50"/>
      <c r="H22" s="50" cm="1">
        <f t="array" ref="H22">IFERROR(SUMPRODUCT((IF(OR($C$2="",$C$2=0),Database!$H$4:$H$1980&lt;&gt;"",Database!$H$4:$H$1980=$C$2))*(Database!$J$4:$J$1980="6 Roda")*(TEXT(Database!$K$4:$K$1980,"YYYY-MM")="2025-09")*Database!$N$4:$N$1980)/1000,0)</f>
        <v>0</v>
      </c>
      <c r="I22" s="50" cm="1">
        <f t="array" ref="I22">IFERROR(SUMPRODUCT((IF(OR($C$2="",$C$2=0),Database!$H$4:$H$1980&lt;&gt;"",Database!$H$4:$H$1980=$C$2))*(Database!$J$4:$J$1980="10 Roda")*(TEXT(Database!$K$4:$K$1980,"YYYY-MM")="2025-09")*Database!$N$4:$N$1980)/1000,0)</f>
        <v>136.79</v>
      </c>
      <c r="J22" s="50" cm="1">
        <f t="array" ref="J22">IFERROR(SUMPRODUCT((IF(OR($C$2="",$C$2=0),Database!$H$4:$H$1980&lt;&gt;"",Database!$H$4:$H$1980=$C$2))*(Database!$J$4:$J$1980="12 Roda")*(TEXT(Database!$K$4:$K$1980,"YYYY-MM")="2025-09")*Database!$N$4:$N$1980)/1000,0)</f>
        <v>83.57</v>
      </c>
      <c r="K22" s="50">
        <f t="shared" si="1"/>
        <v>220.35999999999999</v>
      </c>
      <c r="L22" s="50"/>
      <c r="M22" s="110">
        <f t="shared" si="2"/>
        <v>0</v>
      </c>
      <c r="N22" s="110">
        <f t="shared" si="3"/>
        <v>0.76923076923076927</v>
      </c>
      <c r="O22" s="110">
        <f t="shared" si="4"/>
        <v>0.23076923076923078</v>
      </c>
    </row>
    <row r="23" spans="2:15" s="108" customFormat="1" ht="19.5" customHeight="1" x14ac:dyDescent="0.2">
      <c r="B23" s="48" t="s">
        <v>1114</v>
      </c>
      <c r="C23" s="45" cm="1">
        <f t="array" ref="C23">SUMPRODUCT((IF(OR($C$2="",$C$2=0),Database!$H$4:$H$1980&lt;&gt;"",Database!$H$4:$H$1980=$C$2))*(Database!$J$4:$J$1980="6 Roda")*(TEXT(Database!$K$4:$K$1980,"YYYY-MM")="2025-10"))</f>
        <v>0</v>
      </c>
      <c r="D23" s="45" cm="1">
        <f t="array" ref="D23">SUMPRODUCT((IF(OR($C$2="",$C$2=0),Database!$H$4:$H$1980&lt;&gt;"",Database!$H$4:$H$1980=$C$2))*(Database!$J$4:$J$1980="10 Roda")*(TEXT(Database!$K$4:$K$1980,"YYYY-MM")="2025-10"))</f>
        <v>8</v>
      </c>
      <c r="E23" s="45" cm="1">
        <f t="array" ref="E23">SUMPRODUCT((IF(OR($C$2="",$C$2=0),Database!$H$4:$H$1980&lt;&gt;"",Database!$H$4:$H$1980=$C$2))*(Database!$J$4:$J$1980="12 Roda")*(TEXT(Database!$K$4:$K$1980,"YYYY-MM")="2025-10"))</f>
        <v>9</v>
      </c>
      <c r="F23" s="45">
        <f t="shared" si="0"/>
        <v>17</v>
      </c>
      <c r="G23" s="46"/>
      <c r="H23" s="46" cm="1">
        <f t="array" ref="H23">IFERROR(SUMPRODUCT((IF(OR($C$2="",$C$2=0),Database!$H$4:$H$1980&lt;&gt;"",Database!$H$4:$H$1980=$C$2))*(Database!$J$4:$J$1980="6 Roda")*(TEXT(Database!$K$4:$K$1980,"YYYY-MM")="2025-10")*Database!$N$4:$N$1980)/1000,0)</f>
        <v>0</v>
      </c>
      <c r="I23" s="46" cm="1">
        <f t="array" ref="I23">IFERROR(SUMPRODUCT((IF(OR($C$2="",$C$2=0),Database!$H$4:$H$1980&lt;&gt;"",Database!$H$4:$H$1980=$C$2))*(Database!$J$4:$J$1980="10 Roda")*(TEXT(Database!$K$4:$K$1980,"YYYY-MM")="2025-10")*Database!$N$4:$N$1980)/1000,0)</f>
        <v>116.61</v>
      </c>
      <c r="J23" s="46" cm="1">
        <f t="array" ref="J23">IFERROR(SUMPRODUCT((IF(OR($C$2="",$C$2=0),Database!$H$4:$H$1980&lt;&gt;"",Database!$H$4:$H$1980=$C$2))*(Database!$J$4:$J$1980="12 Roda")*(TEXT(Database!$K$4:$K$1980,"YYYY-MM")="2025-10")*Database!$N$4:$N$1980)/1000,0)</f>
        <v>253.04</v>
      </c>
      <c r="K23" s="46">
        <f t="shared" si="1"/>
        <v>369.65</v>
      </c>
      <c r="L23" s="46"/>
      <c r="M23" s="107">
        <f t="shared" si="2"/>
        <v>0</v>
      </c>
      <c r="N23" s="107">
        <f t="shared" si="3"/>
        <v>0.47058823529411764</v>
      </c>
      <c r="O23" s="107">
        <f t="shared" si="4"/>
        <v>0.52941176470588236</v>
      </c>
    </row>
    <row r="24" spans="2:15" s="108" customFormat="1" ht="19.5" customHeight="1" x14ac:dyDescent="0.2">
      <c r="B24" s="52" t="s">
        <v>1115</v>
      </c>
      <c r="C24" s="49" cm="1">
        <f t="array" ref="C24">SUMPRODUCT((IF(OR($C$2="",$C$2=0),Database!$H$4:$H$1980&lt;&gt;"",Database!$H$4:$H$1980=$C$2))*(Database!$J$4:$J$1980="6 Roda")*(TEXT(Database!$K$4:$K$1980,"YYYY-MM")="2025-11"))</f>
        <v>54</v>
      </c>
      <c r="D24" s="49" cm="1">
        <f t="array" ref="D24">SUMPRODUCT((IF(OR($C$2="",$C$2=0),Database!$H$4:$H$1980&lt;&gt;"",Database!$H$4:$H$1980=$C$2))*(Database!$J$4:$J$1980="10 Roda")*(TEXT(Database!$K$4:$K$1980,"YYYY-MM")="2025-11"))</f>
        <v>78</v>
      </c>
      <c r="E24" s="49" cm="1">
        <f t="array" ref="E24">SUMPRODUCT((IF(OR($C$2="",$C$2=0),Database!$H$4:$H$1980&lt;&gt;"",Database!$H$4:$H$1980=$C$2))*(Database!$J$4:$J$1980="12 Roda")*(TEXT(Database!$K$4:$K$1980,"YYYY-MM")="2025-11"))</f>
        <v>48</v>
      </c>
      <c r="F24" s="49">
        <f t="shared" si="0"/>
        <v>180</v>
      </c>
      <c r="G24" s="50"/>
      <c r="H24" s="50" cm="1">
        <f t="array" ref="H24">IFERROR(SUMPRODUCT((IF(OR($C$2="",$C$2=0),Database!$H$4:$H$1980&lt;&gt;"",Database!$H$4:$H$1980=$C$2))*(Database!$J$4:$J$1980="6 Roda")*(TEXT(Database!$K$4:$K$1980,"YYYY-MM")="2025-11")*Database!$N$4:$N$1980)/1000,0)</f>
        <v>518.88</v>
      </c>
      <c r="I24" s="50" cm="1">
        <f t="array" ref="I24">IFERROR(SUMPRODUCT((IF(OR($C$2="",$C$2=0),Database!$H$4:$H$1980&lt;&gt;"",Database!$H$4:$H$1980=$C$2))*(Database!$J$4:$J$1980="10 Roda")*(TEXT(Database!$K$4:$K$1980,"YYYY-MM")="2025-11")*Database!$N$4:$N$1980)/1000,0)</f>
        <v>1126.1400000000001</v>
      </c>
      <c r="J24" s="50" cm="1">
        <f t="array" ref="J24">IFERROR(SUMPRODUCT((IF(OR($C$2="",$C$2=0),Database!$H$4:$H$1980&lt;&gt;"",Database!$H$4:$H$1980=$C$2))*(Database!$J$4:$J$1980="12 Roda")*(TEXT(Database!$K$4:$K$1980,"YYYY-MM")="2025-11")*Database!$N$4:$N$1980)/1000,0)</f>
        <v>1346.07</v>
      </c>
      <c r="K24" s="50">
        <f t="shared" si="1"/>
        <v>2991.09</v>
      </c>
      <c r="L24" s="50"/>
      <c r="M24" s="110">
        <f t="shared" si="2"/>
        <v>0.3</v>
      </c>
      <c r="N24" s="110">
        <f t="shared" si="3"/>
        <v>0.43333333333333335</v>
      </c>
      <c r="O24" s="110">
        <f t="shared" si="4"/>
        <v>0.26666666666666666</v>
      </c>
    </row>
    <row r="25" spans="2:15" s="108" customFormat="1" ht="19.5" customHeight="1" x14ac:dyDescent="0.2">
      <c r="B25" s="48" t="s">
        <v>1116</v>
      </c>
      <c r="C25" s="45" cm="1">
        <f t="array" ref="C25">SUMPRODUCT((IF(OR($C$2="",$C$2=0),Database!$H$4:$H$1980&lt;&gt;"",Database!$H$4:$H$1980=$C$2))*(Database!$J$4:$J$1980="6 Roda")*(TEXT(Database!$K$4:$K$1980,"YYYY-MM")="2025-12"))</f>
        <v>123</v>
      </c>
      <c r="D25" s="45" cm="1">
        <f t="array" ref="D25">SUMPRODUCT((IF(OR($C$2="",$C$2=0),Database!$H$4:$H$1980&lt;&gt;"",Database!$H$4:$H$1980=$C$2))*(Database!$J$4:$J$1980="10 Roda")*(TEXT(Database!$K$4:$K$1980,"YYYY-MM")="2025-12"))</f>
        <v>89</v>
      </c>
      <c r="E25" s="45" cm="1">
        <f t="array" ref="E25">SUMPRODUCT((IF(OR($C$2="",$C$2=0),Database!$H$4:$H$1980&lt;&gt;"",Database!$H$4:$H$1980=$C$2))*(Database!$J$4:$J$1980="12 Roda")*(TEXT(Database!$K$4:$K$1980,"YYYY-MM")="2025-12"))</f>
        <v>61</v>
      </c>
      <c r="F25" s="45">
        <f t="shared" si="0"/>
        <v>273</v>
      </c>
      <c r="G25" s="46"/>
      <c r="H25" s="46" cm="1">
        <f t="array" ref="H25">IFERROR(SUMPRODUCT((IF(OR($C$2="",$C$2=0),Database!$H$4:$H$1980&lt;&gt;"",Database!$H$4:$H$1980=$C$2))*(Database!$J$4:$J$1980="6 Roda")*(TEXT(Database!$K$4:$K$1980,"YYYY-MM")="2025-12")*Database!$N$4:$N$1980)/1000,0)</f>
        <v>1182.4000000000001</v>
      </c>
      <c r="I25" s="46" cm="1">
        <f t="array" ref="I25">IFERROR(SUMPRODUCT((IF(OR($C$2="",$C$2=0),Database!$H$4:$H$1980&lt;&gt;"",Database!$H$4:$H$1980=$C$2))*(Database!$J$4:$J$1980="10 Roda")*(TEXT(Database!$K$4:$K$1980,"YYYY-MM")="2025-12")*Database!$N$4:$N$1980)/1000,0)</f>
        <v>1277</v>
      </c>
      <c r="J25" s="46" cm="1">
        <f t="array" ref="J25">IFERROR(SUMPRODUCT((IF(OR($C$2="",$C$2=0),Database!$H$4:$H$1980&lt;&gt;"",Database!$H$4:$H$1980=$C$2))*(Database!$J$4:$J$1980="12 Roda")*(TEXT(Database!$K$4:$K$1980,"YYYY-MM")="2025-12")*Database!$N$4:$N$1980)/1000,0)</f>
        <v>1698.04</v>
      </c>
      <c r="K25" s="46">
        <f t="shared" si="1"/>
        <v>4157.4400000000005</v>
      </c>
      <c r="L25" s="46"/>
      <c r="M25" s="107">
        <f t="shared" si="2"/>
        <v>0.45054945054945056</v>
      </c>
      <c r="N25" s="107">
        <f t="shared" si="3"/>
        <v>0.32600732600732601</v>
      </c>
      <c r="O25" s="107">
        <f t="shared" si="4"/>
        <v>0.22344322344322345</v>
      </c>
    </row>
    <row r="26" spans="2:15" s="108" customFormat="1" ht="19.5" customHeight="1" x14ac:dyDescent="0.2">
      <c r="B26" s="52" t="s">
        <v>1117</v>
      </c>
      <c r="C26" s="49" cm="1">
        <f t="array" ref="C26">SUMPRODUCT((IF(OR($C$2="",$C$2=0),Database!$H$4:$H$1980&lt;&gt;"",Database!$H$4:$H$1980=$C$2))*(Database!$J$4:$J$1980="6 Roda")*(TEXT(Database!$K$4:$K$1980,"YYYY-MM")="2026-01"))</f>
        <v>14</v>
      </c>
      <c r="D26" s="49" cm="1">
        <f t="array" ref="D26">SUMPRODUCT((IF(OR($C$2="",$C$2=0),Database!$H$4:$H$1980&lt;&gt;"",Database!$H$4:$H$1980=$C$2))*(Database!$J$4:$J$1980="10 Roda")*(TEXT(Database!$K$4:$K$1980,"YYYY-MM")="2026-01"))</f>
        <v>71</v>
      </c>
      <c r="E26" s="49" cm="1">
        <f t="array" ref="E26">SUMPRODUCT((IF(OR($C$2="",$C$2=0),Database!$H$4:$H$1980&lt;&gt;"",Database!$H$4:$H$1980=$C$2))*(Database!$J$4:$J$1980="12 Roda")*(TEXT(Database!$K$4:$K$1980,"YYYY-MM")="2026-01"))</f>
        <v>40</v>
      </c>
      <c r="F26" s="49">
        <f t="shared" si="0"/>
        <v>125</v>
      </c>
      <c r="G26" s="50"/>
      <c r="H26" s="50" cm="1">
        <f t="array" ref="H26">IFERROR(SUMPRODUCT((IF(OR($C$2="",$C$2=0),Database!$H$4:$H$1980&lt;&gt;"",Database!$H$4:$H$1980=$C$2))*(Database!$J$4:$J$1980="6 Roda")*(TEXT(Database!$K$4:$K$1980,"YYYY-MM")="2026-01")*Database!$N$4:$N$1980)/1000,0)</f>
        <v>135.21</v>
      </c>
      <c r="I26" s="50" cm="1">
        <f t="array" ref="I26">IFERROR(SUMPRODUCT((IF(OR($C$2="",$C$2=0),Database!$H$4:$H$1980&lt;&gt;"",Database!$H$4:$H$1980=$C$2))*(Database!$J$4:$J$1980="10 Roda")*(TEXT(Database!$K$4:$K$1980,"YYYY-MM")="2026-01")*Database!$N$4:$N$1980)/1000,0)</f>
        <v>1034.74</v>
      </c>
      <c r="J26" s="50" cm="1">
        <f t="array" ref="J26">IFERROR(SUMPRODUCT((IF(OR($C$2="",$C$2=0),Database!$H$4:$H$1980&lt;&gt;"",Database!$H$4:$H$1980=$C$2))*(Database!$J$4:$J$1980="12 Roda")*(TEXT(Database!$K$4:$K$1980,"YYYY-MM")="2026-01")*Database!$N$4:$N$1980)/1000,0)</f>
        <v>1130.2</v>
      </c>
      <c r="K26" s="50">
        <f t="shared" si="1"/>
        <v>2300.15</v>
      </c>
      <c r="L26" s="50"/>
      <c r="M26" s="110">
        <f t="shared" si="2"/>
        <v>0.112</v>
      </c>
      <c r="N26" s="110">
        <f t="shared" si="3"/>
        <v>0.56799999999999995</v>
      </c>
      <c r="O26" s="110">
        <f t="shared" si="4"/>
        <v>0.32</v>
      </c>
    </row>
    <row r="27" spans="2:15" s="108" customFormat="1" ht="19.5" customHeight="1" x14ac:dyDescent="0.2">
      <c r="B27" s="48" t="s">
        <v>1118</v>
      </c>
      <c r="C27" s="45" cm="1">
        <f t="array" ref="C27">SUMPRODUCT((IF(OR($C$2="",$C$2=0),Database!$H$4:$H$1980&lt;&gt;"",Database!$H$4:$H$1980=$C$2))*(Database!$J$4:$J$1980="6 Roda")*(TEXT(Database!$K$4:$K$1980,"YYYY-MM")="2026-02"))</f>
        <v>109</v>
      </c>
      <c r="D27" s="45" cm="1">
        <f t="array" ref="D27">SUMPRODUCT((IF(OR($C$2="",$C$2=0),Database!$H$4:$H$1980&lt;&gt;"",Database!$H$4:$H$1980=$C$2))*(Database!$J$4:$J$1980="10 Roda")*(TEXT(Database!$K$4:$K$1980,"YYYY-MM")="2026-02"))</f>
        <v>57</v>
      </c>
      <c r="E27" s="45" cm="1">
        <f t="array" ref="E27">SUMPRODUCT((IF(OR($C$2="",$C$2=0),Database!$H$4:$H$1980&lt;&gt;"",Database!$H$4:$H$1980=$C$2))*(Database!$J$4:$J$1980="12 Roda")*(TEXT(Database!$K$4:$K$1980,"YYYY-MM")="2026-02"))</f>
        <v>48</v>
      </c>
      <c r="F27" s="45">
        <f t="shared" si="0"/>
        <v>214</v>
      </c>
      <c r="G27" s="46"/>
      <c r="H27" s="46" cm="1">
        <f t="array" ref="H27">IFERROR(SUMPRODUCT((IF(OR($C$2="",$C$2=0),Database!$H$4:$H$1980&lt;&gt;"",Database!$H$4:$H$1980=$C$2))*(Database!$J$4:$J$1980="6 Roda")*(TEXT(Database!$K$4:$K$1980,"YYYY-MM")="2026-02")*Database!$N$4:$N$1980)/1000,0)</f>
        <v>1025.2</v>
      </c>
      <c r="I27" s="46" cm="1">
        <f t="array" ref="I27">IFERROR(SUMPRODUCT((IF(OR($C$2="",$C$2=0),Database!$H$4:$H$1980&lt;&gt;"",Database!$H$4:$H$1980=$C$2))*(Database!$J$4:$J$1980="10 Roda")*(TEXT(Database!$K$4:$K$1980,"YYYY-MM")="2026-02")*Database!$N$4:$N$1980)/1000,0)</f>
        <v>794.92</v>
      </c>
      <c r="J27" s="46" cm="1">
        <f t="array" ref="J27">IFERROR(SUMPRODUCT((IF(OR($C$2="",$C$2=0),Database!$H$4:$H$1980&lt;&gt;"",Database!$H$4:$H$1980=$C$2))*(Database!$J$4:$J$1980="12 Roda")*(TEXT(Database!$K$4:$K$1980,"YYYY-MM")="2026-02")*Database!$N$4:$N$1980)/1000,0)</f>
        <v>1357.98</v>
      </c>
      <c r="K27" s="46">
        <f t="shared" si="1"/>
        <v>3178.1</v>
      </c>
      <c r="L27" s="46"/>
      <c r="M27" s="107">
        <f t="shared" si="2"/>
        <v>0.50934579439252337</v>
      </c>
      <c r="N27" s="107">
        <f t="shared" si="3"/>
        <v>0.26635514018691586</v>
      </c>
      <c r="O27" s="107">
        <f t="shared" si="4"/>
        <v>0.22429906542056074</v>
      </c>
    </row>
    <row r="28" spans="2:15" s="108" customFormat="1" ht="19.5" customHeight="1" x14ac:dyDescent="0.2">
      <c r="B28" s="52" t="s">
        <v>1119</v>
      </c>
      <c r="C28" s="49" cm="1">
        <f t="array" ref="C28">SUMPRODUCT((IF(OR($C$2="",$C$2=0),Database!$H$4:$H$1980&lt;&gt;"",Database!$H$4:$H$1980=$C$2))*(Database!$J$4:$J$1980="6 Roda")*(TEXT(Database!$K$4:$K$1980,"YYYY-MM")="2026-03"))</f>
        <v>72</v>
      </c>
      <c r="D28" s="49" cm="1">
        <f t="array" ref="D28">SUMPRODUCT((IF(OR($C$2="",$C$2=0),Database!$H$4:$H$1980&lt;&gt;"",Database!$H$4:$H$1980=$C$2))*(Database!$J$4:$J$1980="10 Roda")*(TEXT(Database!$K$4:$K$1980,"YYYY-MM")="2026-03"))</f>
        <v>24</v>
      </c>
      <c r="E28" s="49" cm="1">
        <f t="array" ref="E28">SUMPRODUCT((IF(OR($C$2="",$C$2=0),Database!$H$4:$H$1980&lt;&gt;"",Database!$H$4:$H$1980=$C$2))*(Database!$J$4:$J$1980="12 Roda")*(TEXT(Database!$K$4:$K$1980,"YYYY-MM")="2026-03"))</f>
        <v>15</v>
      </c>
      <c r="F28" s="49">
        <f t="shared" si="0"/>
        <v>111</v>
      </c>
      <c r="G28" s="50"/>
      <c r="H28" s="50" cm="1">
        <f t="array" ref="H28">IFERROR(SUMPRODUCT((IF(OR($C$2="",$C$2=0),Database!$H$4:$H$1980&lt;&gt;"",Database!$H$4:$H$1980=$C$2))*(Database!$J$4:$J$1980="6 Roda")*(TEXT(Database!$K$4:$K$1980,"YYYY-MM")="2026-03")*Database!$N$4:$N$1980)/1000,0)</f>
        <v>680.74</v>
      </c>
      <c r="I28" s="50" cm="1">
        <f t="array" ref="I28">IFERROR(SUMPRODUCT((IF(OR($C$2="",$C$2=0),Database!$H$4:$H$1980&lt;&gt;"",Database!$H$4:$H$1980=$C$2))*(Database!$J$4:$J$1980="10 Roda")*(TEXT(Database!$K$4:$K$1980,"YYYY-MM")="2026-03")*Database!$N$4:$N$1980)/1000,0)</f>
        <v>317.41000000000003</v>
      </c>
      <c r="J28" s="50" cm="1">
        <f t="array" ref="J28">IFERROR(SUMPRODUCT((IF(OR($C$2="",$C$2=0),Database!$H$4:$H$1980&lt;&gt;"",Database!$H$4:$H$1980=$C$2))*(Database!$J$4:$J$1980="12 Roda")*(TEXT(Database!$K$4:$K$1980,"YYYY-MM")="2026-03")*Database!$N$4:$N$1980)/1000,0)</f>
        <v>425.91</v>
      </c>
      <c r="K28" s="50">
        <f t="shared" si="1"/>
        <v>1424.0600000000002</v>
      </c>
      <c r="L28" s="50"/>
      <c r="M28" s="110">
        <f t="shared" si="2"/>
        <v>0.64864864864864868</v>
      </c>
      <c r="N28" s="110">
        <f t="shared" si="3"/>
        <v>0.21621621621621623</v>
      </c>
      <c r="O28" s="110">
        <f t="shared" si="4"/>
        <v>0.13513513513513514</v>
      </c>
    </row>
    <row r="29" spans="2:15" s="108" customFormat="1" ht="19.5" customHeight="1" x14ac:dyDescent="0.2">
      <c r="B29" s="48" t="s">
        <v>1125</v>
      </c>
      <c r="C29" s="45" cm="1">
        <f t="array" ref="C29">SUMPRODUCT((IF(OR($C$2="",$C$2=0),Database!$H$4:$H$1980&lt;&gt;"",Database!$H$4:$H$1980=$C$2))*(Database!$J$4:$J$1980="6 Roda")*(TEXT(Database!$K$4:$K$1980,"YYYY-MM")="2026-04"))</f>
        <v>278</v>
      </c>
      <c r="D29" s="45" cm="1">
        <f t="array" ref="D29">SUMPRODUCT((IF(OR($C$2="",$C$2=0),Database!$H$4:$H$1980&lt;&gt;"",Database!$H$4:$H$1980=$C$2))*(Database!$J$4:$J$1980="10 Roda")*(TEXT(Database!$K$4:$K$1980,"YYYY-MM")="2026-04"))</f>
        <v>33</v>
      </c>
      <c r="E29" s="45" cm="1">
        <f t="array" ref="E29">SUMPRODUCT((IF(OR($C$2="",$C$2=0),Database!$H$4:$H$1980&lt;&gt;"",Database!$H$4:$H$1980=$C$2))*(Database!$J$4:$J$1980="12 Roda")*(TEXT(Database!$K$4:$K$1980,"YYYY-MM")="2026-04"))</f>
        <v>27</v>
      </c>
      <c r="F29" s="45">
        <f t="shared" si="0"/>
        <v>338</v>
      </c>
      <c r="G29" s="46"/>
      <c r="H29" s="46" cm="1">
        <f t="array" ref="H29">IFERROR(SUMPRODUCT((IF(OR($C$2="",$C$2=0),Database!$H$4:$H$1980&lt;&gt;"",Database!$H$4:$H$1980=$C$2))*(Database!$J$4:$J$1980="6 Roda")*(TEXT(Database!$K$4:$K$1980,"YYYY-MM")="2026-04")*Database!$N$4:$N$1980)/1000,0)</f>
        <v>2658.2</v>
      </c>
      <c r="I29" s="46" cm="1">
        <f t="array" ref="I29">IFERROR(SUMPRODUCT((IF(OR($C$2="",$C$2=0),Database!$H$4:$H$1980&lt;&gt;"",Database!$H$4:$H$1980=$C$2))*(Database!$J$4:$J$1980="10 Roda")*(TEXT(Database!$K$4:$K$1980,"YYYY-MM")="2026-04")*Database!$N$4:$N$1980)/1000,0)</f>
        <v>493.05</v>
      </c>
      <c r="J29" s="46" cm="1">
        <f t="array" ref="J29">IFERROR(SUMPRODUCT((IF(OR($C$2="",$C$2=0),Database!$H$4:$H$1980&lt;&gt;"",Database!$H$4:$H$1980=$C$2))*(Database!$J$4:$J$1980="12 Roda")*(TEXT(Database!$K$4:$K$1980,"YYYY-MM")="2026-04")*Database!$N$4:$N$1980)/1000,0)</f>
        <v>702.23</v>
      </c>
      <c r="K29" s="46">
        <f t="shared" si="1"/>
        <v>3853.48</v>
      </c>
      <c r="L29" s="46"/>
      <c r="M29" s="107">
        <f t="shared" si="2"/>
        <v>0.8224852071005917</v>
      </c>
      <c r="N29" s="107">
        <f t="shared" si="3"/>
        <v>9.7633136094674555E-2</v>
      </c>
      <c r="O29" s="107">
        <f t="shared" si="4"/>
        <v>7.9881656804733733E-2</v>
      </c>
    </row>
    <row r="30" spans="2:15" s="108" customFormat="1" ht="19.5" customHeight="1" x14ac:dyDescent="0.2">
      <c r="B30" s="52" t="s">
        <v>1120</v>
      </c>
      <c r="C30" s="49" cm="1">
        <f t="array" ref="C30">SUMPRODUCT((IF(OR($C$2="",$C$2=0),Database!$H$4:$H$1980&lt;&gt;"",Database!$H$4:$H$1980=$C$2))*(Database!$J$4:$J$1980="6 Roda")*(TEXT(Database!$K$4:$K$1980,"YYYY-MM")="2026-05"))</f>
        <v>196</v>
      </c>
      <c r="D30" s="49" cm="1">
        <f t="array" ref="D30">SUMPRODUCT((IF(OR($C$2="",$C$2=0),Database!$H$4:$H$1980&lt;&gt;"",Database!$H$4:$H$1980=$C$2))*(Database!$J$4:$J$1980="10 Roda")*(TEXT(Database!$K$4:$K$1980,"YYYY-MM")="2026-05"))</f>
        <v>84</v>
      </c>
      <c r="E30" s="49" cm="1">
        <f t="array" ref="E30">SUMPRODUCT((IF(OR($C$2="",$C$2=0),Database!$H$4:$H$1980&lt;&gt;"",Database!$H$4:$H$1980=$C$2))*(Database!$J$4:$J$1980="12 Roda")*(TEXT(Database!$K$4:$K$1980,"YYYY-MM")="2026-05"))</f>
        <v>13</v>
      </c>
      <c r="F30" s="49">
        <f t="shared" si="0"/>
        <v>293</v>
      </c>
      <c r="G30" s="50"/>
      <c r="H30" s="50" cm="1">
        <f t="array" ref="H30">IFERROR(SUMPRODUCT((IF(OR($C$2="",$C$2=0),Database!$H$4:$H$1980&lt;&gt;"",Database!$H$4:$H$1980=$C$2))*(Database!$J$4:$J$1980="6 Roda")*(TEXT(Database!$K$4:$K$1980,"YYYY-MM")="2026-05")*Database!$N$4:$N$1980)/1000,0)</f>
        <v>1852.8</v>
      </c>
      <c r="I30" s="50" cm="1">
        <f t="array" ref="I30">IFERROR(SUMPRODUCT((IF(OR($C$2="",$C$2=0),Database!$H$4:$H$1980&lt;&gt;"",Database!$H$4:$H$1980=$C$2))*(Database!$J$4:$J$1980="10 Roda")*(TEXT(Database!$K$4:$K$1980,"YYYY-MM")="2026-05")*Database!$N$4:$N$1980)/1000,0)</f>
        <v>1073.67</v>
      </c>
      <c r="J30" s="50" cm="1">
        <f t="array" ref="J30">IFERROR(SUMPRODUCT((IF(OR($C$2="",$C$2=0),Database!$H$4:$H$1980&lt;&gt;"",Database!$H$4:$H$1980=$C$2))*(Database!$J$4:$J$1980="12 Roda")*(TEXT(Database!$K$4:$K$1980,"YYYY-MM")="2026-05")*Database!$N$4:$N$1980)/1000,0)</f>
        <v>343.48</v>
      </c>
      <c r="K30" s="50">
        <f t="shared" si="1"/>
        <v>3269.9500000000003</v>
      </c>
      <c r="L30" s="50"/>
      <c r="M30" s="110">
        <f t="shared" si="2"/>
        <v>0.66894197952218426</v>
      </c>
      <c r="N30" s="110">
        <f t="shared" si="3"/>
        <v>0.28668941979522183</v>
      </c>
      <c r="O30" s="110">
        <f t="shared" si="4"/>
        <v>4.4368600682593858E-2</v>
      </c>
    </row>
    <row r="31" spans="2:15" s="108" customFormat="1" ht="19.5" customHeight="1" x14ac:dyDescent="0.2">
      <c r="B31" s="48" t="s">
        <v>1121</v>
      </c>
      <c r="C31" s="45" cm="1">
        <f t="array" ref="C31">SUMPRODUCT((IF(OR($C$2="",$C$2=0),Database!$H$4:$H$1980&lt;&gt;"",Database!$H$4:$H$1980=$C$2))*(Database!$J$4:$J$1980="6 Roda")*(TEXT(Database!$K$4:$K$1980,"YYYY-MM")="2026-06"))</f>
        <v>0</v>
      </c>
      <c r="D31" s="45" cm="1">
        <f t="array" ref="D31">SUMPRODUCT((IF(OR($C$2="",$C$2=0),Database!$H$4:$H$1980&lt;&gt;"",Database!$H$4:$H$1980=$C$2))*(Database!$J$4:$J$1980="10 Roda")*(TEXT(Database!$K$4:$K$1980,"YYYY-MM")="2026-06"))</f>
        <v>0</v>
      </c>
      <c r="E31" s="45" cm="1">
        <f t="array" ref="E31">SUMPRODUCT((IF(OR($C$2="",$C$2=0),Database!$H$4:$H$1980&lt;&gt;"",Database!$H$4:$H$1980=$C$2))*(Database!$J$4:$J$1980="12 Roda")*(TEXT(Database!$K$4:$K$1980,"YYYY-MM")="2026-06"))</f>
        <v>0</v>
      </c>
      <c r="F31" s="45">
        <f t="shared" si="0"/>
        <v>0</v>
      </c>
      <c r="G31" s="46"/>
      <c r="H31" s="46" cm="1">
        <f t="array" ref="H31">IFERROR(SUMPRODUCT((IF(OR($C$2="",$C$2=0),Database!$H$4:$H$1980&lt;&gt;"",Database!$H$4:$H$1980=$C$2))*(Database!$J$4:$J$1980="6 Roda")*(TEXT(Database!$K$4:$K$1980,"YYYY-MM")="2026-06")*Database!$N$4:$N$1980)/1000,0)</f>
        <v>0</v>
      </c>
      <c r="I31" s="46" cm="1">
        <f t="array" ref="I31">IFERROR(SUMPRODUCT((IF(OR($C$2="",$C$2=0),Database!$H$4:$H$1980&lt;&gt;"",Database!$H$4:$H$1980=$C$2))*(Database!$J$4:$J$1980="10 Roda")*(TEXT(Database!$K$4:$K$1980,"YYYY-MM")="2026-06")*Database!$N$4:$N$1980)/1000,0)</f>
        <v>0</v>
      </c>
      <c r="J31" s="46" cm="1">
        <f t="array" ref="J31">IFERROR(SUMPRODUCT((IF(OR($C$2="",$C$2=0),Database!$H$4:$H$1980&lt;&gt;"",Database!$H$4:$H$1980=$C$2))*(Database!$J$4:$J$1980="12 Roda")*(TEXT(Database!$K$4:$K$1980,"YYYY-MM")="2026-06")*Database!$N$4:$N$1980)/1000,0)</f>
        <v>0</v>
      </c>
      <c r="K31" s="46">
        <f t="shared" si="1"/>
        <v>0</v>
      </c>
      <c r="L31" s="46"/>
      <c r="M31" s="107">
        <f t="shared" si="2"/>
        <v>0</v>
      </c>
      <c r="N31" s="107">
        <f t="shared" si="3"/>
        <v>0</v>
      </c>
      <c r="O31" s="107">
        <f t="shared" si="4"/>
        <v>0</v>
      </c>
    </row>
    <row r="32" spans="2:15" s="117" customFormat="1" ht="21.75" customHeight="1" x14ac:dyDescent="0.25">
      <c r="B32" s="52" t="s">
        <v>1122</v>
      </c>
      <c r="C32" s="49">
        <f>SUM(C21:C31)</f>
        <v>846</v>
      </c>
      <c r="D32" s="49">
        <f>SUM(D21:D31)</f>
        <v>454</v>
      </c>
      <c r="E32" s="49">
        <f>SUM(E21:E31)</f>
        <v>264</v>
      </c>
      <c r="F32" s="49">
        <f>SUM(F21:F31)</f>
        <v>1564</v>
      </c>
      <c r="G32" s="50"/>
      <c r="H32" s="49">
        <f>SUM(H21:H31)</f>
        <v>8053.43</v>
      </c>
      <c r="I32" s="49">
        <f>SUM(I21:I31)</f>
        <v>6370.33</v>
      </c>
      <c r="J32" s="49">
        <f>SUM(J21:J31)</f>
        <v>7340.5199999999986</v>
      </c>
      <c r="K32" s="49">
        <f>SUM(K21:K31)</f>
        <v>21764.280000000002</v>
      </c>
      <c r="L32" s="50"/>
      <c r="M32" s="110">
        <f t="shared" si="2"/>
        <v>0.54092071611253201</v>
      </c>
      <c r="N32" s="110">
        <f t="shared" si="3"/>
        <v>0.29028132992327366</v>
      </c>
      <c r="O32" s="110">
        <f t="shared" si="4"/>
        <v>0.16879795396419436</v>
      </c>
    </row>
    <row r="33" spans="2:15" s="118" customFormat="1" ht="15.75" customHeight="1" x14ac:dyDescent="0.2"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</row>
    <row r="34" spans="2:15" ht="24" customHeight="1" x14ac:dyDescent="0.25">
      <c r="B34" s="444" t="s">
        <v>1151</v>
      </c>
      <c r="C34" s="444"/>
      <c r="D34" s="444"/>
      <c r="E34" s="444"/>
      <c r="F34" s="444"/>
      <c r="G34" s="444"/>
      <c r="H34" s="444"/>
      <c r="I34" s="444"/>
      <c r="J34" s="444"/>
      <c r="K34" s="444"/>
      <c r="L34" s="444"/>
      <c r="M34" s="444"/>
      <c r="N34" s="444"/>
      <c r="O34" s="444"/>
    </row>
    <row r="35" spans="2:15" ht="18" customHeight="1" x14ac:dyDescent="0.25">
      <c r="B35" s="44"/>
      <c r="C35" s="44"/>
      <c r="D35" s="443" t="s">
        <v>1145</v>
      </c>
      <c r="E35" s="443"/>
      <c r="F35" s="443"/>
      <c r="G35" s="102"/>
      <c r="H35" s="443" t="s">
        <v>1146</v>
      </c>
      <c r="I35" s="443"/>
      <c r="J35" s="443"/>
      <c r="K35" s="102"/>
      <c r="L35" s="443" t="s">
        <v>1152</v>
      </c>
      <c r="M35" s="443"/>
      <c r="N35" s="443"/>
      <c r="O35" s="44"/>
    </row>
    <row r="36" spans="2:15" ht="19.5" customHeight="1" x14ac:dyDescent="0.25">
      <c r="B36" s="112" t="s">
        <v>1102</v>
      </c>
      <c r="C36" s="112" t="s">
        <v>1153</v>
      </c>
      <c r="D36" s="112" t="s">
        <v>1131</v>
      </c>
      <c r="E36" s="112" t="s">
        <v>1132</v>
      </c>
      <c r="F36" s="112" t="s">
        <v>1133</v>
      </c>
      <c r="G36" s="112" t="s">
        <v>1122</v>
      </c>
      <c r="H36" s="112" t="s">
        <v>1131</v>
      </c>
      <c r="I36" s="112" t="s">
        <v>1132</v>
      </c>
      <c r="J36" s="112" t="s">
        <v>1133</v>
      </c>
      <c r="K36" s="112" t="s">
        <v>1122</v>
      </c>
      <c r="L36" s="112" t="s">
        <v>1131</v>
      </c>
      <c r="M36" s="112" t="s">
        <v>1132</v>
      </c>
      <c r="N36" s="112" t="s">
        <v>1133</v>
      </c>
      <c r="O36" s="112" t="s">
        <v>1154</v>
      </c>
    </row>
    <row r="37" spans="2:15" ht="21.75" customHeight="1" x14ac:dyDescent="0.25">
      <c r="B37" s="43">
        <v>1</v>
      </c>
      <c r="C37" s="44" t="s">
        <v>49</v>
      </c>
      <c r="D37" s="45" cm="1">
        <f t="array" ref="D37">SUMPRODUCT((IF(OR($C$2="",$C$2=0),Database!$H$4:$H$1980&lt;&gt;"",Database!$H$4:$H$1980=$C$2))*(Database!$H$4:$H$1980=C37)*(Database!$J$4:$J$1980="6 Roda"))</f>
        <v>130</v>
      </c>
      <c r="E37" s="45" cm="1">
        <f t="array" ref="E37">SUMPRODUCT((IF(OR($C$2="",$C$2=0),Database!$H$4:$H$1980&lt;&gt;"",Database!$H$4:$H$1980=$C$2))*(Database!$H$4:$H$1980=C37)*(Database!$J$4:$J$1980="10 Roda"))</f>
        <v>177</v>
      </c>
      <c r="F37" s="45" cm="1">
        <f t="array" ref="F37">SUMPRODUCT((IF(OR($C$2="",$C$2=0),Database!$H$4:$H$1980&lt;&gt;"",Database!$H$4:$H$1980=$C$2))*(Database!$H$4:$H$1980=C37)*(Database!$J$4:$J$1980="12 Roda"))</f>
        <v>95</v>
      </c>
      <c r="G37" s="45">
        <f t="shared" ref="G37:G49" si="5">SUM(D37:F37)</f>
        <v>402</v>
      </c>
      <c r="H37" s="46" cm="1">
        <f t="array" ref="H37">IFERROR(SUMPRODUCT((IF(OR($C$2="",$C$2=0),Database!$H$4:$H$1980&lt;&gt;"",Database!$H$4:$H$1980=$C$2))*(Database!$H$4:$H$1980=C37)*(Database!$J$4:$J$1980="6 Roda")*Database!$N$4:$N$1980)/1000,0)</f>
        <v>1254.49</v>
      </c>
      <c r="I37" s="46" cm="1">
        <f t="array" ref="I37">IFERROR(SUMPRODUCT((IF(OR($C$2="",$C$2=0),Database!$H$4:$H$1980&lt;&gt;"",Database!$H$4:$H$1980=$C$2))*(Database!$H$4:$H$1980=C37)*(Database!$J$4:$J$1980="10 Roda")*Database!$N$4:$N$1980)/1000,0)</f>
        <v>2592.3000000000002</v>
      </c>
      <c r="J37" s="46" cm="1">
        <f t="array" ref="J37">IFERROR(SUMPRODUCT((IF(OR($C$2="",$C$2=0),Database!$H$4:$H$1980&lt;&gt;"",Database!$H$4:$H$1980=$C$2))*(Database!$H$4:$H$1980=C37)*(Database!$J$4:$J$1980="12 Roda")*Database!$N$4:$N$1980)/1000,0)</f>
        <v>2648.49</v>
      </c>
      <c r="K37" s="46">
        <f t="shared" ref="K37:K49" si="6">SUM(H37:J37)</f>
        <v>6495.28</v>
      </c>
      <c r="L37" s="46">
        <f t="shared" ref="L37:L49" si="7">IFERROR(H37*1000/D37,0)</f>
        <v>9649.9230769230762</v>
      </c>
      <c r="M37" s="46">
        <f t="shared" ref="M37:M49" si="8">IFERROR(I37*1000/E37,0)</f>
        <v>14645.762711864407</v>
      </c>
      <c r="N37" s="46">
        <f t="shared" ref="N37:N49" si="9">IFERROR(J37*1000/F37,0)</f>
        <v>27878.842105263157</v>
      </c>
      <c r="O37" s="45" t="str" cm="1">
        <f t="array" ref="O37">IFERROR(IF(MAX(D37:F37)=0,"-",INDEX({"6 Roda";"10 Roda";"12 Roda"},MATCH(MAX(D37:F37),D37:F37,0))),"-")</f>
        <v>10 Roda</v>
      </c>
    </row>
    <row r="38" spans="2:15" ht="21.75" customHeight="1" x14ac:dyDescent="0.25">
      <c r="B38" s="1">
        <v>2</v>
      </c>
      <c r="C38" s="31" t="s">
        <v>59</v>
      </c>
      <c r="D38" s="49" cm="1">
        <f t="array" ref="D38">SUMPRODUCT((IF(OR($C$2="",$C$2=0),Database!$H$4:$H$1980&lt;&gt;"",Database!$H$4:$H$1980=$C$2))*(Database!$H$4:$H$1980=C38)*(Database!$J$4:$J$1980="6 Roda"))</f>
        <v>0</v>
      </c>
      <c r="E38" s="49" cm="1">
        <f t="array" ref="E38">SUMPRODUCT((IF(OR($C$2="",$C$2=0),Database!$H$4:$H$1980&lt;&gt;"",Database!$H$4:$H$1980=$C$2))*(Database!$H$4:$H$1980=C38)*(Database!$J$4:$J$1980="10 Roda"))</f>
        <v>70</v>
      </c>
      <c r="F38" s="49" cm="1">
        <f t="array" ref="F38">SUMPRODUCT((IF(OR($C$2="",$C$2=0),Database!$H$4:$H$1980&lt;&gt;"",Database!$H$4:$H$1980=$C$2))*(Database!$H$4:$H$1980=C38)*(Database!$J$4:$J$1980="12 Roda"))</f>
        <v>104</v>
      </c>
      <c r="G38" s="49">
        <f t="shared" si="5"/>
        <v>174</v>
      </c>
      <c r="H38" s="50" cm="1">
        <f t="array" ref="H38">IFERROR(SUMPRODUCT((IF(OR($C$2="",$C$2=0),Database!$H$4:$H$1980&lt;&gt;"",Database!$H$4:$H$1980=$C$2))*(Database!$H$4:$H$1980=C38)*(Database!$J$4:$J$1980="6 Roda")*Database!$N$4:$N$1980)/1000,0)</f>
        <v>0</v>
      </c>
      <c r="I38" s="50" cm="1">
        <f t="array" ref="I38">IFERROR(SUMPRODUCT((IF(OR($C$2="",$C$2=0),Database!$H$4:$H$1980&lt;&gt;"",Database!$H$4:$H$1980=$C$2))*(Database!$H$4:$H$1980=C38)*(Database!$J$4:$J$1980="10 Roda")*Database!$N$4:$N$1980)/1000,0)</f>
        <v>1014.95</v>
      </c>
      <c r="J38" s="50" cm="1">
        <f t="array" ref="J38">IFERROR(SUMPRODUCT((IF(OR($C$2="",$C$2=0),Database!$H$4:$H$1980&lt;&gt;"",Database!$H$4:$H$1980=$C$2))*(Database!$H$4:$H$1980=C38)*(Database!$J$4:$J$1980="12 Roda")*Database!$N$4:$N$1980)/1000,0)</f>
        <v>2924.61</v>
      </c>
      <c r="K38" s="50">
        <f t="shared" si="6"/>
        <v>3939.5600000000004</v>
      </c>
      <c r="L38" s="50">
        <f t="shared" si="7"/>
        <v>0</v>
      </c>
      <c r="M38" s="50">
        <f t="shared" si="8"/>
        <v>14499.285714285714</v>
      </c>
      <c r="N38" s="50">
        <f t="shared" si="9"/>
        <v>28121.25</v>
      </c>
      <c r="O38" s="49" t="str" cm="1">
        <f t="array" ref="O38">IFERROR(IF(MAX(D38:F38)=0,"-",INDEX({"6 Roda";"10 Roda";"12 Roda"},MATCH(MAX(D38:F38),D38:F38,0))),"-")</f>
        <v>12 Roda</v>
      </c>
    </row>
    <row r="39" spans="2:15" ht="21.75" customHeight="1" x14ac:dyDescent="0.25">
      <c r="B39" s="43">
        <v>3</v>
      </c>
      <c r="C39" s="44" t="s">
        <v>40</v>
      </c>
      <c r="D39" s="45" cm="1">
        <f t="array" ref="D39">SUMPRODUCT((IF(OR($C$2="",$C$2=0),Database!$H$4:$H$1980&lt;&gt;"",Database!$H$4:$H$1980=$C$2))*(Database!$H$4:$H$1980=C39)*(Database!$J$4:$J$1980="6 Roda"))</f>
        <v>282</v>
      </c>
      <c r="E39" s="45" cm="1">
        <f t="array" ref="E39">SUMPRODUCT((IF(OR($C$2="",$C$2=0),Database!$H$4:$H$1980&lt;&gt;"",Database!$H$4:$H$1980=$C$2))*(Database!$H$4:$H$1980=C39)*(Database!$J$4:$J$1980="10 Roda"))</f>
        <v>0</v>
      </c>
      <c r="F39" s="45" cm="1">
        <f t="array" ref="F39">SUMPRODUCT((IF(OR($C$2="",$C$2=0),Database!$H$4:$H$1980&lt;&gt;"",Database!$H$4:$H$1980=$C$2))*(Database!$H$4:$H$1980=C39)*(Database!$J$4:$J$1980="12 Roda"))</f>
        <v>0</v>
      </c>
      <c r="G39" s="45">
        <f t="shared" si="5"/>
        <v>282</v>
      </c>
      <c r="H39" s="46" cm="1">
        <f t="array" ref="H39">IFERROR(SUMPRODUCT((IF(OR($C$2="",$C$2=0),Database!$H$4:$H$1980&lt;&gt;"",Database!$H$4:$H$1980=$C$2))*(Database!$H$4:$H$1980=C39)*(Database!$J$4:$J$1980="6 Roda")*Database!$N$4:$N$1980)/1000,0)</f>
        <v>2697.4</v>
      </c>
      <c r="I39" s="46" cm="1">
        <f t="array" ref="I39">IFERROR(SUMPRODUCT((IF(OR($C$2="",$C$2=0),Database!$H$4:$H$1980&lt;&gt;"",Database!$H$4:$H$1980=$C$2))*(Database!$H$4:$H$1980=C39)*(Database!$J$4:$J$1980="10 Roda")*Database!$N$4:$N$1980)/1000,0)</f>
        <v>0</v>
      </c>
      <c r="J39" s="46" cm="1">
        <f t="array" ref="J39">IFERROR(SUMPRODUCT((IF(OR($C$2="",$C$2=0),Database!$H$4:$H$1980&lt;&gt;"",Database!$H$4:$H$1980=$C$2))*(Database!$H$4:$H$1980=C39)*(Database!$J$4:$J$1980="12 Roda")*Database!$N$4:$N$1980)/1000,0)</f>
        <v>0</v>
      </c>
      <c r="K39" s="46">
        <f t="shared" si="6"/>
        <v>2697.4</v>
      </c>
      <c r="L39" s="46">
        <f t="shared" si="7"/>
        <v>9565.2482269503544</v>
      </c>
      <c r="M39" s="46">
        <f t="shared" si="8"/>
        <v>0</v>
      </c>
      <c r="N39" s="46">
        <f t="shared" si="9"/>
        <v>0</v>
      </c>
      <c r="O39" s="45" t="str" cm="1">
        <f t="array" ref="O39">IFERROR(IF(MAX(D39:F39)=0,"-",INDEX({"6 Roda";"10 Roda";"12 Roda"},MATCH(MAX(D39:F39),D39:F39,0))),"-")</f>
        <v>6 Roda</v>
      </c>
    </row>
    <row r="40" spans="2:15" ht="21.75" customHeight="1" x14ac:dyDescent="0.25">
      <c r="B40" s="1">
        <v>4</v>
      </c>
      <c r="C40" s="31" t="s">
        <v>78</v>
      </c>
      <c r="D40" s="49" cm="1">
        <f t="array" ref="D40">SUMPRODUCT((IF(OR($C$2="",$C$2=0),Database!$H$4:$H$1980&lt;&gt;"",Database!$H$4:$H$1980=$C$2))*(Database!$H$4:$H$1980=C40)*(Database!$J$4:$J$1980="6 Roda"))</f>
        <v>0</v>
      </c>
      <c r="E40" s="49" cm="1">
        <f t="array" ref="E40">SUMPRODUCT((IF(OR($C$2="",$C$2=0),Database!$H$4:$H$1980&lt;&gt;"",Database!$H$4:$H$1980=$C$2))*(Database!$H$4:$H$1980=C40)*(Database!$J$4:$J$1980="10 Roda"))</f>
        <v>66</v>
      </c>
      <c r="F40" s="49" cm="1">
        <f t="array" ref="F40">SUMPRODUCT((IF(OR($C$2="",$C$2=0),Database!$H$4:$H$1980&lt;&gt;"",Database!$H$4:$H$1980=$C$2))*(Database!$H$4:$H$1980=C40)*(Database!$J$4:$J$1980="12 Roda"))</f>
        <v>31</v>
      </c>
      <c r="G40" s="49">
        <f t="shared" si="5"/>
        <v>97</v>
      </c>
      <c r="H40" s="50" cm="1">
        <f t="array" ref="H40">IFERROR(SUMPRODUCT((IF(OR($C$2="",$C$2=0),Database!$H$4:$H$1980&lt;&gt;"",Database!$H$4:$H$1980=$C$2))*(Database!$H$4:$H$1980=C40)*(Database!$J$4:$J$1980="6 Roda")*Database!$N$4:$N$1980)/1000,0)</f>
        <v>0</v>
      </c>
      <c r="I40" s="50" cm="1">
        <f t="array" ref="I40">IFERROR(SUMPRODUCT((IF(OR($C$2="",$C$2=0),Database!$H$4:$H$1980&lt;&gt;"",Database!$H$4:$H$1980=$C$2))*(Database!$H$4:$H$1980=C40)*(Database!$J$4:$J$1980="10 Roda")*Database!$N$4:$N$1980)/1000,0)</f>
        <v>925.2</v>
      </c>
      <c r="J40" s="50" cm="1">
        <f t="array" ref="J40">IFERROR(SUMPRODUCT((IF(OR($C$2="",$C$2=0),Database!$H$4:$H$1980&lt;&gt;"",Database!$H$4:$H$1980=$C$2))*(Database!$H$4:$H$1980=C40)*(Database!$J$4:$J$1980="12 Roda")*Database!$N$4:$N$1980)/1000,0)</f>
        <v>873.61</v>
      </c>
      <c r="K40" s="50">
        <f t="shared" si="6"/>
        <v>1798.81</v>
      </c>
      <c r="L40" s="50">
        <f t="shared" si="7"/>
        <v>0</v>
      </c>
      <c r="M40" s="50">
        <f t="shared" si="8"/>
        <v>14018.181818181818</v>
      </c>
      <c r="N40" s="50">
        <f t="shared" si="9"/>
        <v>28180.967741935485</v>
      </c>
      <c r="O40" s="49" t="str" cm="1">
        <f t="array" ref="O40">IFERROR(IF(MAX(D40:F40)=0,"-",INDEX({"6 Roda";"10 Roda";"12 Roda"},MATCH(MAX(D40:F40),D40:F40,0))),"-")</f>
        <v>10 Roda</v>
      </c>
    </row>
    <row r="41" spans="2:15" ht="21.75" customHeight="1" x14ac:dyDescent="0.25">
      <c r="B41" s="43">
        <v>5</v>
      </c>
      <c r="C41" s="44" t="s">
        <v>86</v>
      </c>
      <c r="D41" s="45" cm="1">
        <f t="array" ref="D41">SUMPRODUCT((IF(OR($C$2="",$C$2=0),Database!$H$4:$H$1980&lt;&gt;"",Database!$H$4:$H$1980=$C$2))*(Database!$H$4:$H$1980=C41)*(Database!$J$4:$J$1980="6 Roda"))</f>
        <v>128</v>
      </c>
      <c r="E41" s="45" cm="1">
        <f t="array" ref="E41">SUMPRODUCT((IF(OR($C$2="",$C$2=0),Database!$H$4:$H$1980&lt;&gt;"",Database!$H$4:$H$1980=$C$2))*(Database!$H$4:$H$1980=C41)*(Database!$J$4:$J$1980="10 Roda"))</f>
        <v>9</v>
      </c>
      <c r="F41" s="45" cm="1">
        <f t="array" ref="F41">SUMPRODUCT((IF(OR($C$2="",$C$2=0),Database!$H$4:$H$1980&lt;&gt;"",Database!$H$4:$H$1980=$C$2))*(Database!$H$4:$H$1980=C41)*(Database!$J$4:$J$1980="12 Roda"))</f>
        <v>0</v>
      </c>
      <c r="G41" s="45">
        <f t="shared" si="5"/>
        <v>137</v>
      </c>
      <c r="H41" s="46" cm="1">
        <f t="array" ref="H41">IFERROR(SUMPRODUCT((IF(OR($C$2="",$C$2=0),Database!$H$4:$H$1980&lt;&gt;"",Database!$H$4:$H$1980=$C$2))*(Database!$H$4:$H$1980=C41)*(Database!$J$4:$J$1980="6 Roda")*Database!$N$4:$N$1980)/1000,0)</f>
        <v>1194.8</v>
      </c>
      <c r="I41" s="46" cm="1">
        <f t="array" ref="I41">IFERROR(SUMPRODUCT((IF(OR($C$2="",$C$2=0),Database!$H$4:$H$1980&lt;&gt;"",Database!$H$4:$H$1980=$C$2))*(Database!$H$4:$H$1980=C41)*(Database!$J$4:$J$1980="10 Roda")*Database!$N$4:$N$1980)/1000,0)</f>
        <v>95.28</v>
      </c>
      <c r="J41" s="46" cm="1">
        <f t="array" ref="J41">IFERROR(SUMPRODUCT((IF(OR($C$2="",$C$2=0),Database!$H$4:$H$1980&lt;&gt;"",Database!$H$4:$H$1980=$C$2))*(Database!$H$4:$H$1980=C41)*(Database!$J$4:$J$1980="12 Roda")*Database!$N$4:$N$1980)/1000,0)</f>
        <v>0</v>
      </c>
      <c r="K41" s="46">
        <f t="shared" si="6"/>
        <v>1290.08</v>
      </c>
      <c r="L41" s="46">
        <f t="shared" si="7"/>
        <v>9334.375</v>
      </c>
      <c r="M41" s="46">
        <f t="shared" si="8"/>
        <v>10586.666666666666</v>
      </c>
      <c r="N41" s="46">
        <f t="shared" si="9"/>
        <v>0</v>
      </c>
      <c r="O41" s="45" t="str" cm="1">
        <f t="array" ref="O41">IFERROR(IF(MAX(D41:F41)=0,"-",INDEX({"6 Roda";"10 Roda";"12 Roda"},MATCH(MAX(D41:F41),D41:F41,0))),"-")</f>
        <v>6 Roda</v>
      </c>
    </row>
    <row r="42" spans="2:15" ht="21.75" customHeight="1" x14ac:dyDescent="0.25">
      <c r="B42" s="1">
        <v>6</v>
      </c>
      <c r="C42" s="31" t="s">
        <v>61</v>
      </c>
      <c r="D42" s="49" cm="1">
        <f t="array" ref="D42">SUMPRODUCT((IF(OR($C$2="",$C$2=0),Database!$H$4:$H$1980&lt;&gt;"",Database!$H$4:$H$1980=$C$2))*(Database!$H$4:$H$1980=C42)*(Database!$J$4:$J$1980="6 Roda"))</f>
        <v>0</v>
      </c>
      <c r="E42" s="49" cm="1">
        <f t="array" ref="E42">SUMPRODUCT((IF(OR($C$2="",$C$2=0),Database!$H$4:$H$1980&lt;&gt;"",Database!$H$4:$H$1980=$C$2))*(Database!$H$4:$H$1980=C42)*(Database!$J$4:$J$1980="10 Roda"))</f>
        <v>14</v>
      </c>
      <c r="F42" s="49" cm="1">
        <f t="array" ref="F42">SUMPRODUCT((IF(OR($C$2="",$C$2=0),Database!$H$4:$H$1980&lt;&gt;"",Database!$H$4:$H$1980=$C$2))*(Database!$H$4:$H$1980=C42)*(Database!$J$4:$J$1980="12 Roda"))</f>
        <v>4</v>
      </c>
      <c r="G42" s="49">
        <f t="shared" si="5"/>
        <v>18</v>
      </c>
      <c r="H42" s="50" cm="1">
        <f t="array" ref="H42">IFERROR(SUMPRODUCT((IF(OR($C$2="",$C$2=0),Database!$H$4:$H$1980&lt;&gt;"",Database!$H$4:$H$1980=$C$2))*(Database!$H$4:$H$1980=C42)*(Database!$J$4:$J$1980="6 Roda")*Database!$N$4:$N$1980)/1000,0)</f>
        <v>0</v>
      </c>
      <c r="I42" s="50" cm="1">
        <f t="array" ref="I42">IFERROR(SUMPRODUCT((IF(OR($C$2="",$C$2=0),Database!$H$4:$H$1980&lt;&gt;"",Database!$H$4:$H$1980=$C$2))*(Database!$H$4:$H$1980=C42)*(Database!$J$4:$J$1980="10 Roda")*Database!$N$4:$N$1980)/1000,0)</f>
        <v>215.21</v>
      </c>
      <c r="J42" s="50" cm="1">
        <f t="array" ref="J42">IFERROR(SUMPRODUCT((IF(OR($C$2="",$C$2=0),Database!$H$4:$H$1980&lt;&gt;"",Database!$H$4:$H$1980=$C$2))*(Database!$H$4:$H$1980=C42)*(Database!$J$4:$J$1980="12 Roda")*Database!$N$4:$N$1980)/1000,0)</f>
        <v>79.959999999999994</v>
      </c>
      <c r="K42" s="50">
        <f t="shared" si="6"/>
        <v>295.17</v>
      </c>
      <c r="L42" s="50">
        <f t="shared" si="7"/>
        <v>0</v>
      </c>
      <c r="M42" s="50">
        <f t="shared" si="8"/>
        <v>15372.142857142857</v>
      </c>
      <c r="N42" s="50">
        <f t="shared" si="9"/>
        <v>19990</v>
      </c>
      <c r="O42" s="49" t="str" cm="1">
        <f t="array" ref="O42">IFERROR(IF(MAX(D42:F42)=0,"-",INDEX({"6 Roda";"10 Roda";"12 Roda"},MATCH(MAX(D42:F42),D42:F42,0))),"-")</f>
        <v>10 Roda</v>
      </c>
    </row>
    <row r="43" spans="2:15" ht="21.75" customHeight="1" x14ac:dyDescent="0.25">
      <c r="B43" s="43">
        <v>7</v>
      </c>
      <c r="C43" s="44" t="s">
        <v>94</v>
      </c>
      <c r="D43" s="45" cm="1">
        <f t="array" ref="D43">SUMPRODUCT((IF(OR($C$2="",$C$2=0),Database!$H$4:$H$1980&lt;&gt;"",Database!$H$4:$H$1980=$C$2))*(Database!$H$4:$H$1980=C43)*(Database!$J$4:$J$1980="6 Roda"))</f>
        <v>0</v>
      </c>
      <c r="E43" s="45" cm="1">
        <f t="array" ref="E43">SUMPRODUCT((IF(OR($C$2="",$C$2=0),Database!$H$4:$H$1980&lt;&gt;"",Database!$H$4:$H$1980=$C$2))*(Database!$H$4:$H$1980=C43)*(Database!$J$4:$J$1980="10 Roda"))</f>
        <v>26</v>
      </c>
      <c r="F43" s="45" cm="1">
        <f t="array" ref="F43">SUMPRODUCT((IF(OR($C$2="",$C$2=0),Database!$H$4:$H$1980&lt;&gt;"",Database!$H$4:$H$1980=$C$2))*(Database!$H$4:$H$1980=C43)*(Database!$J$4:$J$1980="12 Roda"))</f>
        <v>0</v>
      </c>
      <c r="G43" s="45">
        <f t="shared" si="5"/>
        <v>26</v>
      </c>
      <c r="H43" s="46" cm="1">
        <f t="array" ref="H43">IFERROR(SUMPRODUCT((IF(OR($C$2="",$C$2=0),Database!$H$4:$H$1980&lt;&gt;"",Database!$H$4:$H$1980=$C$2))*(Database!$H$4:$H$1980=C43)*(Database!$J$4:$J$1980="6 Roda")*Database!$N$4:$N$1980)/1000,0)</f>
        <v>0</v>
      </c>
      <c r="I43" s="46" cm="1">
        <f t="array" ref="I43">IFERROR(SUMPRODUCT((IF(OR($C$2="",$C$2=0),Database!$H$4:$H$1980&lt;&gt;"",Database!$H$4:$H$1980=$C$2))*(Database!$H$4:$H$1980=C43)*(Database!$J$4:$J$1980="10 Roda")*Database!$N$4:$N$1980)/1000,0)</f>
        <v>208.14</v>
      </c>
      <c r="J43" s="46" cm="1">
        <f t="array" ref="J43">IFERROR(SUMPRODUCT((IF(OR($C$2="",$C$2=0),Database!$H$4:$H$1980&lt;&gt;"",Database!$H$4:$H$1980=$C$2))*(Database!$H$4:$H$1980=C43)*(Database!$J$4:$J$1980="12 Roda")*Database!$N$4:$N$1980)/1000,0)</f>
        <v>0</v>
      </c>
      <c r="K43" s="46">
        <f t="shared" si="6"/>
        <v>208.14</v>
      </c>
      <c r="L43" s="46">
        <f t="shared" si="7"/>
        <v>0</v>
      </c>
      <c r="M43" s="46">
        <f t="shared" si="8"/>
        <v>8005.3846153846152</v>
      </c>
      <c r="N43" s="46">
        <f t="shared" si="9"/>
        <v>0</v>
      </c>
      <c r="O43" s="45" t="str" cm="1">
        <f t="array" ref="O43">IFERROR(IF(MAX(D43:F43)=0,"-",INDEX({"6 Roda";"10 Roda";"12 Roda"},MATCH(MAX(D43:F43),D43:F43,0))),"-")</f>
        <v>10 Roda</v>
      </c>
    </row>
    <row r="44" spans="2:15" ht="21.75" customHeight="1" x14ac:dyDescent="0.25">
      <c r="B44" s="1">
        <v>8</v>
      </c>
      <c r="C44" s="31" t="s">
        <v>98</v>
      </c>
      <c r="D44" s="49" cm="1">
        <f t="array" ref="D44">SUMPRODUCT((IF(OR($C$2="",$C$2=0),Database!$H$4:$H$1980&lt;&gt;"",Database!$H$4:$H$1980=$C$2))*(Database!$H$4:$H$1980=C44)*(Database!$J$4:$J$1980="6 Roda"))</f>
        <v>0</v>
      </c>
      <c r="E44" s="49" cm="1">
        <f t="array" ref="E44">SUMPRODUCT((IF(OR($C$2="",$C$2=0),Database!$H$4:$H$1980&lt;&gt;"",Database!$H$4:$H$1980=$C$2))*(Database!$H$4:$H$1980=C44)*(Database!$J$4:$J$1980="10 Roda"))</f>
        <v>5</v>
      </c>
      <c r="F44" s="49" cm="1">
        <f t="array" ref="F44">SUMPRODUCT((IF(OR($C$2="",$C$2=0),Database!$H$4:$H$1980&lt;&gt;"",Database!$H$4:$H$1980=$C$2))*(Database!$H$4:$H$1980=C44)*(Database!$J$4:$J$1980="12 Roda"))</f>
        <v>0</v>
      </c>
      <c r="G44" s="49">
        <f t="shared" si="5"/>
        <v>5</v>
      </c>
      <c r="H44" s="50" cm="1">
        <f t="array" ref="H44">IFERROR(SUMPRODUCT((IF(OR($C$2="",$C$2=0),Database!$H$4:$H$1980&lt;&gt;"",Database!$H$4:$H$1980=$C$2))*(Database!$H$4:$H$1980=C44)*(Database!$J$4:$J$1980="6 Roda")*Database!$N$4:$N$1980)/1000,0)</f>
        <v>0</v>
      </c>
      <c r="I44" s="50" cm="1">
        <f t="array" ref="I44">IFERROR(SUMPRODUCT((IF(OR($C$2="",$C$2=0),Database!$H$4:$H$1980&lt;&gt;"",Database!$H$4:$H$1980=$C$2))*(Database!$H$4:$H$1980=C44)*(Database!$J$4:$J$1980="10 Roda")*Database!$N$4:$N$1980)/1000,0)</f>
        <v>101.5</v>
      </c>
      <c r="J44" s="50" cm="1">
        <f t="array" ref="J44">IFERROR(SUMPRODUCT((IF(OR($C$2="",$C$2=0),Database!$H$4:$H$1980&lt;&gt;"",Database!$H$4:$H$1980=$C$2))*(Database!$H$4:$H$1980=C44)*(Database!$J$4:$J$1980="12 Roda")*Database!$N$4:$N$1980)/1000,0)</f>
        <v>0</v>
      </c>
      <c r="K44" s="50">
        <f t="shared" si="6"/>
        <v>101.5</v>
      </c>
      <c r="L44" s="50">
        <f t="shared" si="7"/>
        <v>0</v>
      </c>
      <c r="M44" s="50">
        <f t="shared" si="8"/>
        <v>20300</v>
      </c>
      <c r="N44" s="50">
        <f t="shared" si="9"/>
        <v>0</v>
      </c>
      <c r="O44" s="49" t="str" cm="1">
        <f t="array" ref="O44">IFERROR(IF(MAX(D44:F44)=0,"-",INDEX({"6 Roda";"10 Roda";"12 Roda"},MATCH(MAX(D44:F44),D44:F44,0))),"-")</f>
        <v>10 Roda</v>
      </c>
    </row>
    <row r="45" spans="2:15" ht="21.75" customHeight="1" x14ac:dyDescent="0.25">
      <c r="B45" s="43">
        <v>9</v>
      </c>
      <c r="C45" s="44" t="s">
        <v>103</v>
      </c>
      <c r="D45" s="45" cm="1">
        <f t="array" ref="D45">SUMPRODUCT((IF(OR($C$2="",$C$2=0),Database!$H$4:$H$1980&lt;&gt;"",Database!$H$4:$H$1980=$C$2))*(Database!$H$4:$H$1980=C45)*(Database!$J$4:$J$1980="6 Roda"))</f>
        <v>69</v>
      </c>
      <c r="E45" s="45" cm="1">
        <f t="array" ref="E45">SUMPRODUCT((IF(OR($C$2="",$C$2=0),Database!$H$4:$H$1980&lt;&gt;"",Database!$H$4:$H$1980=$C$2))*(Database!$H$4:$H$1980=C45)*(Database!$J$4:$J$1980="10 Roda"))</f>
        <v>5</v>
      </c>
      <c r="F45" s="45" cm="1">
        <f t="array" ref="F45">SUMPRODUCT((IF(OR($C$2="",$C$2=0),Database!$H$4:$H$1980&lt;&gt;"",Database!$H$4:$H$1980=$C$2))*(Database!$H$4:$H$1980=C45)*(Database!$J$4:$J$1980="12 Roda"))</f>
        <v>2</v>
      </c>
      <c r="G45" s="45">
        <f t="shared" si="5"/>
        <v>76</v>
      </c>
      <c r="H45" s="46" cm="1">
        <f t="array" ref="H45">IFERROR(SUMPRODUCT((IF(OR($C$2="",$C$2=0),Database!$H$4:$H$1980&lt;&gt;"",Database!$H$4:$H$1980=$C$2))*(Database!$H$4:$H$1980=C45)*(Database!$J$4:$J$1980="6 Roda")*Database!$N$4:$N$1980)/1000,0)</f>
        <v>666.67</v>
      </c>
      <c r="I45" s="46" cm="1">
        <f t="array" ref="I45">IFERROR(SUMPRODUCT((IF(OR($C$2="",$C$2=0),Database!$H$4:$H$1980&lt;&gt;"",Database!$H$4:$H$1980=$C$2))*(Database!$H$4:$H$1980=C45)*(Database!$J$4:$J$1980="10 Roda")*Database!$N$4:$N$1980)/1000,0)</f>
        <v>73.290000000000006</v>
      </c>
      <c r="J45" s="46" cm="1">
        <f t="array" ref="J45">IFERROR(SUMPRODUCT((IF(OR($C$2="",$C$2=0),Database!$H$4:$H$1980&lt;&gt;"",Database!$H$4:$H$1980=$C$2))*(Database!$H$4:$H$1980=C45)*(Database!$J$4:$J$1980="12 Roda")*Database!$N$4:$N$1980)/1000,0)</f>
        <v>57.83</v>
      </c>
      <c r="K45" s="46">
        <f t="shared" si="6"/>
        <v>797.79</v>
      </c>
      <c r="L45" s="46">
        <f t="shared" si="7"/>
        <v>9661.884057971014</v>
      </c>
      <c r="M45" s="46">
        <f t="shared" si="8"/>
        <v>14658</v>
      </c>
      <c r="N45" s="46">
        <f t="shared" si="9"/>
        <v>28915</v>
      </c>
      <c r="O45" s="45" t="str" cm="1">
        <f t="array" ref="O45">IFERROR(IF(MAX(D45:F45)=0,"-",INDEX({"6 Roda";"10 Roda";"12 Roda"},MATCH(MAX(D45:F45),D45:F45,0))),"-")</f>
        <v>6 Roda</v>
      </c>
    </row>
    <row r="46" spans="2:15" ht="21.75" customHeight="1" x14ac:dyDescent="0.25">
      <c r="B46" s="1">
        <v>10</v>
      </c>
      <c r="C46" s="31" t="s">
        <v>107</v>
      </c>
      <c r="D46" s="49" cm="1">
        <f t="array" ref="D46">SUMPRODUCT((IF(OR($C$2="",$C$2=0),Database!$H$4:$H$1980&lt;&gt;"",Database!$H$4:$H$1980=$C$2))*(Database!$H$4:$H$1980=C46)*(Database!$J$4:$J$1980="6 Roda"))</f>
        <v>125</v>
      </c>
      <c r="E46" s="49" cm="1">
        <f t="array" ref="E46">SUMPRODUCT((IF(OR($C$2="",$C$2=0),Database!$H$4:$H$1980&lt;&gt;"",Database!$H$4:$H$1980=$C$2))*(Database!$H$4:$H$1980=C46)*(Database!$J$4:$J$1980="10 Roda"))</f>
        <v>35</v>
      </c>
      <c r="F46" s="49" cm="1">
        <f t="array" ref="F46">SUMPRODUCT((IF(OR($C$2="",$C$2=0),Database!$H$4:$H$1980&lt;&gt;"",Database!$H$4:$H$1980=$C$2))*(Database!$H$4:$H$1980=C46)*(Database!$J$4:$J$1980="12 Roda"))</f>
        <v>1</v>
      </c>
      <c r="G46" s="49">
        <f t="shared" si="5"/>
        <v>161</v>
      </c>
      <c r="H46" s="50" cm="1">
        <f t="array" ref="H46">IFERROR(SUMPRODUCT((IF(OR($C$2="",$C$2=0),Database!$H$4:$H$1980&lt;&gt;"",Database!$H$4:$H$1980=$C$2))*(Database!$H$4:$H$1980=C46)*(Database!$J$4:$J$1980="6 Roda")*Database!$N$4:$N$1980)/1000,0)</f>
        <v>1179.54</v>
      </c>
      <c r="I46" s="50" cm="1">
        <f t="array" ref="I46">IFERROR(SUMPRODUCT((IF(OR($C$2="",$C$2=0),Database!$H$4:$H$1980&lt;&gt;"",Database!$H$4:$H$1980=$C$2))*(Database!$H$4:$H$1980=C46)*(Database!$J$4:$J$1980="10 Roda")*Database!$N$4:$N$1980)/1000,0)</f>
        <v>375.82</v>
      </c>
      <c r="J46" s="50" cm="1">
        <f t="array" ref="J46">IFERROR(SUMPRODUCT((IF(OR($C$2="",$C$2=0),Database!$H$4:$H$1980&lt;&gt;"",Database!$H$4:$H$1980=$C$2))*(Database!$H$4:$H$1980=C46)*(Database!$J$4:$J$1980="12 Roda")*Database!$N$4:$N$1980)/1000,0)</f>
        <v>28.93</v>
      </c>
      <c r="K46" s="50">
        <f t="shared" si="6"/>
        <v>1584.29</v>
      </c>
      <c r="L46" s="50">
        <f t="shared" si="7"/>
        <v>9436.32</v>
      </c>
      <c r="M46" s="50">
        <f t="shared" si="8"/>
        <v>10737.714285714286</v>
      </c>
      <c r="N46" s="50">
        <f t="shared" si="9"/>
        <v>28930</v>
      </c>
      <c r="O46" s="49" t="str" cm="1">
        <f t="array" ref="O46">IFERROR(IF(MAX(D46:F46)=0,"-",INDEX({"6 Roda";"10 Roda";"12 Roda"},MATCH(MAX(D46:F46),D46:F46,0))),"-")</f>
        <v>6 Roda</v>
      </c>
    </row>
    <row r="47" spans="2:15" ht="21.75" customHeight="1" x14ac:dyDescent="0.25">
      <c r="B47" s="43">
        <v>11</v>
      </c>
      <c r="C47" s="44" t="s">
        <v>111</v>
      </c>
      <c r="D47" s="45" cm="1">
        <f t="array" ref="D47">SUMPRODUCT((IF(OR($C$2="",$C$2=0),Database!$H$4:$H$1980&lt;&gt;"",Database!$H$4:$H$1980=$C$2))*(Database!$H$4:$H$1980=C47)*(Database!$J$4:$J$1980="6 Roda"))</f>
        <v>107</v>
      </c>
      <c r="E47" s="45" cm="1">
        <f t="array" ref="E47">SUMPRODUCT((IF(OR($C$2="",$C$2=0),Database!$H$4:$H$1980&lt;&gt;"",Database!$H$4:$H$1980=$C$2))*(Database!$H$4:$H$1980=C47)*(Database!$J$4:$J$1980="10 Roda"))</f>
        <v>19</v>
      </c>
      <c r="F47" s="45" cm="1">
        <f t="array" ref="F47">SUMPRODUCT((IF(OR($C$2="",$C$2=0),Database!$H$4:$H$1980&lt;&gt;"",Database!$H$4:$H$1980=$C$2))*(Database!$H$4:$H$1980=C47)*(Database!$J$4:$J$1980="12 Roda"))</f>
        <v>11</v>
      </c>
      <c r="G47" s="45">
        <f t="shared" si="5"/>
        <v>137</v>
      </c>
      <c r="H47" s="46" cm="1">
        <f t="array" ref="H47">IFERROR(SUMPRODUCT((IF(OR($C$2="",$C$2=0),Database!$H$4:$H$1980&lt;&gt;"",Database!$H$4:$H$1980=$C$2))*(Database!$H$4:$H$1980=C47)*(Database!$J$4:$J$1980="6 Roda")*Database!$N$4:$N$1980)/1000,0)</f>
        <v>1023.31</v>
      </c>
      <c r="I47" s="46" cm="1">
        <f t="array" ref="I47">IFERROR(SUMPRODUCT((IF(OR($C$2="",$C$2=0),Database!$H$4:$H$1980&lt;&gt;"",Database!$H$4:$H$1980=$C$2))*(Database!$H$4:$H$1980=C47)*(Database!$J$4:$J$1980="10 Roda")*Database!$N$4:$N$1980)/1000,0)</f>
        <v>245.27</v>
      </c>
      <c r="J47" s="46" cm="1">
        <f t="array" ref="J47">IFERROR(SUMPRODUCT((IF(OR($C$2="",$C$2=0),Database!$H$4:$H$1980&lt;&gt;"",Database!$H$4:$H$1980=$C$2))*(Database!$H$4:$H$1980=C47)*(Database!$J$4:$J$1980="12 Roda")*Database!$N$4:$N$1980)/1000,0)</f>
        <v>265.16000000000003</v>
      </c>
      <c r="K47" s="46">
        <f t="shared" si="6"/>
        <v>1533.74</v>
      </c>
      <c r="L47" s="46">
        <f t="shared" si="7"/>
        <v>9563.6448598130846</v>
      </c>
      <c r="M47" s="46">
        <f t="shared" si="8"/>
        <v>12908.947368421053</v>
      </c>
      <c r="N47" s="46">
        <f t="shared" si="9"/>
        <v>24105.454545454544</v>
      </c>
      <c r="O47" s="45" t="str" cm="1">
        <f t="array" ref="O47">IFERROR(IF(MAX(D47:F47)=0,"-",INDEX({"6 Roda";"10 Roda";"12 Roda"},MATCH(MAX(D47:F47),D47:F47,0))),"-")</f>
        <v>6 Roda</v>
      </c>
    </row>
    <row r="48" spans="2:15" ht="21.75" customHeight="1" x14ac:dyDescent="0.25">
      <c r="B48" s="1">
        <v>12</v>
      </c>
      <c r="C48" s="31" t="s">
        <v>1523</v>
      </c>
      <c r="D48" s="49" cm="1">
        <f t="array" ref="D48">SUMPRODUCT((IF(OR($C$2="",$C$2=0),Database!$H$4:$H$1980&lt;&gt;"",Database!$H$4:$H$1980=$C$2))*(Database!$H$4:$H$1980=C48)*(Database!$J$4:$J$1980="6 Roda"))</f>
        <v>1</v>
      </c>
      <c r="E48" s="49" cm="1">
        <f t="array" ref="E48">SUMPRODUCT((IF(OR($C$2="",$C$2=0),Database!$H$4:$H$1980&lt;&gt;"",Database!$H$4:$H$1980=$C$2))*(Database!$H$4:$H$1980=C48)*(Database!$J$4:$J$1980="10 Roda"))</f>
        <v>10</v>
      </c>
      <c r="F48" s="49" cm="1">
        <f t="array" ref="F48">SUMPRODUCT((IF(OR($C$2="",$C$2=0),Database!$H$4:$H$1980&lt;&gt;"",Database!$H$4:$H$1980=$C$2))*(Database!$H$4:$H$1980=C48)*(Database!$J$4:$J$1980="12 Roda"))</f>
        <v>6</v>
      </c>
      <c r="G48" s="49">
        <f t="shared" si="5"/>
        <v>17</v>
      </c>
      <c r="H48" s="50" cm="1">
        <f t="array" ref="H48">IFERROR(SUMPRODUCT((IF(OR($C$2="",$C$2=0),Database!$H$4:$H$1980&lt;&gt;"",Database!$H$4:$H$1980=$C$2))*(Database!$H$4:$H$1980=C48)*(Database!$J$4:$J$1980="6 Roda")*Database!$N$4:$N$1980)/1000,0)</f>
        <v>0.2</v>
      </c>
      <c r="I48" s="50" cm="1">
        <f t="array" ref="I48">IFERROR(SUMPRODUCT((IF(OR($C$2="",$C$2=0),Database!$H$4:$H$1980&lt;&gt;"",Database!$H$4:$H$1980=$C$2))*(Database!$H$4:$H$1980=C48)*(Database!$J$4:$J$1980="10 Roda")*Database!$N$4:$N$1980)/1000,0)</f>
        <v>161.22</v>
      </c>
      <c r="J48" s="50" cm="1">
        <f t="array" ref="J48">IFERROR(SUMPRODUCT((IF(OR($C$2="",$C$2=0),Database!$H$4:$H$1980&lt;&gt;"",Database!$H$4:$H$1980=$C$2))*(Database!$H$4:$H$1980=C48)*(Database!$J$4:$J$1980="12 Roda")*Database!$N$4:$N$1980)/1000,0)</f>
        <v>173.37</v>
      </c>
      <c r="K48" s="50">
        <f t="shared" si="6"/>
        <v>334.78999999999996</v>
      </c>
      <c r="L48" s="50">
        <f t="shared" si="7"/>
        <v>200</v>
      </c>
      <c r="M48" s="50">
        <f t="shared" si="8"/>
        <v>16122</v>
      </c>
      <c r="N48" s="50">
        <f t="shared" si="9"/>
        <v>28895</v>
      </c>
      <c r="O48" s="49" t="str" cm="1">
        <f t="array" ref="O48">IFERROR(IF(MAX(D48:F48)=0,"-",INDEX({"6 Roda";"10 Roda";"12 Roda"},MATCH(MAX(D48:F48),D48:F48,0))),"-")</f>
        <v>10 Roda</v>
      </c>
    </row>
    <row r="49" spans="2:15" ht="21.75" customHeight="1" x14ac:dyDescent="0.25">
      <c r="B49" s="43">
        <v>13</v>
      </c>
      <c r="C49" s="44" t="s">
        <v>115</v>
      </c>
      <c r="D49" s="45" cm="1">
        <f t="array" ref="D49">SUMPRODUCT((IF(OR($C$2="",$C$2=0),Database!$H$4:$H$1980&lt;&gt;"",Database!$H$4:$H$1980=$C$2))*(Database!$H$4:$H$1980=C49)*(Database!$J$4:$J$1980="6 Roda"))</f>
        <v>3</v>
      </c>
      <c r="E49" s="45" cm="1">
        <f t="array" ref="E49">SUMPRODUCT((IF(OR($C$2="",$C$2=0),Database!$H$4:$H$1980&lt;&gt;"",Database!$H$4:$H$1980=$C$2))*(Database!$H$4:$H$1980=C49)*(Database!$J$4:$J$1980="10 Roda"))</f>
        <v>4</v>
      </c>
      <c r="F49" s="45" cm="1">
        <f t="array" ref="F49">SUMPRODUCT((IF(OR($C$2="",$C$2=0),Database!$H$4:$H$1980&lt;&gt;"",Database!$H$4:$H$1980=$C$2))*(Database!$H$4:$H$1980=C49)*(Database!$J$4:$J$1980="12 Roda"))</f>
        <v>8</v>
      </c>
      <c r="G49" s="45">
        <f t="shared" si="5"/>
        <v>15</v>
      </c>
      <c r="H49" s="46" cm="1">
        <f t="array" ref="H49">IFERROR(SUMPRODUCT((IF(OR($C$2="",$C$2=0),Database!$H$4:$H$1980&lt;&gt;"",Database!$H$4:$H$1980=$C$2))*(Database!$H$4:$H$1980=C49)*(Database!$J$4:$J$1980="6 Roda")*Database!$N$4:$N$1980)/1000,0)</f>
        <v>26.95</v>
      </c>
      <c r="I49" s="46" cm="1">
        <f t="array" ref="I49">IFERROR(SUMPRODUCT((IF(OR($C$2="",$C$2=0),Database!$H$4:$H$1980&lt;&gt;"",Database!$H$4:$H$1980=$C$2))*(Database!$H$4:$H$1980=C49)*(Database!$J$4:$J$1980="10 Roda")*Database!$N$4:$N$1980)/1000,0)</f>
        <v>87.9</v>
      </c>
      <c r="J49" s="46" cm="1">
        <f t="array" ref="J49">IFERROR(SUMPRODUCT((IF(OR($C$2="",$C$2=0),Database!$H$4:$H$1980&lt;&gt;"",Database!$H$4:$H$1980=$C$2))*(Database!$H$4:$H$1980=C49)*(Database!$J$4:$J$1980="12 Roda")*Database!$N$4:$N$1980)/1000,0)</f>
        <v>230.78</v>
      </c>
      <c r="K49" s="46">
        <f t="shared" si="6"/>
        <v>345.63</v>
      </c>
      <c r="L49" s="46">
        <f t="shared" si="7"/>
        <v>8983.3333333333339</v>
      </c>
      <c r="M49" s="46">
        <f t="shared" si="8"/>
        <v>21975</v>
      </c>
      <c r="N49" s="46">
        <f t="shared" si="9"/>
        <v>28847.5</v>
      </c>
      <c r="O49" s="45" t="str" cm="1">
        <f t="array" ref="O49">IFERROR(IF(MAX(D49:F49)=0,"-",INDEX({"6 Roda";"10 Roda";"12 Roda"},MATCH(MAX(D49:F49),D49:F49,0))),"-")</f>
        <v>12 Roda</v>
      </c>
    </row>
    <row r="50" spans="2:15" ht="21.75" customHeight="1" x14ac:dyDescent="0.25">
      <c r="B50" s="1">
        <v>14</v>
      </c>
      <c r="C50" s="31" t="s">
        <v>1590</v>
      </c>
      <c r="D50" s="49" cm="1">
        <f t="array" ref="D50">SUMPRODUCT((IF(OR($C$2="",$C$2=0),Database!$H$4:$H$1980&lt;&gt;"",Database!$H$4:$H$1980=$C$2))*(Database!$H$4:$H$1980=C50)*(Database!$J$4:$J$1980="6 Roda"))</f>
        <v>1</v>
      </c>
      <c r="E50" s="49" cm="1">
        <f t="array" ref="E50">SUMPRODUCT((IF(OR($C$2="",$C$2=0),Database!$H$4:$H$1980&lt;&gt;"",Database!$H$4:$H$1980=$C$2))*(Database!$H$4:$H$1980=C50)*(Database!$J$4:$J$1980="10 Roda"))</f>
        <v>3</v>
      </c>
      <c r="F50" s="49" cm="1">
        <f t="array" ref="F50">SUMPRODUCT((IF(OR($C$2="",$C$2=0),Database!$H$4:$H$1980&lt;&gt;"",Database!$H$4:$H$1980=$C$2))*(Database!$H$4:$H$1980=C50)*(Database!$J$4:$J$1980="12 Roda"))</f>
        <v>2</v>
      </c>
      <c r="G50" s="49">
        <f>SUM(D50:F50)</f>
        <v>6</v>
      </c>
      <c r="H50" s="50" cm="1">
        <f t="array" ref="H50">IFERROR(SUMPRODUCT((IF(OR($C$2="",$C$2=0),Database!$H$4:$H$1980&lt;&gt;"",Database!$H$4:$H$1980=$C$2))*(Database!$H$4:$H$1980=C50)*(Database!$J$4:$J$1980="6 Roda")*Database!$N$4:$N$1980)/1000,0)</f>
        <v>10.07</v>
      </c>
      <c r="I50" s="50" cm="1">
        <f t="array" ref="I50">IFERROR(SUMPRODUCT((IF(OR($C$2="",$C$2=0),Database!$H$4:$H$1980&lt;&gt;"",Database!$H$4:$H$1980=$C$2))*(Database!$H$4:$H$1980=C50)*(Database!$J$4:$J$1980="10 Roda")*Database!$N$4:$N$1980)/1000,0)</f>
        <v>59.16</v>
      </c>
      <c r="J50" s="50" cm="1">
        <f t="array" ref="J50">IFERROR(SUMPRODUCT((IF(OR($C$2="",$C$2=0),Database!$H$4:$H$1980&lt;&gt;"",Database!$H$4:$H$1980=$C$2))*(Database!$H$4:$H$1980=C50)*(Database!$J$4:$J$1980="12 Roda")*Database!$N$4:$N$1980)/1000,0)</f>
        <v>57.78</v>
      </c>
      <c r="K50" s="50">
        <f>SUM(H50:J50)</f>
        <v>127.00999999999999</v>
      </c>
      <c r="L50" s="50">
        <f t="shared" ref="L50:N51" si="10">IFERROR(H50*1000/D50,0)</f>
        <v>10070</v>
      </c>
      <c r="M50" s="50">
        <f t="shared" si="10"/>
        <v>19720</v>
      </c>
      <c r="N50" s="50">
        <f t="shared" si="10"/>
        <v>28890</v>
      </c>
      <c r="O50" s="49" t="str" cm="1">
        <f t="array" ref="O50">IFERROR(IF(MAX(D50:F50)=0,"-",INDEX({"6 Roda";"10 Roda";"12 Roda"},MATCH(MAX(D50:F50),D50:F50,0))),"-")</f>
        <v>10 Roda</v>
      </c>
    </row>
    <row r="51" spans="2:15" ht="21.75" customHeight="1" x14ac:dyDescent="0.25">
      <c r="B51" s="1">
        <v>15</v>
      </c>
      <c r="C51" s="31" t="s">
        <v>1684</v>
      </c>
      <c r="D51" s="49" cm="1">
        <f t="array" ref="D51">SUMPRODUCT((IF(OR($C$2="",$C$2=0),Database!$H$4:$H$1980&lt;&gt;"",Database!$H$4:$H$1980=$C$2))*(Database!$H$4:$H$1980=C51)*(Database!$J$4:$J$1980="6 Roda"))</f>
        <v>0</v>
      </c>
      <c r="E51" s="49" cm="1">
        <f t="array" ref="E51">SUMPRODUCT((IF(OR($C$2="",$C$2=0),Database!$H$4:$H$1980&lt;&gt;"",Database!$H$4:$H$1980=$C$2))*(Database!$H$4:$H$1980=C51)*(Database!$J$4:$J$1980="10 Roda"))</f>
        <v>1</v>
      </c>
      <c r="F51" s="49" cm="1">
        <f t="array" ref="F51">SUMPRODUCT((IF(OR($C$2="",$C$2=0),Database!$H$4:$H$1980&lt;&gt;"",Database!$H$4:$H$1980=$C$2))*(Database!$H$4:$H$1980=C51)*(Database!$J$4:$J$1980="12 Roda"))</f>
        <v>0</v>
      </c>
      <c r="G51" s="49">
        <f>SUM(D51:F51)</f>
        <v>1</v>
      </c>
      <c r="H51" s="50" cm="1">
        <f t="array" ref="H51">IFERROR(SUMPRODUCT((IF(OR($C$2="",$C$2=0),Database!$H$4:$H$1980&lt;&gt;"",Database!$H$4:$H$1980=$C$2))*(Database!$H$4:$H$1980=C51)*(Database!$J$4:$J$1980="6 Roda")*Database!$N$4:$N$1980)/1000,0)</f>
        <v>0</v>
      </c>
      <c r="I51" s="50" cm="1">
        <f t="array" ref="I51">IFERROR(SUMPRODUCT((IF(OR($C$2="",$C$2=0),Database!$H$4:$H$1980&lt;&gt;"",Database!$H$4:$H$1980=$C$2))*(Database!$H$4:$H$1980=C51)*(Database!$J$4:$J$1980="10 Roda")*Database!$N$4:$N$1980)/1000,0)</f>
        <v>15.09</v>
      </c>
      <c r="J51" s="50" cm="1">
        <f t="array" ref="J51">IFERROR(SUMPRODUCT((IF(OR($C$2="",$C$2=0),Database!$H$4:$H$1980&lt;&gt;"",Database!$H$4:$H$1980=$C$2))*(Database!$H$4:$H$1980=C51)*(Database!$J$4:$J$1980="12 Roda")*Database!$N$4:$N$1980)/1000,0)</f>
        <v>0</v>
      </c>
      <c r="K51" s="50">
        <f>SUM(H51:J51)</f>
        <v>15.09</v>
      </c>
      <c r="L51" s="50">
        <f t="shared" si="10"/>
        <v>0</v>
      </c>
      <c r="M51" s="50">
        <f t="shared" si="10"/>
        <v>15090</v>
      </c>
      <c r="N51" s="50">
        <f t="shared" si="10"/>
        <v>0</v>
      </c>
      <c r="O51" s="49" t="str" cm="1">
        <f t="array" ref="O51">IFERROR(IF(MAX(D51:F51)=0,"-",INDEX({"6 Roda";"10 Roda";"12 Roda"},MATCH(MAX(D51:F51),D51:F51,0))),"-")</f>
        <v>10 Roda</v>
      </c>
    </row>
    <row r="52" spans="2:15" ht="21.75" customHeight="1" x14ac:dyDescent="0.25">
      <c r="B52" s="442" t="s">
        <v>1122</v>
      </c>
      <c r="C52" s="442"/>
      <c r="D52" s="119">
        <f t="shared" ref="D52:K52" si="11">SUM(D37:D49)</f>
        <v>845</v>
      </c>
      <c r="E52" s="119">
        <f t="shared" si="11"/>
        <v>440</v>
      </c>
      <c r="F52" s="119">
        <f t="shared" si="11"/>
        <v>262</v>
      </c>
      <c r="G52" s="119">
        <f t="shared" si="11"/>
        <v>1547</v>
      </c>
      <c r="H52" s="119">
        <f t="shared" si="11"/>
        <v>8043.3600000000006</v>
      </c>
      <c r="I52" s="119">
        <f t="shared" si="11"/>
        <v>6096.08</v>
      </c>
      <c r="J52" s="119">
        <f t="shared" si="11"/>
        <v>7282.74</v>
      </c>
      <c r="K52" s="119">
        <f t="shared" si="11"/>
        <v>21422.180000000004</v>
      </c>
      <c r="L52" s="120"/>
      <c r="M52" s="120"/>
      <c r="N52" s="120"/>
      <c r="O52" s="120"/>
    </row>
    <row r="54" spans="2:15" ht="16.5" customHeight="1" x14ac:dyDescent="0.25">
      <c r="H54" s="121"/>
      <c r="K54" s="122"/>
    </row>
  </sheetData>
  <mergeCells count="20">
    <mergeCell ref="B1:O1"/>
    <mergeCell ref="F2:I2"/>
    <mergeCell ref="L2:N2"/>
    <mergeCell ref="B5:O5"/>
    <mergeCell ref="B6:E6"/>
    <mergeCell ref="G6:J6"/>
    <mergeCell ref="L6:O6"/>
    <mergeCell ref="B11:G11"/>
    <mergeCell ref="I11:O11"/>
    <mergeCell ref="B16:C16"/>
    <mergeCell ref="I16:O16"/>
    <mergeCell ref="B18:O18"/>
    <mergeCell ref="B52:C52"/>
    <mergeCell ref="B19:F19"/>
    <mergeCell ref="H19:K19"/>
    <mergeCell ref="M19:O19"/>
    <mergeCell ref="B34:O34"/>
    <mergeCell ref="D35:F35"/>
    <mergeCell ref="H35:J35"/>
    <mergeCell ref="L35:N35"/>
  </mergeCells>
  <dataValidations count="1">
    <dataValidation type="list" allowBlank="1" showInputMessage="1" promptTitle="Filter Produk" prompt="Pilih produk, atau HAPUS isi untuk melihat SEMUA produk sekaligus" sqref="C2" xr:uid="{00000000-0002-0000-0400-000000000000}">
      <formula1>"B-40,BE,CPO,RBDPL"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0"/>
  <dimension ref="A1:Z55"/>
  <sheetViews>
    <sheetView topLeftCell="B3" zoomScaleNormal="100" workbookViewId="0">
      <selection activeCell="B8" sqref="B8:I8"/>
    </sheetView>
  </sheetViews>
  <sheetFormatPr baseColWidth="10" defaultColWidth="0" defaultRowHeight="17" x14ac:dyDescent="0.25"/>
  <cols>
    <col min="1" max="1" width="2.33203125" style="20" customWidth="1"/>
    <col min="2" max="2" width="10" style="20" customWidth="1"/>
    <col min="3" max="3" width="28" style="20" customWidth="1"/>
    <col min="4" max="4" width="10" style="20" customWidth="1"/>
    <col min="5" max="5" width="15" style="20" customWidth="1"/>
    <col min="6" max="6" width="13.33203125" style="20" customWidth="1"/>
    <col min="7" max="7" width="13.5" style="20" customWidth="1"/>
    <col min="8" max="8" width="12.5" style="20" customWidth="1"/>
    <col min="9" max="9" width="13.33203125" style="20" customWidth="1"/>
    <col min="10" max="10" width="2.5" style="20" customWidth="1"/>
    <col min="11" max="11" width="14.5" style="20" customWidth="1"/>
    <col min="12" max="12" width="10" style="20" customWidth="1"/>
    <col min="13" max="13" width="15" style="20" customWidth="1"/>
    <col min="14" max="14" width="13.33203125" style="20" customWidth="1"/>
    <col min="15" max="15" width="10.83203125" style="20"/>
    <col min="16" max="16" width="3.83203125" style="20" customWidth="1"/>
    <col min="17" max="16384" width="10.83203125" style="20" hidden="1"/>
  </cols>
  <sheetData>
    <row r="1" spans="1:26" ht="36" customHeight="1" x14ac:dyDescent="0.25">
      <c r="A1" s="21"/>
      <c r="B1" s="458" t="s">
        <v>1096</v>
      </c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s="27" customFormat="1" ht="6.75" customHeight="1" x14ac:dyDescent="0.25">
      <c r="A2" s="21"/>
      <c r="B2" s="22"/>
      <c r="C2" s="22"/>
      <c r="D2" s="23"/>
      <c r="E2" s="24"/>
      <c r="F2" s="25"/>
      <c r="G2" s="25"/>
      <c r="H2" s="25"/>
      <c r="I2" s="24"/>
      <c r="J2" s="25"/>
      <c r="K2" s="26"/>
      <c r="L2" s="25"/>
      <c r="M2" s="25"/>
      <c r="N2" s="25"/>
      <c r="O2" s="25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36.75" customHeight="1" x14ac:dyDescent="0.25">
      <c r="A3" s="21"/>
      <c r="B3" s="28" t="s">
        <v>1097</v>
      </c>
      <c r="C3" s="29"/>
      <c r="D3" s="30"/>
      <c r="E3" s="2" t="s">
        <v>1098</v>
      </c>
      <c r="F3" s="459" t="str">
        <f>TEXT(_xlfn.MINIFS(Database!$K$4:$K$4826,Database!$K$4:$K$4826,"&gt;"&amp;0),"DD-MMM-YY")&amp;" s/d "&amp;TEXT(MAX(Database!$K$4:$K$4826),"DD-MMM-YY")</f>
        <v>08-Sep-25 s/d 30-May-26</v>
      </c>
      <c r="G3" s="459"/>
      <c r="H3" s="459"/>
      <c r="I3" s="2" t="s">
        <v>1099</v>
      </c>
      <c r="J3" s="2"/>
      <c r="K3" s="460" t="str">
        <f ca="1">TEXT(NOW(),"DD-MMM-YY HH:MM")</f>
        <v>03-Jun-26 11:28</v>
      </c>
      <c r="L3" s="460"/>
      <c r="M3" s="31"/>
      <c r="N3" s="31"/>
      <c r="O3" s="3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4.5" customHeight="1" thickBot="1" x14ac:dyDescent="0.3">
      <c r="A4" s="21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66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s="35" customFormat="1" ht="24.75" customHeight="1" x14ac:dyDescent="0.25">
      <c r="A5" s="33"/>
      <c r="B5" s="461" t="s">
        <v>4</v>
      </c>
      <c r="C5" s="461"/>
      <c r="D5" s="462" t="s">
        <v>5</v>
      </c>
      <c r="E5" s="462"/>
      <c r="F5" s="462" t="s">
        <v>6</v>
      </c>
      <c r="G5" s="462"/>
      <c r="H5" s="462" t="s">
        <v>7</v>
      </c>
      <c r="I5" s="462"/>
      <c r="J5" s="462" t="s">
        <v>8</v>
      </c>
      <c r="K5" s="462"/>
      <c r="L5" s="462" t="s">
        <v>9</v>
      </c>
      <c r="M5" s="462"/>
      <c r="N5" s="462"/>
      <c r="O5" s="462"/>
      <c r="P5" s="34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s="37" customFormat="1" ht="24.75" customHeight="1" thickBot="1" x14ac:dyDescent="0.25">
      <c r="A6" s="36"/>
      <c r="B6" s="456" cm="1">
        <f t="array" ref="B6">SUMPRODUCT((IF($C$3="",Database!$I$4:$I$1980&lt;&gt;"",Database!$I$4:$I$1980=$C$3))*1)</f>
        <v>1564</v>
      </c>
      <c r="C6" s="456"/>
      <c r="D6" s="457" cm="1">
        <f t="array" ref="D6">SUMPRODUCT((IF($C$3="",Database!$I$4:$I$1980&lt;&gt;"",Database!$I$4:$I$1980=$C$3))*Database!$N$4:$N$1980)</f>
        <v>21764280</v>
      </c>
      <c r="E6" s="457"/>
      <c r="F6" s="452">
        <f>D6/1000</f>
        <v>21764.28</v>
      </c>
      <c r="G6" s="452"/>
      <c r="H6" s="452">
        <f>IFERROR(D6/B6,0)</f>
        <v>13915.780051150896</v>
      </c>
      <c r="I6" s="452"/>
      <c r="J6" s="452">
        <f>IFERROR(IF($C$3="",_xlfn.MAXIFS(Database!$N$4:$N$1980,Database!$I$4:$I$1980,"*",Database!$N$4:$N$1980,"&gt;"&amp;0),_xlfn.MAXIFS(Database!$N$4:$N$1980,Database!$I$4:$I$1980,$C$3,Database!$N$4:$N$1980,"&gt;"&amp;0)),0)</f>
        <v>29000</v>
      </c>
      <c r="K6" s="452"/>
      <c r="L6" s="452">
        <f>IFERROR(IF($C$3="",_xlfn.MINIFS(Database!$N$4:$N$1980,Database!$I$4:$I$1980,"*",Database!$N$4:$N$1980,"&gt;"&amp;0),_xlfn.MINIFS(Database!$N$4:$N$1980,Database!$I$4:$I$1980,$C$3,Database!$N$4:$N$1980,"&gt;"&amp;0)),0)</f>
        <v>190</v>
      </c>
      <c r="M6" s="452"/>
      <c r="N6" s="452"/>
      <c r="O6" s="452"/>
      <c r="P6" s="67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ht="16.5" customHeight="1" x14ac:dyDescent="0.25">
      <c r="A7" s="2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9.5" customHeight="1" x14ac:dyDescent="0.25">
      <c r="A8" s="21"/>
      <c r="B8" s="453" t="s">
        <v>1100</v>
      </c>
      <c r="C8" s="453"/>
      <c r="D8" s="453"/>
      <c r="E8" s="453"/>
      <c r="F8" s="453"/>
      <c r="G8" s="453"/>
      <c r="H8" s="453"/>
      <c r="I8" s="453"/>
      <c r="J8" s="31"/>
      <c r="K8" s="454" t="s">
        <v>1101</v>
      </c>
      <c r="L8" s="454"/>
      <c r="M8" s="454"/>
      <c r="N8" s="454"/>
      <c r="O8" s="454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s="42" customFormat="1" ht="19.5" customHeight="1" x14ac:dyDescent="0.2">
      <c r="A9" s="38"/>
      <c r="B9" s="39" t="s">
        <v>1102</v>
      </c>
      <c r="C9" s="39" t="s">
        <v>1103</v>
      </c>
      <c r="D9" s="39" t="s">
        <v>1104</v>
      </c>
      <c r="E9" s="39" t="s">
        <v>1105</v>
      </c>
      <c r="F9" s="39" t="s">
        <v>1106</v>
      </c>
      <c r="G9" s="39" t="s">
        <v>1107</v>
      </c>
      <c r="H9" s="39" t="s">
        <v>1108</v>
      </c>
      <c r="I9" s="39" t="s">
        <v>1109</v>
      </c>
      <c r="J9" s="40"/>
      <c r="K9" s="41" t="s">
        <v>1110</v>
      </c>
      <c r="L9" s="41" t="s">
        <v>1104</v>
      </c>
      <c r="M9" s="41" t="s">
        <v>1105</v>
      </c>
      <c r="N9" s="41" t="s">
        <v>1106</v>
      </c>
      <c r="O9" s="41" t="s">
        <v>1111</v>
      </c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6.5" customHeight="1" x14ac:dyDescent="0.25">
      <c r="A10" s="21"/>
      <c r="B10" s="43">
        <v>1</v>
      </c>
      <c r="C10" s="44" t="s">
        <v>49</v>
      </c>
      <c r="D10" s="45" cm="1">
        <f t="array" ref="D10">SUMPRODUCT((IF($C$3="",Database!$I$4:$I$4826&lt;&gt;"",Database!$I$4:$I$4826=$C$3))*(Database!$H$4:$H$4826=C10))</f>
        <v>402</v>
      </c>
      <c r="E10" s="46" cm="1">
        <f t="array" ref="E10">SUMPRODUCT((IF($C$3="",Database!$I$4:$I$4826&lt;&gt;"",Database!$I$4:$I$4826=$C$3))*(Database!$H$4:$H$4826=C10)*Database!$N$4:$N$4826)</f>
        <v>6495280</v>
      </c>
      <c r="F10" s="46">
        <f t="shared" ref="F10:F21" si="0">E10/1000</f>
        <v>6495.28</v>
      </c>
      <c r="G10" s="47">
        <f t="shared" ref="G10:G21" si="1">IFERROR(D10/B$6,0)</f>
        <v>0.25703324808184141</v>
      </c>
      <c r="H10" s="47">
        <f t="shared" ref="H10:H21" si="2">IFERROR(E10/D$6,0)</f>
        <v>0.29843762348214598</v>
      </c>
      <c r="I10" s="46">
        <f t="shared" ref="I10:I21" si="3">IFERROR(E10/D10,0)</f>
        <v>16157.412935323384</v>
      </c>
      <c r="J10" s="31"/>
      <c r="K10" s="48" t="s">
        <v>1112</v>
      </c>
      <c r="L10" s="45" cm="1">
        <f t="array" ref="L10">SUMPRODUCT((IF($C$3="",Database!$I$4:$I$1980&lt;&gt;"",Database!$I$4:$I$1980=$C$3))*(TEXT(Database!$K$4:$K$1980,"YYYY-MM")="2025-08"))</f>
        <v>0</v>
      </c>
      <c r="M10" s="46" cm="1">
        <f t="array" ref="M10">SUMPRODUCT((IF($C$3="",Database!$I$4:$I$1980&lt;&gt;"",Database!$I$4:$I$1980=$C$3))*(TEXT(Database!$K$4:$K$1980,"YYYY-MM")="2025-08")*Database!$N$4:$N$1980)</f>
        <v>0</v>
      </c>
      <c r="N10" s="46">
        <f t="shared" ref="N10:N18" si="4">M10/1000</f>
        <v>0</v>
      </c>
      <c r="O10" s="47">
        <f t="shared" ref="O10:O18" si="5">IFERROR(M10/D$6,0)</f>
        <v>0</v>
      </c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6.5" customHeight="1" x14ac:dyDescent="0.25">
      <c r="A11" s="21"/>
      <c r="B11" s="1">
        <v>2</v>
      </c>
      <c r="C11" s="31" t="s">
        <v>59</v>
      </c>
      <c r="D11" s="49" cm="1">
        <f t="array" ref="D11">SUMPRODUCT((IF($C$3="",Database!$I$4:$I$4826&lt;&gt;"",Database!$I$4:$I$4826=$C$3))*(Database!$H$4:$H$4826=C11))</f>
        <v>174</v>
      </c>
      <c r="E11" s="50" cm="1">
        <f t="array" ref="E11">SUMPRODUCT((IF($C$3="",Database!$I$4:$I$4826&lt;&gt;"",Database!$I$4:$I$4826=$C$3))*(Database!$H$4:$H$4826=C11)*Database!$N$4:$N$4826)</f>
        <v>3939560</v>
      </c>
      <c r="F11" s="50">
        <f t="shared" si="0"/>
        <v>3939.56</v>
      </c>
      <c r="G11" s="51">
        <f t="shared" si="1"/>
        <v>0.11125319693094629</v>
      </c>
      <c r="H11" s="51">
        <f t="shared" si="2"/>
        <v>0.18101035274311855</v>
      </c>
      <c r="I11" s="50">
        <f t="shared" si="3"/>
        <v>22641.149425287356</v>
      </c>
      <c r="J11" s="31"/>
      <c r="K11" s="52" t="s">
        <v>1113</v>
      </c>
      <c r="L11" s="49" cm="1">
        <f t="array" ref="L11">SUMPRODUCT((IF($C$3="",Database!$I$4:$I$1980&lt;&gt;"",Database!$I$4:$I$1980=$C$3))*(TEXT(Database!$K$4:$K$1980,"YYYY-MM")="2025-09"))</f>
        <v>13</v>
      </c>
      <c r="M11" s="50" cm="1">
        <f t="array" ref="M11">SUMPRODUCT((IF($C$3="",Database!$I$4:$I$1980&lt;&gt;"",Database!$I$4:$I$1980=$C$3))*(TEXT(Database!$K$4:$K$1980,"YYYY-MM")="2025-09")*Database!$N$4:$N$1980)</f>
        <v>220360</v>
      </c>
      <c r="N11" s="50">
        <f t="shared" si="4"/>
        <v>220.36</v>
      </c>
      <c r="O11" s="51">
        <f t="shared" si="5"/>
        <v>1.0124846767271878E-2</v>
      </c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6.5" customHeight="1" x14ac:dyDescent="0.25">
      <c r="A12" s="21"/>
      <c r="B12" s="43">
        <v>3</v>
      </c>
      <c r="C12" s="44" t="s">
        <v>40</v>
      </c>
      <c r="D12" s="45" cm="1">
        <f t="array" ref="D12">SUMPRODUCT((IF($C$3="",Database!$I$4:$I$4826&lt;&gt;"",Database!$I$4:$I$4826=$C$3))*(Database!$H$4:$H$4826=C12))</f>
        <v>282</v>
      </c>
      <c r="E12" s="46" cm="1">
        <f t="array" ref="E12">SUMPRODUCT((IF($C$3="",Database!$I$4:$I$4826&lt;&gt;"",Database!$I$4:$I$4826=$C$3))*(Database!$H$4:$H$4826=C12)*Database!$N$4:$N$4826)</f>
        <v>2697400</v>
      </c>
      <c r="F12" s="46">
        <f t="shared" si="0"/>
        <v>2697.4</v>
      </c>
      <c r="G12" s="47">
        <f t="shared" si="1"/>
        <v>0.18030690537084398</v>
      </c>
      <c r="H12" s="47">
        <f t="shared" si="2"/>
        <v>0.12393701974060249</v>
      </c>
      <c r="I12" s="46">
        <f t="shared" si="3"/>
        <v>9565.2482269503544</v>
      </c>
      <c r="J12" s="31"/>
      <c r="K12" s="48" t="s">
        <v>1114</v>
      </c>
      <c r="L12" s="45" cm="1">
        <f t="array" ref="L12">SUMPRODUCT((IF($C$3="",Database!$I$4:$I$1980&lt;&gt;"",Database!$I$4:$I$1980=$C$3))*(TEXT(Database!$K$4:$K$1980,"YYYY-MM")="2025-10"))</f>
        <v>17</v>
      </c>
      <c r="M12" s="46" cm="1">
        <f t="array" ref="M12">SUMPRODUCT((IF($C$3="",Database!$I$4:$I$1980&lt;&gt;"",Database!$I$4:$I$1980=$C$3))*(TEXT(Database!$K$4:$K$1980,"YYYY-MM")="2025-10")*Database!$N$4:$N$1980)</f>
        <v>369650</v>
      </c>
      <c r="N12" s="46">
        <f t="shared" si="4"/>
        <v>369.65</v>
      </c>
      <c r="O12" s="47">
        <f t="shared" si="5"/>
        <v>1.6984251259403022E-2</v>
      </c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6.5" customHeight="1" x14ac:dyDescent="0.25">
      <c r="A13" s="21"/>
      <c r="B13" s="1">
        <v>4</v>
      </c>
      <c r="C13" s="31" t="s">
        <v>78</v>
      </c>
      <c r="D13" s="49" cm="1">
        <f t="array" ref="D13">SUMPRODUCT((IF($C$3="",Database!$I$4:$I$4826&lt;&gt;"",Database!$I$4:$I$4826=$C$3))*(Database!$H$4:$H$4826=C13))</f>
        <v>97</v>
      </c>
      <c r="E13" s="50" cm="1">
        <f t="array" ref="E13">SUMPRODUCT((IF($C$3="",Database!$I$4:$I$4826&lt;&gt;"",Database!$I$4:$I$4826=$C$3))*(Database!$H$4:$H$4826=C13)*Database!$N$4:$N$4826)</f>
        <v>1798810</v>
      </c>
      <c r="F13" s="50">
        <f t="shared" si="0"/>
        <v>1798.81</v>
      </c>
      <c r="G13" s="51">
        <f t="shared" si="1"/>
        <v>6.2020460358056265E-2</v>
      </c>
      <c r="H13" s="51">
        <f t="shared" si="2"/>
        <v>8.2649644279525897E-2</v>
      </c>
      <c r="I13" s="50">
        <f t="shared" si="3"/>
        <v>18544.432989690722</v>
      </c>
      <c r="J13" s="31"/>
      <c r="K13" s="52" t="s">
        <v>1115</v>
      </c>
      <c r="L13" s="49" cm="1">
        <f t="array" ref="L13">SUMPRODUCT((IF($C$3="",Database!$I$4:$I$1980&lt;&gt;"",Database!$I$4:$I$1980=$C$3))*(TEXT(Database!$K$4:$K$1980,"YYYY-MM")="2025-11"))</f>
        <v>180</v>
      </c>
      <c r="M13" s="50" cm="1">
        <f t="array" ref="M13">SUMPRODUCT((IF($C$3="",Database!$I$4:$I$1980&lt;&gt;"",Database!$I$4:$I$1980=$C$3))*(TEXT(Database!$K$4:$K$1980,"YYYY-MM")="2025-11")*Database!$N$4:$N$1980)</f>
        <v>2991090</v>
      </c>
      <c r="N13" s="50">
        <f t="shared" si="4"/>
        <v>2991.09</v>
      </c>
      <c r="O13" s="51">
        <f t="shared" si="5"/>
        <v>0.13743114865274661</v>
      </c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6.5" customHeight="1" x14ac:dyDescent="0.25">
      <c r="A14" s="21"/>
      <c r="B14" s="43">
        <v>5</v>
      </c>
      <c r="C14" s="44" t="s">
        <v>86</v>
      </c>
      <c r="D14" s="45" cm="1">
        <f t="array" ref="D14">SUMPRODUCT((IF($C$3="",Database!$I$4:$I$4826&lt;&gt;"",Database!$I$4:$I$4826=$C$3))*(Database!$H$4:$H$4826=C14))</f>
        <v>137</v>
      </c>
      <c r="E14" s="46" cm="1">
        <f t="array" ref="E14">SUMPRODUCT((IF($C$3="",Database!$I$4:$I$4826&lt;&gt;"",Database!$I$4:$I$4826=$C$3))*(Database!$H$4:$H$4826=C14)*Database!$N$4:$N$4826)</f>
        <v>1290080</v>
      </c>
      <c r="F14" s="46">
        <f t="shared" si="0"/>
        <v>1290.08</v>
      </c>
      <c r="G14" s="47">
        <f t="shared" si="1"/>
        <v>8.7595907928388742E-2</v>
      </c>
      <c r="H14" s="47">
        <f t="shared" si="2"/>
        <v>5.9275105815584067E-2</v>
      </c>
      <c r="I14" s="46">
        <f t="shared" si="3"/>
        <v>9416.6423357664225</v>
      </c>
      <c r="J14" s="31"/>
      <c r="K14" s="48" t="s">
        <v>1116</v>
      </c>
      <c r="L14" s="45" cm="1">
        <f t="array" ref="L14">SUMPRODUCT((IF($C$3="",Database!$I$4:$I$1980&lt;&gt;"",Database!$I$4:$I$1980=$C$3))*(TEXT(Database!$K$4:$K$1980,"YYYY-MM")="2025-12"))</f>
        <v>273</v>
      </c>
      <c r="M14" s="46" cm="1">
        <f t="array" ref="M14">SUMPRODUCT((IF($C$3="",Database!$I$4:$I$1980&lt;&gt;"",Database!$I$4:$I$1980=$C$3))*(TEXT(Database!$K$4:$K$1980,"YYYY-MM")="2025-12")*Database!$N$4:$N$1980)</f>
        <v>4157440</v>
      </c>
      <c r="N14" s="46">
        <f t="shared" si="4"/>
        <v>4157.4399999999996</v>
      </c>
      <c r="O14" s="47">
        <f t="shared" si="5"/>
        <v>0.19102125133475584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6.5" customHeight="1" x14ac:dyDescent="0.25">
      <c r="A15" s="21"/>
      <c r="B15" s="1">
        <v>6</v>
      </c>
      <c r="C15" s="31" t="s">
        <v>61</v>
      </c>
      <c r="D15" s="49" cm="1">
        <f t="array" ref="D15">SUMPRODUCT((IF($C$3="",Database!$I$4:$I$4826&lt;&gt;"",Database!$I$4:$I$4826=$C$3))*(Database!$H$4:$H$4826=C15))</f>
        <v>18</v>
      </c>
      <c r="E15" s="50" cm="1">
        <f t="array" ref="E15">SUMPRODUCT((IF($C$3="",Database!$I$4:$I$4826&lt;&gt;"",Database!$I$4:$I$4826=$C$3))*(Database!$H$4:$H$4826=C15)*Database!$N$4:$N$4826)</f>
        <v>295170</v>
      </c>
      <c r="F15" s="50">
        <f t="shared" si="0"/>
        <v>295.17</v>
      </c>
      <c r="G15" s="51">
        <f t="shared" si="1"/>
        <v>1.1508951406649617E-2</v>
      </c>
      <c r="H15" s="51">
        <f t="shared" si="2"/>
        <v>1.356213024276475E-2</v>
      </c>
      <c r="I15" s="50">
        <f t="shared" si="3"/>
        <v>16398.333333333332</v>
      </c>
      <c r="J15" s="31"/>
      <c r="K15" s="52" t="s">
        <v>1117</v>
      </c>
      <c r="L15" s="49" cm="1">
        <f t="array" ref="L15">SUMPRODUCT((IF($C$3="",Database!$I$4:$I$1980&lt;&gt;"",Database!$I$4:$I$1980=$C$3))*(TEXT(Database!$K$4:$K$1980,"YYYY-MM")="2026-01"))</f>
        <v>125</v>
      </c>
      <c r="M15" s="50" cm="1">
        <f t="array" ref="M15">SUMPRODUCT((IF($C$3="",Database!$I$4:$I$1980&lt;&gt;"",Database!$I$4:$I$1980=$C$3))*(TEXT(Database!$K$4:$K$1980,"YYYY-MM")="2026-01")*Database!$N$4:$N$1980)</f>
        <v>2300150</v>
      </c>
      <c r="N15" s="50">
        <f t="shared" si="4"/>
        <v>2300.15</v>
      </c>
      <c r="O15" s="51">
        <f t="shared" si="5"/>
        <v>0.10568463555881472</v>
      </c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6.5" customHeight="1" x14ac:dyDescent="0.25">
      <c r="A16" s="21"/>
      <c r="B16" s="43">
        <v>7</v>
      </c>
      <c r="C16" s="44" t="s">
        <v>94</v>
      </c>
      <c r="D16" s="45" cm="1">
        <f t="array" ref="D16">SUMPRODUCT((IF($C$3="",Database!$I$4:$I$4826&lt;&gt;"",Database!$I$4:$I$4826=$C$3))*(Database!$H$4:$H$4826=C16))</f>
        <v>26</v>
      </c>
      <c r="E16" s="46" cm="1">
        <f t="array" ref="E16">SUMPRODUCT((IF($C$3="",Database!$I$4:$I$4826&lt;&gt;"",Database!$I$4:$I$4826=$C$3))*(Database!$H$4:$H$4826=C16)*Database!$N$4:$N$4826)</f>
        <v>208140</v>
      </c>
      <c r="F16" s="46">
        <f t="shared" si="0"/>
        <v>208.14</v>
      </c>
      <c r="G16" s="47">
        <f t="shared" si="1"/>
        <v>1.6624040920716114E-2</v>
      </c>
      <c r="H16" s="47">
        <f t="shared" si="2"/>
        <v>9.5633763212015291E-3</v>
      </c>
      <c r="I16" s="46">
        <f t="shared" si="3"/>
        <v>8005.3846153846152</v>
      </c>
      <c r="J16" s="31"/>
      <c r="K16" s="48" t="s">
        <v>1118</v>
      </c>
      <c r="L16" s="45" cm="1">
        <f t="array" ref="L16">SUMPRODUCT((IF($C$3="",Database!$I$4:$I$1980&lt;&gt;"",Database!$I$4:$I$1980=$C$3))*(TEXT(Database!$K$4:$K$1980,"YYYY-MM")="2026-02"))</f>
        <v>214</v>
      </c>
      <c r="M16" s="46" cm="1">
        <f t="array" ref="M16">SUMPRODUCT((IF($C$3="",Database!$I$4:$I$1980&lt;&gt;"",Database!$I$4:$I$1980=$C$3))*(TEXT(Database!$K$4:$K$1980,"YYYY-MM")="2026-02")*Database!$N$4:$N$1980)</f>
        <v>3178100</v>
      </c>
      <c r="N16" s="46">
        <f t="shared" si="4"/>
        <v>3178.1</v>
      </c>
      <c r="O16" s="47">
        <f t="shared" si="5"/>
        <v>0.14602366813880358</v>
      </c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6.5" customHeight="1" x14ac:dyDescent="0.25">
      <c r="A17" s="21"/>
      <c r="B17" s="1">
        <v>8</v>
      </c>
      <c r="C17" s="31" t="s">
        <v>98</v>
      </c>
      <c r="D17" s="49" cm="1">
        <f t="array" ref="D17">SUMPRODUCT((IF($C$3="",Database!$I$4:$I$4826&lt;&gt;"",Database!$I$4:$I$4826=$C$3))*(Database!$H$4:$H$4826=C17))</f>
        <v>5</v>
      </c>
      <c r="E17" s="50" cm="1">
        <f t="array" ref="E17">SUMPRODUCT((IF($C$3="",Database!$I$4:$I$4826&lt;&gt;"",Database!$I$4:$I$4826=$C$3))*(Database!$H$4:$H$4826=C17)*Database!$N$4:$N$4826)</f>
        <v>101500</v>
      </c>
      <c r="F17" s="50">
        <f t="shared" si="0"/>
        <v>101.5</v>
      </c>
      <c r="G17" s="51">
        <f t="shared" si="1"/>
        <v>3.19693094629156E-3</v>
      </c>
      <c r="H17" s="51">
        <f t="shared" si="2"/>
        <v>4.6636047689149378E-3</v>
      </c>
      <c r="I17" s="50">
        <f t="shared" si="3"/>
        <v>20300</v>
      </c>
      <c r="J17" s="31"/>
      <c r="K17" s="52" t="s">
        <v>1119</v>
      </c>
      <c r="L17" s="49" cm="1">
        <f t="array" ref="L17">SUMPRODUCT((IF($C$3="",Database!$I$4:$I$1980&lt;&gt;"",Database!$I$4:$I$1980=$C$3))*(TEXT(Database!$K$4:$K$1980,"YYYY-MM")="2026-03"))</f>
        <v>111</v>
      </c>
      <c r="M17" s="50" cm="1">
        <f t="array" ref="M17">SUMPRODUCT((IF($C$3="",Database!$I$4:$I$1980&lt;&gt;"",Database!$I$4:$I$1980=$C$3))*(TEXT(Database!$K$4:$K$1980,"YYYY-MM")="2026-03")*Database!$N$4:$N$1980)</f>
        <v>1424060</v>
      </c>
      <c r="N17" s="50">
        <f t="shared" si="4"/>
        <v>1424.06</v>
      </c>
      <c r="O17" s="51">
        <f t="shared" si="5"/>
        <v>6.5431064110551787E-2</v>
      </c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6.5" customHeight="1" x14ac:dyDescent="0.25">
      <c r="A18" s="21"/>
      <c r="B18" s="43">
        <v>9</v>
      </c>
      <c r="C18" s="44" t="s">
        <v>103</v>
      </c>
      <c r="D18" s="45" cm="1">
        <f t="array" ref="D18">SUMPRODUCT((IF($C$3="",Database!$I$4:$I$4826&lt;&gt;"",Database!$I$4:$I$4826=$C$3))*(Database!$H$4:$H$4826=C18))</f>
        <v>76</v>
      </c>
      <c r="E18" s="46" cm="1">
        <f t="array" ref="E18">SUMPRODUCT((IF($C$3="",Database!$I$4:$I$4826&lt;&gt;"",Database!$I$4:$I$4826=$C$3))*(Database!$H$4:$H$4826=C18)*Database!$N$4:$N$4826)</f>
        <v>797790</v>
      </c>
      <c r="F18" s="46">
        <f t="shared" si="0"/>
        <v>797.79</v>
      </c>
      <c r="G18" s="47">
        <f t="shared" si="1"/>
        <v>4.859335038363171E-2</v>
      </c>
      <c r="H18" s="47">
        <f t="shared" si="2"/>
        <v>3.665593348367141E-2</v>
      </c>
      <c r="I18" s="46">
        <f t="shared" si="3"/>
        <v>10497.236842105263</v>
      </c>
      <c r="J18" s="31"/>
      <c r="K18" s="48" t="s">
        <v>1125</v>
      </c>
      <c r="L18" s="45" cm="1">
        <f t="array" ref="L18">SUMPRODUCT((IF($C$3="",Database!$I$4:$I$1980&lt;&gt;"",Database!$I$4:$I$1980=$C$3))*(TEXT(Database!$K$4:$K$1980,"YYYY-MM")="2026-04"))</f>
        <v>338</v>
      </c>
      <c r="M18" s="46" cm="1">
        <f t="array" ref="M18">SUMPRODUCT((IF($C$3="",Database!$I$4:$I$1980&lt;&gt;"",Database!$I$4:$I$1980=$C$3))*(TEXT(Database!$K$4:$K$1980,"YYYY-MM")="2026-04")*Database!$N$4:$N$1980)</f>
        <v>3853480</v>
      </c>
      <c r="N18" s="46">
        <f t="shared" si="4"/>
        <v>3853.48</v>
      </c>
      <c r="O18" s="47">
        <f t="shared" si="5"/>
        <v>0.17705524832431857</v>
      </c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6.5" customHeight="1" x14ac:dyDescent="0.25">
      <c r="A19" s="21"/>
      <c r="B19" s="1">
        <v>10</v>
      </c>
      <c r="C19" s="31" t="s">
        <v>107</v>
      </c>
      <c r="D19" s="49" cm="1">
        <f t="array" ref="D19">SUMPRODUCT((IF($C$3="",Database!$I$4:$I$4826&lt;&gt;"",Database!$I$4:$I$4826=$C$3))*(Database!$H$4:$H$4826=C19))</f>
        <v>161</v>
      </c>
      <c r="E19" s="50" cm="1">
        <f t="array" ref="E19">SUMPRODUCT((IF($C$3="",Database!$I$4:$I$4826&lt;&gt;"",Database!$I$4:$I$4826=$C$3))*(Database!$H$4:$H$4826=C19)*Database!$N$4:$N$4826)</f>
        <v>1584290</v>
      </c>
      <c r="F19" s="50">
        <f t="shared" si="0"/>
        <v>1584.29</v>
      </c>
      <c r="G19" s="51">
        <f t="shared" si="1"/>
        <v>0.10294117647058823</v>
      </c>
      <c r="H19" s="51">
        <f t="shared" si="2"/>
        <v>7.2793127087135437E-2</v>
      </c>
      <c r="I19" s="50">
        <f t="shared" si="3"/>
        <v>9840.3105590062114</v>
      </c>
      <c r="J19" s="31"/>
      <c r="K19" s="52" t="s">
        <v>1120</v>
      </c>
      <c r="L19" s="49" cm="1">
        <f t="array" ref="L19">SUMPRODUCT((IF($C$3="",Database!$I$4:$I$1980&lt;&gt;"",Database!$I$4:$I$1980=$C$3))*(TEXT(Database!$K$4:$K$1980,"YYYY-MM")="2026-05"))</f>
        <v>293</v>
      </c>
      <c r="M19" s="50" cm="1">
        <f t="array" ref="M19">SUMPRODUCT((IF($C$3="",Database!$I$4:$I$1980&lt;&gt;"",Database!$I$4:$I$1980=$C$3))*(TEXT(Database!$K$4:$K$1980,"YYYY-MM")="2026-05")*Database!$N$4:$N$1980)</f>
        <v>3269950</v>
      </c>
      <c r="N19" s="50">
        <f>M19/1000</f>
        <v>3269.95</v>
      </c>
      <c r="O19" s="51">
        <f>IFERROR(M19/D$6,0)</f>
        <v>0.15024388585333401</v>
      </c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6.5" customHeight="1" x14ac:dyDescent="0.25">
      <c r="A20" s="21"/>
      <c r="B20" s="43">
        <v>11</v>
      </c>
      <c r="C20" s="44" t="s">
        <v>111</v>
      </c>
      <c r="D20" s="45" cm="1">
        <f t="array" ref="D20">SUMPRODUCT((IF($C$3="",Database!$I$4:$I$4826&lt;&gt;"",Database!$I$4:$I$4826=$C$3))*(Database!$H$4:$H$4826=C20))</f>
        <v>137</v>
      </c>
      <c r="E20" s="46" cm="1">
        <f t="array" ref="E20">SUMPRODUCT((IF($C$3="",Database!$I$4:$I$4826&lt;&gt;"",Database!$I$4:$I$4826=$C$3))*(Database!$H$4:$H$4826=C20)*Database!$N$4:$N$4826)</f>
        <v>1533740</v>
      </c>
      <c r="F20" s="46">
        <f t="shared" si="0"/>
        <v>1533.74</v>
      </c>
      <c r="G20" s="47">
        <f t="shared" si="1"/>
        <v>8.7595907928388742E-2</v>
      </c>
      <c r="H20" s="47">
        <f t="shared" si="2"/>
        <v>7.0470514071680757E-2</v>
      </c>
      <c r="I20" s="46">
        <f t="shared" si="3"/>
        <v>11195.182481751825</v>
      </c>
      <c r="J20" s="31"/>
      <c r="K20" s="48" t="s">
        <v>1121</v>
      </c>
      <c r="L20" s="45" cm="1">
        <f t="array" ref="L20">SUMPRODUCT((IF($C$3="",Database!$I$4:$I$1980&lt;&gt;"",Database!$I$4:$I$1980=$C$3))*(TEXT(Database!$K$4:$K$1980,"YYYY-MM")="2026-06"))</f>
        <v>0</v>
      </c>
      <c r="M20" s="46" cm="1">
        <f t="array" ref="M20">SUMPRODUCT((IF($C$3="",Database!$I$4:$I$1980&lt;&gt;"",Database!$I$4:$I$1980=$C$3))*(TEXT(Database!$K$4:$K$1980,"YYYY-MM")="2026-06")*Database!$N$4:$N$1980)</f>
        <v>0</v>
      </c>
      <c r="N20" s="46">
        <f>M20/1000</f>
        <v>0</v>
      </c>
      <c r="O20" s="47">
        <f>IFERROR(M20/D$6,0)</f>
        <v>0</v>
      </c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6.5" customHeight="1" x14ac:dyDescent="0.25">
      <c r="A21" s="21"/>
      <c r="B21" s="1">
        <v>12</v>
      </c>
      <c r="C21" s="31" t="s">
        <v>1523</v>
      </c>
      <c r="D21" s="49" cm="1">
        <f t="array" ref="D21">SUMPRODUCT((IF($C$3="",Database!$I$4:$I$4826&lt;&gt;"",Database!$I$4:$I$4826=$C$3))*(Database!$H$4:$H$4826=C21))</f>
        <v>17</v>
      </c>
      <c r="E21" s="50" cm="1">
        <f t="array" ref="E21">SUMPRODUCT((IF($C$3="",Database!$I$4:$I$4826&lt;&gt;"",Database!$I$4:$I$4826=$C$3))*(Database!$H$4:$H$4826=C21)*Database!$N$4:$N$4826)</f>
        <v>334790</v>
      </c>
      <c r="F21" s="50">
        <f t="shared" si="0"/>
        <v>334.79</v>
      </c>
      <c r="G21" s="51">
        <f t="shared" si="1"/>
        <v>1.0869565217391304E-2</v>
      </c>
      <c r="H21" s="51">
        <f t="shared" si="2"/>
        <v>1.5382544242217064E-2</v>
      </c>
      <c r="I21" s="50">
        <f t="shared" si="3"/>
        <v>19693.529411764706</v>
      </c>
      <c r="J21" s="31"/>
      <c r="K21" s="52" t="s">
        <v>1501</v>
      </c>
      <c r="L21" s="49" cm="1">
        <f t="array" ref="L21">SUMPRODUCT((IF($C$3="",Database!$I$4:$I$1980&lt;&gt;"",Database!$I$4:$I$1980=$C$3))*(TEXT(Database!$K$4:$K$1980,"YYYY-MM")="2026-07"))</f>
        <v>0</v>
      </c>
      <c r="M21" s="50" cm="1">
        <f t="array" ref="M21">SUMPRODUCT((IF($C$3="",Database!$I$4:$I$1980&lt;&gt;"",Database!$I$4:$I$1980=$C$3))*(TEXT(Database!$K$4:$K$1980,"YYYY-MM")="2026-07")*Database!$N$4:$N$1980)</f>
        <v>0</v>
      </c>
      <c r="N21" s="50">
        <f>M21/1000</f>
        <v>0</v>
      </c>
      <c r="O21" s="51">
        <f>IFERROR(M21/D$6,0)</f>
        <v>0</v>
      </c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6.5" customHeight="1" x14ac:dyDescent="0.25">
      <c r="A22" s="21"/>
      <c r="B22" s="43">
        <v>13</v>
      </c>
      <c r="C22" s="44" t="s">
        <v>115</v>
      </c>
      <c r="D22" s="45" cm="1">
        <f t="array" ref="D22">SUMPRODUCT((IF($C$3="",Database!$I$4:$I$4826&lt;&gt;"",Database!$I$4:$I$4826=$C$3))*(Database!$H$4:$H$4826=C22))</f>
        <v>15</v>
      </c>
      <c r="E22" s="46" cm="1">
        <f t="array" ref="E22">SUMPRODUCT((IF($C$3="",Database!$I$4:$I$4826&lt;&gt;"",Database!$I$4:$I$4826=$C$3))*(Database!$H$4:$H$4826=C22)*Database!$N$4:$N$4826)</f>
        <v>345630</v>
      </c>
      <c r="F22" s="46">
        <f>E22/1000</f>
        <v>345.63</v>
      </c>
      <c r="G22" s="47">
        <f>IFERROR(D22/B$6,0)</f>
        <v>9.5907928388746806E-3</v>
      </c>
      <c r="H22" s="47">
        <f>IFERROR(E22/D$6,0)</f>
        <v>1.5880608042168176E-2</v>
      </c>
      <c r="I22" s="46">
        <f>IFERROR(E22/D22,0)</f>
        <v>23042</v>
      </c>
      <c r="J22" s="31"/>
      <c r="K22" s="48" t="s">
        <v>1502</v>
      </c>
      <c r="L22" s="45" cm="1">
        <f t="array" ref="L22">SUMPRODUCT((IF($C$3="",Database!$I$4:$I$1980&lt;&gt;"",Database!$I$4:$I$1980=$C$3))*(TEXT(Database!$K$4:$K$1980,"YYYY-MM")="2026-08"))</f>
        <v>0</v>
      </c>
      <c r="M22" s="46" cm="1">
        <f t="array" ref="M22">SUMPRODUCT((IF($C$3="",Database!$I$4:$I$1980&lt;&gt;"",Database!$I$4:$I$1980=$C$3))*(TEXT(Database!$K$4:$K$1980,"YYYY-MM")="2026-08")*Database!$N$4:$N$1980)</f>
        <v>0</v>
      </c>
      <c r="N22" s="46">
        <f>M22/1000</f>
        <v>0</v>
      </c>
      <c r="O22" s="47">
        <f>IFERROR(M22/D$6,0)</f>
        <v>0</v>
      </c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6.5" customHeight="1" x14ac:dyDescent="0.25">
      <c r="A23" s="21"/>
      <c r="B23" s="1">
        <v>14</v>
      </c>
      <c r="C23" s="31" t="s">
        <v>1590</v>
      </c>
      <c r="D23" s="49" cm="1">
        <f t="array" ref="D23">SUMPRODUCT((IF($C$3="",Database!$I$4:$I$4826&lt;&gt;"",Database!$I$4:$I$4826=$C$3))*(Database!$H$4:$H$4826=C23))</f>
        <v>6</v>
      </c>
      <c r="E23" s="50" cm="1">
        <f t="array" ref="E23">SUMPRODUCT((IF($C$3="",Database!$I$4:$I$4826&lt;&gt;"",Database!$I$4:$I$4826=$C$3))*(Database!$H$4:$H$4826=C23)*Database!$N$4:$N$4826)</f>
        <v>127010</v>
      </c>
      <c r="F23" s="50">
        <f>E23/1000</f>
        <v>127.01</v>
      </c>
      <c r="G23" s="51">
        <f>IFERROR(D23/B$6,0)</f>
        <v>3.8363171355498722E-3</v>
      </c>
      <c r="H23" s="51">
        <f>IFERROR(E23/D$6,0)</f>
        <v>5.8357087852205537E-3</v>
      </c>
      <c r="I23" s="50">
        <f>IFERROR(E23/D23,0)</f>
        <v>21168.333333333332</v>
      </c>
      <c r="J23" s="31"/>
      <c r="K23" s="48"/>
      <c r="L23" s="45"/>
      <c r="M23" s="46"/>
      <c r="N23" s="46"/>
      <c r="O23" s="47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6.5" customHeight="1" x14ac:dyDescent="0.25">
      <c r="A24" s="21"/>
      <c r="B24" s="1">
        <v>15</v>
      </c>
      <c r="C24" s="31" t="s">
        <v>1684</v>
      </c>
      <c r="D24" s="49" cm="1">
        <f t="array" ref="D24">SUMPRODUCT((IF($C$3="",Database!$I$4:$I$4826&lt;&gt;"",Database!$I$4:$I$4826=$C$3))*(Database!$H$4:$H$4826=C24))</f>
        <v>1</v>
      </c>
      <c r="E24" s="50" cm="1">
        <f t="array" ref="E24">SUMPRODUCT((IF($C$3="",Database!$I$4:$I$4826&lt;&gt;"",Database!$I$4:$I$4826=$C$3))*(Database!$H$4:$H$4826=C24)*Database!$N$4:$N$4826)</f>
        <v>15090</v>
      </c>
      <c r="F24" s="50">
        <f>E24/1000</f>
        <v>15.09</v>
      </c>
      <c r="G24" s="51">
        <f>IFERROR(D24/B$6,0)</f>
        <v>6.3938618925831207E-4</v>
      </c>
      <c r="H24" s="51">
        <f>IFERROR(E24/D$6,0)</f>
        <v>6.9333789126035873E-4</v>
      </c>
      <c r="I24" s="50">
        <f>IFERROR(E24/D24,0)</f>
        <v>15090</v>
      </c>
      <c r="J24" s="31"/>
      <c r="K24" s="48"/>
      <c r="L24" s="45"/>
      <c r="M24" s="46"/>
      <c r="N24" s="46"/>
      <c r="O24" s="47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s="58" customFormat="1" ht="30" customHeight="1" thickBot="1" x14ac:dyDescent="0.35">
      <c r="A25" s="21"/>
      <c r="B25" s="455" t="s">
        <v>1122</v>
      </c>
      <c r="C25" s="455"/>
      <c r="D25" s="53">
        <f>SUM(D10:D24)</f>
        <v>1554</v>
      </c>
      <c r="E25" s="53">
        <f>SUM(E10:E24)</f>
        <v>21564280</v>
      </c>
      <c r="F25" s="53">
        <f>SUM(F10:F24)</f>
        <v>21564.280000000002</v>
      </c>
      <c r="G25" s="53"/>
      <c r="H25" s="53"/>
      <c r="I25" s="53"/>
      <c r="J25" s="54"/>
      <c r="K25" s="55" t="s">
        <v>1122</v>
      </c>
      <c r="L25" s="56">
        <f>SUM(L10:L19)</f>
        <v>1564</v>
      </c>
      <c r="M25" s="56">
        <f>SUM(M10:M19)</f>
        <v>21764280</v>
      </c>
      <c r="N25" s="56">
        <f>M25/1000</f>
        <v>21764.28</v>
      </c>
      <c r="O25" s="57">
        <f>IFERROR(M18/D$6,0)</f>
        <v>0.17705524832431857</v>
      </c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6.5" customHeight="1" x14ac:dyDescent="0.25">
      <c r="A26" s="2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51">
        <f>IFERROR(M19/D$6,0)</f>
        <v>0.15024388585333401</v>
      </c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6.5" customHeight="1" x14ac:dyDescent="0.25">
      <c r="A27" s="21"/>
      <c r="B27"/>
      <c r="C27" s="451" t="s">
        <v>1123</v>
      </c>
      <c r="D27" s="451"/>
      <c r="E27" s="451"/>
      <c r="F27" s="451"/>
      <c r="G27" s="451"/>
      <c r="H27" s="451"/>
      <c r="I27" s="31"/>
      <c r="J27" s="31"/>
      <c r="K27" s="31"/>
      <c r="L27" s="31"/>
      <c r="M27" s="31"/>
      <c r="N27" s="31"/>
      <c r="O27" s="3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24.75" customHeight="1" x14ac:dyDescent="0.25">
      <c r="A28" s="21"/>
      <c r="B28" s="3"/>
      <c r="C28" s="59" t="s">
        <v>1110</v>
      </c>
      <c r="D28" s="59" t="s">
        <v>41</v>
      </c>
      <c r="E28" s="59" t="s">
        <v>3</v>
      </c>
      <c r="F28" s="59" t="s">
        <v>66</v>
      </c>
      <c r="G28" s="59" t="s">
        <v>58</v>
      </c>
      <c r="H28" s="59" t="s">
        <v>1124</v>
      </c>
      <c r="I28" s="31"/>
      <c r="J28" s="31"/>
      <c r="K28" s="31"/>
      <c r="L28" s="31"/>
      <c r="M28" s="31"/>
      <c r="N28" s="31"/>
      <c r="O28" s="3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9.5" customHeight="1" x14ac:dyDescent="0.25">
      <c r="A29" s="21"/>
      <c r="B29" s="3"/>
      <c r="C29" s="52" t="s">
        <v>1112</v>
      </c>
      <c r="D29" s="60" cm="1">
        <f t="array" ref="D29">IFERROR(SUMPRODUCT((Database!$I$4:$I$1980="CPO")*(TEXT(Database!$K$4:$K$1980,"YYYY-MM")="2025-08")*Database!$N$4:$N$1980)/1000,0)</f>
        <v>0</v>
      </c>
      <c r="E29" s="60" cm="1">
        <f t="array" ref="E29">IFERROR(SUMPRODUCT((Database!$I$4:$I$1980="RBDPL")*(TEXT(Database!$K$4:$K$1980,"YYYY-MM")="2025-08")*Database!$N$4:$N$1980)/1000,0)</f>
        <v>0</v>
      </c>
      <c r="F29" s="60" cm="1">
        <f t="array" ref="F29">IFERROR(SUMPRODUCT((Database!$I$4:$I$1980="B-40")*(TEXT(Database!$K$4:$K$1980,"YYYY-MM")="2025-08")*Database!$N$4:$N$1980)/1000,0)</f>
        <v>0</v>
      </c>
      <c r="G29" s="60" cm="1">
        <f t="array" ref="G29">IFERROR(SUMPRODUCT((Database!$I$4:$I$1980="BE")*(TEXT(Database!$K$4:$K$1980,"YYYY-MM")="2025-08")*Database!$N$4:$N$1980)/1000,0)</f>
        <v>0</v>
      </c>
      <c r="H29" s="60">
        <f t="shared" ref="H29:H41" si="6">SUM(D29:G29)</f>
        <v>0</v>
      </c>
      <c r="I29" s="31"/>
      <c r="J29" s="31"/>
      <c r="K29" s="31"/>
      <c r="L29" s="31"/>
      <c r="M29" s="31"/>
      <c r="N29" s="31"/>
      <c r="O29" s="3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9.5" customHeight="1" x14ac:dyDescent="0.25">
      <c r="A30" s="21"/>
      <c r="B30" s="3"/>
      <c r="C30" s="48" t="s">
        <v>1113</v>
      </c>
      <c r="D30" s="61" cm="1">
        <f t="array" ref="D30">IFERROR(SUMPRODUCT((Database!$I$4:$I$1980="CPO")*(TEXT(Database!$K$4:$K$1980,"YYYY-MM")="2025-09")*Database!$N$4:$N$1980)/1000,0)</f>
        <v>126.65</v>
      </c>
      <c r="E30" s="61" cm="1">
        <f t="array" ref="E30">IFERROR(SUMPRODUCT((Database!$I$4:$I$1980="RBDPL")*(TEXT(Database!$K$4:$K$1980,"YYYY-MM")="2025-09")*Database!$N$4:$N$1980)/1000,0)</f>
        <v>0</v>
      </c>
      <c r="F30" s="61" cm="1">
        <f t="array" ref="F30">IFERROR(SUMPRODUCT((Database!$I$4:$I$1980="B-40")*(TEXT(Database!$K$4:$K$1980,"YYYY-MM")="2025-09")*Database!$N$4:$N$1980)/1000,0)</f>
        <v>93.71</v>
      </c>
      <c r="G30" s="61" cm="1">
        <f t="array" ref="G30">IFERROR(SUMPRODUCT((Database!$I$4:$I$1980="BE")*(TEXT(Database!$K$4:$K$1980,"YYYY-MM")="2025-09")*Database!$N$4:$N$1980)/1000,0)</f>
        <v>0</v>
      </c>
      <c r="H30" s="61">
        <f t="shared" si="6"/>
        <v>220.36</v>
      </c>
      <c r="I30" s="31"/>
      <c r="J30" s="31"/>
      <c r="K30" s="31"/>
      <c r="L30" s="31"/>
      <c r="M30" s="31"/>
      <c r="N30" s="31"/>
      <c r="O30" s="3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6.5" customHeight="1" x14ac:dyDescent="0.25">
      <c r="A31" s="21"/>
      <c r="B31" s="3"/>
      <c r="C31" s="52" t="s">
        <v>1114</v>
      </c>
      <c r="D31" s="60" cm="1">
        <f t="array" ref="D31">IFERROR(SUMPRODUCT((Database!$I$4:$I$1980="CPO")*(TEXT(Database!$K$4:$K$1980,"YYYY-MM")="2025-10")*Database!$N$4:$N$1980)/1000,0)</f>
        <v>369.65</v>
      </c>
      <c r="E31" s="60" cm="1">
        <f t="array" ref="E31">IFERROR(SUMPRODUCT((Database!$I$4:$I$1980="RBDPL")*(TEXT(Database!$K$4:$K$1980,"YYYY-MM")="2025-10")*Database!$N$4:$N$1980)/1000,0)</f>
        <v>0</v>
      </c>
      <c r="F31" s="60" cm="1">
        <f t="array" ref="F31">IFERROR(SUMPRODUCT((Database!$I$4:$I$1980="B-40")*(TEXT(Database!$K$4:$K$1980,"YYYY-MM")="2025-10")*Database!$N$4:$N$1980)/1000,0)</f>
        <v>0</v>
      </c>
      <c r="G31" s="60" cm="1">
        <f t="array" ref="G31">IFERROR(SUMPRODUCT((Database!$I$4:$I$1980="BE")*(TEXT(Database!$K$4:$K$1980,"YYYY-MM")="2025-10")*Database!$N$4:$N$1980)/1000,0)</f>
        <v>0</v>
      </c>
      <c r="H31" s="60">
        <f t="shared" si="6"/>
        <v>369.65</v>
      </c>
      <c r="I31" s="31"/>
      <c r="J31" s="31"/>
      <c r="K31" s="50"/>
      <c r="L31" s="31"/>
      <c r="M31" s="31"/>
      <c r="N31" s="31"/>
      <c r="O31" s="3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6.5" customHeight="1" x14ac:dyDescent="0.25">
      <c r="A32" s="21"/>
      <c r="B32" s="3"/>
      <c r="C32" s="48" t="s">
        <v>1115</v>
      </c>
      <c r="D32" s="61" cm="1">
        <f t="array" ref="D32">IFERROR(SUMPRODUCT((Database!$I$4:$I$1980="CPO")*(TEXT(Database!$K$4:$K$1980,"YYYY-MM")="2025-11")*Database!$N$4:$N$1980)/1000,0)</f>
        <v>2991.09</v>
      </c>
      <c r="E32" s="61" cm="1">
        <f t="array" ref="E32">IFERROR(SUMPRODUCT((Database!$I$4:$I$1980="RBDPL")*(TEXT(Database!$K$4:$K$1980,"YYYY-MM")="2025-11")*Database!$N$4:$N$1980)/1000,0)</f>
        <v>0</v>
      </c>
      <c r="F32" s="61" cm="1">
        <f t="array" ref="F32">IFERROR(SUMPRODUCT((Database!$I$4:$I$1980="B-40")*(TEXT(Database!$K$4:$K$1980,"YYYY-MM")="2025-11")*Database!$N$4:$N$1980)/1000,0)</f>
        <v>0</v>
      </c>
      <c r="G32" s="61" cm="1">
        <f t="array" ref="G32">IFERROR(SUMPRODUCT((Database!$I$4:$I$1980="BE")*(TEXT(Database!$K$4:$K$1980,"YYYY-MM")="2025-11")*Database!$N$4:$N$1980)/1000,0)</f>
        <v>0</v>
      </c>
      <c r="H32" s="61">
        <f t="shared" si="6"/>
        <v>2991.09</v>
      </c>
      <c r="I32" s="31"/>
      <c r="J32" s="31"/>
      <c r="K32" s="31"/>
      <c r="L32" s="31"/>
      <c r="M32" s="31"/>
      <c r="N32" s="31"/>
      <c r="O32" s="3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6.5" customHeight="1" x14ac:dyDescent="0.25">
      <c r="A33" s="21"/>
      <c r="B33" s="3"/>
      <c r="C33" s="52" t="s">
        <v>1116</v>
      </c>
      <c r="D33" s="60" cm="1">
        <f t="array" ref="D33">IFERROR(SUMPRODUCT((Database!$I$4:$I$1980="CPO")*(TEXT(Database!$K$4:$K$1980,"YYYY-MM")="2025-12")*Database!$N$4:$N$1980)/1000,0)</f>
        <v>4097.3999999999996</v>
      </c>
      <c r="E33" s="60" cm="1">
        <f t="array" ref="E33">IFERROR(SUMPRODUCT((Database!$I$4:$I$1980="RBDPL")*(TEXT(Database!$K$4:$K$1980,"YYYY-MM")="2025-12")*Database!$N$4:$N$1980)/1000,0)</f>
        <v>0</v>
      </c>
      <c r="F33" s="60" cm="1">
        <f t="array" ref="F33">IFERROR(SUMPRODUCT((Database!$I$4:$I$1980="B-40")*(TEXT(Database!$K$4:$K$1980,"YYYY-MM")="2025-12")*Database!$N$4:$N$1980)/1000,0)</f>
        <v>60.04</v>
      </c>
      <c r="G33" s="60" cm="1">
        <f t="array" ref="G33">IFERROR(SUMPRODUCT((Database!$I$4:$I$1980="BE")*(TEXT(Database!$K$4:$K$1980,"YYYY-MM")="2025-12")*Database!$N$4:$N$1980)/1000,0)</f>
        <v>0</v>
      </c>
      <c r="H33" s="60">
        <f t="shared" si="6"/>
        <v>4157.4399999999996</v>
      </c>
      <c r="I33" s="31"/>
      <c r="J33" s="31"/>
      <c r="K33" s="31"/>
      <c r="L33" s="31"/>
      <c r="M33" s="31"/>
      <c r="N33" s="31"/>
      <c r="O33" s="3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6.5" customHeight="1" x14ac:dyDescent="0.25">
      <c r="A34" s="21"/>
      <c r="B34" s="3"/>
      <c r="C34" s="48" t="s">
        <v>1117</v>
      </c>
      <c r="D34" s="61" cm="1">
        <f t="array" ref="D34">IFERROR(SUMPRODUCT((Database!$I$4:$I$1980="CPO")*(TEXT(Database!$K$4:$K$1980,"YYYY-MM")="2026-01")*Database!$N$4:$N$1980)/1000,0)</f>
        <v>2048.75</v>
      </c>
      <c r="E34" s="61" cm="1">
        <f t="array" ref="E34">IFERROR(SUMPRODUCT((Database!$I$4:$I$1980="RBDPL")*(TEXT(Database!$K$4:$K$1980,"YYYY-MM")="2026-01")*Database!$N$4:$N$1980)/1000,0)</f>
        <v>0</v>
      </c>
      <c r="F34" s="61" cm="1">
        <f t="array" ref="F34">IFERROR(SUMPRODUCT((Database!$I$4:$I$1980="B-40")*(TEXT(Database!$K$4:$K$1980,"YYYY-MM")="2026-01")*Database!$N$4:$N$1980)/1000,0)</f>
        <v>149.9</v>
      </c>
      <c r="G34" s="61" cm="1">
        <f t="array" ref="G34">IFERROR(SUMPRODUCT((Database!$I$4:$I$1980="BE")*(TEXT(Database!$K$4:$K$1980,"YYYY-MM")="2026-01")*Database!$N$4:$N$1980)/1000,0)</f>
        <v>101.5</v>
      </c>
      <c r="H34" s="61">
        <f t="shared" si="6"/>
        <v>2300.15</v>
      </c>
      <c r="I34" s="31"/>
      <c r="J34" s="31"/>
      <c r="K34" s="31"/>
      <c r="L34" s="31"/>
      <c r="M34" s="31"/>
      <c r="N34" s="31"/>
      <c r="O34" s="3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6.5" customHeight="1" x14ac:dyDescent="0.25">
      <c r="A35" s="21"/>
      <c r="B35" s="3"/>
      <c r="C35" s="52" t="s">
        <v>1118</v>
      </c>
      <c r="D35" s="60" cm="1">
        <f t="array" ref="D35">IFERROR(SUMPRODUCT((Database!$I$4:$I$1980="CPO")*(TEXT(Database!$K$4:$K$1980,"YYYY-MM")="2026-02")*Database!$N$4:$N$1980)/1000,0)</f>
        <v>2973.5</v>
      </c>
      <c r="E35" s="60" cm="1">
        <f t="array" ref="E35">IFERROR(SUMPRODUCT((Database!$I$4:$I$1980="RBDPL")*(TEXT(Database!$K$4:$K$1980,"YYYY-MM")="2026-02")*Database!$N$4:$N$1980)/1000,0)</f>
        <v>164.29</v>
      </c>
      <c r="F35" s="60" cm="1">
        <f t="array" ref="F35">IFERROR(SUMPRODUCT((Database!$I$4:$I$1980="B-40")*(TEXT(Database!$K$4:$K$1980,"YYYY-MM")="2026-02")*Database!$N$4:$N$1980)/1000,0)</f>
        <v>40.31</v>
      </c>
      <c r="G35" s="60" cm="1">
        <f t="array" ref="G35">IFERROR(SUMPRODUCT((Database!$I$4:$I$1980="BE")*(TEXT(Database!$K$4:$K$1980,"YYYY-MM")="2026-02")*Database!$N$4:$N$1980)/1000,0)</f>
        <v>0</v>
      </c>
      <c r="H35" s="60">
        <f t="shared" si="6"/>
        <v>3178.1</v>
      </c>
      <c r="I35" s="31"/>
      <c r="J35" s="31"/>
      <c r="K35" s="31"/>
      <c r="L35" s="31"/>
      <c r="M35" s="31"/>
      <c r="N35" s="31"/>
      <c r="O35" s="3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6.5" customHeight="1" x14ac:dyDescent="0.25">
      <c r="A36" s="21"/>
      <c r="B36" s="3"/>
      <c r="C36" s="48" t="s">
        <v>1119</v>
      </c>
      <c r="D36" s="61" cm="1">
        <f t="array" ref="D36">IFERROR(SUMPRODUCT((Database!$I$4:$I$1980="CPO")*(TEXT(Database!$K$4:$K$1980,"YYYY-MM")="2026-03")*Database!$N$4:$N$1980)/1000,0)</f>
        <v>557.14</v>
      </c>
      <c r="E36" s="61" cm="1">
        <f t="array" ref="E36">IFERROR(SUMPRODUCT((Database!$I$4:$I$1980="RBDPL")*(TEXT(Database!$K$4:$K$1980,"YYYY-MM")="2026-03")*Database!$N$4:$N$1980)/1000,0)</f>
        <v>842.84</v>
      </c>
      <c r="F36" s="61" cm="1">
        <f t="array" ref="F36">IFERROR(SUMPRODUCT((Database!$I$4:$I$1980="B-40")*(TEXT(Database!$K$4:$K$1980,"YYYY-MM")="2026-03")*Database!$N$4:$N$1980)/1000,0)</f>
        <v>24.08</v>
      </c>
      <c r="G36" s="61" cm="1">
        <f t="array" ref="G36">IFERROR(SUMPRODUCT((Database!$I$4:$I$1980="BE")*(TEXT(Database!$K$4:$K$1980,"YYYY-MM")="2026-03")*Database!$N$4:$N$1980)/1000,0)</f>
        <v>0</v>
      </c>
      <c r="H36" s="61">
        <f t="shared" si="6"/>
        <v>1424.06</v>
      </c>
      <c r="I36" s="31"/>
      <c r="J36" s="31"/>
      <c r="K36" s="31"/>
      <c r="L36" s="31"/>
      <c r="M36" s="31"/>
      <c r="N36" s="31"/>
      <c r="O36" s="3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6.5" customHeight="1" x14ac:dyDescent="0.25">
      <c r="A37" s="21"/>
      <c r="B37" s="3"/>
      <c r="C37" s="52" t="s">
        <v>1125</v>
      </c>
      <c r="D37" s="60" cm="1">
        <f t="array" ref="D37">IFERROR(SUMPRODUCT((Database!$I$4:$I$1980="CPO")*(TEXT(Database!$K$4:$K$1980,"YYYY-MM")="2026-04")*Database!$N$4:$N$1980)/1000,0)</f>
        <v>1337.36</v>
      </c>
      <c r="E37" s="60" cm="1">
        <f t="array" ref="E37">IFERROR(SUMPRODUCT((Database!$I$4:$I$1980="RBDPL")*(TEXT(Database!$K$4:$K$1980,"YYYY-MM")="2026-04")*Database!$N$4:$N$1980)/1000,0)</f>
        <v>2452.09</v>
      </c>
      <c r="F37" s="60" cm="1">
        <f t="array" ref="F37">IFERROR(SUMPRODUCT((Database!$I$4:$I$1980="B-40")*(TEXT(Database!$K$4:$K$1980,"YYYY-MM")="2026-04")*Database!$N$4:$N$1980)/1000,0)</f>
        <v>64.03</v>
      </c>
      <c r="G37" s="60" cm="1">
        <f t="array" ref="G37">IFERROR(SUMPRODUCT((Database!$I$4:$I$1980="BE")*(TEXT(Database!$K$4:$K$1980,"YYYY-MM")="2026-04")*Database!$N$4:$N$1980)/1000,0)</f>
        <v>0</v>
      </c>
      <c r="H37" s="60">
        <f t="shared" si="6"/>
        <v>3853.48</v>
      </c>
      <c r="I37" s="31"/>
      <c r="J37" s="31"/>
      <c r="K37" s="31"/>
      <c r="L37" s="31"/>
      <c r="M37" s="31"/>
      <c r="N37" s="31"/>
      <c r="O37" s="3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6.5" customHeight="1" x14ac:dyDescent="0.25">
      <c r="A38" s="21"/>
      <c r="B38" s="3"/>
      <c r="C38" s="48" t="s">
        <v>1120</v>
      </c>
      <c r="D38" s="61" cm="1">
        <f t="array" ref="D38">IFERROR(SUMPRODUCT((Database!$I$4:$I$1980="CPO")*(TEXT(Database!$K$4:$K$1980,"YYYY-MM")="2026-05")*Database!$N$4:$N$1980)/1000,0)</f>
        <v>429.51</v>
      </c>
      <c r="E38" s="61" cm="1">
        <f t="array" ref="E38">IFERROR(SUMPRODUCT((Database!$I$4:$I$1980="RBDPL")*(TEXT(Database!$K$4:$K$1980,"YYYY-MM")="2026-05")*Database!$N$4:$N$1980)/1000,0)</f>
        <v>2569.1999999999998</v>
      </c>
      <c r="F38" s="61" cm="1">
        <f t="array" ref="F38">IFERROR(SUMPRODUCT((Database!$I$4:$I$1980="B-40")*(TEXT(Database!$K$4:$K$1980,"YYYY-MM")="2026-05")*Database!$N$4:$N$1980)/1000,0)</f>
        <v>71.239999999999995</v>
      </c>
      <c r="G38" s="61" cm="1">
        <f t="array" ref="G38">IFERROR(SUMPRODUCT((Database!$I$4:$I$1980="BE")*(TEXT(Database!$K$4:$K$1980,"YYYY-MM")="2026-05")*Database!$N$4:$N$1980)/1000,0)</f>
        <v>0</v>
      </c>
      <c r="H38" s="61">
        <f>SUM(D38:G38)</f>
        <v>3069.95</v>
      </c>
      <c r="I38" s="31"/>
      <c r="J38" s="31"/>
      <c r="K38" s="31"/>
      <c r="L38" s="31"/>
      <c r="M38" s="31"/>
      <c r="N38" s="31"/>
      <c r="O38" s="3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6.5" customHeight="1" x14ac:dyDescent="0.25">
      <c r="A39" s="21"/>
      <c r="B39" s="3"/>
      <c r="C39" s="52" t="s">
        <v>1121</v>
      </c>
      <c r="D39" s="60" cm="1">
        <f t="array" ref="D39">IFERROR(SUMPRODUCT((Database!$I$4:$I$1980="CPO")*(TEXT(Database!$K$4:$K$1980,"YYYY-MM")="2026-06")*Database!$N$4:$N$1980)/1000,0)</f>
        <v>0</v>
      </c>
      <c r="E39" s="60" cm="1">
        <f t="array" ref="E39">IFERROR(SUMPRODUCT((Database!$I$4:$I$1980="RBDPL")*(TEXT(Database!$K$4:$K$1980,"YYYY-MM")="2026-06")*Database!$N$4:$N$1980)/1000,0)</f>
        <v>0</v>
      </c>
      <c r="F39" s="60" cm="1">
        <f t="array" ref="F39">IFERROR(SUMPRODUCT((Database!$I$4:$I$1980="B-40")*(TEXT(Database!$K$4:$K$1980,"YYYY-MM")="2026-06")*Database!$N$4:$N$1980)/1000,0)</f>
        <v>0</v>
      </c>
      <c r="G39" s="60" cm="1">
        <f t="array" ref="G39">IFERROR(SUMPRODUCT((Database!$I$4:$I$1980="BE")*(TEXT(Database!$K$4:$K$1980,"YYYY-MM")="2026-06")*Database!$N$4:$N$1980)/1000,0)</f>
        <v>0</v>
      </c>
      <c r="H39" s="60">
        <f>SUM(D39:G39)</f>
        <v>0</v>
      </c>
      <c r="I39" s="31"/>
      <c r="J39" s="31"/>
      <c r="K39" s="31"/>
      <c r="L39" s="31"/>
      <c r="M39" s="31"/>
      <c r="N39" s="31"/>
      <c r="O39" s="3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6.5" customHeight="1" x14ac:dyDescent="0.25">
      <c r="A40" s="21"/>
      <c r="B40" s="3"/>
      <c r="C40" s="48" t="s">
        <v>1501</v>
      </c>
      <c r="D40" s="61" cm="1">
        <f t="array" ref="D40">IFERROR(SUMPRODUCT((Database!$I$4:$I$1980="CPO")*(TEXT(Database!$K$4:$K$1980,"YYYY-MM")="2026-07")*Database!$N$4:$N$1980)/1000,0)</f>
        <v>0</v>
      </c>
      <c r="E40" s="61" cm="1">
        <f t="array" ref="E40">IFERROR(SUMPRODUCT((Database!$I$4:$I$1980="RBDPL")*(TEXT(Database!$K$4:$K$1980,"YYYY-MM")="2026-07")*Database!$N$4:$N$1980)/1000,0)</f>
        <v>0</v>
      </c>
      <c r="F40" s="61" cm="1">
        <f t="array" ref="F40">IFERROR(SUMPRODUCT((Database!$I$4:$I$1980="B-40")*(TEXT(Database!$K$4:$K$1980,"YYYY-MM")="2026-07")*Database!$N$4:$N$1980)/1000,0)</f>
        <v>0</v>
      </c>
      <c r="G40" s="61" cm="1">
        <f t="array" ref="G40">IFERROR(SUMPRODUCT((Database!$I$4:$I$1980="BE")*(TEXT(Database!$K$4:$K$1980,"YYYY-MM")="2026-07")*Database!$N$4:$N$1980)/1000,0)</f>
        <v>0</v>
      </c>
      <c r="H40" s="61">
        <f t="shared" si="6"/>
        <v>0</v>
      </c>
      <c r="I40" s="31"/>
      <c r="J40" s="31"/>
      <c r="K40" s="31"/>
      <c r="L40" s="31"/>
      <c r="M40" s="31"/>
      <c r="N40" s="31"/>
      <c r="O40" s="3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6.5" customHeight="1" x14ac:dyDescent="0.25">
      <c r="A41" s="21"/>
      <c r="B41" s="3"/>
      <c r="C41" s="52" t="s">
        <v>1502</v>
      </c>
      <c r="D41" s="60" cm="1">
        <f t="array" ref="D41">IFERROR(SUMPRODUCT((Database!$I$4:$I$1980="CPO")*(TEXT(Database!$K$4:$K$1980,"YYYY-MM")="2026-08")*Database!$N$4:$N$1980)/1000,0)</f>
        <v>0</v>
      </c>
      <c r="E41" s="60" cm="1">
        <f t="array" ref="E41">IFERROR(SUMPRODUCT((Database!$I$4:$I$1980="RBDPL")*(TEXT(Database!$K$4:$K$1980,"YYYY-MM")="2026-08")*Database!$N$4:$N$1980)/1000,0)</f>
        <v>0</v>
      </c>
      <c r="F41" s="60" cm="1">
        <f t="array" ref="F41">IFERROR(SUMPRODUCT((Database!$I$4:$I$1980="B-40")*(TEXT(Database!$K$4:$K$1980,"YYYY-MM")="2026-08")*Database!$N$4:$N$1980)/1000,0)</f>
        <v>0</v>
      </c>
      <c r="G41" s="60" cm="1">
        <f t="array" ref="G41">IFERROR(SUMPRODUCT((Database!$I$4:$I$1980="BE")*(TEXT(Database!$K$4:$K$1980,"YYYY-MM")="2026-08")*Database!$N$4:$N$1980)/1000,0)</f>
        <v>0</v>
      </c>
      <c r="H41" s="60">
        <f t="shared" si="6"/>
        <v>0</v>
      </c>
      <c r="I41" s="31"/>
      <c r="J41" s="31"/>
      <c r="K41" s="31"/>
      <c r="L41" s="31"/>
      <c r="M41" s="31"/>
      <c r="N41" s="31"/>
      <c r="O41" s="3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s="58" customFormat="1" ht="30" customHeight="1" x14ac:dyDescent="0.3">
      <c r="A42" s="21"/>
      <c r="B42" s="62"/>
      <c r="C42" s="63" t="s">
        <v>1122</v>
      </c>
      <c r="D42" s="64">
        <f>SUM(D29:D41)</f>
        <v>14931.050000000001</v>
      </c>
      <c r="E42" s="64">
        <f>SUM(E29:E41)</f>
        <v>6028.42</v>
      </c>
      <c r="F42" s="64">
        <f>SUM(F29:F41)</f>
        <v>503.30999999999995</v>
      </c>
      <c r="G42" s="64">
        <f>SUM(G29:G41)</f>
        <v>101.5</v>
      </c>
      <c r="H42" s="64">
        <f>SUM(H29:H41)</f>
        <v>21564.280000000002</v>
      </c>
      <c r="I42" s="31"/>
      <c r="J42" s="31"/>
      <c r="K42" s="31"/>
      <c r="L42" s="31"/>
      <c r="M42" s="31"/>
      <c r="N42" s="31"/>
      <c r="O42" s="3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6.5" customHeight="1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6.5" customHeight="1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6.5" customHeight="1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6.5" customHeight="1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6.5" customHeight="1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6.5" customHeight="1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6.5" customHeight="1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6.5" customHeight="1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6.5" customHeight="1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6.5" customHeight="1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6.5" customHeight="1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6.5" customHeight="1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6.5" customHeight="1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</sheetData>
  <mergeCells count="21">
    <mergeCell ref="B1:O1"/>
    <mergeCell ref="F3:H3"/>
    <mergeCell ref="K3:L3"/>
    <mergeCell ref="B5:C5"/>
    <mergeCell ref="D5:E5"/>
    <mergeCell ref="F5:G5"/>
    <mergeCell ref="H5:I5"/>
    <mergeCell ref="J5:K5"/>
    <mergeCell ref="L5:M5"/>
    <mergeCell ref="N5:O5"/>
    <mergeCell ref="C27:H27"/>
    <mergeCell ref="L6:M6"/>
    <mergeCell ref="N6:O6"/>
    <mergeCell ref="B8:I8"/>
    <mergeCell ref="K8:O8"/>
    <mergeCell ref="B25:C25"/>
    <mergeCell ref="B6:C6"/>
    <mergeCell ref="D6:E6"/>
    <mergeCell ref="F6:G6"/>
    <mergeCell ref="H6:I6"/>
    <mergeCell ref="J6:K6"/>
  </mergeCells>
  <dataValidations count="1">
    <dataValidation type="list" allowBlank="1" showInputMessage="1" promptTitle="Filter Produk" prompt="Pilih produk, atau HAPUS isi untuk melihat SEMUA produk sekaligus" sqref="C3" xr:uid="{00000000-0002-0000-0300-000000000000}">
      <formula1>"B-40,BE,CPO,RBDPL"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tabColor rgb="FF808080"/>
  </sheetPr>
  <dimension ref="A1:S14"/>
  <sheetViews>
    <sheetView showGridLines="0" zoomScaleNormal="100" workbookViewId="0">
      <selection activeCell="R2" sqref="R2"/>
    </sheetView>
  </sheetViews>
  <sheetFormatPr baseColWidth="10" defaultColWidth="10.6640625" defaultRowHeight="15" x14ac:dyDescent="0.2"/>
  <cols>
    <col min="13" max="13" width="24.6640625" customWidth="1"/>
  </cols>
  <sheetData>
    <row r="1" spans="1:19" ht="15" customHeight="1" x14ac:dyDescent="0.2">
      <c r="A1" s="65" t="s">
        <v>1155</v>
      </c>
      <c r="B1" s="65" t="s">
        <v>1156</v>
      </c>
      <c r="C1" s="65" t="s">
        <v>10</v>
      </c>
      <c r="D1" s="65"/>
      <c r="E1" s="123" t="s">
        <v>20</v>
      </c>
      <c r="F1" s="123" t="s">
        <v>1156</v>
      </c>
      <c r="G1" s="123" t="s">
        <v>10</v>
      </c>
      <c r="H1" s="65"/>
      <c r="I1" s="65" t="s">
        <v>21</v>
      </c>
      <c r="J1" s="65" t="s">
        <v>1156</v>
      </c>
      <c r="K1" s="65" t="s">
        <v>10</v>
      </c>
      <c r="L1" s="65"/>
      <c r="M1" s="65" t="s">
        <v>34</v>
      </c>
      <c r="N1" s="65" t="s">
        <v>1156</v>
      </c>
      <c r="O1" s="65"/>
      <c r="P1" s="65" t="s">
        <v>1157</v>
      </c>
      <c r="Q1" s="65" t="s">
        <v>1156</v>
      </c>
      <c r="R1" s="65" t="s">
        <v>1158</v>
      </c>
      <c r="S1" s="65" t="s">
        <v>1159</v>
      </c>
    </row>
    <row r="2" spans="1:19" ht="15" customHeight="1" x14ac:dyDescent="0.2">
      <c r="A2" s="80" t="str">
        <f>_DB_Data!E2</f>
        <v>Agu-25</v>
      </c>
      <c r="B2" s="384">
        <f>IF(_DB_Data!B1="Semua",SUMIFS(Database!$N$4:$N$1966,Database!$K$4:$K$1966,"&gt;="&amp;_DB_Data!D2,Database!$K$4:$K$1966,"&lt;"&amp;_DB_Data!D3),SUMIFS(Database!$N$4:$N$1966,Database!$I$4:$I$1966,_DB_Data!B1,Database!$K$4:$K$1966,"&gt;="&amp;_DB_Data!D2,Database!$K$4:$K$1966,"&lt;"&amp;_DB_Data!D3))</f>
        <v>0</v>
      </c>
      <c r="C2" s="65">
        <f>IF(_DB_Data!B1="Semua",SUMIFS(Database!$B$4:$B$1966,Database!$K$4:$K$1966,"&gt;="&amp;_DB_Data!D2,Database!$K$4:$K$1966,"&lt;"&amp;_DB_Data!D3),SUMIFS(Database!$B$4:$B$1966,Database!$I$4:$I$1966,_DB_Data!B1,Database!$K$4:$K$1966,"&gt;="&amp;_DB_Data!D2,Database!$K$4:$K$1966,"&lt;"&amp;_DB_Data!D3))</f>
        <v>0</v>
      </c>
      <c r="D2" s="65"/>
      <c r="E2" s="65" t="s">
        <v>41</v>
      </c>
      <c r="F2" s="65" cm="1">
        <f t="array" ref="F2">IF(_DB_Data!C2=0,SUMIF(Database!$G$4:$G$1966,E2,Database!$N$4:$N$1966),SUMPRODUCT((Database!$G$4:$G$1966=E2)*(MONTH(Database!$K$4:$K$1966)=_DB_Data!C2)*Database!$N$4:$N$1966))</f>
        <v>0</v>
      </c>
      <c r="G2" s="65">
        <v>792</v>
      </c>
      <c r="H2" s="65"/>
      <c r="I2" s="65" t="s">
        <v>1133</v>
      </c>
      <c r="J2" s="65">
        <v>6124</v>
      </c>
      <c r="K2" s="65">
        <v>218</v>
      </c>
      <c r="L2" s="65"/>
      <c r="M2" s="65" t="str">
        <f>IF(IFERROR(INDEX(_DB_Data!$G$16:$G$26,MATCH(1,_DB_Data!$H$16:$H$26,0)),0)&gt;0,INDEX(_DB_Data!$F$16:$F$26,MATCH(1,_DB_Data!$H$16:$H$26,0)),"")</f>
        <v>PT. JAS MULIA</v>
      </c>
      <c r="N2" s="421">
        <f>IF(IFERROR(INDEX(_DB_Data!$G$16:$G$26,MATCH(1,_DB_Data!$H$16:$H$26,0)),0)&gt;0,ROUND(INDEX(_DB_Data!$G$16:$G$26,MATCH(1,_DB_Data!$H$16:$H$26,0))/1000,2),"")</f>
        <v>6495.28</v>
      </c>
      <c r="O2" s="65"/>
      <c r="P2" s="65" t="str">
        <f>IFERROR(IF(INDEX(_DB_Data!$L$28:$L$57,MATCH(1,_DB_Data!$M$28:$M$57,0))&gt;0,INDEX(_DB_Data!$K$28:$K$57,MATCH(1,_DB_Data!$M$28:$M$57,0)),""),"")</f>
        <v>BM 8315 QO</v>
      </c>
      <c r="Q2" s="65">
        <f>IFERROR(IF(INDEX(_DB_Data!$L$28:$L$57,MATCH(1,_DB_Data!$M$28:$M$57,0))&gt;0,ROUND(INDEX(_DB_Data!$L$28:$L$57,MATCH(1,_DB_Data!$M$28:$M$57,0))/1000,2),""),"")</f>
        <v>3674.07</v>
      </c>
      <c r="R2" s="65" t="s">
        <v>1160</v>
      </c>
      <c r="S2" s="384" cm="1">
        <f t="array" ref="S2">SUMPRODUCT((IF(_DB_Data!B1="Semua",Database!$I$4:$I$1966&lt;&gt;"",Database!$I$4:$I$1966=_DB_Data!B1))*(IF(_DB_Data!C2=0,1,MONTH(Database!$K$4:$K$1966)=_DB_Data!C2))*(WEEKDAY(Database!$K$4:$K$1966,2)=2)*Database!$N$4:$N$1966)</f>
        <v>3636490</v>
      </c>
    </row>
    <row r="3" spans="1:19" ht="15" customHeight="1" x14ac:dyDescent="0.2">
      <c r="A3" s="80" t="str">
        <f>_DB_Data!E3</f>
        <v>Sep-25</v>
      </c>
      <c r="B3" s="384">
        <f>IF(_DB_Data!B1="Semua",SUMIFS(Database!$N$4:$N$1966,Database!$K$4:$K$1966,"&gt;="&amp;_DB_Data!D3,Database!$K$4:$K$1966,"&lt;"&amp;_DB_Data!D4),SUMIFS(Database!$N$4:$N$1966,Database!$I$4:$I$1966,_DB_Data!B1,Database!$K$4:$K$1966,"&gt;="&amp;_DB_Data!D3,Database!$K$4:$K$1966,"&lt;"&amp;_DB_Data!D4))</f>
        <v>220360</v>
      </c>
      <c r="C3" s="65">
        <v>10</v>
      </c>
      <c r="D3" s="65"/>
      <c r="E3" s="65" t="s">
        <v>3</v>
      </c>
      <c r="F3" s="65" cm="1">
        <f t="array" ref="F3">IF(_DB_Data!C2=0,SUMIF(Database!$G$4:$G$1966,E3,Database!$N$4:$N$1966),SUMPRODUCT((Database!$G$4:$G$1966=E3)*(MONTH(Database!$K$4:$K$1966)=_DB_Data!C2)*Database!$N$4:$N$1966))</f>
        <v>0</v>
      </c>
      <c r="G3" s="65">
        <v>60</v>
      </c>
      <c r="H3" s="65"/>
      <c r="I3" s="65" t="s">
        <v>1132</v>
      </c>
      <c r="J3" s="65">
        <v>4679</v>
      </c>
      <c r="K3" s="65">
        <v>330</v>
      </c>
      <c r="L3" s="65"/>
      <c r="M3" s="65" t="str">
        <f>IF(IFERROR(INDEX(_DB_Data!$G$16:$G$26,MATCH(2,_DB_Data!$H$16:$H$26,0)),0)&gt;0,INDEX(_DB_Data!$F$16:$F$26,MATCH(2,_DB_Data!$H$16:$H$26,0)),"")</f>
        <v>PT. KASMAR MATANO PERSADA</v>
      </c>
      <c r="N3" s="421">
        <f>IF(IFERROR(INDEX(_DB_Data!$G$16:$G$26,MATCH(2,_DB_Data!$H$16:$H$26,0)),0)&gt;0,ROUND(INDEX(_DB_Data!$G$16:$G$26,MATCH(2,_DB_Data!$H$16:$H$26,0))/1000,2),"")</f>
        <v>3939.56</v>
      </c>
      <c r="O3" s="65"/>
      <c r="P3" s="65" t="str">
        <f>IFERROR(IF(INDEX(_DB_Data!$L$28:$L$57,MATCH(2,_DB_Data!$M$28:$M$57,0))&gt;0,INDEX(_DB_Data!$K$28:$K$57,MATCH(2,_DB_Data!$M$28:$M$57,0)),""),"")</f>
        <v>DD 9236 XX</v>
      </c>
      <c r="Q3" s="65">
        <f>IFERROR(IF(INDEX(_DB_Data!$L$28:$L$57,MATCH(2,_DB_Data!$M$28:$M$57,0))&gt;0,ROUND(INDEX(_DB_Data!$L$28:$L$57,MATCH(2,_DB_Data!$M$28:$M$57,0))/1000,2),""),"")</f>
        <v>3079.47</v>
      </c>
      <c r="R3" s="65" t="s">
        <v>1161</v>
      </c>
      <c r="S3" s="384" cm="1">
        <f t="array" ref="S3">SUMPRODUCT((IF(_DB_Data!B1="Semua",Database!$I$4:$I$1966&lt;&gt;"",Database!$I$4:$I$1966=_DB_Data!B1))*(IF(_DB_Data!C2=0,1,MONTH(Database!$K$4:$K$1966)=_DB_Data!C2))*(WEEKDAY(Database!$K$4:$K$1966,2)=3)*Database!$N$4:$N$1966)</f>
        <v>4411240</v>
      </c>
    </row>
    <row r="4" spans="1:19" ht="15" customHeight="1" x14ac:dyDescent="0.2">
      <c r="A4" s="80" t="str">
        <f>_DB_Data!E4</f>
        <v>Okt-25</v>
      </c>
      <c r="B4" s="384">
        <f>IF(_DB_Data!B1="Semua",SUMIFS(Database!$N$4:$N$1966,Database!$K$4:$K$1966,"&gt;="&amp;_DB_Data!D4,Database!$K$4:$K$1966,"&lt;"&amp;_DB_Data!D5),SUMIFS(Database!$N$4:$N$1966,Database!$I$4:$I$1966,_DB_Data!B1,Database!$K$4:$K$1966,"&gt;="&amp;_DB_Data!D4,Database!$K$4:$K$1966,"&lt;"&amp;_DB_Data!D5))</f>
        <v>369650</v>
      </c>
      <c r="C4" s="65">
        <v>17</v>
      </c>
      <c r="D4" s="65"/>
      <c r="E4" s="65" t="s">
        <v>66</v>
      </c>
      <c r="F4" s="65" cm="1">
        <f t="array" ref="F4">IF(_DB_Data!C2=0,SUMIF(Database!$G$4:$G$1966,E4,Database!$N$4:$N$1966),SUMPRODUCT((Database!$G$4:$G$1966=E4)*(MONTH(Database!$K$4:$K$1966)=_DB_Data!C2)*Database!$N$4:$N$1966))</f>
        <v>0</v>
      </c>
      <c r="G4" s="65">
        <v>27</v>
      </c>
      <c r="H4" s="65"/>
      <c r="I4" s="65" t="s">
        <v>1131</v>
      </c>
      <c r="J4" s="65">
        <v>3222</v>
      </c>
      <c r="K4" s="65">
        <v>336</v>
      </c>
      <c r="L4" s="65"/>
      <c r="M4" s="65" t="str">
        <f>IF(IFERROR(INDEX(_DB_Data!$G$16:$G$26,MATCH(3,_DB_Data!$H$16:$H$26,0)),0)&gt;0,INDEX(_DB_Data!$F$16:$F$26,MATCH(3,_DB_Data!$H$16:$H$26,0)),"")</f>
        <v>PT. MADINRA INTI SAWIT</v>
      </c>
      <c r="N4" s="421">
        <f>IF(IFERROR(INDEX(_DB_Data!$G$16:$G$26,MATCH(3,_DB_Data!$H$16:$H$26,0)),0)&gt;0,ROUND(INDEX(_DB_Data!$G$16:$G$26,MATCH(3,_DB_Data!$H$16:$H$26,0))/1000,2),"")</f>
        <v>2697.4</v>
      </c>
      <c r="O4" s="65"/>
      <c r="P4" s="65" t="str">
        <f>IFERROR(IF(INDEX(_DB_Data!$L$28:$L$57,MATCH(3,_DB_Data!$M$28:$M$57,0))&gt;0,INDEX(_DB_Data!$K$28:$K$57,MATCH(3,_DB_Data!$M$28:$M$57,0)),""),"")</f>
        <v>DD 8711 XX</v>
      </c>
      <c r="Q4" s="65">
        <f>IFERROR(IF(INDEX(_DB_Data!$L$28:$L$57,MATCH(3,_DB_Data!$M$28:$M$57,0))&gt;0,ROUND(INDEX(_DB_Data!$L$28:$L$57,MATCH(3,_DB_Data!$M$28:$M$57,0))/1000,2),""),"")</f>
        <v>1796.98</v>
      </c>
      <c r="R4" s="65" t="s">
        <v>1162</v>
      </c>
      <c r="S4" s="384" cm="1">
        <f t="array" ref="S4">SUMPRODUCT((IF(_DB_Data!B1="Semua",Database!$I$4:$I$1966&lt;&gt;"",Database!$I$4:$I$1966=_DB_Data!B1))*(IF(_DB_Data!C2=0,1,MONTH(Database!$K$4:$K$1966)=_DB_Data!C2))*(WEEKDAY(Database!$K$4:$K$1966,2)=4)*Database!$N$4:$N$1966)</f>
        <v>3433510</v>
      </c>
    </row>
    <row r="5" spans="1:19" ht="15" customHeight="1" x14ac:dyDescent="0.2">
      <c r="A5" s="80" t="str">
        <f>_DB_Data!E5</f>
        <v>Nov-25</v>
      </c>
      <c r="B5" s="384">
        <f>IF(_DB_Data!B1="Semua",SUMIFS(Database!$N$4:$N$1966,Database!$K$4:$K$1966,"&gt;="&amp;_DB_Data!D5,Database!$K$4:$K$1966,"&lt;"&amp;_DB_Data!D6),SUMIFS(Database!$N$4:$N$1966,Database!$I$4:$I$1966,_DB_Data!B1,Database!$K$4:$K$1966,"&gt;="&amp;_DB_Data!D5,Database!$K$4:$K$1966,"&lt;"&amp;_DB_Data!D6))</f>
        <v>2991090</v>
      </c>
      <c r="C5" s="65">
        <v>181</v>
      </c>
      <c r="D5" s="65"/>
      <c r="E5" s="65" t="s">
        <v>58</v>
      </c>
      <c r="F5" s="65" cm="1">
        <f t="array" ref="F5">IF(_DB_Data!C2=0,SUMIF(Database!$G$4:$G$1966,E5,Database!$N$4:$N$1966),SUMPRODUCT((Database!$G$4:$G$1966=E5)*(MONTH(Database!$K$4:$K$1966)=_DB_Data!C2)*Database!$N$4:$N$1966))</f>
        <v>0</v>
      </c>
      <c r="G5" s="65">
        <v>5</v>
      </c>
      <c r="H5" s="65"/>
      <c r="I5" s="65"/>
      <c r="J5" s="65"/>
      <c r="K5" s="65"/>
      <c r="L5" s="65"/>
      <c r="M5" s="65" t="str">
        <f>IF(IFERROR(INDEX(_DB_Data!$G$16:$G$26,MATCH(4,_DB_Data!$H$16:$H$26,0)),0)&gt;0,INDEX(_DB_Data!$F$16:$F$26,MATCH(4,_DB_Data!$H$16:$H$26,0)),"")</f>
        <v>PT. PERKEBUNAN NUSANTARA</v>
      </c>
      <c r="N5" s="421">
        <f>IF(IFERROR(INDEX(_DB_Data!$G$16:$G$26,MATCH(4,_DB_Data!$H$16:$H$26,0)),0)&gt;0,ROUND(INDEX(_DB_Data!$G$16:$G$26,MATCH(4,_DB_Data!$H$16:$H$26,0))/1000,2),"")</f>
        <v>1798.81</v>
      </c>
      <c r="O5" s="65"/>
      <c r="P5" s="65" t="str">
        <f>IFERROR(IF(INDEX(_DB_Data!$L$28:$L$57,MATCH(4,_DB_Data!$M$28:$M$57,0))&gt;0,INDEX(_DB_Data!$K$28:$K$57,MATCH(4,_DB_Data!$M$28:$M$57,0)),""),"")</f>
        <v>B 1918 SXX</v>
      </c>
      <c r="Q5" s="65">
        <f>IFERROR(IF(INDEX(_DB_Data!$L$28:$L$57,MATCH(4,_DB_Data!$M$28:$M$57,0))&gt;0,ROUND(INDEX(_DB_Data!$L$28:$L$57,MATCH(4,_DB_Data!$M$28:$M$57,0))/1000,2),""),"")</f>
        <v>1701.26</v>
      </c>
      <c r="R5" s="65" t="s">
        <v>1163</v>
      </c>
      <c r="S5" s="384" cm="1">
        <f t="array" ref="S5">SUMPRODUCT((IF(_DB_Data!B1="Semua",Database!$I$4:$I$1966&lt;&gt;"",Database!$I$4:$I$1966=_DB_Data!B1))*(IF(_DB_Data!C2=0,1,MONTH(Database!$K$4:$K$1966)=_DB_Data!C2))*(WEEKDAY(Database!$K$4:$K$1966,2)=5)*Database!$N$4:$N$1966)</f>
        <v>2890320</v>
      </c>
    </row>
    <row r="6" spans="1:19" ht="15" customHeight="1" x14ac:dyDescent="0.2">
      <c r="A6" s="80" t="str">
        <f>_DB_Data!E6</f>
        <v>Des-25</v>
      </c>
      <c r="B6" s="384">
        <f>IF(_DB_Data!B1="Semua",SUMIFS(Database!$N$4:$N$1966,Database!$K$4:$K$1966,"&gt;="&amp;_DB_Data!D6,Database!$K$4:$K$1966,"&lt;"&amp;_DB_Data!D7),SUMIFS(Database!$N$4:$N$1966,Database!$I$4:$I$1966,_DB_Data!B1,Database!$K$4:$K$1966,"&gt;="&amp;_DB_Data!D6,Database!$K$4:$K$1966,"&lt;"&amp;_DB_Data!D7))</f>
        <v>4157440</v>
      </c>
      <c r="C6" s="65">
        <v>274</v>
      </c>
      <c r="D6" s="65"/>
      <c r="E6" s="65" t="s">
        <v>3142</v>
      </c>
      <c r="F6" s="65" cm="1">
        <f t="array" ref="F6">IF(_DB_Data!C3=0,SUMIF(Database!$G$4:$G$1966,E6,Database!$N$4:$N$1966),SUMPRODUCT((Database!$G$4:$G$1966=E6)*(MONTH(Database!$K$4:$K$1966)=_DB_Data!C3)*Database!$N$4:$N$1966))</f>
        <v>0</v>
      </c>
      <c r="G6" s="65"/>
      <c r="H6" s="65"/>
      <c r="I6" s="65"/>
      <c r="J6" s="65"/>
      <c r="K6" s="65"/>
      <c r="L6" s="65"/>
      <c r="M6" s="65" t="str">
        <f>IF(IFERROR(INDEX(_DB_Data!$G$16:$G$26,MATCH(5,_DB_Data!$H$16:$H$26,0)),0)&gt;0,INDEX(_DB_Data!$F$16:$F$26,MATCH(5,_DB_Data!$H$16:$H$26,0)),"")</f>
        <v>CV. SURYA CAHAYA MAS</v>
      </c>
      <c r="N6" s="421">
        <f>IF(IFERROR(INDEX(_DB_Data!$G$16:$G$26,MATCH(5,_DB_Data!$H$16:$H$26,0)),0)&gt;0,ROUND(INDEX(_DB_Data!$G$16:$G$26,MATCH(5,_DB_Data!$H$16:$H$26,0))/1000,2),"")</f>
        <v>1584.29</v>
      </c>
      <c r="O6" s="65"/>
      <c r="P6" s="65" t="str">
        <f>IFERROR(IF(INDEX(_DB_Data!$L$28:$L$57,MATCH(5,_DB_Data!$M$28:$M$57,0))&gt;0,INDEX(_DB_Data!$K$28:$K$57,MATCH(5,_DB_Data!$M$28:$M$57,0)),""),"")</f>
        <v>BH 8459 MY</v>
      </c>
      <c r="Q6" s="65">
        <f>IFERROR(IF(INDEX(_DB_Data!$L$28:$L$57,MATCH(5,_DB_Data!$M$28:$M$57,0))&gt;0,ROUND(INDEX(_DB_Data!$L$28:$L$57,MATCH(5,_DB_Data!$M$28:$M$57,0))/1000,2),""),"")</f>
        <v>1215.6600000000001</v>
      </c>
      <c r="R6" s="65" t="s">
        <v>1164</v>
      </c>
      <c r="S6" s="384" cm="1">
        <f t="array" ref="S6">SUMPRODUCT((IF(_DB_Data!B1="Semua",Database!$I$4:$I$1966&lt;&gt;"",Database!$I$4:$I$1966=_DB_Data!B1))*(IF(_DB_Data!C2=0,1,MONTH(Database!$K$4:$K$1966)=_DB_Data!C2))*(WEEKDAY(Database!$K$4:$K$1966,2)=6)*Database!$N$4:$N$1966)</f>
        <v>3433760</v>
      </c>
    </row>
    <row r="7" spans="1:19" ht="15" customHeight="1" x14ac:dyDescent="0.2">
      <c r="A7" s="80" t="str">
        <f>_DB_Data!E7</f>
        <v>Jan-26</v>
      </c>
      <c r="B7" s="384">
        <f>IF(_DB_Data!B1="Semua",SUMIFS(Database!$N$4:$N$1966,Database!$K$4:$K$1966,"&gt;="&amp;_DB_Data!D7,Database!$K$4:$K$1966,"&lt;"&amp;_DB_Data!D8),SUMIFS(Database!$N$4:$N$1966,Database!$I$4:$I$1966,_DB_Data!B1,Database!$K$4:$K$1966,"&gt;="&amp;_DB_Data!D7,Database!$K$4:$K$1966,"&lt;"&amp;_DB_Data!D8))</f>
        <v>2300150</v>
      </c>
      <c r="C7" s="65">
        <v>124</v>
      </c>
      <c r="D7" s="65"/>
      <c r="E7" s="65"/>
      <c r="F7" s="65"/>
      <c r="G7" s="65"/>
      <c r="H7" s="65"/>
      <c r="I7" s="65"/>
      <c r="J7" s="65"/>
      <c r="K7" s="65"/>
      <c r="L7" s="65"/>
      <c r="M7" s="65" t="str">
        <f>IF(IFERROR(INDEX(_DB_Data!$G$16:$G$26,MATCH(6,_DB_Data!$H$16:$H$26,0)),0)&gt;0,INDEX(_DB_Data!$F$16:$F$26,MATCH(6,_DB_Data!$H$16:$H$26,0)),"")</f>
        <v>CV. DUTA ABADI</v>
      </c>
      <c r="N7" s="421">
        <f>IF(IFERROR(INDEX(_DB_Data!$G$16:$G$26,MATCH(6,_DB_Data!$H$16:$H$26,0)),0)&gt;0,ROUND(INDEX(_DB_Data!$G$16:$G$26,MATCH(6,_DB_Data!$H$16:$H$26,0))/1000,2),"")</f>
        <v>1533.74</v>
      </c>
      <c r="O7" s="65"/>
      <c r="P7" s="65"/>
      <c r="Q7" s="65"/>
      <c r="R7" s="65" t="s">
        <v>1165</v>
      </c>
      <c r="S7" s="384" cm="1">
        <f t="array" ref="S7">SUMPRODUCT((IF(_DB_Data!B1="Semua",Database!$I$4:$I$1966&lt;&gt;"",Database!$I$4:$I$1966=_DB_Data!B1))*(IF(_DB_Data!C2=0,1,MONTH(Database!$K$4:$K$1966)=_DB_Data!C2))*(WEEKDAY(Database!$K$4:$K$1966,2)=7)*Database!$N$4:$N$1966)</f>
        <v>634470</v>
      </c>
    </row>
    <row r="8" spans="1:19" ht="15" customHeight="1" x14ac:dyDescent="0.2">
      <c r="A8" s="80" t="str">
        <f>_DB_Data!E8</f>
        <v>Feb-26</v>
      </c>
      <c r="B8" s="384">
        <f>IF(_DB_Data!B1="Semua",SUMIFS(Database!$N$4:$N$1966,Database!$K$4:$K$1966,"&gt;="&amp;_DB_Data!D8,Database!$K$4:$K$1966,"&lt;"&amp;_DB_Data!D9),SUMIFS(Database!$N$4:$N$1966,Database!$I$4:$I$1966,_DB_Data!B1,Database!$K$4:$K$1966,"&gt;="&amp;_DB_Data!D8,Database!$K$4:$K$1966,"&lt;"&amp;_DB_Data!D9))</f>
        <v>3178100</v>
      </c>
      <c r="C8" s="65">
        <v>214</v>
      </c>
      <c r="D8" s="65"/>
      <c r="E8" s="65"/>
      <c r="F8" s="65"/>
      <c r="G8" s="65"/>
      <c r="H8" s="65"/>
      <c r="I8" s="65"/>
      <c r="J8" s="65"/>
      <c r="K8" s="65"/>
      <c r="L8" s="65"/>
      <c r="M8" s="65" t="str">
        <f>IF(IFERROR(INDEX(_DB_Data!$G$16:$G$26,MATCH(7,_DB_Data!$H$16:$H$26,0)),0)&gt;0,INDEX(_DB_Data!$F$16:$F$26,MATCH(7,_DB_Data!$H$16:$H$26,0)),"")</f>
        <v>PT. BUKIT JEJER LESTARI</v>
      </c>
      <c r="N8" s="421">
        <f>IF(IFERROR(INDEX(_DB_Data!$G$16:$G$26,MATCH(7,_DB_Data!$H$16:$H$26,0)),0)&gt;0,ROUND(INDEX(_DB_Data!$G$16:$G$26,MATCH(7,_DB_Data!$H$16:$H$26,0))/1000,2),"")</f>
        <v>1290.08</v>
      </c>
      <c r="O8" s="65"/>
      <c r="P8" s="65"/>
      <c r="Q8" s="65"/>
      <c r="R8" s="65" t="s">
        <v>1166</v>
      </c>
      <c r="S8" s="384" cm="1">
        <f t="array" ref="S8">SUMPRODUCT((IF(_DB_Data!B1="Semua",Database!$I$4:$I$1966&lt;&gt;"",Database!$I$4:$I$1966=_DB_Data!B1))*(IF(_DB_Data!C2=0,1,MONTH(Database!$K$4:$K$1966)=_DB_Data!C2))*(WEEKDAY(Database!$K$4:$K$1966,2)=1)*Database!$N$4:$N$1966)</f>
        <v>3324490</v>
      </c>
    </row>
    <row r="9" spans="1:19" ht="15" customHeight="1" x14ac:dyDescent="0.2">
      <c r="A9" s="80" t="str">
        <f>_DB_Data!E9</f>
        <v>Mar-26</v>
      </c>
      <c r="B9" s="384">
        <f>IF(_DB_Data!B1="Semua",SUMIFS(Database!$N$4:$N$1966,Database!$K$4:$K$1966,"&gt;="&amp;_DB_Data!D9,Database!$K$4:$K$1966,"&lt;"&amp;_DB_Data!D10),SUMIFS(Database!$N$4:$N$1966,Database!$I$4:$I$1966,_DB_Data!B1,Database!$K$4:$K$1966,"&gt;="&amp;_DB_Data!D9,Database!$K$4:$K$1966,"&lt;"&amp;_DB_Data!D10))</f>
        <v>1424060</v>
      </c>
      <c r="C9" s="65">
        <v>63</v>
      </c>
      <c r="D9" s="65"/>
      <c r="E9" s="65"/>
      <c r="F9" s="65"/>
      <c r="G9" s="65"/>
      <c r="H9" s="65"/>
      <c r="I9" s="65"/>
      <c r="J9" s="65"/>
      <c r="K9" s="65"/>
      <c r="L9" s="65"/>
      <c r="M9" s="65" t="str">
        <f>IF(IFERROR(INDEX(_DB_Data!$G$16:$G$26,MATCH(8,_DB_Data!$H$16:$H$26,0)),0)&gt;0,INDEX(_DB_Data!$F$16:$F$26,MATCH(8,_DB_Data!$H$16:$H$26,0)),"")</f>
        <v>CV. HALILINTAR SAKTI ABADI</v>
      </c>
      <c r="N9" s="421">
        <f>IF(IFERROR(INDEX(_DB_Data!$G$16:$G$26,MATCH(8,_DB_Data!$H$16:$H$26,0)),0)&gt;0,ROUND(INDEX(_DB_Data!$G$16:$G$26,MATCH(8,_DB_Data!$H$16:$H$26,0))/1000,2),"")</f>
        <v>797.79</v>
      </c>
      <c r="O9" s="65"/>
      <c r="P9" s="65"/>
      <c r="Q9" s="65"/>
      <c r="R9" s="65"/>
      <c r="S9" s="65"/>
    </row>
    <row r="10" spans="1:19" ht="15" customHeight="1" x14ac:dyDescent="0.2">
      <c r="A10" s="80" t="str">
        <f>_DB_Data!E10</f>
        <v>Apr-26</v>
      </c>
      <c r="B10" s="384">
        <f>IF(_DB_Data!B1="Semua",SUMIFS(Database!$N$4:$N$1966,Database!$K$4:$K$1966,"&gt;="&amp;_DB_Data!D10,Database!$K$4:$K$1966,"&lt;"&amp;_DB_Data!D11),SUMIFS(Database!$N$4:$N$1966,Database!$I$4:$I$1966,_DB_Data!B1,Database!$K$4:$K$1966,"&gt;="&amp;_DB_Data!D10,Database!$K$4:$K$1966,"&lt;"&amp;_DB_Data!D11))</f>
        <v>3853480</v>
      </c>
      <c r="C10" s="65">
        <v>63</v>
      </c>
      <c r="D10" s="65"/>
      <c r="E10" s="65"/>
      <c r="F10" s="65"/>
      <c r="G10" s="65"/>
      <c r="H10" s="65"/>
      <c r="I10" s="65"/>
      <c r="J10" s="65"/>
      <c r="K10" s="65"/>
      <c r="L10" s="65"/>
      <c r="M10" s="65" t="str">
        <f>IF(IFERROR(INDEX(_DB_Data!$G$16:$G$26,MATCH(9,_DB_Data!$H$16:$H$26,0)),0)&gt;0,INDEX(_DB_Data!$F$16:$F$26,MATCH(9,_DB_Data!$H$16:$H$26,0)),"")</f>
        <v/>
      </c>
      <c r="N10" s="421" t="str">
        <f>IF(IFERROR(INDEX(_DB_Data!$G$16:$G$26,MATCH(9,_DB_Data!$H$16:$H$26,0)),0)&gt;0,ROUND(INDEX(_DB_Data!$G$16:$G$26,MATCH(9,_DB_Data!$H$16:$H$26,0))/1000,2),"")</f>
        <v/>
      </c>
      <c r="O10" s="65"/>
      <c r="P10" s="65"/>
      <c r="Q10" s="65"/>
      <c r="R10" s="65"/>
      <c r="S10" s="65"/>
    </row>
    <row r="11" spans="1:19" ht="15" customHeight="1" x14ac:dyDescent="0.2">
      <c r="A11" s="65" t="s">
        <v>1222</v>
      </c>
      <c r="B11" s="384">
        <f>IF(_DB_Data!B2="Semua",SUMIFS(Database!$N$4:$N$1966,Database!$K$4:$K$1966,"&gt;="&amp;_DB_Data!D11,Database!$K$4:$K$1966,"&lt;"&amp;_DB_Data!D12),SUMIFS(Database!$N$4:$N$1966,Database!$I$4:$I$1966,_DB_Data!B2,Database!$K$4:$K$1966,"&gt;="&amp;_DB_Data!D11,Database!$K$4:$K$1966,"&lt;"&amp;_DB_Data!D12))</f>
        <v>0</v>
      </c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 t="str">
        <f>IF(IFERROR(INDEX(_DB_Data!$G$16:$G$26,MATCH(10,_DB_Data!$H$16:$H$26,0)),0)&gt;0,INDEX(_DB_Data!$F$16:$F$26,MATCH(10,_DB_Data!$H$16:$H$26,0)),"")</f>
        <v/>
      </c>
      <c r="N11" s="65" t="str">
        <f>IF(IFERROR(INDEX(_DB_Data!$G$16:$G$26,MATCH(10,_DB_Data!$H$16:$H$26,0)),0)&gt;0,ROUND(INDEX(_DB_Data!$G$16:$G$26,MATCH(10,_DB_Data!$H$16:$H$26,0))/1000,2),"")</f>
        <v/>
      </c>
      <c r="O11" s="65"/>
      <c r="P11" s="65"/>
      <c r="Q11" s="65"/>
      <c r="R11" s="65"/>
      <c r="S11" s="65"/>
    </row>
    <row r="12" spans="1:19" ht="15" customHeight="1" x14ac:dyDescent="0.2">
      <c r="A12" s="83">
        <v>46174</v>
      </c>
      <c r="B12" s="384">
        <f>IF(_DB_Data!B3="Semua",SUMIFS(Database!$N$4:$N$1966,Database!$K$4:$K$1966,"&gt;="&amp;_DB_Data!D12,Database!$K$4:$K$1966,"&lt;"&amp;_DB_Data!D13),SUMIFS(Database!$N$4:$N$1966,Database!$I$4:$I$1966,_DB_Data!B3,Database!$K$4:$K$1966,"&gt;="&amp;_DB_Data!D12,Database!$K$4:$K$1966,"&lt;"&amp;_DB_Data!D13))</f>
        <v>0</v>
      </c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 t="str">
        <f>IF(IFERROR(INDEX(_DB_Data!$G$16:$G$26,MATCH(11,_DB_Data!$H$16:$H$26,0)),0)&gt;0,INDEX(_DB_Data!$F$16:$F$26,MATCH(11,_DB_Data!$H$16:$H$26,0)),"")</f>
        <v>PT. WIJAYA NUSANTARA ENERGI</v>
      </c>
      <c r="N12" s="65">
        <f>IF(IFERROR(INDEX(_DB_Data!$G$16:$G$26,MATCH(11,_DB_Data!$H$16:$H$26,0)),0)&gt;0,ROUND(INDEX(_DB_Data!$G$16:$G$26,MATCH(11,_DB_Data!$H$16:$H$26,0))/1000,2),"")</f>
        <v>295.17</v>
      </c>
      <c r="O12" s="65"/>
      <c r="P12" s="65"/>
      <c r="Q12" s="65"/>
      <c r="R12" s="65"/>
      <c r="S12" s="65"/>
    </row>
    <row r="13" spans="1:19" x14ac:dyDescent="0.2">
      <c r="A13" s="83">
        <v>46204</v>
      </c>
      <c r="B13" s="86">
        <f>IF(_DB_Data!B4="Semua",SUMIFS(Database!$N$4:$N$1966,Database!$K$4:$K$1966,"&gt;="&amp;_DB_Data!D13,Database!$K$4:$K$1966,"&lt;"&amp;_DB_Data!D14),SUMIFS(Database!$N$4:$N$1966,Database!$I$4:$I$1966,_DB_Data!B4,Database!$K$4:$K$1966,"&gt;="&amp;_DB_Data!D13,Database!$K$4:$K$1966,"&lt;"&amp;_DB_Data!D14))</f>
        <v>0</v>
      </c>
    </row>
    <row r="14" spans="1:19" x14ac:dyDescent="0.2">
      <c r="A14" s="83">
        <v>46235</v>
      </c>
      <c r="B14" s="86">
        <f>IF(_DB_Data!B5="Semua",SUMIFS(Database!$N$4:$N$1966,Database!$K$4:$K$1966,"&gt;="&amp;_DB_Data!D14,Database!$K$4:$K$1966,"&lt;"&amp;_DB_Data!D15),SUMIFS(Database!$N$4:$N$1966,Database!$I$4:$I$1966,_DB_Data!B5,Database!$K$4:$K$1966,"&gt;="&amp;_DB_Data!D14,Database!$K$4:$K$1966,"&lt;"&amp;_DB_Data!D15))</f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tabColor rgb="FF808080"/>
  </sheetPr>
  <dimension ref="A1:AO57"/>
  <sheetViews>
    <sheetView showGridLines="0" topLeftCell="A24" zoomScale="113" zoomScaleNormal="100" workbookViewId="0">
      <selection activeCell="F47" sqref="F47"/>
    </sheetView>
  </sheetViews>
  <sheetFormatPr baseColWidth="10" defaultColWidth="10.6640625" defaultRowHeight="15" x14ac:dyDescent="0.2"/>
  <cols>
    <col min="1" max="1" width="16.1640625" customWidth="1"/>
    <col min="6" max="6" width="16.1640625" customWidth="1"/>
    <col min="9" max="9" width="22.6640625" customWidth="1"/>
    <col min="22" max="22" width="22.6640625" customWidth="1"/>
    <col min="24" max="24" width="20.5" customWidth="1"/>
  </cols>
  <sheetData>
    <row r="1" spans="1:41" ht="15" customHeight="1" x14ac:dyDescent="0.2">
      <c r="A1" s="65" t="s">
        <v>1167</v>
      </c>
      <c r="B1" s="65" t="str">
        <f>'Dashboard WB'!E6</f>
        <v>Semua</v>
      </c>
      <c r="C1" s="65" t="s">
        <v>1168</v>
      </c>
      <c r="D1" s="65" t="s">
        <v>1155</v>
      </c>
      <c r="E1" s="65" t="s">
        <v>1169</v>
      </c>
      <c r="F1" s="65" t="s">
        <v>10</v>
      </c>
      <c r="G1" s="65" t="s">
        <v>1156</v>
      </c>
      <c r="H1" s="65">
        <f>COUNTIF(G16:G31,"&gt;0")</f>
        <v>16</v>
      </c>
      <c r="I1" s="65" t="s">
        <v>34</v>
      </c>
      <c r="J1" s="65" t="s">
        <v>10</v>
      </c>
      <c r="K1" s="65" t="s">
        <v>1156</v>
      </c>
      <c r="L1" s="65"/>
      <c r="M1" s="65" t="s">
        <v>20</v>
      </c>
      <c r="N1" s="65" t="s">
        <v>10</v>
      </c>
      <c r="O1" s="65" t="s">
        <v>20</v>
      </c>
      <c r="P1" s="65" t="s">
        <v>1224</v>
      </c>
      <c r="Q1" s="65" t="s">
        <v>1225</v>
      </c>
      <c r="R1" s="65" t="s">
        <v>1226</v>
      </c>
      <c r="S1" s="65" t="s">
        <v>1227</v>
      </c>
      <c r="T1" s="65" t="s">
        <v>1228</v>
      </c>
      <c r="U1" s="65" t="s">
        <v>1235</v>
      </c>
      <c r="V1" s="69" t="s">
        <v>1234</v>
      </c>
      <c r="W1" s="69" t="s">
        <v>1156</v>
      </c>
      <c r="X1" s="65"/>
      <c r="Y1" s="65"/>
      <c r="Z1" s="65"/>
      <c r="AA1" s="65"/>
      <c r="AB1" s="65" t="s">
        <v>34</v>
      </c>
      <c r="AC1" s="65" t="s">
        <v>1171</v>
      </c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</row>
    <row r="2" spans="1:41" ht="15" customHeight="1" x14ac:dyDescent="0.2">
      <c r="A2" s="65"/>
      <c r="B2" s="65"/>
      <c r="C2" s="65">
        <f>'Dashboard WB'!F6</f>
        <v>0</v>
      </c>
      <c r="D2" s="70">
        <f>DATE(2025,8,1)</f>
        <v>45870</v>
      </c>
      <c r="E2" s="71" t="s">
        <v>1172</v>
      </c>
      <c r="F2" s="65">
        <f>IF($B$1="Semua",COUNTIFS(Database!$K$4:$K$1981,"&gt;="&amp;D2,Database!$K$4:$K$1981,"&lt;"&amp;D3),COUNTIFS(Database!$K$4:$K$1981,"&gt;="&amp;D2,Database!$K$4:$K$1981,"&lt;"&amp;D3,Database!$K$4:$K$1981,$B$1))</f>
        <v>0</v>
      </c>
      <c r="G2" s="65">
        <f>IF($B$1="Semua",SUMIFS(Database!$N$4:$N$1981,Database!$K$4:$K$1981,"&gt;="&amp;D2,Database!$K$4:$K$1981,"&lt;"&amp;D3),SUMIFS(Database!$N$4:$N$1981,Database!$K$4:$K$1981,"&gt;="&amp;D2,Database!$K$4:$K$1981,"&lt;"&amp;D3,Database!$K$4:$K$1981,$B$1))/1000</f>
        <v>0</v>
      </c>
      <c r="H2" s="65"/>
      <c r="I2" s="65" t="s">
        <v>49</v>
      </c>
      <c r="J2" s="65">
        <f>IF($B$1="Semua",COUNTIF(Database!$H$4:$H$1981,I2),COUNTIFS(Database!$H$4:$H$1981,I2,Database!$I$4:$I$1981,$B$1))</f>
        <v>402</v>
      </c>
      <c r="K2" s="65">
        <f>IF($B$1="Semua",SUMIF(Database!$H$4:$H$1981,I2,Database!$N$4:$N$1981),SUMIFS(Database!$N$4:$N$1981,Database!$H$4:$H$1981,I2,Database!$I$4:$I$1981,$B$1))/1000</f>
        <v>6495.28</v>
      </c>
      <c r="L2" s="65"/>
      <c r="M2" s="65" t="s">
        <v>41</v>
      </c>
      <c r="N2" s="65">
        <f>COUNTIF(Database!$I$4:$I$1981,"CPO")</f>
        <v>955</v>
      </c>
      <c r="O2" s="65" t="s">
        <v>41</v>
      </c>
      <c r="P2" s="65">
        <f>COUNTIF(Database!$I$4:$I$1981,O2)</f>
        <v>955</v>
      </c>
      <c r="Q2" s="65">
        <f>SUMIF(Database!$I$4:$I$1981,O2,Database!$N$4:$N$1981)</f>
        <v>14931050</v>
      </c>
      <c r="R2" s="68">
        <f ca="1">_xlfn.MAXIFS(Database!$K$4:$K$1981,Database!$K$4:$K$1981,"&lt;="&amp;TODAY())-29</f>
        <v>46143</v>
      </c>
      <c r="S2" s="65">
        <f ca="1">IF($B$1="Semua",COUNTIFS(Database!$K$4:$K$1981,R2),COUNTIFS(Database!$K$4:$K$1981,R2,Database!$I$4:$I$1981,$B$1))</f>
        <v>0</v>
      </c>
      <c r="T2" s="65">
        <f ca="1">IF($B$1="Semua",SUMIFS(Database!$N$4:$N$1981,Database!$K$4:$K$1981,R2),SUMIFS(Database!$N$4:$N$1981,Database!$K$4:$K$1981,R2,Database!$I$4:$I$1981,$B$1))/1000</f>
        <v>0</v>
      </c>
      <c r="U2" s="65">
        <f>COUNTIF(K2:K20,"&gt;0")</f>
        <v>16</v>
      </c>
      <c r="V2" s="65" t="str" cm="1">
        <f t="array" ref="V2">IF(ROW()-1&gt;$U$2,"",INDEX(_xlfn.SORTBY(_xlfn._xlws.FILTER($I$2:$I$20,$K$2:$K$20&gt;0),_xlfn._xlws.FILTER($K$2:$K$20,$K$2:$K$20&gt;0),-1),ROW()-1))</f>
        <v>PT. JAS MULIA</v>
      </c>
      <c r="W2" s="65" cm="1">
        <f t="array" ref="W2">IF(ROW()-1&gt;$U$2,0,INDEX(_xlfn.SORTBY(_xlfn._xlws.FILTER($K$2:$K$20,$K$2:$K$20&gt;0),_xlfn._xlws.FILTER($K$2:$K$20,$K$2:$K$20&gt;0),-1),ROW()-1))</f>
        <v>6495.28</v>
      </c>
      <c r="X2" s="65"/>
      <c r="Y2" s="65"/>
      <c r="Z2" s="65"/>
      <c r="AA2" s="65"/>
      <c r="AB2" s="65" t="s">
        <v>43</v>
      </c>
      <c r="AC2" s="65">
        <f>K2</f>
        <v>6495.28</v>
      </c>
      <c r="AD2" s="65"/>
      <c r="AE2" s="74"/>
      <c r="AF2" s="65"/>
      <c r="AG2" s="65"/>
      <c r="AH2" s="65"/>
      <c r="AI2" s="65"/>
      <c r="AJ2" s="65"/>
      <c r="AK2" s="65"/>
      <c r="AL2" s="65"/>
      <c r="AM2" s="65"/>
      <c r="AN2" s="65"/>
      <c r="AO2" s="65"/>
    </row>
    <row r="3" spans="1:41" ht="15" customHeight="1" x14ac:dyDescent="0.2">
      <c r="A3" s="65" t="s">
        <v>1173</v>
      </c>
      <c r="B3" s="65" t="s">
        <v>1174</v>
      </c>
      <c r="C3" s="65"/>
      <c r="D3" s="70">
        <f>DATE(2025,9,1)</f>
        <v>45901</v>
      </c>
      <c r="E3" s="71" t="s">
        <v>1175</v>
      </c>
      <c r="F3" s="65">
        <f>IF($B$1="Semua",COUNTIFS(Database!$K$4:$K$1981,"&gt;="&amp;D3,Database!$K$4:$K$1981,"&lt;"&amp;D4),COUNTIFS(Database!$K$4:$K$1981,"&gt;="&amp;D3,Database!$K$4:$K$1981,"&lt;"&amp;D4,Database!$K$4:$K$1981,$B$1))</f>
        <v>13</v>
      </c>
      <c r="G3" s="65">
        <f>IF($B$1="Semua",SUMIFS(Database!$N$4:$N$1981,Database!$K$4:$K$1981,"&gt;="&amp;D3,Database!$K$4:$K$1981,"&lt;"&amp;D4),SUMIFS(Database!$N$4:$N$1981,Database!$K$4:$K$1981,"&gt;="&amp;D3,Database!$K$4:$K$1981,"&lt;"&amp;D4,Database!$K$4:$K$1981,$B$1))/1000</f>
        <v>220.36</v>
      </c>
      <c r="H3" s="65"/>
      <c r="I3" s="65" t="s">
        <v>59</v>
      </c>
      <c r="J3" s="65">
        <f>IF($B$1="Semua",COUNTIF(Database!$H$4:$H$1981,I3),COUNTIFS(Database!$H$4:$H$1981,I3,Database!$I$4:$I$1981,$B$1))</f>
        <v>174</v>
      </c>
      <c r="K3" s="65">
        <f>IF($B$1="Semua",SUMIF(Database!$H$4:$H$1981,I3,Database!$N$4:$N$1981),SUMIFS(Database!$N$4:$N$1981,Database!$H$4:$H$1981,I3,Database!$I$4:$I$1981,$B$1))/1000</f>
        <v>3939.56</v>
      </c>
      <c r="L3" s="65"/>
      <c r="M3" s="65" t="s">
        <v>66</v>
      </c>
      <c r="N3" s="65">
        <f>COUNTIF(Database!$I$4:$I$1981,"B-40")</f>
        <v>44</v>
      </c>
      <c r="O3" s="65" t="s">
        <v>66</v>
      </c>
      <c r="P3" s="65">
        <f>COUNTIF(Database!$I$4:$I$1981,O3)</f>
        <v>44</v>
      </c>
      <c r="Q3" s="65">
        <f>SUMIF(Database!$I$4:$I$1981,O3,Database!$N$4:$N$1981)</f>
        <v>503310</v>
      </c>
      <c r="R3" s="68">
        <f ca="1">_xlfn.MAXIFS(Database!$K$4:$K$1981,Database!$K$4:$K$1981,"&lt;="&amp;TODAY())-28</f>
        <v>46144</v>
      </c>
      <c r="S3" s="65">
        <f ca="1">IF($B$1="Semua",COUNTIFS(Database!$K$4:$K$1981,R3),COUNTIFS(Database!$K$4:$K$1981,R3,Database!$I$4:$I$1981,$B$1))</f>
        <v>1</v>
      </c>
      <c r="T3" s="65">
        <f ca="1">IF($B$1="Semua",SUMIFS(Database!$N$4:$N$1981,Database!$K$4:$K$1981,R3),SUMIFS(Database!$N$4:$N$1981,Database!$K$4:$K$1981,R3,Database!$I$4:$I$1981,$B$1))/1000</f>
        <v>8</v>
      </c>
      <c r="U3" s="65"/>
      <c r="V3" s="65" t="str" cm="1">
        <f t="array" ref="V3">IF(ROW()-1&gt;$U$2,"",INDEX(_xlfn.SORTBY(_xlfn._xlws.FILTER($I$2:$I$20,$K$2:$K$20&gt;0),_xlfn._xlws.FILTER($K$2:$K$20,$K$2:$K$20&gt;0),-1),ROW()-1))</f>
        <v>PT. KASMAR MATANO PERSADA</v>
      </c>
      <c r="W3" s="65" cm="1">
        <f t="array" ref="W3">IF(ROW()-1&gt;$U$2,0,INDEX(_xlfn.SORTBY(_xlfn._xlws.FILTER($K$2:$K$20,$K$2:$K$20&gt;0),_xlfn._xlws.FILTER($K$2:$K$20,$K$2:$K$20&gt;0),-1),ROW()-1))</f>
        <v>3939.56</v>
      </c>
      <c r="X3" s="65"/>
      <c r="Y3" s="65"/>
      <c r="Z3" s="65"/>
      <c r="AA3" s="65"/>
      <c r="AB3" s="65" t="s">
        <v>1176</v>
      </c>
      <c r="AC3" s="65">
        <f>K3</f>
        <v>3939.56</v>
      </c>
      <c r="AD3" s="65"/>
      <c r="AE3" s="75"/>
      <c r="AF3" s="65"/>
      <c r="AG3" s="65"/>
      <c r="AH3" s="65"/>
      <c r="AI3" s="65"/>
      <c r="AJ3" s="65"/>
      <c r="AK3" s="65"/>
      <c r="AL3" s="65"/>
      <c r="AM3" s="65"/>
      <c r="AN3" s="65"/>
      <c r="AO3" s="65"/>
    </row>
    <row r="4" spans="1:41" ht="15" customHeight="1" x14ac:dyDescent="0.2">
      <c r="A4" s="65" t="s">
        <v>1177</v>
      </c>
      <c r="B4" s="65" cm="1">
        <f t="array" ref="B4">IF(B1="Semua",IF(C2=0,SUMPRODUCT((Database!$I$4:$I$1981&lt;&gt;"")*1),SUMPRODUCT((Database!$I$4:$I$1981&lt;&gt;"")*(MONTH(Database!$K$4:$K$1981)=C2))),IF(C2=0,COUNTIF(Database!$I$4:$I$1981,B1),SUMPRODUCT((Database!$I$4:$I$1981=B1)*(MONTH(Database!$K$4:$K$1981)=C2))))</f>
        <v>1564</v>
      </c>
      <c r="C4" s="65"/>
      <c r="D4" s="70">
        <f>DATE(2025,10,1)</f>
        <v>45931</v>
      </c>
      <c r="E4" s="71" t="s">
        <v>1178</v>
      </c>
      <c r="F4" s="65">
        <f>IF($B$1="Semua",COUNTIFS(Database!$K$4:$K$1981,"&gt;="&amp;D4,Database!$K$4:$K$1981,"&lt;"&amp;D5),COUNTIFS(Database!$K$4:$K$1981,"&gt;="&amp;D4,Database!$K$4:$K$1981,"&lt;"&amp;D5,Database!$K$4:$K$1981,$B$1))</f>
        <v>17</v>
      </c>
      <c r="G4" s="65">
        <f>IF($B$1="Semua",SUMIFS(Database!$N$4:$N$1981,Database!$K$4:$K$1981,"&gt;="&amp;D4,Database!$K$4:$K$1981,"&lt;"&amp;D5),SUMIFS(Database!$N$4:$N$1981,Database!$K$4:$K$1981,"&gt;="&amp;D4,Database!$K$4:$K$1981,"&lt;"&amp;D5,Database!$K$4:$K$1981,$B$1))/1000</f>
        <v>369.65</v>
      </c>
      <c r="H4" s="65"/>
      <c r="I4" s="65" t="s">
        <v>40</v>
      </c>
      <c r="J4" s="65">
        <f>IF($B$1="Semua",COUNTIF(Database!$H$4:$H$1981,I4),COUNTIFS(Database!$H$4:$H$1981,I4,Database!$I$4:$I$1981,$B$1))</f>
        <v>282</v>
      </c>
      <c r="K4" s="65">
        <f>IF($B$1="Semua",SUMIF(Database!$H$4:$H$1981,I4,Database!$N$4:$N$1981),SUMIFS(Database!$N$4:$N$1981,Database!$H$4:$H$1981,I4,Database!$I$4:$I$1981,$B$1))/1000</f>
        <v>2697.4</v>
      </c>
      <c r="L4" s="65"/>
      <c r="M4" s="65" t="s">
        <v>3</v>
      </c>
      <c r="N4" s="65">
        <f>COUNTIF(Database!$I$4:$I$1981,"RBDPL")</f>
        <v>550</v>
      </c>
      <c r="O4" s="65" t="s">
        <v>3</v>
      </c>
      <c r="P4" s="65">
        <f>COUNTIF(Database!$I$4:$I$1981,O4)</f>
        <v>550</v>
      </c>
      <c r="Q4" s="65">
        <f>SUMIF(Database!$I$4:$I$1981,O4,Database!$N$4:$N$1981)</f>
        <v>6028420</v>
      </c>
      <c r="R4" s="68">
        <f ca="1">_xlfn.MAXIFS(Database!$K$4:$K$1981,Database!$K$4:$K$1981,"&lt;="&amp;TODAY())-27</f>
        <v>46145</v>
      </c>
      <c r="S4" s="65">
        <f ca="1">IF($B$1="Semua",COUNTIFS(Database!$K$4:$K$1981,R4),COUNTIFS(Database!$K$4:$K$1981,R4,Database!$I$4:$I$1981,$B$1))</f>
        <v>0</v>
      </c>
      <c r="T4" s="65">
        <f ca="1">IF($B$1="Semua",SUMIFS(Database!$N$4:$N$1981,Database!$K$4:$K$1981,R4),SUMIFS(Database!$N$4:$N$1981,Database!$K$4:$K$1981,R4,Database!$I$4:$I$1981,$B$1))/1000</f>
        <v>0</v>
      </c>
      <c r="U4" s="65"/>
      <c r="V4" s="65" t="str" cm="1">
        <f t="array" ref="V4">IF(ROW()-1&gt;$U$2,"",INDEX(_xlfn.SORTBY(_xlfn._xlws.FILTER($I$2:$I$20,$K$2:$K$20&gt;0),_xlfn._xlws.FILTER($K$2:$K$20,$K$2:$K$20&gt;0),-1),ROW()-1))</f>
        <v>PT. MADINRA INTI SAWIT</v>
      </c>
      <c r="W4" s="65" cm="1">
        <f t="array" ref="W4">IF(ROW()-1&gt;$U$2,0,INDEX(_xlfn.SORTBY(_xlfn._xlws.FILTER($K$2:$K$20,$K$2:$K$20&gt;0),_xlfn._xlws.FILTER($K$2:$K$20,$K$2:$K$20&gt;0),-1),ROW()-1))</f>
        <v>2697.4</v>
      </c>
      <c r="X4" s="65"/>
      <c r="Y4" s="65"/>
      <c r="Z4" s="65"/>
      <c r="AA4" s="65"/>
      <c r="AB4" s="65" t="s">
        <v>1179</v>
      </c>
      <c r="AC4" s="65">
        <f>K4</f>
        <v>2697.4</v>
      </c>
      <c r="AD4" s="65"/>
      <c r="AE4" s="74"/>
      <c r="AF4" s="65"/>
      <c r="AG4" s="65"/>
      <c r="AH4" s="65"/>
      <c r="AI4" s="65"/>
      <c r="AJ4" s="65"/>
      <c r="AK4" s="65"/>
      <c r="AL4" s="65"/>
      <c r="AM4" s="65"/>
      <c r="AN4" s="65"/>
      <c r="AO4" s="65"/>
    </row>
    <row r="5" spans="1:41" ht="15" customHeight="1" x14ac:dyDescent="0.2">
      <c r="A5" s="65" t="s">
        <v>1180</v>
      </c>
      <c r="B5" s="65" cm="1">
        <f t="array" ref="B5">IF(B1="Semua",IF(C2=0,SUMPRODUCT((Database!$I$4:$I$1981&lt;&gt;"")*Database!$N$4:$N$1981),SUMPRODUCT((Database!$I$4:$I$1981&lt;&gt;"")*(MONTH(Database!$K$4:$K$1981)=C2)*Database!$N$4:$N$1981)),IF(C2=0,SUMIF(Database!$I$4:$I$1981,B1,Database!$N$4:$N$1981),SUMPRODUCT((Database!$I$4:$I$1981=B1)*(MONTH(Database!$K$4:$K$1981)=C2)*Database!$N$4:$N$1981)))</f>
        <v>21764280</v>
      </c>
      <c r="C5" s="65"/>
      <c r="D5" s="70">
        <f>DATE(2025,11,1)</f>
        <v>45962</v>
      </c>
      <c r="E5" s="71" t="s">
        <v>1181</v>
      </c>
      <c r="F5" s="65">
        <f>IF($B$1="Semua",COUNTIFS(Database!$K$4:$K$1981,"&gt;="&amp;D5,Database!$K$4:$K$1981,"&lt;"&amp;D6),COUNTIFS(Database!$K$4:$K$1981,"&gt;="&amp;D5,Database!$K$4:$K$1981,"&lt;"&amp;D6,Database!$K$4:$K$1981,$B$1))</f>
        <v>180</v>
      </c>
      <c r="G5" s="65">
        <f>IF($B$1="Semua",SUMIFS(Database!$N$4:$N$1981,Database!$K$4:$K$1981,"&gt;="&amp;D5,Database!$K$4:$K$1981,"&lt;"&amp;D6),SUMIFS(Database!$N$4:$N$1981,Database!$K$4:$K$1981,"&gt;="&amp;D5,Database!$K$4:$K$1981,"&lt;"&amp;D6,Database!$K$4:$K$1981,$B$1))/1000</f>
        <v>2991.09</v>
      </c>
      <c r="H5" s="65"/>
      <c r="I5" s="65" t="s">
        <v>78</v>
      </c>
      <c r="J5" s="65">
        <f>IF($B$1="Semua",COUNTIF(Database!$H$4:$H$1981,I5),COUNTIFS(Database!$H$4:$H$1981,I5,Database!$I$4:$I$1981,$B$1))</f>
        <v>97</v>
      </c>
      <c r="K5" s="65">
        <f>IF($B$1="Semua",SUMIF(Database!$H$4:$H$1981,I5,Database!$N$4:$N$1981),SUMIFS(Database!$N$4:$N$1981,Database!$H$4:$H$1981,I5,Database!$I$4:$I$1981,$B$1))/1000</f>
        <v>1798.81</v>
      </c>
      <c r="L5" s="65"/>
      <c r="M5" s="65" t="s">
        <v>58</v>
      </c>
      <c r="N5" s="65">
        <f>COUNTIF(Database!$I$4:$I$1981,"BE")</f>
        <v>5</v>
      </c>
      <c r="O5" s="65" t="s">
        <v>58</v>
      </c>
      <c r="P5" s="65">
        <f>COUNTIF(Database!$I$4:$I$1981,O5)</f>
        <v>5</v>
      </c>
      <c r="Q5" s="65">
        <f>SUMIF(Database!$I$4:$I$1981,O5,Database!$N$4:$N$1981)</f>
        <v>101500</v>
      </c>
      <c r="R5" s="68">
        <f ca="1">_xlfn.MAXIFS(Database!$K$4:$K$1981,Database!$K$4:$K$1981,"&lt;="&amp;TODAY())-26</f>
        <v>46146</v>
      </c>
      <c r="S5" s="65">
        <f ca="1">IF($B$1="Semua",COUNTIFS(Database!$K$4:$K$1981,R5),COUNTIFS(Database!$K$4:$K$1981,R5,Database!$I$4:$I$1981,$B$1))</f>
        <v>8</v>
      </c>
      <c r="T5" s="65">
        <f ca="1">IF($B$1="Semua",SUMIFS(Database!$N$4:$N$1981,Database!$K$4:$K$1981,R5),SUMIFS(Database!$N$4:$N$1981,Database!$K$4:$K$1981,R5,Database!$I$4:$I$1981,$B$1))/1000</f>
        <v>113.77</v>
      </c>
      <c r="U5" s="65"/>
      <c r="V5" s="65" t="str" cm="1">
        <f t="array" ref="V5">IF(ROW()-1&gt;$U$2,"",INDEX(_xlfn.SORTBY(_xlfn._xlws.FILTER($I$2:$I$20,$K$2:$K$20&gt;0),_xlfn._xlws.FILTER($K$2:$K$20,$K$2:$K$20&gt;0),-1),ROW()-1))</f>
        <v>PT. PERKEBUNAN NUSANTARA</v>
      </c>
      <c r="W5" s="65" cm="1">
        <f t="array" ref="W5">IF(ROW()-1&gt;$U$2,0,INDEX(_xlfn.SORTBY(_xlfn._xlws.FILTER($K$2:$K$20,$K$2:$K$20&gt;0),_xlfn._xlws.FILTER($K$2:$K$20,$K$2:$K$20&gt;0),-1),ROW()-1))</f>
        <v>1798.81</v>
      </c>
      <c r="X5" s="65"/>
      <c r="Y5" s="65"/>
      <c r="Z5" s="65"/>
      <c r="AA5" s="65"/>
      <c r="AB5" s="65" t="s">
        <v>1182</v>
      </c>
      <c r="AC5" s="65">
        <f>K5</f>
        <v>1798.81</v>
      </c>
      <c r="AD5" s="65"/>
      <c r="AE5" s="75"/>
      <c r="AF5" s="65"/>
      <c r="AG5" s="65"/>
      <c r="AH5" s="65"/>
      <c r="AI5" s="65"/>
      <c r="AJ5" s="65"/>
      <c r="AK5" s="65"/>
      <c r="AL5" s="65"/>
      <c r="AM5" s="65"/>
      <c r="AN5" s="65"/>
      <c r="AO5" s="65"/>
    </row>
    <row r="6" spans="1:41" ht="15" customHeight="1" x14ac:dyDescent="0.2">
      <c r="A6" s="65" t="s">
        <v>1183</v>
      </c>
      <c r="B6" s="65" cm="1">
        <f t="array" ref="B6">IF(B1="Semua",IF(C2=0,SUMPRODUCT((Database!$I$4:$I$1981&lt;&gt;"")*Database!$M$4:$M$1981),SUMPRODUCT((Database!$I$4:$I$1981&lt;&gt;"")*(MONTH(Database!$K$4:$K$1981)=C2)*Database!$M$4:$M$1981)),IF(C2=0,SUMIF(Database!$I$4:$I$1981,B1,Database!$M$4:$M$1981),SUMPRODUCT((Database!$I$4:$I$1981=B1)*(MONTH(Database!$K$4:$K$1981)=C2)*Database!$M$4:$M$1981)))</f>
        <v>18461980</v>
      </c>
      <c r="C6" s="65"/>
      <c r="D6" s="70">
        <f>DATE(2025,12,1)</f>
        <v>45992</v>
      </c>
      <c r="E6" s="71" t="s">
        <v>1184</v>
      </c>
      <c r="F6" s="65">
        <f>IF($B$1="Semua",COUNTIFS(Database!$K$4:$K$1981,"&gt;="&amp;D6,Database!$K$4:$K$1981,"&lt;"&amp;D7),COUNTIFS(Database!$K$4:$K$1981,"&gt;="&amp;D6,Database!$K$4:$K$1981,"&lt;"&amp;D7,Database!$K$4:$K$1981,$B$1))</f>
        <v>273</v>
      </c>
      <c r="G6" s="65">
        <f>IF($B$1="Semua",SUMIFS(Database!$N$4:$N$1981,Database!$K$4:$K$1981,"&gt;="&amp;D6,Database!$K$4:$K$1981,"&lt;"&amp;D7),SUMIFS(Database!$N$4:$N$1981,Database!$K$4:$K$1981,"&gt;="&amp;D6,Database!$K$4:$K$1981,"&lt;"&amp;D7,Database!$K$4:$K$1981,$B$1))/1000</f>
        <v>4157.4399999999996</v>
      </c>
      <c r="H6" s="65"/>
      <c r="I6" s="65" t="s">
        <v>86</v>
      </c>
      <c r="J6" s="65">
        <f>IF($B$1="Semua",COUNTIF(Database!$H$4:$H$1981,I6),COUNTIFS(Database!$H$4:$H$1981,I6,Database!$I$4:$I$1981,$B$1))</f>
        <v>137</v>
      </c>
      <c r="K6" s="65">
        <f>IF($B$1="Semua",SUMIF(Database!$H$4:$H$1981,I6,Database!$N$4:$N$1981),SUMIFS(Database!$N$4:$N$1981,Database!$H$4:$H$1981,I6,Database!$I$4:$I$1981,$B$1))/1000</f>
        <v>1290.08</v>
      </c>
      <c r="L6" s="65"/>
      <c r="M6" s="65" t="s">
        <v>3142</v>
      </c>
      <c r="N6" s="65">
        <f>COUNTIF(Database!$I$4:$I$1981,"BE")</f>
        <v>5</v>
      </c>
      <c r="O6" s="65" t="s">
        <v>3142</v>
      </c>
      <c r="P6" s="65">
        <f>COUNTIF(Database!$I$4:$I$1981,O6)</f>
        <v>10</v>
      </c>
      <c r="Q6" s="65">
        <f>SUMIF(Database!$I$4:$I$1981,O6,Database!$N$4:$N$1981)</f>
        <v>200000</v>
      </c>
      <c r="R6" s="68">
        <f ca="1">_xlfn.MAXIFS(Database!$K$4:$K$1981,Database!$K$4:$K$1981,"&lt;="&amp;TODAY())-25</f>
        <v>46147</v>
      </c>
      <c r="S6" s="65">
        <f ca="1">IF($B$1="Semua",COUNTIFS(Database!$K$4:$K$1981,R6),COUNTIFS(Database!$K$4:$K$1981,R6,Database!$I$4:$I$1981,$B$1))</f>
        <v>28</v>
      </c>
      <c r="T6" s="65">
        <f ca="1">IF($B$1="Semua",SUMIFS(Database!$N$4:$N$1981,Database!$K$4:$K$1981,R6),SUMIFS(Database!$N$4:$N$1981,Database!$K$4:$K$1981,R6,Database!$I$4:$I$1981,$B$1))/1000</f>
        <v>289.83</v>
      </c>
      <c r="U6" s="65"/>
      <c r="V6" s="65" t="str" cm="1">
        <f t="array" ref="V6">IF(ROW()-1&gt;$U$2,"",INDEX(_xlfn.SORTBY(_xlfn._xlws.FILTER($I$2:$I$20,$K$2:$K$20&gt;0),_xlfn._xlws.FILTER($K$2:$K$20,$K$2:$K$20&gt;0),-1),ROW()-1))</f>
        <v>CV. SURYA CAHAYA MAS</v>
      </c>
      <c r="W6" s="65" cm="1">
        <f t="array" ref="W6">IF(ROW()-1&gt;$U$2,0,INDEX(_xlfn.SORTBY(_xlfn._xlws.FILTER($K$2:$K$20,$K$2:$K$20&gt;0),_xlfn._xlws.FILTER($K$2:$K$20,$K$2:$K$20&gt;0),-1),ROW()-1))</f>
        <v>1584.29</v>
      </c>
      <c r="X6" s="65"/>
      <c r="Y6" s="65"/>
      <c r="Z6" s="65"/>
      <c r="AA6" s="65"/>
      <c r="AB6" s="65" t="s">
        <v>1185</v>
      </c>
      <c r="AC6" s="65">
        <f>K6</f>
        <v>1290.08</v>
      </c>
      <c r="AD6" s="65"/>
      <c r="AE6" s="74"/>
      <c r="AF6" s="65"/>
      <c r="AG6" s="65"/>
      <c r="AH6" s="65"/>
      <c r="AI6" s="65"/>
      <c r="AJ6" s="65"/>
      <c r="AK6" s="65"/>
      <c r="AL6" s="65"/>
      <c r="AM6" s="65"/>
      <c r="AN6" s="65"/>
      <c r="AO6" s="65"/>
    </row>
    <row r="7" spans="1:41" ht="15" customHeight="1" x14ac:dyDescent="0.2">
      <c r="A7" s="65" t="s">
        <v>1</v>
      </c>
      <c r="B7" s="65" cm="1">
        <f t="array" ref="B7">IF(B1="Semua",IF(C2=0,SUMPRODUCT((Database!$I$4:$I$1981&lt;&gt;"")*Database!$N$4:$N$1981),SUMPRODUCT((Database!$I$4:$I$1981&lt;&gt;"")*(MONTH(Database!$K$4:$K$1981)=C2)*Database!$N$4:$N$1981)),IF(C2=0,SUMIF(Database!$I$4:$I$1981,B1,Database!$N$4:$N$1981),SUMPRODUCT((Database!$I$4:$I$1981=B1)*(MONTH(Database!$K$4:$K$1981)=C2)*Database!$N$4:$N$1981)))</f>
        <v>21764280</v>
      </c>
      <c r="C7" s="65"/>
      <c r="D7" s="70">
        <f>DATE(2026,1,1)</f>
        <v>46023</v>
      </c>
      <c r="E7" s="71" t="s">
        <v>1186</v>
      </c>
      <c r="F7" s="65">
        <f>IF($B$1="Semua",COUNTIFS(Database!$K$4:$K$1981,"&gt;="&amp;D7,Database!$K$4:$K$1981,"&lt;"&amp;D8),COUNTIFS(Database!$K$4:$K$1981,"&gt;="&amp;D7,Database!$K$4:$K$1981,"&lt;"&amp;D8,Database!$K$4:$K$1981,$B$1))</f>
        <v>125</v>
      </c>
      <c r="G7" s="65">
        <f>IF($B$1="Semua",SUMIFS(Database!$N$4:$N$1981,Database!$K$4:$K$1981,"&gt;="&amp;D7,Database!$K$4:$K$1981,"&lt;"&amp;D8),SUMIFS(Database!$N$4:$N$1981,Database!$K$4:$K$1981,"&gt;="&amp;D7,Database!$K$4:$K$1981,"&lt;"&amp;D8,Database!$K$4:$K$1981,$B$1))/1000</f>
        <v>2300.15</v>
      </c>
      <c r="H7" s="65"/>
      <c r="I7" s="65" t="s">
        <v>61</v>
      </c>
      <c r="J7" s="65">
        <f>IF($B$1="Semua",COUNTIF(Database!$H$4:$H$1981,I7),COUNTIFS(Database!$H$4:$H$1981,I7,Database!$I$4:$I$1981,$B$1))</f>
        <v>18</v>
      </c>
      <c r="K7" s="65">
        <f>IF($B$1="Semua",SUMIF(Database!$H$4:$H$1981,I7,Database!$N$4:$N$1981),SUMIFS(Database!$N$4:$N$1981,Database!$H$4:$H$1981,I7,Database!$I$4:$I$1981,$B$1))/1000</f>
        <v>295.17</v>
      </c>
      <c r="L7" s="65"/>
      <c r="M7" s="65"/>
      <c r="N7" s="65"/>
      <c r="O7" s="65"/>
      <c r="P7" s="65"/>
      <c r="Q7" s="65"/>
      <c r="R7" s="68">
        <f ca="1">_xlfn.MAXIFS(Database!$K$4:$K$1981,Database!$K$4:$K$1981,"&lt;="&amp;TODAY())-24</f>
        <v>46148</v>
      </c>
      <c r="S7" s="65">
        <f ca="1">IF($B$1="Semua",COUNTIFS(Database!$K$4:$K$1981,R7),COUNTIFS(Database!$K$4:$K$1981,R7,Database!$I$4:$I$1981,$B$1))</f>
        <v>18</v>
      </c>
      <c r="T7" s="65">
        <f ca="1">IF($B$1="Semua",SUMIFS(Database!$N$4:$N$1981,Database!$K$4:$K$1981,R7),SUMIFS(Database!$N$4:$N$1981,Database!$K$4:$K$1981,R7,Database!$I$4:$I$1981,$B$1))/1000</f>
        <v>184.39</v>
      </c>
      <c r="U7" s="65"/>
      <c r="V7" s="65" t="str" cm="1">
        <f t="array" ref="V7">IF(ROW()-1&gt;$U$2,"",INDEX(_xlfn.SORTBY(_xlfn._xlws.FILTER($I$2:$I$20,$K$2:$K$20&gt;0),_xlfn._xlws.FILTER($K$2:$K$20,$K$2:$K$20&gt;0),-1),ROW()-1))</f>
        <v>CV. DUTA ABADI</v>
      </c>
      <c r="W7" s="65" cm="1">
        <f t="array" ref="W7">IF(ROW()-1&gt;$U$2,0,INDEX(_xlfn.SORTBY(_xlfn._xlws.FILTER($K$2:$K$20,$K$2:$K$20&gt;0),_xlfn._xlws.FILTER($K$2:$K$20,$K$2:$K$20&gt;0),-1),ROW()-1))</f>
        <v>1533.74</v>
      </c>
      <c r="X7" s="65"/>
      <c r="Y7" s="65"/>
      <c r="Z7" s="65"/>
      <c r="AA7" s="65"/>
      <c r="AB7" s="65"/>
      <c r="AC7" s="65"/>
      <c r="AD7" s="65"/>
      <c r="AE7" s="75"/>
      <c r="AF7" s="65"/>
      <c r="AG7" s="65"/>
      <c r="AH7" s="65"/>
      <c r="AI7" s="65"/>
      <c r="AJ7" s="65"/>
      <c r="AK7" s="65"/>
      <c r="AL7" s="65"/>
      <c r="AM7" s="65"/>
      <c r="AN7" s="65"/>
      <c r="AO7" s="65"/>
    </row>
    <row r="8" spans="1:41" ht="15" customHeight="1" x14ac:dyDescent="0.2">
      <c r="A8" s="65" t="s">
        <v>1187</v>
      </c>
      <c r="B8" s="65" cm="1">
        <f t="array" ref="B8">IF(B1="Semua",IF(C2=0,SUMPRODUCT((Database!$H$4:$H$1981&lt;&gt;"")/COUNTIF(Database!$H$4:$H$1981,Database!$H$4:$H$1981&amp;"")),SUMPRODUCT((Database!$H$4:$H$1981&lt;&gt;"")*(MONTH(Database!$K$4:$K$1981)=C2)/COUNTIF(Database!$H$4:$H$1981,Database!$H$4:$H$1981&amp;""))),IF(C2=0,SUMPRODUCT((Database!$I$4:$I$1981=B1)*(Database!$H$4:$H$1981&lt;&gt;"")/COUNTIF(Database!$H$4:$H$1981,Database!$H$4:$H$1981&amp;"")),SUMPRODUCT((Database!$I$4:$I$1981=B1)*(Database!$H$4:$H$1981&lt;&gt;"")*(MONTH(Database!$K$4:$K$1981)=C2)/COUNTIF(Database!$H$4:$H$1981,Database!$H$4:$H$1981&amp;""))))</f>
        <v>16.000000000000075</v>
      </c>
      <c r="C8" s="65"/>
      <c r="D8" s="70">
        <f>DATE(2026,2,1)</f>
        <v>46054</v>
      </c>
      <c r="E8" s="71" t="s">
        <v>1188</v>
      </c>
      <c r="F8" s="65">
        <f>IF($B$1="Semua",COUNTIFS(Database!$K$4:$K$1981,"&gt;="&amp;D8,Database!$K$4:$K$1981,"&lt;"&amp;D9),COUNTIFS(Database!$K$4:$K$1981,"&gt;="&amp;D8,Database!$K$4:$K$1981,"&lt;"&amp;D9,Database!$K$4:$K$1981,$B$1))</f>
        <v>214</v>
      </c>
      <c r="G8" s="65">
        <f>IF($B$1="Semua",SUMIFS(Database!$N$4:$N$1981,Database!$K$4:$K$1981,"&gt;="&amp;D8,Database!$K$4:$K$1981,"&lt;"&amp;D9),SUMIFS(Database!$N$4:$N$1981,Database!$K$4:$K$1981,"&gt;="&amp;D8,Database!$K$4:$K$1981,"&lt;"&amp;D9,Database!$K$4:$K$1981,$B$1))/1000</f>
        <v>3178.1</v>
      </c>
      <c r="H8" s="65"/>
      <c r="I8" s="65" t="s">
        <v>94</v>
      </c>
      <c r="J8" s="65">
        <f>IF($B$1="Semua",COUNTIF(Database!$H$4:$H$1981,I8),COUNTIFS(Database!$H$4:$H$1981,I8,Database!$I$4:$I$1981,$B$1))</f>
        <v>26</v>
      </c>
      <c r="K8" s="65">
        <f>IF($B$1="Semua",SUMIF(Database!$H$4:$H$1981,I8,Database!$N$4:$N$1981),SUMIFS(Database!$N$4:$N$1981,Database!$H$4:$H$1981,I8,Database!$I$4:$I$1981,$B$1))/1000</f>
        <v>208.14</v>
      </c>
      <c r="L8" s="65"/>
      <c r="M8" s="65"/>
      <c r="N8" s="65"/>
      <c r="O8" s="65"/>
      <c r="P8" s="65"/>
      <c r="Q8" s="65"/>
      <c r="R8" s="68">
        <f ca="1">_xlfn.MAXIFS(Database!$K$4:$K$1981,Database!$K$4:$K$1981,"&lt;="&amp;TODAY())-23</f>
        <v>46149</v>
      </c>
      <c r="S8" s="65">
        <f ca="1">IF($B$1="Semua",COUNTIFS(Database!$K$4:$K$1981,R8),COUNTIFS(Database!$K$4:$K$1981,R8,Database!$I$4:$I$1981,$B$1))</f>
        <v>12</v>
      </c>
      <c r="T8" s="65">
        <f ca="1">IF($B$1="Semua",SUMIFS(Database!$N$4:$N$1981,Database!$K$4:$K$1981,R8),SUMIFS(Database!$N$4:$N$1981,Database!$K$4:$K$1981,R8,Database!$I$4:$I$1981,$B$1))/1000</f>
        <v>110.65</v>
      </c>
      <c r="U8" s="65"/>
      <c r="V8" s="65" t="str" cm="1">
        <f t="array" ref="V8">IF(ROW()-1&gt;$U$2,"",INDEX(_xlfn.SORTBY(_xlfn._xlws.FILTER($I$2:$I$20,$K$2:$K$20&gt;0),_xlfn._xlws.FILTER($K$2:$K$20,$K$2:$K$20&gt;0),-1),ROW()-1))</f>
        <v>PT. BUKIT JEJER LESTARI</v>
      </c>
      <c r="W8" s="65" cm="1">
        <f t="array" ref="W8">IF(ROW()-1&gt;$U$2,0,INDEX(_xlfn.SORTBY(_xlfn._xlws.FILTER($K$2:$K$20,$K$2:$K$20&gt;0),_xlfn._xlws.FILTER($K$2:$K$20,$K$2:$K$20&gt;0),-1),ROW()-1))</f>
        <v>1290.08</v>
      </c>
      <c r="X8" s="65"/>
      <c r="Y8" s="65"/>
      <c r="Z8" s="65"/>
      <c r="AA8" s="65"/>
      <c r="AB8" s="65"/>
      <c r="AC8" s="65"/>
      <c r="AD8" s="65"/>
      <c r="AE8" s="75"/>
      <c r="AF8" s="65"/>
      <c r="AG8" s="65"/>
      <c r="AH8" s="65"/>
      <c r="AI8" s="65"/>
      <c r="AJ8" s="65"/>
      <c r="AK8" s="65"/>
      <c r="AL8" s="65"/>
      <c r="AM8" s="65"/>
      <c r="AN8" s="65"/>
      <c r="AO8" s="65"/>
    </row>
    <row r="9" spans="1:41" ht="15" customHeight="1" x14ac:dyDescent="0.2">
      <c r="A9" s="65" t="s">
        <v>1189</v>
      </c>
      <c r="B9" s="65" cm="1">
        <f t="array" ref="B9">IF(B1="Semua",IF(C2=0,SUMPRODUCT((Database!$E$4:$E$1981&lt;&gt;"")/COUNTIF(Database!$E$4:$E$1981,Database!$E$4:$E$1981&amp;"")),SUMPRODUCT((Database!$E$4:$E$1981&lt;&gt;"")*(MONTH(Database!$K$4:$K$1981)=C2)/COUNTIF(Database!$E$4:$E$1981,Database!$E$4:$E$1981&amp;""))),IF(C2=0,SUMPRODUCT((Database!$I$4:$I$1981=B1)*(Database!$E$4:$E$1981&lt;&gt;"")/COUNTIF(Database!$E$4:$E$1981,Database!$E$4:$E$1981&amp;"")),SUMPRODUCT((Database!$I$4:$I$1981=B1)*(Database!$E$4:$E$1981&lt;&gt;"")*(MONTH(Database!$K$4:$K$1981)=C2)/COUNTIF(Database!$E$4:$E$1981,Database!$E$4:$E$1981&amp;""))))</f>
        <v>184.00000000000028</v>
      </c>
      <c r="C9" s="65"/>
      <c r="D9" s="70">
        <f>DATE(2026,3,1)</f>
        <v>46082</v>
      </c>
      <c r="E9" s="71" t="s">
        <v>1190</v>
      </c>
      <c r="F9" s="65">
        <f>IF($B$1="Semua",COUNTIFS(Database!$K$4:$K$1981,"&gt;="&amp;D9,Database!$K$4:$K$1981,"&lt;"&amp;D10),COUNTIFS(Database!$K$4:$K$1981,"&gt;="&amp;D9,Database!$K$4:$K$1981,"&lt;"&amp;D10,Database!$K$4:$K$1981,$B$1))</f>
        <v>111</v>
      </c>
      <c r="G9" s="65">
        <f>IF($B$1="Semua",SUMIFS(Database!$N$4:$N$1981,Database!$K$4:$K$1981,"&gt;="&amp;D9,Database!$K$4:$K$1981,"&lt;"&amp;D10),SUMIFS(Database!$N$4:$N$1981,Database!$K$4:$K$1981,"&gt;="&amp;D9,Database!$K$4:$K$1981,"&lt;"&amp;D10,Database!$K$4:$K$1981,$B$1))/1000</f>
        <v>1424.06</v>
      </c>
      <c r="H9" s="65"/>
      <c r="I9" s="65" t="s">
        <v>98</v>
      </c>
      <c r="J9" s="65">
        <f>IF($B$1="Semua",COUNTIF(Database!$H$4:$H$1981,I9),COUNTIFS(Database!$H$4:$H$1981,I9,Database!$I$4:$I$1981,$B$1))</f>
        <v>5</v>
      </c>
      <c r="K9" s="65">
        <f>IF($B$1="Semua",SUMIF(Database!$H$4:$H$1981,I9,Database!$N$4:$N$1981),SUMIFS(Database!$N$4:$N$1981,Database!$H$4:$H$1981,I9,Database!$I$4:$I$1981,$B$1))/1000</f>
        <v>101.5</v>
      </c>
      <c r="L9" s="65"/>
      <c r="M9" s="65"/>
      <c r="N9" s="65"/>
      <c r="O9" s="65"/>
      <c r="P9" s="65"/>
      <c r="Q9" s="65"/>
      <c r="R9" s="68">
        <f ca="1">_xlfn.MAXIFS(Database!$K$4:$K$1981,Database!$K$4:$K$1981,"&lt;="&amp;TODAY())-22</f>
        <v>46150</v>
      </c>
      <c r="S9" s="65">
        <f ca="1">IF($B$1="Semua",COUNTIFS(Database!$K$4:$K$1981,R9),COUNTIFS(Database!$K$4:$K$1981,R9,Database!$I$4:$I$1981,$B$1))</f>
        <v>17</v>
      </c>
      <c r="T9" s="65">
        <f ca="1">IF($B$1="Semua",SUMIFS(Database!$N$4:$N$1981,Database!$K$4:$K$1981,R9),SUMIFS(Database!$N$4:$N$1981,Database!$K$4:$K$1981,R9,Database!$I$4:$I$1981,$B$1))/1000</f>
        <v>193.43</v>
      </c>
      <c r="U9" s="65"/>
      <c r="V9" s="65" t="str" cm="1">
        <f t="array" ref="V9">IF(ROW()-1&gt;$U$2,"",INDEX(_xlfn.SORTBY(_xlfn._xlws.FILTER($I$2:$I$20,$K$2:$K$20&gt;0),_xlfn._xlws.FILTER($K$2:$K$20,$K$2:$K$20&gt;0),-1),ROW()-1))</f>
        <v>CV. HALILINTAR SAKTI ABADI</v>
      </c>
      <c r="W9" s="65" cm="1">
        <f t="array" ref="W9">IF(ROW()-1&gt;$U$2,0,INDEX(_xlfn.SORTBY(_xlfn._xlws.FILTER($K$2:$K$20,$K$2:$K$20&gt;0),_xlfn._xlws.FILTER($K$2:$K$20,$K$2:$K$20&gt;0),-1),ROW()-1))</f>
        <v>797.79</v>
      </c>
      <c r="X9" s="65"/>
      <c r="Y9" s="65"/>
      <c r="Z9" s="65"/>
      <c r="AA9" s="65"/>
      <c r="AB9" s="65"/>
      <c r="AC9" s="65"/>
      <c r="AD9" s="65"/>
      <c r="AE9" s="75"/>
      <c r="AF9" s="65"/>
      <c r="AG9" s="65"/>
      <c r="AH9" s="65"/>
      <c r="AI9" s="65"/>
      <c r="AJ9" s="65"/>
      <c r="AK9" s="65"/>
      <c r="AL9" s="65"/>
      <c r="AM9" s="65"/>
      <c r="AN9" s="65"/>
      <c r="AO9" s="65"/>
    </row>
    <row r="10" spans="1:41" ht="15" customHeight="1" x14ac:dyDescent="0.2">
      <c r="A10" s="65" t="s">
        <v>1229</v>
      </c>
      <c r="B10" s="65">
        <f ca="1">IF(B1="Semua",SUMIFS(Database!$N$4:$N$1981,Database!$K$4:$K$1981,"&gt;="&amp;EOMONTH(_xlfn.MAXIFS(Database!$K$4:$K$1981,Database!$K$4:$K$1981,"&lt;="&amp;TODAY()),-2)+1,Database!$K$4:$K$1981,"&lt;"&amp;EOMONTH(_xlfn.MAXIFS(Database!$K$4:$K$1981,Database!$K$4:$K$1981,"&lt;="&amp;TODAY()),-1)+1),SUMIFS(Database!$N$4:$N$1981,Database!$I$4:$I$1981,B1,Database!$K$4:$K$1981,"&gt;="&amp;EOMONTH(_xlfn.MAXIFS(Database!$K$4:$K$1981,Database!$K$4:$K$1981,"&lt;="&amp;TODAY()),-2)+1,Database!$K$4:$K$1981,"&lt;"&amp;EOMONTH(_xlfn.MAXIFS(Database!$K$4:$K$1981,Database!$K$4:$K$1981,"&lt;="&amp;TODAY()),-1)+1))</f>
        <v>3853480</v>
      </c>
      <c r="C10" s="65"/>
      <c r="D10" s="70">
        <f>DATE(2026,4,1)</f>
        <v>46113</v>
      </c>
      <c r="E10" s="71" t="s">
        <v>1237</v>
      </c>
      <c r="F10" s="65">
        <f>IF($B$1="Semua",COUNTIFS(Database!$K$4:$K$1981,"&gt;="&amp;D10,Database!$K$4:$K$1981,"&lt;"&amp;D11),COUNTIFS(Database!$K$4:$K$1981,"&gt;="&amp;D10,Database!$K$4:$K$1981,"&lt;"&amp;D11,Database!$K$4:$K$1981,$B$1))</f>
        <v>338</v>
      </c>
      <c r="G10" s="65">
        <f>IF($B$1="Semua",SUMIFS(Database!$N$4:$N$1981,Database!$K$4:$K$1981,"&gt;="&amp;D10,Database!$K$4:$K$1981,"&lt;"&amp;D11),SUMIFS(Database!$N$4:$N$1981,Database!$K$4:$K$1981,"&gt;="&amp;D10,Database!$K$4:$K$1981,"&lt;"&amp;D11,Database!$K$4:$K$1981,$B$1))/1000</f>
        <v>3853.48</v>
      </c>
      <c r="H10" s="65"/>
      <c r="I10" s="65" t="s">
        <v>103</v>
      </c>
      <c r="J10" s="65">
        <f>IF($B$1="Semua",COUNTIF(Database!$H$4:$H$1981,I10),COUNTIFS(Database!$H$4:$H$1981,I10,Database!$I$4:$I$1981,$B$1))</f>
        <v>76</v>
      </c>
      <c r="K10" s="65">
        <f>IF($B$1="Semua",SUMIF(Database!$H$4:$H$1981,I10,Database!$N$4:$N$1981),SUMIFS(Database!$N$4:$N$1981,Database!$H$4:$H$1981,I10,Database!$I$4:$I$1981,$B$1))/1000</f>
        <v>797.79</v>
      </c>
      <c r="L10" s="65"/>
      <c r="M10" s="65"/>
      <c r="N10" s="65"/>
      <c r="O10" s="65"/>
      <c r="P10" s="65"/>
      <c r="Q10" s="65"/>
      <c r="R10" s="68">
        <f ca="1">_xlfn.MAXIFS(Database!$K$4:$K$1981,Database!$K$4:$K$1981,"&lt;="&amp;TODAY())-21</f>
        <v>46151</v>
      </c>
      <c r="S10" s="65">
        <f ca="1">IF($B$1="Semua",COUNTIFS(Database!$K$4:$K$1981,R10),COUNTIFS(Database!$K$4:$K$1981,R10,Database!$I$4:$I$1981,$B$1))</f>
        <v>10</v>
      </c>
      <c r="T10" s="65">
        <f ca="1">IF($B$1="Semua",SUMIFS(Database!$N$4:$N$1981,Database!$K$4:$K$1981,R10),SUMIFS(Database!$N$4:$N$1981,Database!$K$4:$K$1981,R10,Database!$I$4:$I$1981,$B$1))/1000</f>
        <v>98.94</v>
      </c>
      <c r="U10" s="65"/>
      <c r="V10" s="65" t="str" cm="1">
        <f t="array" ref="V10">IF(ROW()-1&gt;$U$2,"",INDEX(_xlfn.SORTBY(_xlfn._xlws.FILTER($I$2:$I$20,$K$2:$K$20&gt;0),_xlfn._xlws.FILTER($K$2:$K$20,$K$2:$K$20&gt;0),-1),ROW()-1))</f>
        <v>PT. WIJAYA INTI NUSANTARA</v>
      </c>
      <c r="W10" s="65" cm="1">
        <f t="array" ref="W10">IF(ROW()-1&gt;$U$2,0,INDEX(_xlfn.SORTBY(_xlfn._xlws.FILTER($K$2:$K$20,$K$2:$K$20&gt;0),_xlfn._xlws.FILTER($K$2:$K$20,$K$2:$K$20&gt;0),-1),ROW()-1))</f>
        <v>345.63</v>
      </c>
      <c r="X10" s="65"/>
      <c r="Y10" s="65"/>
      <c r="Z10" s="65"/>
      <c r="AA10" s="65"/>
      <c r="AB10" s="65"/>
      <c r="AC10" s="65"/>
      <c r="AD10" s="65"/>
      <c r="AE10" s="74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spans="1:41" ht="15" customHeight="1" x14ac:dyDescent="0.2">
      <c r="A11" s="65" t="s">
        <v>1230</v>
      </c>
      <c r="B11" s="65">
        <f>IF(B1="Semua",SUMIFS(Database!$N$4:$N$1981,Database!$K$4:$K$1981,"&gt;="&amp;EOMONTH(MAX(Database!$K$4:$K$1981),-1)+1,Database!$K$4:$K$1981,"&lt;="&amp;MAX(Database!$K$4:$K$1981)),SUMIFS(Database!$N$4:$N$1981,Database!$I$4:$I$1981,B1,Database!$K$4:$K$1981,"&gt;="&amp;EOMONTH(MAX(Database!$K$4:$K$1981),-1)+1,Database!$K$4:$K$1981,"&lt;="&amp;MAX(Database!$K$4:$K$1981)))</f>
        <v>3269950</v>
      </c>
      <c r="C11" s="65"/>
      <c r="D11" s="70">
        <f>DATE(2026,5,1)</f>
        <v>46143</v>
      </c>
      <c r="E11" s="72" t="s">
        <v>1222</v>
      </c>
      <c r="F11" s="65">
        <f>IF($B$1="Semua",COUNTIFS(Database!$K$4:$K$1981,"&gt;="&amp;D11,Database!$K$4:$K$1981,"&lt;"&amp;D12),COUNTIFS(Database!$K$4:$K$1981,"&gt;="&amp;D11,Database!$K$4:$K$1981,"&lt;"&amp;D12,Database!$K$4:$K$1981,$B$1))</f>
        <v>293</v>
      </c>
      <c r="G11" s="65">
        <f>IF($B$1="Semua",SUMIFS(Database!$N$4:$N$1981,Database!$K$4:$K$1981,"&gt;="&amp;D11,Database!$K$4:$K$1981,"&lt;"&amp;D12),SUMIFS(Database!$N$4:$N$1981,Database!$K$4:$K$1981,"&gt;="&amp;D11,Database!$K$4:$K$1981,"&lt;"&amp;D12,Database!$K$4:$K$1981,$B$1))/1000</f>
        <v>3269.95</v>
      </c>
      <c r="H11" s="65"/>
      <c r="I11" s="65" t="s">
        <v>111</v>
      </c>
      <c r="J11" s="65">
        <f>IF($B$1="Semua",COUNTIF(Database!$H$4:$H$1981,I11),COUNTIFS(Database!$H$4:$H$1981,I11,Database!$I$4:$I$1981,$B$1))</f>
        <v>137</v>
      </c>
      <c r="K11" s="65">
        <f>IF($B$1="Semua",SUMIF(Database!$H$4:$H$1981,I11,Database!$N$4:$N$1981),SUMIFS(Database!$N$4:$N$1981,Database!$H$4:$H$1981,I11,Database!$I$4:$I$1981,$B$1))/1000</f>
        <v>1533.74</v>
      </c>
      <c r="L11" s="65"/>
      <c r="M11" s="65"/>
      <c r="N11" s="65"/>
      <c r="O11" s="65"/>
      <c r="P11" s="65"/>
      <c r="Q11" s="65"/>
      <c r="R11" s="68">
        <f ca="1">_xlfn.MAXIFS(Database!$K$4:$K$1981,Database!$K$4:$K$1981,"&lt;="&amp;TODAY())-20</f>
        <v>46152</v>
      </c>
      <c r="S11" s="65">
        <f ca="1">IF($B$1="Semua",COUNTIFS(Database!$K$4:$K$1981,R11),COUNTIFS(Database!$K$4:$K$1981,R11,Database!$I$4:$I$1981,$B$1))</f>
        <v>0</v>
      </c>
      <c r="T11" s="65">
        <f ca="1">IF($B$1="Semua",SUMIFS(Database!$N$4:$N$1981,Database!$K$4:$K$1981,R11),SUMIFS(Database!$N$4:$N$1981,Database!$K$4:$K$1981,R11,Database!$I$4:$I$1981,$B$1))/1000</f>
        <v>0</v>
      </c>
      <c r="U11" s="65"/>
      <c r="V11" s="65" t="str" cm="1">
        <f t="array" ref="V11">IF(ROW()-1&gt;$U$2,"",INDEX(_xlfn.SORTBY(_xlfn._xlws.FILTER($I$2:$I$20,$K$2:$K$20&gt;0),_xlfn._xlws.FILTER($K$2:$K$20,$K$2:$K$20&gt;0),-1),ROW()-1))</f>
        <v>PT. TRI DAYA JAYA</v>
      </c>
      <c r="W11" s="65" cm="1">
        <f t="array" ref="W11">IF(ROW()-1&gt;$U$2,0,INDEX(_xlfn.SORTBY(_xlfn._xlws.FILTER($K$2:$K$20,$K$2:$K$20&gt;0),_xlfn._xlws.FILTER($K$2:$K$20,$K$2:$K$20&gt;0),-1),ROW()-1))</f>
        <v>334.79</v>
      </c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</row>
    <row r="12" spans="1:41" ht="15" customHeight="1" x14ac:dyDescent="0.2">
      <c r="A12" s="65" t="s">
        <v>1231</v>
      </c>
      <c r="B12" s="65">
        <f ca="1">IF(B10=0,0,(B11-B10)/B10)</f>
        <v>-0.15142935736010049</v>
      </c>
      <c r="C12" s="65"/>
      <c r="D12" s="70">
        <f>DATE(2026,6,1)</f>
        <v>46174</v>
      </c>
      <c r="E12" s="82">
        <v>46174</v>
      </c>
      <c r="F12" s="65">
        <f>IF($B$1="Semua",COUNTIFS(Database!$K$4:$K$1981,"&gt;="&amp;D12,Database!$K$4:$K$1981,"&lt;"&amp;D13),COUNTIFS(Database!$K$4:$K$1981,"&gt;="&amp;D12,Database!$K$4:$K$1981,"&lt;"&amp;D13,Database!$K$4:$K$1981,$B$1))</f>
        <v>0</v>
      </c>
      <c r="G12" s="65">
        <f>IF($B$1="Semua",SUMIFS(Database!$N$4:$N$1981,Database!$K$4:$K$1981,"&gt;="&amp;D12,Database!$K$4:$K$1981,"&lt;"&amp;D13),SUMIFS(Database!$N$4:$N$1981,Database!$K$4:$K$1981,"&gt;="&amp;D12,Database!$K$4:$K$1981,"&lt;"&amp;D13,Database!$K$4:$K$1981,$B$1))/1000</f>
        <v>0</v>
      </c>
      <c r="H12" s="65"/>
      <c r="I12" s="65" t="s">
        <v>107</v>
      </c>
      <c r="J12" s="65">
        <f>IF($B$1="Semua",COUNTIF(Database!$H$4:$H$1981,I12),COUNTIFS(Database!$H$4:$H$1981,I12,Database!$I$4:$I$1981,$B$1))</f>
        <v>161</v>
      </c>
      <c r="K12" s="65">
        <f>IF($B$1="Semua",SUMIF(Database!$H$4:$H$1981,I12,Database!$N$4:$N$1981),SUMIFS(Database!$N$4:$N$1981,Database!$H$4:$H$1981,I12,Database!$I$4:$I$1981,$B$1))/1000</f>
        <v>1584.29</v>
      </c>
      <c r="L12" s="65"/>
      <c r="M12" s="65"/>
      <c r="N12" s="65"/>
      <c r="O12" s="65"/>
      <c r="P12" s="65"/>
      <c r="Q12" s="65"/>
      <c r="R12" s="68">
        <f ca="1">_xlfn.MAXIFS(Database!$K$4:$K$1981,Database!$K$4:$K$1981,"&lt;="&amp;TODAY())-19</f>
        <v>46153</v>
      </c>
      <c r="S12" s="65">
        <f ca="1">IF($B$1="Semua",COUNTIFS(Database!$K$4:$K$1981,R12),COUNTIFS(Database!$K$4:$K$1981,R12,Database!$I$4:$I$1981,$B$1))</f>
        <v>24</v>
      </c>
      <c r="T12" s="65">
        <f ca="1">IF($B$1="Semua",SUMIFS(Database!$N$4:$N$1981,Database!$K$4:$K$1981,R12),SUMIFS(Database!$N$4:$N$1981,Database!$K$4:$K$1981,R12,Database!$I$4:$I$1981,$B$1))/1000</f>
        <v>278.10000000000002</v>
      </c>
      <c r="U12" s="65"/>
      <c r="V12" s="65" t="str" cm="1">
        <f t="array" ref="V12">IF(ROW()-1&gt;$U$2,"",INDEX(_xlfn.SORTBY(_xlfn._xlws.FILTER($I$2:$I$20,$K$2:$K$20&gt;0),_xlfn._xlws.FILTER($K$2:$K$20,$K$2:$K$20&gt;0),-1),ROW()-1))</f>
        <v>PT. WIJAYA NUSANTARA ENERGI</v>
      </c>
      <c r="W12" s="65" cm="1">
        <f t="array" ref="W12">IF(ROW()-1&gt;$U$2,0,INDEX(_xlfn.SORTBY(_xlfn._xlws.FILTER($K$2:$K$20,$K$2:$K$20&gt;0),_xlfn._xlws.FILTER($K$2:$K$20,$K$2:$K$20&gt;0),-1),ROW()-1))</f>
        <v>295.17</v>
      </c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</row>
    <row r="13" spans="1:41" ht="15" customHeight="1" x14ac:dyDescent="0.2">
      <c r="A13" s="65"/>
      <c r="B13" s="65"/>
      <c r="C13" s="65"/>
      <c r="D13" s="70">
        <f>DATE(2026,7,1)</f>
        <v>46204</v>
      </c>
      <c r="E13" s="82">
        <v>46204</v>
      </c>
      <c r="F13" s="65">
        <f>IF($B$1="Semua",COUNTIFS(Database!$K$4:$K$1981,"&gt;="&amp;D13,Database!$K$4:$K$1981,"&lt;"&amp;D14),COUNTIFS(Database!$K$4:$K$1981,"&gt;="&amp;D13,Database!$K$4:$K$1981,"&lt;"&amp;D14,Database!$K$4:$K$1981,$B$1))</f>
        <v>0</v>
      </c>
      <c r="G13" s="65">
        <f>IF($B$1="Semua",SUMIFS(Database!$N$4:$N$1981,Database!$K$4:$K$1981,"&gt;="&amp;D13,Database!$K$4:$K$1981,"&lt;"&amp;D14),SUMIFS(Database!$N$4:$N$1981,Database!$K$4:$K$1981,"&gt;="&amp;D13,Database!$K$4:$K$1981,"&lt;"&amp;D14,Database!$K$4:$K$1981,$B$1))/1000</f>
        <v>0</v>
      </c>
      <c r="H13" s="65"/>
      <c r="I13" s="65" t="s">
        <v>1523</v>
      </c>
      <c r="J13" s="65">
        <f>IF($B$1="Semua",COUNTIF(Database!$H$4:$H$1981,I13),COUNTIFS(Database!$H$4:$H$1981,I13,Database!$I$4:$I$1981,$B$1))</f>
        <v>17</v>
      </c>
      <c r="K13" s="65">
        <f>IF($B$1="Semua",SUMIF(Database!$H$4:$H$1981,I13,Database!$N$4:$N$1981),SUMIFS(Database!$N$4:$N$1981,Database!$H$4:$H$1981,I13,Database!$I$4:$I$1981,$B$1))/1000</f>
        <v>334.79</v>
      </c>
      <c r="L13" s="65"/>
      <c r="M13" s="65"/>
      <c r="N13" s="65"/>
      <c r="O13" s="65"/>
      <c r="P13" s="65"/>
      <c r="Q13" s="65"/>
      <c r="R13" s="68">
        <f ca="1">_xlfn.MAXIFS(Database!$K$4:$K$1981,Database!$K$4:$K$1981,"&lt;="&amp;TODAY())-18</f>
        <v>46154</v>
      </c>
      <c r="S13" s="65">
        <f ca="1">IF($B$1="Semua",COUNTIFS(Database!$K$4:$K$1981,R13),COUNTIFS(Database!$K$4:$K$1981,R13,Database!$I$4:$I$1981,$B$1))</f>
        <v>10</v>
      </c>
      <c r="T13" s="65">
        <f ca="1">IF($B$1="Semua",SUMIFS(Database!$N$4:$N$1981,Database!$K$4:$K$1981,R13),SUMIFS(Database!$N$4:$N$1981,Database!$K$4:$K$1981,R13,Database!$I$4:$I$1981,$B$1))/1000</f>
        <v>110.14</v>
      </c>
      <c r="U13" s="65"/>
      <c r="V13" s="65" t="str" cm="1">
        <f t="array" ref="V13">IF(ROW()-1&gt;$U$2,"",INDEX(_xlfn.SORTBY(_xlfn._xlws.FILTER($I$2:$I$20,$K$2:$K$20&gt;0),_xlfn._xlws.FILTER($K$2:$K$20,$K$2:$K$20&gt;0),-1),ROW()-1))</f>
        <v>PT. WISAN PETRO ENERGI</v>
      </c>
      <c r="W13" s="65" cm="1">
        <f t="array" ref="W13">IF(ROW()-1&gt;$U$2,0,INDEX(_xlfn.SORTBY(_xlfn._xlws.FILTER($K$2:$K$20,$K$2:$K$20&gt;0),_xlfn._xlws.FILTER($K$2:$K$20,$K$2:$K$20&gt;0),-1),ROW()-1))</f>
        <v>208.14</v>
      </c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</row>
    <row r="14" spans="1:41" ht="15" customHeight="1" x14ac:dyDescent="0.2">
      <c r="A14" s="65"/>
      <c r="B14" s="65"/>
      <c r="C14" s="65"/>
      <c r="D14" s="70">
        <f>DATE(2026,8,1)</f>
        <v>46235</v>
      </c>
      <c r="E14" s="82">
        <v>46235</v>
      </c>
      <c r="F14" s="65">
        <f>IF($B$1="Semua",COUNTIFS(Database!$K$4:$K$1981,"&gt;="&amp;D14,Database!$K$4:$K$1981,"&lt;"&amp;D15),COUNTIFS(Database!$K$4:$K$1981,"&gt;="&amp;D14,Database!$K$4:$K$1981,"&lt;"&amp;D15,Database!$K$4:$K$1981,$B$1))</f>
        <v>0</v>
      </c>
      <c r="G14" s="65">
        <f>IF($B$1="Semua",SUMIFS(Database!$N$4:$N$1981,Database!$K$4:$K$1981,"&gt;="&amp;D14,Database!$K$4:$K$1981,"&lt;"&amp;D15),SUMIFS(Database!$N$4:$N$1981,Database!$K$4:$K$1981,"&gt;="&amp;D14,Database!$K$4:$K$1981,"&lt;"&amp;D15,Database!$K$4:$K$1981,$B$1))/1000</f>
        <v>0</v>
      </c>
      <c r="H14" s="65"/>
      <c r="I14" s="65" t="s">
        <v>115</v>
      </c>
      <c r="J14" s="65">
        <f>IF($B$1="Semua",COUNTIF(Database!$H$4:$H$1981,I14),COUNTIFS(Database!$H$4:$H$1981,I14,Database!$I$4:$I$1981,$B$1))</f>
        <v>15</v>
      </c>
      <c r="K14" s="65">
        <f>IF($B$1="Semua",SUMIF(Database!$H$4:$H$1981,I14,Database!$N$4:$N$1981),SUMIFS(Database!$N$4:$N$1981,Database!$H$4:$H$1981,I14,Database!$I$4:$I$1981,$B$1))/1000</f>
        <v>345.63</v>
      </c>
      <c r="L14" s="65"/>
      <c r="M14" s="65"/>
      <c r="N14" s="65"/>
      <c r="O14" s="65"/>
      <c r="P14" s="65"/>
      <c r="Q14" s="65"/>
      <c r="R14" s="68">
        <f ca="1">_xlfn.MAXIFS(Database!$K$4:$K$1981,Database!$K$4:$K$1981,"&lt;="&amp;TODAY())-17</f>
        <v>46155</v>
      </c>
      <c r="S14" s="65">
        <f ca="1">IF($B$1="Semua",COUNTIFS(Database!$K$4:$K$1981,R14),COUNTIFS(Database!$K$4:$K$1981,R14,Database!$I$4:$I$1981,$B$1))</f>
        <v>16</v>
      </c>
      <c r="T14" s="65">
        <f ca="1">IF($B$1="Semua",SUMIFS(Database!$N$4:$N$1981,Database!$K$4:$K$1981,R14),SUMIFS(Database!$N$4:$N$1981,Database!$K$4:$K$1981,R14,Database!$I$4:$I$1981,$B$1))/1000</f>
        <v>151.22999999999999</v>
      </c>
      <c r="U14" s="65"/>
      <c r="V14" s="65" t="str" cm="1">
        <f t="array" ref="V14">IF(ROW()-1&gt;$U$2,"",INDEX(_xlfn.SORTBY(_xlfn._xlws.FILTER($I$2:$I$20,$K$2:$K$20&gt;0),_xlfn._xlws.FILTER($K$2:$K$20,$K$2:$K$20&gt;0),-1),ROW()-1))</f>
        <v>PT. BORNEO MITRA SENTOSA</v>
      </c>
      <c r="W14" s="65" cm="1">
        <f t="array" ref="W14">IF(ROW()-1&gt;$U$2,0,INDEX(_xlfn.SORTBY(_xlfn._xlws.FILTER($K$2:$K$20,$K$2:$K$20&gt;0),_xlfn._xlws.FILTER($K$2:$K$20,$K$2:$K$20&gt;0),-1),ROW()-1))</f>
        <v>200</v>
      </c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</row>
    <row r="15" spans="1:41" ht="15" customHeight="1" x14ac:dyDescent="0.2">
      <c r="A15" s="65"/>
      <c r="B15" s="65"/>
      <c r="C15" s="65"/>
      <c r="D15" s="65"/>
      <c r="E15" s="65"/>
      <c r="F15" s="65" t="s">
        <v>34</v>
      </c>
      <c r="G15" s="65" t="s">
        <v>1191</v>
      </c>
      <c r="H15" s="65" t="s">
        <v>1192</v>
      </c>
      <c r="I15" s="65" t="s">
        <v>1590</v>
      </c>
      <c r="J15" s="65">
        <f>IF($B$1="Semua",COUNTIF(Database!$H$4:$H$1981,I15),COUNTIFS(Database!$H$4:$H$1981,I15,Database!$I$4:$I$1981,$B$1))</f>
        <v>6</v>
      </c>
      <c r="K15" s="65">
        <f>IF($B$1="Semua",SUMIF(Database!$H$4:$H$1981,I15,Database!$N$4:$N$1981),SUMIFS(Database!$N$4:$N$1981,Database!$H$4:$H$1981,I15,Database!$I$4:$I$1981,$B$1))/1000</f>
        <v>127.01</v>
      </c>
      <c r="L15" s="65"/>
      <c r="M15" s="65"/>
      <c r="N15" s="65"/>
      <c r="O15" s="65"/>
      <c r="P15" s="65"/>
      <c r="Q15" s="65"/>
      <c r="R15" s="68">
        <f ca="1">_xlfn.MAXIFS(Database!$K$4:$K$1981,Database!$K$4:$K$1981,"&lt;="&amp;TODAY())-16</f>
        <v>46156</v>
      </c>
      <c r="S15" s="65">
        <f ca="1">IF($B$1="Semua",COUNTIFS(Database!$K$4:$K$1981,R15),COUNTIFS(Database!$K$4:$K$1981,R15,Database!$I$4:$I$1981,$B$1))</f>
        <v>5</v>
      </c>
      <c r="T15" s="65">
        <f ca="1">IF($B$1="Semua",SUMIFS(Database!$N$4:$N$1981,Database!$K$4:$K$1981,R15),SUMIFS(Database!$N$4:$N$1981,Database!$K$4:$K$1981,R15,Database!$I$4:$I$1981,$B$1))/1000</f>
        <v>72.14</v>
      </c>
      <c r="U15" s="65"/>
      <c r="V15" s="65" t="str" cm="1">
        <f t="array" ref="V15">IF(ROW()-1&gt;$U$2,"",INDEX(_xlfn.SORTBY(_xlfn._xlws.FILTER($I$2:$I$20,$K$2:$K$20&gt;0),_xlfn._xlws.FILTER($K$2:$K$20,$K$2:$K$20&gt;0),-1),ROW()-1))</f>
        <v>PT. PANDU URANE PERKASA</v>
      </c>
      <c r="W15" s="65" cm="1">
        <f t="array" ref="W15">IF(ROW()-1&gt;$U$2,0,INDEX(_xlfn.SORTBY(_xlfn._xlws.FILTER($K$2:$K$20,$K$2:$K$20&gt;0),_xlfn._xlws.FILTER($K$2:$K$20,$K$2:$K$20&gt;0),-1),ROW()-1))</f>
        <v>127.01</v>
      </c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</row>
    <row r="16" spans="1:41" ht="15" customHeight="1" x14ac:dyDescent="0.2">
      <c r="A16" s="65"/>
      <c r="B16" s="65"/>
      <c r="C16" s="65"/>
      <c r="D16" s="65"/>
      <c r="E16" s="65"/>
      <c r="F16" s="65" t="s">
        <v>49</v>
      </c>
      <c r="G16" s="384" cm="1">
        <f t="array" ref="G16">IFERROR(IF(B1="Semua",IF(C2=0,SUMIF(Database!$H$4:$H$1966,F16,Database!$N$4:$N$1966),SUMPRODUCT((Database!$H$4:$H$1966=F16)*(MONTH(Database!$K$4:$K$1966)=C2)*Database!$N$4:$N$1966)),IF(C2=0,SUMIFS(Database!$N$4:$N$1966,Database!$H$4:$H$1966,F16,Database!$I$4:$I$1966,B1),SUMPRODUCT((Database!$H$4:$H$1966=F16)*(Database!$I$4:$I$1966=B1)*(MONTH(Database!$K$4:$K$1966)=C2)*Database!$N$4:$N$1966))),0)</f>
        <v>6495280</v>
      </c>
      <c r="H16" s="65">
        <f>RANK(G16,$G$16:$G$40,0)+COUNTIF($G$16:G16,G16)-1</f>
        <v>1</v>
      </c>
      <c r="I16" s="65" t="s">
        <v>1684</v>
      </c>
      <c r="J16" s="65">
        <f>IF($B$1="Semua",COUNTIF(Database!$H$4:$H$1981,I16),COUNTIFS(Database!$H$4:$H$1981,I16,Database!$I$4:$I$1981,$B$1))</f>
        <v>1</v>
      </c>
      <c r="K16" s="65">
        <f>IF($B$1="Semua",SUMIF(Database!$H$4:$H$1981,I16,Database!$N$4:$N$1981),SUMIFS(Database!$N$4:$N$1981,Database!$H$4:$H$1981,I16,Database!$I$4:$I$1981,$B$1))/1000</f>
        <v>15.09</v>
      </c>
      <c r="L16" s="65"/>
      <c r="M16" s="65"/>
      <c r="N16" s="65"/>
      <c r="O16" s="65"/>
      <c r="P16" s="65"/>
      <c r="Q16" s="65"/>
      <c r="R16" s="68">
        <f ca="1">_xlfn.MAXIFS(Database!$K$4:$K$1981,Database!$K$4:$K$1981,"&lt;="&amp;TODAY())-15</f>
        <v>46157</v>
      </c>
      <c r="S16" s="65">
        <f ca="1">IF($B$1="Semua",COUNTIFS(Database!$K$4:$K$1981,R16),COUNTIFS(Database!$K$4:$K$1981,R16,Database!$I$4:$I$1981,$B$1))</f>
        <v>10</v>
      </c>
      <c r="T16" s="65">
        <f ca="1">IF($B$1="Semua",SUMIFS(Database!$N$4:$N$1981,Database!$K$4:$K$1981,R16),SUMIFS(Database!$N$4:$N$1981,Database!$K$4:$K$1981,R16,Database!$I$4:$I$1981,$B$1))/1000</f>
        <v>108.31</v>
      </c>
      <c r="U16" s="65"/>
      <c r="V16" s="65" t="s">
        <v>1684</v>
      </c>
      <c r="W16" s="65" cm="1">
        <f t="array" ref="W16">IF(ROW()-1&gt;$U$2,0,INDEX(_xlfn.SORTBY(_xlfn._xlws.FILTER($K$2:$K$20,$K$2:$K$20&gt;0),_xlfn._xlws.FILTER($K$2:$K$20,$K$2:$K$20&gt;0),-1),ROW()-1))</f>
        <v>101.5</v>
      </c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</row>
    <row r="17" spans="1:41" ht="15" customHeight="1" x14ac:dyDescent="0.2">
      <c r="A17" s="65"/>
      <c r="B17" s="65"/>
      <c r="C17" s="65"/>
      <c r="D17" s="65"/>
      <c r="E17" s="65"/>
      <c r="F17" s="65" t="s">
        <v>59</v>
      </c>
      <c r="G17" s="384" cm="1">
        <f t="array" ref="G17">IFERROR(IF(B1="Semua",IF(C2=0,SUMIF(Database!$H$4:$H$1966,F17,Database!$N$4:$N$1966),SUMPRODUCT((Database!$H$4:$H$1966=F17)*(MONTH(Database!$K$4:$K$1966)=C2)*Database!$N$4:$N$1966)),IF(C2=0,SUMIFS(Database!$N$4:$N$1966,Database!$H$4:$H$1966,F17,Database!$I$4:$I$1966,B1),SUMPRODUCT((Database!$H$4:$H$1966=F17)*(Database!$I$4:$I$1966=B1)*(MONTH(Database!$K$4:$K$1966)=C2)*Database!$N$4:$N$1966))),0)</f>
        <v>3939560</v>
      </c>
      <c r="H17" s="65">
        <f>RANK(G17,$G$16:$G$40,0)+COUNTIF($G$16:G17,G17)-1</f>
        <v>2</v>
      </c>
      <c r="I17" s="65" t="s">
        <v>3143</v>
      </c>
      <c r="J17" s="65">
        <f>IF($B$1="Semua",COUNTIF(Database!$H$4:$H$1981,I17),COUNTIFS(Database!$H$4:$H$1981,I17,Database!$I$4:$I$1981,$B$1))</f>
        <v>10</v>
      </c>
      <c r="K17" s="65">
        <f>IF($B$1="Semua",SUMIF(Database!$H$4:$H$1981,I17,Database!$N$4:$N$1981),SUMIFS(Database!$N$4:$N$1981,Database!$H$4:$H$1981,I17,Database!$I$4:$I$1981,$B$1))/1000</f>
        <v>200</v>
      </c>
      <c r="L17" s="65"/>
      <c r="M17" s="65"/>
      <c r="N17" s="65"/>
      <c r="O17" s="65"/>
      <c r="P17" s="65"/>
      <c r="Q17" s="65"/>
      <c r="R17" s="68">
        <f ca="1">_xlfn.MAXIFS(Database!$K$4:$K$1981,Database!$K$4:$K$1981,"&lt;="&amp;TODAY())-14</f>
        <v>46158</v>
      </c>
      <c r="S17" s="65">
        <f ca="1">IF($B$1="Semua",COUNTIFS(Database!$K$4:$K$1981,R17),COUNTIFS(Database!$K$4:$K$1981,R17,Database!$I$4:$I$1981,$B$1))</f>
        <v>12</v>
      </c>
      <c r="T17" s="65">
        <f ca="1">IF($B$1="Semua",SUMIFS(Database!$N$4:$N$1981,Database!$K$4:$K$1981,R17),SUMIFS(Database!$N$4:$N$1981,Database!$K$4:$K$1981,R17,Database!$I$4:$I$1981,$B$1))/1000</f>
        <v>110.56</v>
      </c>
      <c r="U17" s="65"/>
      <c r="V17" s="65" t="s">
        <v>3143</v>
      </c>
      <c r="W17" s="65" cm="1">
        <f t="array" ref="W17">IF(ROW()-1&gt;$U$2,0,INDEX(_xlfn.SORTBY(_xlfn._xlws.FILTER($K$2:$K$20,$K$2:$K$20&gt;0),_xlfn._xlws.FILTER($K$2:$K$20,$K$2:$K$20&gt;0),-1),ROW()-1))</f>
        <v>15.09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</row>
    <row r="18" spans="1:41" ht="15" customHeight="1" x14ac:dyDescent="0.2">
      <c r="A18" s="65"/>
      <c r="B18" s="65"/>
      <c r="C18" s="65"/>
      <c r="D18" s="65"/>
      <c r="E18" s="65"/>
      <c r="F18" s="65" t="s">
        <v>40</v>
      </c>
      <c r="G18" s="384" cm="1">
        <f t="array" ref="G18">IFERROR(IF(B1="Semua",IF(C2=0,SUMIF(Database!$H$4:$H$1966,F18,Database!$N$4:$N$1966),SUMPRODUCT((Database!$H$4:$H$1966=F18)*(MONTH(Database!$K$4:$K$1966)=C2)*Database!$N$4:$N$1966)),IF(C2=0,SUMIFS(Database!$N$4:$N$1966,Database!$H$4:$H$1966,F18,Database!$I$4:$I$1966,B1),SUMPRODUCT((Database!$H$4:$H$1966=F18)*(Database!$I$4:$I$1966=B1)*(MONTH(Database!$K$4:$K$1966)=C2)*Database!$N$4:$N$1966))),0)</f>
        <v>2697400</v>
      </c>
      <c r="H18" s="65">
        <f>RANK(G18,$G$16:$G$40,0)+COUNTIF($G$16:G18,G18)-1</f>
        <v>3</v>
      </c>
      <c r="I18" s="65"/>
      <c r="J18" s="65"/>
      <c r="K18" s="65"/>
      <c r="L18" s="65"/>
      <c r="M18" s="65"/>
      <c r="N18" s="65"/>
      <c r="O18" s="65"/>
      <c r="P18" s="65"/>
      <c r="Q18" s="65"/>
      <c r="R18" s="68">
        <f ca="1">_xlfn.MAXIFS(Database!$K$4:$K$1981,Database!$K$4:$K$1981,"&lt;="&amp;TODAY())-13</f>
        <v>46159</v>
      </c>
      <c r="S18" s="65">
        <f ca="1">IF($B$1="Semua",COUNTIFS(Database!$K$4:$K$1981,R18),COUNTIFS(Database!$K$4:$K$1981,R18,Database!$I$4:$I$1981,$B$1))</f>
        <v>2</v>
      </c>
      <c r="T18" s="65">
        <f ca="1">IF($B$1="Semua",SUMIFS(Database!$N$4:$N$1981,Database!$K$4:$K$1981,R18),SUMIFS(Database!$N$4:$N$1981,Database!$K$4:$K$1981,R18,Database!$I$4:$I$1981,$B$1))/1000</f>
        <v>15.67</v>
      </c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</row>
    <row r="19" spans="1:41" ht="15" customHeight="1" x14ac:dyDescent="0.2">
      <c r="A19" s="65"/>
      <c r="B19" s="65"/>
      <c r="C19" s="65"/>
      <c r="D19" s="65"/>
      <c r="E19" s="65"/>
      <c r="F19" s="65" t="s">
        <v>78</v>
      </c>
      <c r="G19" s="384" cm="1">
        <f t="array" ref="G19">IFERROR(IF(B1="Semua",IF(C2=0,SUMIF(Database!$H$4:$H$1966,F19,Database!$N$4:$N$1966),SUMPRODUCT((Database!$H$4:$H$1966=F19)*(MONTH(Database!$K$4:$K$1966)=C2)*Database!$N$4:$N$1966)),IF(C2=0,SUMIFS(Database!$N$4:$N$1966,Database!$H$4:$H$1966,F19,Database!$I$4:$I$1966,B1),SUMPRODUCT((Database!$H$4:$H$1966=F19)*(Database!$I$4:$I$1966=B1)*(MONTH(Database!$K$4:$K$1966)=C2)*Database!$N$4:$N$1966))),0)</f>
        <v>1798810</v>
      </c>
      <c r="H19" s="65">
        <f>RANK(G19,$G$16:$G$40,0)+COUNTIF($G$16:G19,G19)-1</f>
        <v>4</v>
      </c>
      <c r="I19" s="65"/>
      <c r="J19" s="65"/>
      <c r="K19" s="65"/>
      <c r="L19" s="65"/>
      <c r="M19" s="65"/>
      <c r="N19" s="65"/>
      <c r="O19" s="65"/>
      <c r="P19" s="65"/>
      <c r="Q19" s="65"/>
      <c r="R19" s="68">
        <f ca="1">_xlfn.MAXIFS(Database!$K$4:$K$1981,Database!$K$4:$K$1981,"&lt;="&amp;TODAY())-12</f>
        <v>46160</v>
      </c>
      <c r="S19" s="65">
        <f ca="1">IF($B$1="Semua",COUNTIFS(Database!$K$4:$K$1981,R19),COUNTIFS(Database!$K$4:$K$1981,R19,Database!$I$4:$I$1981,$B$1))</f>
        <v>23</v>
      </c>
      <c r="T19" s="65">
        <f ca="1">IF($B$1="Semua",SUMIFS(Database!$N$4:$N$1981,Database!$K$4:$K$1981,R19),SUMIFS(Database!$N$4:$N$1981,Database!$K$4:$K$1981,R19,Database!$I$4:$I$1981,$B$1))/1000</f>
        <v>280.08</v>
      </c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</row>
    <row r="20" spans="1:41" ht="15" customHeight="1" x14ac:dyDescent="0.2">
      <c r="A20" s="65"/>
      <c r="B20" s="65"/>
      <c r="C20" s="65"/>
      <c r="D20" s="65"/>
      <c r="E20" s="65"/>
      <c r="F20" s="65" t="s">
        <v>86</v>
      </c>
      <c r="G20" s="384" cm="1">
        <f t="array" ref="G20">IFERROR(IF(B1="Semua",IF(C2=0,SUMIF(Database!$H$4:$H$1966,F20,Database!$N$4:$N$1966),SUMPRODUCT((Database!$H$4:$H$1966=F20)*(MONTH(Database!$K$4:$K$1966)=C2)*Database!$N$4:$N$1966)),IF(C2=0,SUMIFS(Database!$N$4:$N$1966,Database!$H$4:$H$1966,F20,Database!$I$4:$I$1966,B1),SUMPRODUCT((Database!$H$4:$H$1966=F20)*(Database!$I$4:$I$1966=B1)*(MONTH(Database!$K$4:$K$1966)=C2)*Database!$N$4:$N$1966))),0)</f>
        <v>1290080</v>
      </c>
      <c r="H20" s="65">
        <f>RANK(G20,$G$16:$G$40,0)+COUNTIF($G$16:G20,G20)-1</f>
        <v>7</v>
      </c>
      <c r="I20" s="65"/>
      <c r="J20" s="65"/>
      <c r="K20" s="65"/>
      <c r="L20" s="65"/>
      <c r="M20" s="65"/>
      <c r="N20" s="65"/>
      <c r="O20" s="65"/>
      <c r="P20" s="65"/>
      <c r="Q20" s="65"/>
      <c r="R20" s="68">
        <f ca="1">_xlfn.MAXIFS(Database!$K$4:$K$1981,Database!$K$4:$K$1981,"&lt;="&amp;TODAY())-11</f>
        <v>46161</v>
      </c>
      <c r="S20" s="65">
        <f ca="1">IF($B$1="Semua",COUNTIFS(Database!$K$4:$K$1981,R20),COUNTIFS(Database!$K$4:$K$1981,R20,Database!$I$4:$I$1981,$B$1))</f>
        <v>17</v>
      </c>
      <c r="T20" s="65">
        <f ca="1">IF($B$1="Semua",SUMIFS(Database!$N$4:$N$1981,Database!$K$4:$K$1981,R20),SUMIFS(Database!$N$4:$N$1981,Database!$K$4:$K$1981,R20,Database!$I$4:$I$1981,$B$1))/1000</f>
        <v>156.12</v>
      </c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</row>
    <row r="21" spans="1:41" ht="15" customHeight="1" x14ac:dyDescent="0.2">
      <c r="A21" s="65"/>
      <c r="B21" s="65"/>
      <c r="C21" s="65"/>
      <c r="D21" s="65"/>
      <c r="E21" s="65"/>
      <c r="F21" s="65" t="s">
        <v>61</v>
      </c>
      <c r="G21" s="384" cm="1">
        <f t="array" ref="G21">IFERROR(IF(B1="Semua",IF(C2=0,SUMIF(Database!$H$4:$H$1966,F21,Database!$N$4:$N$1966),SUMPRODUCT((Database!$H$4:$H$1966=F21)*(MONTH(Database!$K$4:$K$1966)=C2)*Database!$N$4:$N$1966)),IF(C2=0,SUMIFS(Database!$N$4:$N$1966,Database!$H$4:$H$1966,F21,Database!$I$4:$I$1966,B1),SUMPRODUCT((Database!$H$4:$H$1966=F21)*(Database!$I$4:$I$1966=B1)*(MONTH(Database!$K$4:$K$1966)=C2)*Database!$N$4:$N$1966))),0)</f>
        <v>295170</v>
      </c>
      <c r="H21" s="65">
        <f>RANK(G21,$G$16:$G$40,0)+COUNTIF($G$16:G21,G21)-1</f>
        <v>11</v>
      </c>
      <c r="I21" s="65"/>
      <c r="J21" s="65"/>
      <c r="K21" s="65"/>
      <c r="L21" s="65"/>
      <c r="M21" s="65"/>
      <c r="N21" s="65"/>
      <c r="O21" s="65"/>
      <c r="P21" s="65"/>
      <c r="Q21" s="65"/>
      <c r="R21" s="68">
        <f ca="1">_xlfn.MAXIFS(Database!$K$4:$K$1981,Database!$K$4:$K$1981,"&lt;="&amp;TODAY())-10</f>
        <v>46162</v>
      </c>
      <c r="S21" s="65">
        <f ca="1">IF($B$1="Semua",COUNTIFS(Database!$K$4:$K$1981,R21),COUNTIFS(Database!$K$4:$K$1981,R21,Database!$I$4:$I$1981,$B$1))</f>
        <v>19</v>
      </c>
      <c r="T21" s="65">
        <f ca="1">IF($B$1="Semua",SUMIFS(Database!$N$4:$N$1981,Database!$K$4:$K$1981,R21),SUMIFS(Database!$N$4:$N$1981,Database!$K$4:$K$1981,R21,Database!$I$4:$I$1981,$B$1))/1000</f>
        <v>228.36</v>
      </c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</row>
    <row r="22" spans="1:41" ht="15" customHeight="1" x14ac:dyDescent="0.2">
      <c r="A22" s="65"/>
      <c r="B22" s="65"/>
      <c r="C22" s="65"/>
      <c r="D22" s="65"/>
      <c r="E22" s="65"/>
      <c r="F22" s="65" t="s">
        <v>94</v>
      </c>
      <c r="G22" s="384" cm="1">
        <f t="array" ref="G22">IFERROR(IF(B1="Semua",IF(C2=0,SUMIF(Database!$H$4:$H$1966,F22,Database!$N$4:$N$1966),SUMPRODUCT((Database!$H$4:$H$1966=F22)*(MONTH(Database!$K$4:$K$1966)=C2)*Database!$N$4:$N$1966)),IF(C2=0,SUMIFS(Database!$N$4:$N$1966,Database!$H$4:$H$1966,F22,Database!$I$4:$I$1966,B1),SUMPRODUCT((Database!$H$4:$H$1966=F22)*(Database!$I$4:$I$1966=B1)*(MONTH(Database!$K$4:$K$1966)=C2)*Database!$N$4:$N$1966))),0)</f>
        <v>208140</v>
      </c>
      <c r="H22" s="65">
        <f>RANK(G22,$G$16:$G$40,0)+COUNTIF($G$16:G22,G22)-1</f>
        <v>12</v>
      </c>
      <c r="I22" s="65"/>
      <c r="J22" s="65"/>
      <c r="K22" s="65"/>
      <c r="L22" s="65"/>
      <c r="M22" s="65"/>
      <c r="N22" s="65"/>
      <c r="O22" s="65"/>
      <c r="P22" s="65"/>
      <c r="Q22" s="65"/>
      <c r="R22" s="68">
        <f ca="1">_xlfn.MAXIFS(Database!$K$4:$K$1981,Database!$K$4:$K$1981,"&lt;="&amp;TODAY())-9</f>
        <v>46163</v>
      </c>
      <c r="S22" s="65">
        <f ca="1">IF($B$1="Semua",COUNTIFS(Database!$K$4:$K$1981,R22),COUNTIFS(Database!$K$4:$K$1981,R22,Database!$I$4:$I$1981,$B$1))</f>
        <v>8</v>
      </c>
      <c r="T22" s="65">
        <f ca="1">IF($B$1="Semua",SUMIFS(Database!$N$4:$N$1981,Database!$K$4:$K$1981,R22),SUMIFS(Database!$N$4:$N$1981,Database!$K$4:$K$1981,R22,Database!$I$4:$I$1981,$B$1))/1000</f>
        <v>86.49</v>
      </c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</row>
    <row r="23" spans="1:41" ht="15" customHeight="1" x14ac:dyDescent="0.2">
      <c r="A23" s="65"/>
      <c r="B23" s="65"/>
      <c r="C23" s="65"/>
      <c r="D23" s="65"/>
      <c r="E23" s="65"/>
      <c r="F23" s="65" t="s">
        <v>98</v>
      </c>
      <c r="G23" s="384" cm="1">
        <f t="array" ref="G23">IFERROR(IF(B1="Semua",IF(C2=0,SUMIF(Database!$H$4:$H$1966,F23,Database!$N$4:$N$1966),SUMPRODUCT((Database!$H$4:$H$1966=F23)*(MONTH(Database!$K$4:$K$1966)=C2)*Database!$N$4:$N$1966)),IF(C2=0,SUMIFS(Database!$N$4:$N$1966,Database!$H$4:$H$1966,F23,Database!$I$4:$I$1966,B1),SUMPRODUCT((Database!$H$4:$H$1966=F23)*(Database!$I$4:$I$1966=B1)*(MONTH(Database!$K$4:$K$1966)=C2)*Database!$N$4:$N$1966))),0)</f>
        <v>101500</v>
      </c>
      <c r="H23" s="65">
        <f>RANK(G23,$G$16:$G$40,0)+COUNTIF($G$16:G23,G23)-1</f>
        <v>15</v>
      </c>
      <c r="I23" s="65"/>
      <c r="J23" s="65"/>
      <c r="K23" s="65"/>
      <c r="L23" s="65"/>
      <c r="M23" s="65"/>
      <c r="N23" s="65"/>
      <c r="O23" s="65"/>
      <c r="P23" s="65"/>
      <c r="Q23" s="65"/>
      <c r="R23" s="68">
        <f ca="1">_xlfn.MAXIFS(Database!$K$4:$K$1981,Database!$K$4:$K$1981,"&lt;="&amp;TODAY())-8</f>
        <v>46164</v>
      </c>
      <c r="S23" s="65">
        <f ca="1">IF($B$1="Semua",COUNTIFS(Database!$K$4:$K$1981,R23),COUNTIFS(Database!$K$4:$K$1981,R23,Database!$I$4:$I$1981,$B$1))</f>
        <v>13</v>
      </c>
      <c r="T23" s="65">
        <f ca="1">IF($B$1="Semua",SUMIFS(Database!$N$4:$N$1981,Database!$K$4:$K$1981,R23),SUMIFS(Database!$N$4:$N$1981,Database!$K$4:$K$1981,R23,Database!$I$4:$I$1981,$B$1))/1000</f>
        <v>123.32</v>
      </c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</row>
    <row r="24" spans="1:41" ht="15" customHeight="1" x14ac:dyDescent="0.2">
      <c r="A24" s="65"/>
      <c r="B24" s="65"/>
      <c r="C24" s="65"/>
      <c r="D24" s="65"/>
      <c r="E24" s="65"/>
      <c r="F24" s="65" t="s">
        <v>103</v>
      </c>
      <c r="G24" s="384" cm="1">
        <f t="array" ref="G24">IFERROR(IF(B1="Semua",IF(C2=0,SUMIF(Database!$H$4:$H$1966,F24,Database!$N$4:$N$1966),SUMPRODUCT((Database!$H$4:$H$1966=F24)*(MONTH(Database!$K$4:$K$1966)=C2)*Database!$N$4:$N$1966)),IF(C2=0,SUMIFS(Database!$N$4:$N$1966,Database!$H$4:$H$1966,F24,Database!$I$4:$I$1966,B1),SUMPRODUCT((Database!$H$4:$H$1966=F24)*(Database!$I$4:$I$1966=B1)*(MONTH(Database!$K$4:$K$1966)=C2)*Database!$N$4:$N$1966))),0)</f>
        <v>797790</v>
      </c>
      <c r="H24" s="65">
        <f>RANK(G24,$G$16:$G$40,0)+COUNTIF($G$16:G24,G24)-1</f>
        <v>8</v>
      </c>
      <c r="I24" s="65"/>
      <c r="J24" s="65"/>
      <c r="K24" s="65"/>
      <c r="L24" s="65"/>
      <c r="M24" s="65"/>
      <c r="N24" s="65"/>
      <c r="O24" s="65"/>
      <c r="P24" s="65"/>
      <c r="Q24" s="65"/>
      <c r="R24" s="68">
        <f ca="1">_xlfn.MAXIFS(Database!$K$4:$K$1981,Database!$K$4:$K$1981,"&lt;="&amp;TODAY())-7</f>
        <v>46165</v>
      </c>
      <c r="S24" s="65">
        <f ca="1">IF($B$1="Semua",COUNTIFS(Database!$K$4:$K$1981,R24),COUNTIFS(Database!$K$4:$K$1981,R24,Database!$I$4:$I$1981,$B$1))</f>
        <v>15</v>
      </c>
      <c r="T24" s="65">
        <f ca="1">IF($B$1="Semua",SUMIFS(Database!$N$4:$N$1981,Database!$K$4:$K$1981,R24),SUMIFS(Database!$N$4:$N$1981,Database!$K$4:$K$1981,R24,Database!$I$4:$I$1981,$B$1))/1000</f>
        <v>243.96</v>
      </c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</row>
    <row r="25" spans="1:41" ht="15" customHeight="1" x14ac:dyDescent="0.2">
      <c r="A25" s="65"/>
      <c r="B25" s="65"/>
      <c r="C25" s="65"/>
      <c r="D25" s="65"/>
      <c r="E25" s="65"/>
      <c r="F25" s="65" t="s">
        <v>111</v>
      </c>
      <c r="G25" s="384" cm="1">
        <f t="array" ref="G25">IFERROR(IF(B1="Semua",IF(C2=0,SUMIF(Database!$H$4:$H$1966,F25,Database!$N$4:$N$1966),SUMPRODUCT((Database!$H$4:$H$1966=F25)*(MONTH(Database!$K$4:$K$1966)=C2)*Database!$N$4:$N$1966)),IF(C2=0,SUMIFS(Database!$N$4:$N$1966,Database!$H$4:$H$1966,F25,Database!$I$4:$I$1966,B1),SUMPRODUCT((Database!$H$4:$H$1966=F25)*(Database!$I$4:$I$1966=B1)*(MONTH(Database!$K$4:$K$1966)=C2)*Database!$N$4:$N$1966))),0)</f>
        <v>1533740</v>
      </c>
      <c r="H25" s="65">
        <f>RANK(G25,$G$16:$G$40,0)+COUNTIF($G$16:G25,G25)-1</f>
        <v>6</v>
      </c>
      <c r="I25" s="65"/>
      <c r="J25" s="65"/>
      <c r="K25" s="65"/>
      <c r="L25" s="65"/>
      <c r="M25" s="65"/>
      <c r="N25" s="65"/>
      <c r="O25" s="65"/>
      <c r="P25" s="65"/>
      <c r="Q25" s="65"/>
      <c r="R25" s="68">
        <f ca="1">_xlfn.MAXIFS(Database!$K$4:$K$1981,Database!$K$4:$K$1981,"&lt;="&amp;TODAY())-6</f>
        <v>46166</v>
      </c>
      <c r="S25" s="65">
        <f ca="1">IF($B$1="Semua",COUNTIFS(Database!$K$4:$K$1981,R25),COUNTIFS(Database!$K$4:$K$1981,R25,Database!$I$4:$I$1981,$B$1))</f>
        <v>0</v>
      </c>
      <c r="T25" s="65">
        <f ca="1">IF($B$1="Semua",SUMIFS(Database!$N$4:$N$1981,Database!$K$4:$K$1981,R25),SUMIFS(Database!$N$4:$N$1981,Database!$K$4:$K$1981,R25,Database!$I$4:$I$1981,$B$1))/1000</f>
        <v>0</v>
      </c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</row>
    <row r="26" spans="1:41" ht="15" customHeight="1" x14ac:dyDescent="0.2">
      <c r="A26" s="65"/>
      <c r="B26" s="65"/>
      <c r="C26" s="65"/>
      <c r="D26" s="65"/>
      <c r="E26" s="65"/>
      <c r="F26" s="65" t="s">
        <v>107</v>
      </c>
      <c r="G26" s="384" cm="1">
        <f t="array" ref="G26">IFERROR(IF(B1="Semua",IF(C2=0,SUMIF(Database!$H$4:$H$1966,F26,Database!$N$4:$N$1966),SUMPRODUCT((Database!$H$4:$H$1966=F26)*(MONTH(Database!$K$4:$K$1966)=C2)*Database!$N$4:$N$1966)),IF(C2=0,SUMIFS(Database!$N$4:$N$1966,Database!$H$4:$H$1966,F26,Database!$I$4:$I$1966,B1),SUMPRODUCT((Database!$H$4:$H$1966=F26)*(Database!$I$4:$I$1966=B1)*(MONTH(Database!$K$4:$K$1966)=C2)*Database!$N$4:$N$1966))),0)</f>
        <v>1584290</v>
      </c>
      <c r="H26" s="65">
        <f>RANK(G26,$G$16:$G$40,0)+COUNTIF($G$16:G26,G26)-1</f>
        <v>5</v>
      </c>
      <c r="I26" s="65"/>
      <c r="J26" s="65"/>
      <c r="K26" s="65"/>
      <c r="L26" s="65"/>
      <c r="M26" s="65"/>
      <c r="N26" s="65"/>
      <c r="O26" s="65"/>
      <c r="P26" s="65"/>
      <c r="Q26" s="65"/>
      <c r="R26" s="68">
        <f ca="1">_xlfn.MAXIFS(Database!$K$4:$K$1981,Database!$K$4:$K$1981,"&lt;="&amp;TODAY())-5</f>
        <v>46167</v>
      </c>
      <c r="S26" s="65">
        <f ca="1">IF($B$1="Semua",COUNTIFS(Database!$K$4:$K$1981,R26),COUNTIFS(Database!$K$4:$K$1981,R26,Database!$I$4:$I$1981,$B$1))</f>
        <v>12</v>
      </c>
      <c r="T26" s="65">
        <f ca="1">IF($B$1="Semua",SUMIFS(Database!$N$4:$N$1981,Database!$K$4:$K$1981,R26),SUMIFS(Database!$N$4:$N$1981,Database!$K$4:$K$1981,R26,Database!$I$4:$I$1981,$B$1))/1000</f>
        <v>129.51</v>
      </c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</row>
    <row r="27" spans="1:41" ht="15" customHeight="1" x14ac:dyDescent="0.2">
      <c r="A27" s="65"/>
      <c r="B27" s="65"/>
      <c r="C27" s="65"/>
      <c r="D27" s="65"/>
      <c r="E27" s="65"/>
      <c r="F27" s="65" t="s">
        <v>1523</v>
      </c>
      <c r="G27" s="384" cm="1">
        <f t="array" ref="G27">IFERROR(IF(B1="Semua",IF(C2=0,SUMIF(Database!$H$4:$H$1966,F27,Database!$N$4:$N$1966),SUMPRODUCT((Database!$H$4:$H$1966=F27)*(MONTH(Database!$K$4:$K$1966)=C2)*Database!$N$4:$N$1966)),IF(C2=0,SUMIFS(Database!$N$4:$N$1966,Database!$H$4:$H$1966,F27,Database!$I$4:$I$1966,B1),SUMPRODUCT((Database!$H$4:$H$1966=F27)*(Database!$I$4:$I$1966=B1)*(MONTH(Database!$K$4:$K$1966)=C2)*Database!$N$4:$N$1966))),0)</f>
        <v>334790</v>
      </c>
      <c r="H27" s="65">
        <f>RANK(G27,$G$16:$G$40,0)+COUNTIF($G$16:G27,G27)-1</f>
        <v>10</v>
      </c>
      <c r="I27" s="65"/>
      <c r="J27" s="65"/>
      <c r="K27" s="65" t="s">
        <v>1157</v>
      </c>
      <c r="L27" s="65" t="s">
        <v>1159</v>
      </c>
      <c r="M27" s="65" t="s">
        <v>1192</v>
      </c>
      <c r="N27" s="65" t="s">
        <v>1170</v>
      </c>
      <c r="O27" s="65" t="s">
        <v>1223</v>
      </c>
      <c r="P27" s="65" t="s">
        <v>1159</v>
      </c>
      <c r="Q27" s="65"/>
      <c r="R27" s="68">
        <f ca="1">_xlfn.MAXIFS(Database!$K$4:$K$1981,Database!$K$4:$K$1981,"&lt;="&amp;TODAY())-4</f>
        <v>46168</v>
      </c>
      <c r="S27" s="65">
        <f ca="1">IF($B$1="Semua",COUNTIFS(Database!$K$4:$K$1981,R27),COUNTIFS(Database!$K$4:$K$1981,R27,Database!$I$4:$I$1981,$B$1))</f>
        <v>3</v>
      </c>
      <c r="T27" s="65">
        <f ca="1">IF($B$1="Semua",SUMIFS(Database!$N$4:$N$1981,Database!$K$4:$K$1981,R27),SUMIFS(Database!$N$4:$N$1981,Database!$K$4:$K$1981,R27,Database!$I$4:$I$1981,$B$1))/1000</f>
        <v>28.57</v>
      </c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</row>
    <row r="28" spans="1:41" ht="15" customHeight="1" x14ac:dyDescent="0.2">
      <c r="A28" s="65"/>
      <c r="B28" s="65"/>
      <c r="C28" s="65"/>
      <c r="D28" s="65"/>
      <c r="E28" s="65"/>
      <c r="F28" s="65" t="s">
        <v>115</v>
      </c>
      <c r="G28" s="384" cm="1">
        <f t="array" ref="G28">IFERROR(IF(B1="Semua",IF(C2=0,SUMIF(Database!$H$4:$H$1966,F28,Database!$N$4:$N$1966),SUMPRODUCT((Database!$H$4:$H$1966=F28)*(MONTH(Database!$K$4:$K$1966)=C2)*Database!$N$4:$N$1966)),IF(C2=0,SUMIFS(Database!$N$4:$N$1966,Database!$H$4:$H$1966,F28,Database!$I$4:$I$1966,B1),SUMPRODUCT((Database!$H$4:$H$1966=F28)*(Database!$I$4:$I$1966=B1)*(MONTH(Database!$K$4:$K$1966)=C2)*Database!$N$4:$N$1966))),0)</f>
        <v>345630</v>
      </c>
      <c r="H28" s="65">
        <f>RANK(G28,$G$16:$G$40,0)+COUNTIF($G$16:G28,G28)-1</f>
        <v>9</v>
      </c>
      <c r="I28" s="65"/>
      <c r="J28" s="65"/>
      <c r="K28" s="65" t="s">
        <v>39</v>
      </c>
      <c r="L28" s="65" cm="1">
        <f t="array" ref="L28">SUMPRODUCT((IF(B1="Semua",Database!$I$4:$I$1966&lt;&gt;"",Database!$I$4:$I$1966=B1))*(IF(C2=0,1,MONTH(Database!$K$4:$K$1966)=C2))*(Database!$E$4:$E$1966=K28)*Database!$N$4:$N$1966)</f>
        <v>210900</v>
      </c>
      <c r="M28" s="65">
        <f>RANK(L28,$L$28:$L$57,0)+COUNTIF($L$28:L28,L28)-1</f>
        <v>6</v>
      </c>
      <c r="N28" s="65">
        <f>COUNTIF(L28:L57,"&gt;0")</f>
        <v>10</v>
      </c>
      <c r="O28" s="65" t="str">
        <f>INDEX($K$28:$K$57,MATCH(1,$M$28:$M$57,0))</f>
        <v>BM 8315 QO</v>
      </c>
      <c r="P28" s="65">
        <f>INDEX($L$28:$L$57,MATCH(1,$M$28:$M$57,0))</f>
        <v>3674070</v>
      </c>
      <c r="Q28" s="65"/>
      <c r="R28" s="68">
        <f ca="1">_xlfn.MAXIFS(Database!$K$4:$K$1981,Database!$K$4:$K$1981,"&lt;="&amp;TODAY())-3</f>
        <v>46169</v>
      </c>
      <c r="S28" s="65">
        <f ca="1">IF($B$1="Semua",COUNTIFS(Database!$K$4:$K$1981,R28),COUNTIFS(Database!$K$4:$K$1981,R28,Database!$I$4:$I$1981,$B$1))</f>
        <v>0</v>
      </c>
      <c r="T28" s="65">
        <f ca="1">IF($B$1="Semua",SUMIFS(Database!$N$4:$N$1981,Database!$K$4:$K$1981,R28),SUMIFS(Database!$N$4:$N$1981,Database!$K$4:$K$1981,R28,Database!$I$4:$I$1981,$B$1))/1000</f>
        <v>0</v>
      </c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</row>
    <row r="29" spans="1:41" ht="15" customHeight="1" x14ac:dyDescent="0.2">
      <c r="A29" s="65"/>
      <c r="B29" s="65"/>
      <c r="C29" s="65"/>
      <c r="D29" s="65"/>
      <c r="E29" s="65"/>
      <c r="F29" s="65" t="s">
        <v>1590</v>
      </c>
      <c r="G29" s="384" cm="1">
        <f t="array" ref="G29">IFERROR(IF(B1="Semua",IF(C2=0,SUMIF(Database!$H$4:$H$1966,F29,Database!$N$4:$N$1966),SUMPRODUCT((Database!$H$4:$H$1966=F29)*(MONTH(Database!$K$4:$K$1966)=C2)*Database!$N$4:$N$1966)),IF(C2=0,SUMIFS(Database!$N$4:$N$1966,Database!$H$4:$H$1966,F29,Database!$I$4:$I$1966,B1),SUMPRODUCT((Database!$H$4:$H$1966=F29)*(Database!$I$4:$I$1966=B1)*(MONTH(Database!$K$4:$K$1966)=C2)*Database!$N$4:$N$1966))),0)</f>
        <v>127010</v>
      </c>
      <c r="H29" s="65">
        <f>RANK(G29,$G$16:$G$40,0)+COUNTIF($G$16:G29,G29)-1</f>
        <v>14</v>
      </c>
      <c r="I29" s="65"/>
      <c r="J29" s="65"/>
      <c r="K29" s="65" t="s">
        <v>53</v>
      </c>
      <c r="L29" s="65" cm="1">
        <f t="array" ref="L29">SUMPRODUCT((IF(B1="Semua",Database!$I$4:$I$1966&lt;&gt;"",Database!$I$4:$I$1966=B1))*(IF(C2=0,1,MONTH(Database!$K$4:$K$1966)=C2))*(Database!$E$4:$E$1966=K29)*Database!$N$4:$N$1966)</f>
        <v>181610</v>
      </c>
      <c r="M29" s="65">
        <f>RANK(L29,$L$28:$L$57,0)+COUNTIF($L$28:L29,L29)-1</f>
        <v>7</v>
      </c>
      <c r="N29" s="65"/>
      <c r="O29" s="65" t="str">
        <f>INDEX($K$28:$K$57,MATCH(2,$M$28:$M$57,0))</f>
        <v>DD 9236 XX</v>
      </c>
      <c r="P29" s="65">
        <f>INDEX($L$28:$L$57,MATCH(2,$M$28:$M$57,0))</f>
        <v>3079470</v>
      </c>
      <c r="Q29" s="65"/>
      <c r="R29" s="68">
        <f ca="1">_xlfn.MAXIFS(Database!$K$4:$K$1981,Database!$K$4:$K$1981,"&lt;="&amp;TODAY())-2</f>
        <v>46170</v>
      </c>
      <c r="S29" s="65">
        <f ca="1">IF($B$1="Semua",COUNTIFS(Database!$K$4:$K$1981,R29),COUNTIFS(Database!$K$4:$K$1981,R29,Database!$I$4:$I$1981,$B$1))</f>
        <v>0</v>
      </c>
      <c r="T29" s="65">
        <f ca="1">IF($B$1="Semua",SUMIFS(Database!$N$4:$N$1981,Database!$K$4:$K$1981,R29),SUMIFS(Database!$N$4:$N$1981,Database!$K$4:$K$1981,R29,Database!$I$4:$I$1981,$B$1))/1000</f>
        <v>0</v>
      </c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</row>
    <row r="30" spans="1:41" ht="15" customHeight="1" x14ac:dyDescent="0.2">
      <c r="A30" s="65"/>
      <c r="B30" s="65"/>
      <c r="C30" s="65"/>
      <c r="D30" s="65"/>
      <c r="E30" s="65"/>
      <c r="F30" s="65" t="s">
        <v>1684</v>
      </c>
      <c r="G30" s="384" cm="1">
        <f t="array" ref="G30">IFERROR(IF(B1="Semua",IF(C2=0,SUMIF(Database!$H$4:$H$1966,F30,Database!$N$4:$N$1966),SUMPRODUCT((Database!$H$4:$H$1966=F30)*(MONTH(Database!$K$4:$K$1966)=C2)*Database!$N$4:$N$1966)),IF(C2=0,SUMIFS(Database!$N$4:$N$1966,Database!$H$4:$H$1966,F30,Database!$I$4:$I$1966,B1),SUMPRODUCT((Database!$H$4:$H$1966=F30)*(Database!$I$4:$I$1966=B1)*(MONTH(Database!$K$4:$K$1966)=C2)*Database!$N$4:$N$1966))),0)</f>
        <v>15090</v>
      </c>
      <c r="H30" s="65">
        <f>RANK(G30,$G$16:$G$40,0)+COUNTIF($G$16:G30,G30)-1</f>
        <v>16</v>
      </c>
      <c r="I30" s="65"/>
      <c r="J30" s="65"/>
      <c r="K30" s="65" t="s">
        <v>64</v>
      </c>
      <c r="L30" s="65" cm="1">
        <f t="array" ref="L30">SUMPRODUCT((IF(B1="Semua",Database!$I$4:$I$1966&lt;&gt;"",Database!$I$4:$I$1966=B1))*(IF(C2=0,1,MONTH(Database!$K$4:$K$1966)=C2))*(Database!$E$4:$E$1966=K30)*Database!$N$4:$N$1966)</f>
        <v>40000</v>
      </c>
      <c r="M30" s="65">
        <f>RANK(L30,$L$28:$L$57,0)+COUNTIF($L$28:L30,L30)-1</f>
        <v>10</v>
      </c>
      <c r="N30" s="65"/>
      <c r="O30" s="65" t="str">
        <f>INDEX($K$28:$K$57,MATCH(3,$M$28:$M$57,0))</f>
        <v>DD 8711 XX</v>
      </c>
      <c r="P30" s="65">
        <f>INDEX($L$28:$L$57,MATCH(3,$M$28:$M$57,0))</f>
        <v>1796980</v>
      </c>
      <c r="Q30" s="65"/>
      <c r="R30" s="68">
        <f ca="1">_xlfn.MAXIFS(Database!$K$4:$K$1981,Database!$K$4:$K$1981,"&lt;="&amp;TODAY())-1</f>
        <v>46171</v>
      </c>
      <c r="S30" s="65">
        <f ca="1">IF($B$1="Semua",COUNTIFS(Database!$K$4:$K$1981,R30),COUNTIFS(Database!$K$4:$K$1981,R30,Database!$I$4:$I$1981,$B$1))</f>
        <v>7</v>
      </c>
      <c r="T30" s="65">
        <f ca="1">IF($B$1="Semua",SUMIFS(Database!$N$4:$N$1981,Database!$K$4:$K$1981,R30),SUMIFS(Database!$N$4:$N$1981,Database!$K$4:$K$1981,R30,Database!$I$4:$I$1981,$B$1))/1000</f>
        <v>120.27</v>
      </c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</row>
    <row r="31" spans="1:41" ht="15" customHeight="1" x14ac:dyDescent="0.2">
      <c r="A31" s="65"/>
      <c r="B31" s="65"/>
      <c r="C31" s="65"/>
      <c r="D31" s="65"/>
      <c r="E31" s="65"/>
      <c r="F31" s="65" t="s">
        <v>3143</v>
      </c>
      <c r="G31" s="384" cm="1">
        <f t="array" ref="G31">IFERROR(IF(B1="Semua",IF(C2=0,SUMIF(Database!$H$4:$H$1966,F31,Database!$N$4:$N$1966),SUMPRODUCT((Database!$H$4:$H$1966=F31)*(MONTH(Database!$K$4:$K$1966)=C2)*Database!$N$4:$N$1966)),IF(C2=0,SUMIFS(Database!$N$4:$N$1966,Database!$H$4:$H$1966,F31,Database!$I$4:$I$1966,B1),SUMPRODUCT((Database!$H$4:$H$1966=F31)*(Database!$I$4:$I$1966=B1)*(MONTH(Database!$K$4:$K$1966)=C2)*Database!$N$4:$N$1966))),0)</f>
        <v>200000</v>
      </c>
      <c r="H31" s="65">
        <f>RANK(G31,$G$16:$G$40,0)+COUNTIF($G$16:G31,G31)-1</f>
        <v>13</v>
      </c>
      <c r="I31" s="65"/>
      <c r="J31" s="65"/>
      <c r="K31" s="65" t="s">
        <v>73</v>
      </c>
      <c r="L31" s="65" cm="1">
        <f t="array" ref="L31">SUMPRODUCT((IF(B1="Semua",Database!$I$4:$I$1966&lt;&gt;"",Database!$I$4:$I$1966=B1))*(IF(C2=0,1,MONTH(Database!$K$4:$K$1966)=C2))*(Database!$E$4:$E$1966=K31)*Database!$N$4:$N$1966)</f>
        <v>131930</v>
      </c>
      <c r="M31" s="65">
        <f>RANK(L31,$L$28:$L$57,0)+COUNTIF($L$28:L31,L31)-1</f>
        <v>8</v>
      </c>
      <c r="N31" s="65"/>
      <c r="O31" s="65" t="str">
        <f>INDEX($K$28:$K$57,MATCH(4,$M$28:$M$57,0))</f>
        <v>B 1918 SXX</v>
      </c>
      <c r="P31" s="65">
        <f>INDEX($L$28:$L$57,MATCH(4,$M$28:$M$57,0))</f>
        <v>1701260</v>
      </c>
      <c r="Q31" s="65"/>
      <c r="R31" s="68">
        <f ca="1">_xlfn.MAXIFS(Database!$K$4:$K$1981,Database!$K$4:$K$1981,"&lt;="&amp;TODAY())</f>
        <v>46172</v>
      </c>
      <c r="S31" s="65">
        <f ca="1">IF($B$1="Semua",COUNTIFS(Database!$K$4:$K$1981,R31),COUNTIFS(Database!$K$4:$K$1981,R31,Database!$I$4:$I$1981,$B$1))</f>
        <v>3</v>
      </c>
      <c r="T31" s="65">
        <f ca="1">IF($B$1="Semua",SUMIFS(Database!$N$4:$N$1981,Database!$K$4:$K$1981,R31),SUMIFS(Database!$N$4:$N$1981,Database!$K$4:$K$1981,R31,Database!$I$4:$I$1981,$B$1))/1000</f>
        <v>28.11</v>
      </c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</row>
    <row r="32" spans="1:41" ht="15" customHeight="1" x14ac:dyDescent="0.2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 t="s">
        <v>76</v>
      </c>
      <c r="L32" s="65" cm="1">
        <f t="array" ref="L32">SUMPRODUCT((IF(B1="Semua",Database!$I$4:$I$1966&lt;&gt;"",Database!$I$4:$I$1966=B1))*(IF(C2=0,1,MONTH(Database!$K$4:$K$1966)=C2))*(Database!$E$4:$E$1966=K32)*Database!$N$4:$N$1966)</f>
        <v>3079470</v>
      </c>
      <c r="M32" s="65">
        <f>RANK(L32,$L$28:$L$57,0)+COUNTIF($L$28:L32,L32)-1</f>
        <v>2</v>
      </c>
      <c r="N32" s="65"/>
      <c r="O32" s="65" t="str">
        <f>INDEX($K$28:$K$57,MATCH(5,$M$28:$M$57,0))</f>
        <v>BH 8459 MY</v>
      </c>
      <c r="P32" s="65">
        <f>INDEX($L$28:$L$57,MATCH(5,$M$28:$M$57,0))</f>
        <v>1215660</v>
      </c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</row>
    <row r="33" spans="1:41" ht="15" customHeight="1" x14ac:dyDescent="0.2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 t="s">
        <v>91</v>
      </c>
      <c r="L33" s="65" cm="1">
        <f t="array" ref="L33">SUMPRODUCT((IF(B1="Semua",Database!$I$4:$I$1966&lt;&gt;"",Database!$I$4:$I$1966=B1))*(IF(C2=0,1,MONTH(Database!$K$4:$K$1966)=C2))*(Database!$E$4:$E$1966=K33)*Database!$N$4:$N$1966)</f>
        <v>67120</v>
      </c>
      <c r="M33" s="65">
        <f>RANK(L33,$L$28:$L$57,0)+COUNTIF($L$28:L33,L33)-1</f>
        <v>9</v>
      </c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</row>
    <row r="34" spans="1:41" ht="15" customHeight="1" x14ac:dyDescent="0.2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 t="s">
        <v>70</v>
      </c>
      <c r="L34" s="65" cm="1">
        <f t="array" ref="L34">SUMPRODUCT((IF(B1="Semua",Database!$I$4:$I$1966&lt;&gt;"",Database!$I$4:$I$1966=B1))*(IF(C2=0,1,MONTH(Database!$K$4:$K$1966)=C2))*(Database!$E$4:$E$1966=K34)*Database!$N$4:$N$1966)</f>
        <v>3674070</v>
      </c>
      <c r="M34" s="65">
        <f>RANK(L34,$L$28:$L$57,0)+COUNTIF($L$28:L34,L34)-1</f>
        <v>1</v>
      </c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</row>
    <row r="35" spans="1:41" ht="15" customHeight="1" x14ac:dyDescent="0.2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 t="s">
        <v>56</v>
      </c>
      <c r="L35" s="65" cm="1">
        <f t="array" ref="L35">SUMPRODUCT((IF(B1="Semua",Database!$I$4:$I$1966&lt;&gt;"",Database!$I$4:$I$1966=B1))*(IF(C2=0,1,MONTH(Database!$K$4:$K$1966)=C2))*(Database!$E$4:$E$1966=K35)*Database!$N$4:$N$1966)</f>
        <v>1796980</v>
      </c>
      <c r="M35" s="65">
        <f>RANK(L35,$L$28:$L$57,0)+COUNTIF($L$28:L35,L35)-1</f>
        <v>3</v>
      </c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</row>
    <row r="36" spans="1:41" ht="15" customHeight="1" x14ac:dyDescent="0.2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 t="s">
        <v>46</v>
      </c>
      <c r="L36" s="65" cm="1">
        <f t="array" ref="L36">SUMPRODUCT((IF(B1="Semua",Database!$I$4:$I$1966&lt;&gt;"",Database!$I$4:$I$1966=B1))*(IF(C2=0,1,MONTH(Database!$K$4:$K$1966)=C2))*(Database!$E$4:$E$1966=K36)*Database!$N$4:$N$1966)</f>
        <v>1701260</v>
      </c>
      <c r="M36" s="65">
        <f>RANK(L36,$L$28:$L$57,0)+COUNTIF($L$28:L36,L36)-1</f>
        <v>4</v>
      </c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</row>
    <row r="37" spans="1:41" ht="15" customHeight="1" x14ac:dyDescent="0.2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 t="s">
        <v>84</v>
      </c>
      <c r="L37" s="65" cm="1">
        <f t="array" ref="L37">SUMPRODUCT((IF(B1="Semua",Database!$I$4:$I$1966&lt;&gt;"",Database!$I$4:$I$1966=B1))*(IF(C2=0,1,MONTH(Database!$K$4:$K$1966)=C2))*(Database!$E$4:$E$1966=K37)*Database!$N$4:$N$1966)</f>
        <v>1215660</v>
      </c>
      <c r="M37" s="65">
        <f>RANK(L37,$L$28:$L$57,0)+COUNTIF($L$28:L37,L37)-1</f>
        <v>5</v>
      </c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</row>
    <row r="38" spans="1:41" ht="15" customHeight="1" x14ac:dyDescent="0.2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 t="s">
        <v>1193</v>
      </c>
      <c r="L38" s="65" cm="1">
        <f t="array" ref="L38">SUMPRODUCT((IF(B1="Semua",Database!$I$4:$I$1966&lt;&gt;"",Database!$I$4:$I$1966=B1))*(IF(C2=0,1,MONTH(Database!$K$4:$K$1966)=C2))*(Database!$E$4:$E$1966=K38)*Database!$N$4:$N$1966)</f>
        <v>0</v>
      </c>
      <c r="M38" s="65">
        <f>RANK(L38,$L$28:$L$57,0)+COUNTIF($L$28:L38,L38)-1</f>
        <v>11</v>
      </c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</row>
    <row r="39" spans="1:41" ht="15" customHeight="1" x14ac:dyDescent="0.2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 t="s">
        <v>1194</v>
      </c>
      <c r="L39" s="65" cm="1">
        <f t="array" ref="L39">SUMPRODUCT((IF(B1="Semua",Database!$I$4:$I$1966&lt;&gt;"",Database!$I$4:$I$1966=B1))*(IF(C2=0,1,MONTH(Database!$K$4:$K$1966)=C2))*(Database!$E$4:$E$1966=K39)*Database!$N$4:$N$1966)</f>
        <v>0</v>
      </c>
      <c r="M39" s="65">
        <f>RANK(L39,$L$28:$L$57,0)+COUNTIF($L$28:L39,L39)-1</f>
        <v>12</v>
      </c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</row>
    <row r="40" spans="1:41" ht="15" customHeight="1" x14ac:dyDescent="0.2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 t="s">
        <v>1195</v>
      </c>
      <c r="L40" s="65" cm="1">
        <f t="array" ref="L40">SUMPRODUCT((IF(B1="Semua",Database!$I$4:$I$1966&lt;&gt;"",Database!$I$4:$I$1966=B1))*(IF(C2=0,1,MONTH(Database!$K$4:$K$1966)=C2))*(Database!$E$4:$E$1966=K40)*Database!$N$4:$N$1966)</f>
        <v>0</v>
      </c>
      <c r="M40" s="65">
        <f>RANK(L40,$L$28:$L$57,0)+COUNTIF($L$28:L40,L40)-1</f>
        <v>13</v>
      </c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</row>
    <row r="41" spans="1:41" ht="15" customHeight="1" x14ac:dyDescent="0.2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 t="s">
        <v>1196</v>
      </c>
      <c r="L41" s="65" cm="1">
        <f t="array" ref="L41">SUMPRODUCT((IF(B1="Semua",Database!$I$4:$I$1966&lt;&gt;"",Database!$I$4:$I$1966=B1))*(IF(C2=0,1,MONTH(Database!$K$4:$K$1966)=C2))*(Database!$E$4:$E$1966=K41)*Database!$N$4:$N$1966)</f>
        <v>0</v>
      </c>
      <c r="M41" s="65">
        <f>RANK(L41,$L$28:$L$57,0)+COUNTIF($L$28:L41,L41)-1</f>
        <v>14</v>
      </c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</row>
    <row r="42" spans="1:41" ht="15" customHeight="1" x14ac:dyDescent="0.2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 t="s">
        <v>1197</v>
      </c>
      <c r="L42" s="65" cm="1">
        <f t="array" ref="L42">SUMPRODUCT((IF(B1="Semua",Database!$I$4:$I$1966&lt;&gt;"",Database!$I$4:$I$1966=B1))*(IF(C2=0,1,MONTH(Database!$K$4:$K$1966)=C2))*(Database!$E$4:$E$1966=K42)*Database!$N$4:$N$1966)</f>
        <v>0</v>
      </c>
      <c r="M42" s="65">
        <f>RANK(L42,$L$28:$L$57,0)+COUNTIF($L$28:L42,L42)-1</f>
        <v>15</v>
      </c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</row>
    <row r="43" spans="1:41" ht="15" customHeight="1" x14ac:dyDescent="0.2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 t="s">
        <v>1198</v>
      </c>
      <c r="L43" s="65" cm="1">
        <f t="array" ref="L43">SUMPRODUCT((IF(B1="Semua",Database!$I$4:$I$1966&lt;&gt;"",Database!$I$4:$I$1966=B1))*(IF(C2=0,1,MONTH(Database!$K$4:$K$1966)=C2))*(Database!$E$4:$E$1966=K43)*Database!$N$4:$N$1966)</f>
        <v>0</v>
      </c>
      <c r="M43" s="65">
        <f>RANK(L43,$L$28:$L$57,0)+COUNTIF($L$28:L43,L43)-1</f>
        <v>16</v>
      </c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</row>
    <row r="44" spans="1:41" ht="15" customHeight="1" x14ac:dyDescent="0.2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 t="s">
        <v>1199</v>
      </c>
      <c r="L44" s="65" cm="1">
        <f t="array" ref="L44">SUMPRODUCT((IF(B1="Semua",Database!$I$4:$I$1966&lt;&gt;"",Database!$I$4:$I$1966=B1))*(IF(C2=0,1,MONTH(Database!$K$4:$K$1966)=C2))*(Database!$E$4:$E$1966=K44)*Database!$N$4:$N$1966)</f>
        <v>0</v>
      </c>
      <c r="M44" s="65">
        <f>RANK(L44,$L$28:$L$57,0)+COUNTIF($L$28:L44,L44)-1</f>
        <v>17</v>
      </c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</row>
    <row r="45" spans="1:41" ht="15" customHeight="1" x14ac:dyDescent="0.2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 t="s">
        <v>1200</v>
      </c>
      <c r="L45" s="65" cm="1">
        <f t="array" ref="L45">SUMPRODUCT((IF(B1="Semua",Database!$I$4:$I$1966&lt;&gt;"",Database!$I$4:$I$1966=B1))*(IF(C2=0,1,MONTH(Database!$K$4:$K$1966)=C2))*(Database!$E$4:$E$1966=K45)*Database!$N$4:$N$1966)</f>
        <v>0</v>
      </c>
      <c r="M45" s="65">
        <f>RANK(L45,$L$28:$L$57,0)+COUNTIF($L$28:L45,L45)-1</f>
        <v>18</v>
      </c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</row>
    <row r="46" spans="1:41" ht="15" customHeight="1" x14ac:dyDescent="0.2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 t="s">
        <v>1201</v>
      </c>
      <c r="L46" s="65" cm="1">
        <f t="array" ref="L46">SUMPRODUCT((IF(B1="Semua",Database!$I$4:$I$1966&lt;&gt;"",Database!$I$4:$I$1966=B1))*(IF(C2=0,1,MONTH(Database!$K$4:$K$1966)=C2))*(Database!$E$4:$E$1966=K46)*Database!$N$4:$N$1966)</f>
        <v>0</v>
      </c>
      <c r="M46" s="65">
        <f>RANK(L46,$L$28:$L$57,0)+COUNTIF($L$28:L46,L46)-1</f>
        <v>19</v>
      </c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</row>
    <row r="47" spans="1:41" ht="15" customHeight="1" x14ac:dyDescent="0.2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 t="s">
        <v>1202</v>
      </c>
      <c r="L47" s="65" cm="1">
        <f t="array" ref="L47">SUMPRODUCT((IF(B1="Semua",Database!$I$4:$I$1966&lt;&gt;"",Database!$I$4:$I$1966=B1))*(IF(C2=0,1,MONTH(Database!$K$4:$K$1966)=C2))*(Database!$E$4:$E$1966=K47)*Database!$N$4:$N$1966)</f>
        <v>0</v>
      </c>
      <c r="M47" s="65">
        <f>RANK(L47,$L$28:$L$57,0)+COUNTIF($L$28:L47,L47)-1</f>
        <v>20</v>
      </c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</row>
    <row r="48" spans="1:41" ht="15" customHeight="1" x14ac:dyDescent="0.2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 t="s">
        <v>1203</v>
      </c>
      <c r="L48" s="65" cm="1">
        <f t="array" ref="L48">SUMPRODUCT((IF(B1="Semua",Database!$I$4:$I$1966&lt;&gt;"",Database!$I$4:$I$1966=B1))*(IF(C2=0,1,MONTH(Database!$K$4:$K$1966)=C2))*(Database!$E$4:$E$1966=K48)*Database!$N$4:$N$1966)</f>
        <v>0</v>
      </c>
      <c r="M48" s="65">
        <f>RANK(L48,$L$28:$L$57,0)+COUNTIF($L$28:L48,L48)-1</f>
        <v>21</v>
      </c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</row>
    <row r="49" spans="1:41" ht="15" customHeight="1" x14ac:dyDescent="0.2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 t="s">
        <v>1204</v>
      </c>
      <c r="L49" s="65" cm="1">
        <f t="array" ref="L49">SUMPRODUCT((IF(B1="Semua",Database!$I$4:$I$1966&lt;&gt;"",Database!$I$4:$I$1966=B1))*(IF(C2=0,1,MONTH(Database!$K$4:$K$1966)=C2))*(Database!$E$4:$E$1966=K49)*Database!$N$4:$N$1966)</f>
        <v>0</v>
      </c>
      <c r="M49" s="65">
        <f>RANK(L49,$L$28:$L$57,0)+COUNTIF($L$28:L49,L49)-1</f>
        <v>22</v>
      </c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</row>
    <row r="50" spans="1:41" ht="15" customHeight="1" x14ac:dyDescent="0.2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 t="s">
        <v>1205</v>
      </c>
      <c r="L50" s="65" cm="1">
        <f t="array" ref="L50">SUMPRODUCT((IF(B1="Semua",Database!$I$4:$I$1966&lt;&gt;"",Database!$I$4:$I$1966=B1))*(IF(C2=0,1,MONTH(Database!$K$4:$K$1966)=C2))*(Database!$E$4:$E$1966=K50)*Database!$N$4:$N$1966)</f>
        <v>0</v>
      </c>
      <c r="M50" s="65">
        <f>RANK(L50,$L$28:$L$57,0)+COUNTIF($L$28:L50,L50)-1</f>
        <v>23</v>
      </c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</row>
    <row r="51" spans="1:41" ht="15" customHeight="1" x14ac:dyDescent="0.2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 t="s">
        <v>1206</v>
      </c>
      <c r="L51" s="65" cm="1">
        <f t="array" ref="L51">SUMPRODUCT((IF(B1="Semua",Database!$I$4:$I$1966&lt;&gt;"",Database!$I$4:$I$1966=B1))*(IF(C2=0,1,MONTH(Database!$K$4:$K$1966)=C2))*(Database!$E$4:$E$1966=K51)*Database!$N$4:$N$1966)</f>
        <v>0</v>
      </c>
      <c r="M51" s="65">
        <f>RANK(L51,$L$28:$L$57,0)+COUNTIF($L$28:L51,L51)-1</f>
        <v>24</v>
      </c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</row>
    <row r="52" spans="1:41" ht="15" customHeight="1" x14ac:dyDescent="0.2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 t="s">
        <v>1207</v>
      </c>
      <c r="L52" s="65" cm="1">
        <f t="array" ref="L52">SUMPRODUCT((IF(B1="Semua",Database!$I$4:$I$1966&lt;&gt;"",Database!$I$4:$I$1966=B1))*(IF(C2=0,1,MONTH(Database!$K$4:$K$1966)=C2))*(Database!$E$4:$E$1966=K52)*Database!$N$4:$N$1966)</f>
        <v>0</v>
      </c>
      <c r="M52" s="65">
        <f>RANK(L52,$L$28:$L$57,0)+COUNTIF($L$28:L52,L52)-1</f>
        <v>25</v>
      </c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</row>
    <row r="53" spans="1:41" ht="15" customHeight="1" x14ac:dyDescent="0.2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 t="s">
        <v>1208</v>
      </c>
      <c r="L53" s="65" cm="1">
        <f t="array" ref="L53">SUMPRODUCT((IF(B1="Semua",Database!$I$4:$I$1966&lt;&gt;"",Database!$I$4:$I$1966=B1))*(IF(C2=0,1,MONTH(Database!$K$4:$K$1966)=C2))*(Database!$E$4:$E$1966=K53)*Database!$N$4:$N$1966)</f>
        <v>0</v>
      </c>
      <c r="M53" s="65">
        <f>RANK(L53,$L$28:$L$57,0)+COUNTIF($L$28:L53,L53)-1</f>
        <v>26</v>
      </c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</row>
    <row r="54" spans="1:41" ht="15" customHeight="1" x14ac:dyDescent="0.2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 t="s">
        <v>1209</v>
      </c>
      <c r="L54" s="65" cm="1">
        <f t="array" ref="L54">SUMPRODUCT((IF(B1="Semua",Database!$I$4:$I$1966&lt;&gt;"",Database!$I$4:$I$1966=B1))*(IF(C2=0,1,MONTH(Database!$K$4:$K$1966)=C2))*(Database!$E$4:$E$1966=K54)*Database!$N$4:$N$1966)</f>
        <v>0</v>
      </c>
      <c r="M54" s="65">
        <f>RANK(L54,$L$28:$L$57,0)+COUNTIF($L$28:L54,L54)-1</f>
        <v>27</v>
      </c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</row>
    <row r="55" spans="1:41" ht="15" customHeight="1" x14ac:dyDescent="0.2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 t="s">
        <v>1210</v>
      </c>
      <c r="L55" s="65" cm="1">
        <f t="array" ref="L55">SUMPRODUCT((IF(B1="Semua",Database!$I$4:$I$1966&lt;&gt;"",Database!$I$4:$I$1966=B1))*(IF(C2=0,1,MONTH(Database!$K$4:$K$1966)=C2))*(Database!$E$4:$E$1966=K55)*Database!$N$4:$N$1966)</f>
        <v>0</v>
      </c>
      <c r="M55" s="65">
        <f>RANK(L55,$L$28:$L$57,0)+COUNTIF($L$28:L55,L55)-1</f>
        <v>28</v>
      </c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</row>
    <row r="56" spans="1:41" ht="15" customHeight="1" x14ac:dyDescent="0.2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 t="s">
        <v>1211</v>
      </c>
      <c r="L56" s="65" cm="1">
        <f t="array" ref="L56">SUMPRODUCT((IF(B1="Semua",Database!$I$4:$I$1966&lt;&gt;"",Database!$I$4:$I$1966=B1))*(IF(C2=0,1,MONTH(Database!$K$4:$K$1966)=C2))*(Database!$E$4:$E$1966=K56)*Database!$N$4:$N$1966)</f>
        <v>0</v>
      </c>
      <c r="M56" s="65">
        <f>RANK(L56,$L$28:$L$57,0)+COUNTIF($L$28:L56,L56)-1</f>
        <v>29</v>
      </c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</row>
    <row r="57" spans="1:41" ht="15" customHeight="1" x14ac:dyDescent="0.2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 t="s">
        <v>1212</v>
      </c>
      <c r="L57" s="65" cm="1">
        <f t="array" ref="L57">SUMPRODUCT((IF(B1="Semua",Database!$I$4:$I$1966&lt;&gt;"",Database!$I$4:$I$1966=B1))*(IF(C2=0,1,MONTH(Database!$K$4:$K$1966)=C2))*(Database!$E$4:$E$1966=K57)*Database!$N$4:$N$1966)</f>
        <v>0</v>
      </c>
      <c r="M57" s="65">
        <f>RANK(L57,$L$28:$L$57,0)+COUNTIF($L$28:L57,L57)-1</f>
        <v>30</v>
      </c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</row>
  </sheetData>
  <dataValidations count="1">
    <dataValidation type="list" allowBlank="1" showInputMessage="1" showErrorMessage="1" promptTitle="Filter Produk" prompt="Pilih produk untuk difilter" sqref="B1" xr:uid="{00000000-0002-0000-0600-000000000000}">
      <formula1>"Semua,CPO,B-40,RBDPL,BE"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Pivot</vt:lpstr>
      <vt:lpstr>Dashboard WB</vt:lpstr>
      <vt:lpstr>Analisa CPO</vt:lpstr>
      <vt:lpstr>Database</vt:lpstr>
      <vt:lpstr>Efisiensi Armada</vt:lpstr>
      <vt:lpstr>Harga OAT</vt:lpstr>
      <vt:lpstr>Analisa Ringkas</vt:lpstr>
      <vt:lpstr>Summary Kontrak</vt:lpstr>
      <vt:lpstr>Peta Sulawesi</vt:lpstr>
      <vt:lpstr>Kendaraan</vt:lpstr>
      <vt:lpstr>Timbangan</vt:lpstr>
      <vt:lpstr>_ChartData</vt:lpstr>
      <vt:lpstr>_DB_Data</vt:lpstr>
    </vt:vector>
  </TitlesOfParts>
  <Manager/>
  <Company>PT Wijaya Inti Nusantara Sawit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Ariesto Topayung</dc:creator>
  <cp:keywords/>
  <dc:description/>
  <cp:lastModifiedBy>Microsoft Office User</cp:lastModifiedBy>
  <cp:revision>2</cp:revision>
  <dcterms:created xsi:type="dcterms:W3CDTF">2025-11-26T04:00:24Z</dcterms:created>
  <dcterms:modified xsi:type="dcterms:W3CDTF">2026-06-03T03:28:21Z</dcterms:modified>
  <cp:category/>
  <dc:language>en-US</dc:language>
</cp:coreProperties>
</file>